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500" yWindow="1080" windowWidth="31040" windowHeight="2032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2" i="11" l="1"/>
  <c r="O9" i="9"/>
  <c r="N9" i="9"/>
  <c r="M9" i="9"/>
  <c r="L9" i="9"/>
  <c r="K9" i="9"/>
  <c r="J9" i="9"/>
  <c r="I9" i="9"/>
  <c r="H9" i="9"/>
  <c r="G9" i="9"/>
  <c r="E9" i="9"/>
  <c r="D9" i="9"/>
  <c r="A9" i="9"/>
  <c r="M12" i="10"/>
  <c r="T12" i="10"/>
  <c r="W12" i="10"/>
  <c r="V12" i="10"/>
  <c r="X12" i="10"/>
  <c r="U12" i="10"/>
  <c r="Y12" i="10"/>
  <c r="M24" i="10"/>
  <c r="S51" i="10"/>
  <c r="N36" i="10"/>
  <c r="Q36" i="10"/>
  <c r="P36" i="10"/>
  <c r="R36" i="10"/>
  <c r="O36" i="10"/>
  <c r="S36" i="10"/>
  <c r="N24" i="10"/>
  <c r="Q24" i="10"/>
  <c r="P24" i="10"/>
  <c r="R24" i="10"/>
  <c r="O24" i="10"/>
  <c r="S24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O8" i="21"/>
  <c r="B8" i="21"/>
  <c r="I8" i="21"/>
  <c r="J8" i="21"/>
  <c r="G8" i="21"/>
  <c r="F8" i="21"/>
  <c r="D8" i="21"/>
  <c r="C8" i="21"/>
  <c r="O7" i="21"/>
  <c r="B7" i="21"/>
  <c r="I7" i="21"/>
  <c r="J7" i="21"/>
  <c r="G7" i="21"/>
  <c r="F7" i="21"/>
  <c r="D7" i="21"/>
  <c r="C7" i="21"/>
  <c r="O6" i="21"/>
  <c r="B6" i="21"/>
  <c r="I6" i="21"/>
  <c r="J6" i="21"/>
  <c r="G6" i="21"/>
  <c r="F6" i="21"/>
  <c r="D6" i="21"/>
  <c r="C6" i="21"/>
  <c r="O5" i="21"/>
  <c r="B5" i="21"/>
  <c r="I5" i="21"/>
  <c r="J5" i="21"/>
  <c r="G5" i="21"/>
  <c r="F5" i="21"/>
  <c r="D5" i="21"/>
  <c r="C5" i="21"/>
  <c r="O4" i="21"/>
  <c r="B4" i="21"/>
  <c r="I4" i="21"/>
  <c r="J4" i="21"/>
  <c r="G4" i="21"/>
  <c r="F4" i="21"/>
  <c r="D4" i="21"/>
  <c r="C4" i="21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37" i="9"/>
  <c r="H37" i="9"/>
  <c r="I37" i="9"/>
  <c r="J37" i="9"/>
  <c r="K37" i="9"/>
  <c r="L37" i="9"/>
  <c r="M37" i="9"/>
  <c r="N37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G42" i="9"/>
  <c r="H42" i="9"/>
  <c r="I42" i="9"/>
  <c r="J42" i="9"/>
  <c r="K42" i="9"/>
  <c r="L42" i="9"/>
  <c r="M42" i="9"/>
  <c r="N42" i="9"/>
  <c r="G43" i="9"/>
  <c r="H43" i="9"/>
  <c r="I43" i="9"/>
  <c r="J43" i="9"/>
  <c r="K43" i="9"/>
  <c r="L43" i="9"/>
  <c r="M43" i="9"/>
  <c r="N43" i="9"/>
  <c r="G44" i="9"/>
  <c r="H44" i="9"/>
  <c r="I44" i="9"/>
  <c r="J44" i="9"/>
  <c r="K44" i="9"/>
  <c r="L44" i="9"/>
  <c r="M44" i="9"/>
  <c r="N44" i="9"/>
  <c r="G45" i="9"/>
  <c r="H45" i="9"/>
  <c r="I45" i="9"/>
  <c r="J45" i="9"/>
  <c r="K45" i="9"/>
  <c r="L45" i="9"/>
  <c r="M45" i="9"/>
  <c r="N45" i="9"/>
  <c r="G46" i="9"/>
  <c r="H46" i="9"/>
  <c r="I46" i="9"/>
  <c r="J46" i="9"/>
  <c r="K46" i="9"/>
  <c r="L46" i="9"/>
  <c r="M46" i="9"/>
  <c r="N46" i="9"/>
  <c r="G47" i="9"/>
  <c r="H47" i="9"/>
  <c r="I47" i="9"/>
  <c r="J47" i="9"/>
  <c r="K47" i="9"/>
  <c r="L47" i="9"/>
  <c r="M47" i="9"/>
  <c r="N47" i="9"/>
  <c r="G48" i="9"/>
  <c r="H48" i="9"/>
  <c r="I48" i="9"/>
  <c r="J48" i="9"/>
  <c r="K48" i="9"/>
  <c r="L48" i="9"/>
  <c r="M48" i="9"/>
  <c r="N48" i="9"/>
  <c r="G49" i="9"/>
  <c r="H49" i="9"/>
  <c r="I49" i="9"/>
  <c r="J49" i="9"/>
  <c r="K49" i="9"/>
  <c r="L49" i="9"/>
  <c r="M49" i="9"/>
  <c r="N49" i="9"/>
  <c r="G50" i="9"/>
  <c r="H50" i="9"/>
  <c r="I50" i="9"/>
  <c r="J50" i="9"/>
  <c r="K50" i="9"/>
  <c r="L50" i="9"/>
  <c r="M50" i="9"/>
  <c r="N50" i="9"/>
  <c r="G51" i="9"/>
  <c r="H51" i="9"/>
  <c r="I51" i="9"/>
  <c r="J51" i="9"/>
  <c r="K51" i="9"/>
  <c r="L51" i="9"/>
  <c r="M51" i="9"/>
  <c r="N51" i="9"/>
  <c r="G52" i="9"/>
  <c r="H52" i="9"/>
  <c r="I52" i="9"/>
  <c r="J52" i="9"/>
  <c r="K52" i="9"/>
  <c r="L52" i="9"/>
  <c r="M52" i="9"/>
  <c r="N52" i="9"/>
  <c r="J41" i="11"/>
  <c r="J38" i="11"/>
  <c r="J35" i="11"/>
  <c r="J32" i="11"/>
  <c r="O41" i="9"/>
  <c r="E41" i="9"/>
  <c r="D41" i="9"/>
  <c r="A41" i="9"/>
  <c r="O38" i="9"/>
  <c r="E38" i="9"/>
  <c r="D38" i="9"/>
  <c r="A38" i="9"/>
  <c r="O35" i="9"/>
  <c r="E35" i="9"/>
  <c r="D35" i="9"/>
  <c r="A35" i="9"/>
  <c r="O32" i="9"/>
  <c r="E32" i="9"/>
  <c r="D32" i="9"/>
  <c r="A32" i="9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5" i="10"/>
  <c r="T35" i="10"/>
  <c r="W35" i="10"/>
  <c r="V35" i="10"/>
  <c r="X35" i="10"/>
  <c r="U35" i="10"/>
  <c r="Y35" i="10"/>
  <c r="M51" i="10"/>
  <c r="N51" i="10"/>
  <c r="Q51" i="10"/>
  <c r="P51" i="10"/>
  <c r="R51" i="10"/>
  <c r="O51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T51" i="10"/>
  <c r="W51" i="10"/>
  <c r="V51" i="10"/>
  <c r="X51" i="10"/>
  <c r="U51" i="10"/>
  <c r="Y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G36" i="10"/>
  <c r="J36" i="10"/>
  <c r="I36" i="10"/>
  <c r="K36" i="10"/>
  <c r="H36" i="10"/>
  <c r="L36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J52" i="11"/>
  <c r="J51" i="11"/>
  <c r="J50" i="11"/>
  <c r="J49" i="11"/>
  <c r="J48" i="11"/>
  <c r="J47" i="11"/>
  <c r="J46" i="11"/>
  <c r="J45" i="11"/>
  <c r="J44" i="11"/>
  <c r="J43" i="11"/>
  <c r="J42" i="11"/>
  <c r="J40" i="11"/>
  <c r="J39" i="11"/>
  <c r="J37" i="11"/>
  <c r="J36" i="11"/>
  <c r="J34" i="11"/>
  <c r="J33" i="11"/>
  <c r="J31" i="11"/>
  <c r="J30" i="11"/>
  <c r="J29" i="11"/>
  <c r="J28" i="11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O52" i="9"/>
  <c r="E52" i="9"/>
  <c r="D52" i="9"/>
  <c r="A52" i="9"/>
  <c r="O51" i="9"/>
  <c r="E51" i="9"/>
  <c r="D51" i="9"/>
  <c r="A51" i="9"/>
  <c r="O50" i="9"/>
  <c r="E50" i="9"/>
  <c r="D50" i="9"/>
  <c r="A50" i="9"/>
  <c r="O49" i="9"/>
  <c r="E49" i="9"/>
  <c r="D49" i="9"/>
  <c r="A49" i="9"/>
  <c r="O48" i="9"/>
  <c r="E48" i="9"/>
  <c r="D48" i="9"/>
  <c r="A48" i="9"/>
  <c r="O47" i="9"/>
  <c r="E47" i="9"/>
  <c r="D47" i="9"/>
  <c r="A47" i="9"/>
  <c r="O46" i="9"/>
  <c r="E46" i="9"/>
  <c r="D46" i="9"/>
  <c r="A46" i="9"/>
  <c r="O45" i="9"/>
  <c r="E45" i="9"/>
  <c r="D45" i="9"/>
  <c r="A45" i="9"/>
  <c r="O44" i="9"/>
  <c r="E44" i="9"/>
  <c r="D44" i="9"/>
  <c r="A44" i="9"/>
  <c r="O43" i="9"/>
  <c r="E43" i="9"/>
  <c r="D43" i="9"/>
  <c r="A43" i="9"/>
  <c r="O42" i="9"/>
  <c r="E42" i="9"/>
  <c r="D42" i="9"/>
  <c r="A42" i="9"/>
  <c r="O40" i="9"/>
  <c r="E40" i="9"/>
  <c r="D40" i="9"/>
  <c r="A40" i="9"/>
  <c r="O39" i="9"/>
  <c r="E39" i="9"/>
  <c r="D39" i="9"/>
  <c r="A39" i="9"/>
  <c r="O37" i="9"/>
  <c r="E37" i="9"/>
  <c r="D37" i="9"/>
  <c r="A37" i="9"/>
  <c r="O36" i="9"/>
  <c r="E36" i="9"/>
  <c r="D36" i="9"/>
  <c r="A36" i="9"/>
  <c r="O34" i="9"/>
  <c r="E34" i="9"/>
  <c r="D34" i="9"/>
  <c r="A34" i="9"/>
  <c r="O33" i="9"/>
  <c r="E33" i="9"/>
  <c r="D33" i="9"/>
  <c r="A33" i="9"/>
  <c r="O31" i="9"/>
  <c r="E31" i="9"/>
  <c r="D31" i="9"/>
  <c r="A31" i="9"/>
  <c r="O30" i="9"/>
  <c r="E30" i="9"/>
  <c r="D30" i="9"/>
  <c r="A30" i="9"/>
  <c r="O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W6" i="7"/>
  <c r="U6" i="7"/>
  <c r="R6" i="7"/>
  <c r="Q6" i="7"/>
  <c r="P6" i="7"/>
  <c r="O6" i="7"/>
  <c r="N6" i="7"/>
  <c r="H6" i="7"/>
  <c r="G6" i="2"/>
  <c r="A6" i="2"/>
  <c r="G7" i="2"/>
  <c r="A7" i="2"/>
  <c r="G8" i="2"/>
  <c r="A8" i="2"/>
  <c r="G9" i="2"/>
  <c r="A9" i="2"/>
  <c r="J6" i="7"/>
  <c r="I6" i="7"/>
  <c r="D6" i="7"/>
  <c r="F6" i="7"/>
  <c r="E6" i="7"/>
  <c r="A6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H9" i="2"/>
  <c r="E9" i="2"/>
  <c r="D9" i="2"/>
  <c r="H7" i="1"/>
  <c r="H8" i="1"/>
  <c r="H9" i="1"/>
  <c r="H10" i="1"/>
  <c r="H11" i="1"/>
  <c r="H12" i="1"/>
  <c r="H13" i="1"/>
  <c r="B9" i="2"/>
  <c r="H8" i="2"/>
  <c r="E8" i="2"/>
  <c r="D8" i="2"/>
  <c r="B8" i="2"/>
  <c r="H7" i="2"/>
  <c r="E7" i="2"/>
  <c r="D7" i="2"/>
  <c r="B7" i="2"/>
  <c r="H6" i="2"/>
  <c r="E6" i="2"/>
  <c r="D6" i="2"/>
  <c r="B6" i="2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J10" i="11"/>
  <c r="J16" i="11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J7" i="11"/>
  <c r="J8" i="11"/>
  <c r="J9" i="11"/>
  <c r="J11" i="11"/>
  <c r="J13" i="11"/>
  <c r="J14" i="11"/>
  <c r="J15" i="11"/>
  <c r="J17" i="11"/>
  <c r="J18" i="11"/>
  <c r="J19" i="11"/>
  <c r="J20" i="11"/>
  <c r="J21" i="11"/>
  <c r="J22" i="11"/>
  <c r="J23" i="11"/>
  <c r="J24" i="11"/>
  <c r="J25" i="11"/>
  <c r="J26" i="11"/>
  <c r="J27" i="11"/>
  <c r="O12" i="9"/>
  <c r="E12" i="9"/>
  <c r="D12" i="9"/>
  <c r="A12" i="9"/>
  <c r="O11" i="9"/>
  <c r="E11" i="9"/>
  <c r="D11" i="9"/>
  <c r="A11" i="9"/>
  <c r="O17" i="9"/>
  <c r="E17" i="9"/>
  <c r="D17" i="9"/>
  <c r="A17" i="9"/>
  <c r="O16" i="9"/>
  <c r="E16" i="9"/>
  <c r="D16" i="9"/>
  <c r="A16" i="9"/>
  <c r="M15" i="10"/>
  <c r="T15" i="10"/>
  <c r="W15" i="10"/>
  <c r="V15" i="10"/>
  <c r="X15" i="10"/>
  <c r="U15" i="10"/>
  <c r="Y15" i="10"/>
  <c r="M2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6" i="10"/>
  <c r="T16" i="10"/>
  <c r="W16" i="10"/>
  <c r="V16" i="10"/>
  <c r="X16" i="10"/>
  <c r="U16" i="10"/>
  <c r="Y16" i="10"/>
  <c r="M2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O27" i="9"/>
  <c r="E27" i="9"/>
  <c r="D27" i="9"/>
  <c r="A27" i="9"/>
  <c r="O26" i="9"/>
  <c r="E26" i="9"/>
  <c r="D26" i="9"/>
  <c r="A26" i="9"/>
  <c r="O25" i="9"/>
  <c r="E25" i="9"/>
  <c r="D25" i="9"/>
  <c r="A25" i="9"/>
  <c r="O24" i="9"/>
  <c r="E24" i="9"/>
  <c r="D24" i="9"/>
  <c r="A24" i="9"/>
  <c r="O23" i="9"/>
  <c r="E23" i="9"/>
  <c r="D23" i="9"/>
  <c r="A23" i="9"/>
  <c r="O22" i="9"/>
  <c r="E22" i="9"/>
  <c r="D22" i="9"/>
  <c r="A22" i="9"/>
  <c r="O21" i="9"/>
  <c r="E21" i="9"/>
  <c r="D21" i="9"/>
  <c r="A21" i="9"/>
  <c r="O20" i="9"/>
  <c r="E20" i="9"/>
  <c r="D20" i="9"/>
  <c r="A20" i="9"/>
  <c r="O19" i="9"/>
  <c r="E19" i="9"/>
  <c r="D19" i="9"/>
  <c r="A19" i="9"/>
  <c r="O18" i="9"/>
  <c r="E18" i="9"/>
  <c r="D18" i="9"/>
  <c r="A18" i="9"/>
  <c r="O15" i="9"/>
  <c r="E15" i="9"/>
  <c r="D15" i="9"/>
  <c r="A15" i="9"/>
  <c r="O14" i="9"/>
  <c r="E14" i="9"/>
  <c r="D14" i="9"/>
  <c r="A14" i="9"/>
  <c r="O13" i="9"/>
  <c r="E13" i="9"/>
  <c r="D13" i="9"/>
  <c r="A13" i="9"/>
  <c r="O10" i="9"/>
  <c r="E10" i="9"/>
  <c r="D10" i="9"/>
  <c r="A10" i="9"/>
  <c r="O8" i="9"/>
  <c r="E8" i="9"/>
  <c r="D8" i="9"/>
  <c r="A8" i="9"/>
  <c r="O7" i="9"/>
  <c r="E7" i="9"/>
  <c r="D7" i="9"/>
  <c r="A7" i="9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T25" i="10"/>
  <c r="W25" i="10"/>
  <c r="V25" i="10"/>
  <c r="X25" i="10"/>
  <c r="U25" i="10"/>
  <c r="Y25" i="10"/>
  <c r="G25" i="10"/>
  <c r="J25" i="10"/>
  <c r="I25" i="10"/>
  <c r="K25" i="10"/>
  <c r="H25" i="10"/>
  <c r="L25" i="10"/>
  <c r="T24" i="10"/>
  <c r="W24" i="10"/>
  <c r="V24" i="10"/>
  <c r="X24" i="10"/>
  <c r="U24" i="10"/>
  <c r="Y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O3" i="21"/>
  <c r="O2" i="21"/>
  <c r="J6" i="11"/>
  <c r="J5" i="11"/>
  <c r="J4" i="11"/>
  <c r="O6" i="9"/>
  <c r="E6" i="9"/>
  <c r="D6" i="9"/>
  <c r="A6" i="9"/>
  <c r="O5" i="9"/>
  <c r="E5" i="9"/>
  <c r="D5" i="9"/>
  <c r="A5" i="9"/>
  <c r="O4" i="9"/>
  <c r="E4" i="9"/>
  <c r="D4" i="9"/>
  <c r="A4" i="9"/>
  <c r="J3" i="11"/>
  <c r="O3" i="9"/>
  <c r="E3" i="9"/>
  <c r="D3" i="9"/>
  <c r="A3" i="9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B3" i="21"/>
  <c r="I3" i="21"/>
  <c r="J3" i="21"/>
  <c r="G3" i="21"/>
  <c r="F3" i="21"/>
  <c r="D3" i="21"/>
  <c r="C3" i="21"/>
  <c r="G5" i="2"/>
  <c r="H5" i="2"/>
  <c r="E5" i="2"/>
  <c r="D5" i="2"/>
  <c r="A5" i="2"/>
  <c r="B5" i="2"/>
  <c r="G4" i="2"/>
  <c r="H4" i="2"/>
  <c r="E4" i="2"/>
  <c r="D4" i="2"/>
  <c r="A4" i="2"/>
  <c r="B4" i="2"/>
  <c r="G3" i="2"/>
  <c r="H3" i="2"/>
  <c r="E3" i="2"/>
  <c r="D3" i="2"/>
  <c r="A3" i="2"/>
  <c r="B3" i="2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W2" i="7"/>
  <c r="U2" i="7"/>
  <c r="V2" i="1"/>
  <c r="T2" i="1"/>
  <c r="C13" i="16"/>
  <c r="E13" i="16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E2" i="9"/>
  <c r="D2" i="9"/>
  <c r="C4" i="16"/>
  <c r="C5" i="16"/>
  <c r="C6" i="16"/>
  <c r="C7" i="16"/>
  <c r="C8" i="16"/>
  <c r="C9" i="16"/>
  <c r="C3" i="16"/>
  <c r="E9" i="16"/>
  <c r="R2" i="7"/>
  <c r="Q2" i="7"/>
  <c r="P2" i="7"/>
  <c r="O2" i="7"/>
  <c r="N2" i="7"/>
  <c r="AD2" i="1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G2" i="2"/>
  <c r="A2" i="2"/>
  <c r="J2" i="7"/>
  <c r="E8" i="16"/>
  <c r="E7" i="16"/>
  <c r="E6" i="16"/>
  <c r="E5" i="16"/>
  <c r="E4" i="16"/>
  <c r="E3" i="16"/>
  <c r="E2" i="16"/>
  <c r="A2" i="1"/>
  <c r="AI2" i="1"/>
  <c r="A2" i="9"/>
  <c r="H2" i="1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<sst xmlns="http://schemas.openxmlformats.org/spreadsheetml/2006/main" count="843" uniqueCount="422">
  <si>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</si>
  <si>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</si>
  <si>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</si>
  <si>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</si>
  <si>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</si>
  <si>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</si>
  <si>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</si>
  <si>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</si>
  <si>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</si>
  <si>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</si>
  <si>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</si>
  <si>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</si>
  <si>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</si>
  <si>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</si>
  <si>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</si>
  <si>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</si>
  <si>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</si>
  <si>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</si>
  <si>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</si>
  <si>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</si>
  <si>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</si>
  <si>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</si>
  <si>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</si>
  <si>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</si>
  <si>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</si>
  <si>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</si>
  <si>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</si>
  <si>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</si>
  <si>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</si>
  <si>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</si>
  <si>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</si>
  <si>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</si>
  <si>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</si>
  <si>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</si>
  <si>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</si>
  <si>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</si>
  <si>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</si>
  <si>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</si>
  <si>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</si>
  <si>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</si>
  <si>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</si>
  <si>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</si>
  <si>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</si>
  <si>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</si>
  <si>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</si>
  <si>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</si>
  <si>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</si>
  <si>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</si>
  <si>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</si>
  <si>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</si>
  <si>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</si>
  <si>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</si>
  <si>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</si>
  <si>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</si>
  <si>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</si>
  <si>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</si>
  <si>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</si>
  <si>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</si>
  <si>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</si>
  <si>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</si>
  <si>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</si>
  <si>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</si>
  <si>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</si>
  <si>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</si>
  <si>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</si>
  <si>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</si>
  <si>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</si>
  <si>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</si>
  <si>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</si>
  <si>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</si>
  <si>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</si>
  <si>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</si>
  <si>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</si>
  <si>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</si>
  <si>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</si>
  <si>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</si>
  <si>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</si>
  <si>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</si>
  <si>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</si>
  <si>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</si>
  <si>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</si>
  <si>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</si>
  <si>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</si>
  <si>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</si>
  <si>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</si>
  <si>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</si>
  <si>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</si>
  <si>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</si>
  <si>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</si>
  <si>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</si>
  <si>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</si>
  <si>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</si>
  <si>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</si>
  <si>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</si>
  <si>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</si>
  <si>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</si>
  <si>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</si>
  <si>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</si>
  <si>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</si>
  <si>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</si>
  <si>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</si>
  <si>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</si>
  <si>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</si>
  <si>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</si>
  <si>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</si>
  <si>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</si>
  <si>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</si>
  <si>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</si>
  <si>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</si>
  <si>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</si>
  <si>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</si>
  <si>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</si>
  <si>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</si>
  <si>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</si>
  <si>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</si>
  <si>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</si>
  <si>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</si>
  <si>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</si>
  <si>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</si>
  <si>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</si>
  <si>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</si>
  <si>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</si>
  <si>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</si>
  <si>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</si>
  <si>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</si>
  <si>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</si>
  <si>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</si>
  <si>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</si>
  <si>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</si>
  <si>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</si>
  <si>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</si>
  <si>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</si>
  <si>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</si>
  <si>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</si>
  <si>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</si>
  <si>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</si>
  <si>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</si>
  <si>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</si>
  <si>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</si>
  <si>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</si>
  <si>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</si>
  <si>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</si>
  <si>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</si>
  <si>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</si>
  <si>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</si>
  <si>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</si>
  <si>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</si>
  <si>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</si>
  <si>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</si>
  <si>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</si>
  <si>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</si>
  <si>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</si>
  <si>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</si>
  <si>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</si>
  <si>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</si>
  <si>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</si>
  <si>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</si>
  <si>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</si>
  <si>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</si>
  <si>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</si>
  <si>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</si>
  <si>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</si>
  <si>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</si>
  <si>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</si>
  <si>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</si>
  <si>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</si>
  <si>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</si>
  <si>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</si>
  <si>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</si>
  <si>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</si>
  <si>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</si>
  <si>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</si>
  <si>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</si>
  <si>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</si>
  <si>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</si>
  <si>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</si>
  <si>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</si>
  <si>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</si>
  <si>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</si>
  <si>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</si>
  <si>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</si>
  <si>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</si>
  <si>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</si>
  <si>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</si>
  <si>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</si>
  <si>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</si>
  <si>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</si>
  <si>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</si>
  <si>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</si>
  <si>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</si>
  <si>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</si>
  <si>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</si>
  <si>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</si>
  <si>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</si>
  <si>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</si>
  <si>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</si>
  <si>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</si>
  <si>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</si>
  <si>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</si>
  <si>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</si>
  <si>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</si>
  <si>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</si>
  <si>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</si>
  <si>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</si>
  <si>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</si>
  <si>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</si>
  <si>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</si>
  <si>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</si>
  <si>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</si>
  <si>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</si>
  <si>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</si>
  <si>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</si>
  <si>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</si>
  <si>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</si>
  <si>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</si>
  <si>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</si>
  <si>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</si>
  <si>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</si>
  <si>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</si>
  <si>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</si>
  <si>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</si>
  <si>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</si>
  <si>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</si>
  <si>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</si>
  <si>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</si>
  <si>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</si>
  <si>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</si>
  <si>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</si>
  <si>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</si>
  <si>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</si>
  <si>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</si>
  <si>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</si>
  <si>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</si>
  <si>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</si>
  <si>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</si>
  <si>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</si>
  <si>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</si>
  <si>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</si>
  <si>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</si>
  <si>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</si>
  <si>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</si>
  <si>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</si>
  <si>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</si>
  <si>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</si>
  <si>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</si>
  <si>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</si>
  <si>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</si>
  <si>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</si>
  <si>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</si>
  <si>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なし</t>
  </si>
  <si>
    <t>null</t>
    <phoneticPr fontId="5"/>
  </si>
  <si>
    <t>捜査を続けよう</t>
    <rPh sb="0" eb="2">
      <t>ソウサ</t>
    </rPh>
    <rPh sb="3" eb="4">
      <t>ツヅケヨウ</t>
    </rPh>
    <phoneticPr fontId="5"/>
  </si>
  <si>
    <t>緊急事態です
ALICE全域にウィルスが拡大しています</t>
    <rPh sb="0" eb="4">
      <t>キンキュウジタイ</t>
    </rPh>
    <rPh sb="12" eb="14">
      <t>ゼンイキニ</t>
    </rPh>
    <rPh sb="20" eb="22">
      <t>カクダイ</t>
    </rPh>
    <phoneticPr fontId="5"/>
  </si>
  <si>
    <t>事件解決のためアナタの力を貸してください</t>
    <rPh sb="0" eb="2">
      <t>ジケン</t>
    </rPh>
    <rPh sb="2" eb="4">
      <t>カイケツノタメ</t>
    </rPh>
    <rPh sb="11" eb="12">
      <t>チカラヲ</t>
    </rPh>
    <rPh sb="13" eb="14">
      <t>カシテ</t>
    </rPh>
    <phoneticPr fontId="5"/>
  </si>
  <si>
    <t>まずは円卓の騎士の本拠地
「キャメロット」に向かいましょう</t>
    <rPh sb="3" eb="5">
      <t>エンタク</t>
    </rPh>
    <rPh sb="6" eb="8">
      <t>キシ</t>
    </rPh>
    <rPh sb="9" eb="12">
      <t>ホンキョチ</t>
    </rPh>
    <rPh sb="22" eb="23">
      <t>ムカッテ</t>
    </rPh>
    <phoneticPr fontId="5"/>
  </si>
  <si>
    <t>ウィルスの反応が一番強い場所です
そこから調査を開始してください</t>
    <rPh sb="5" eb="7">
      <t>ハンノウガ</t>
    </rPh>
    <rPh sb="8" eb="10">
      <t>イチバン</t>
    </rPh>
    <rPh sb="10" eb="11">
      <t>ツヨイ</t>
    </rPh>
    <rPh sb="12" eb="14">
      <t>バショ</t>
    </rPh>
    <rPh sb="21" eb="23">
      <t>チョウサ</t>
    </rPh>
    <rPh sb="24" eb="26">
      <t>カイシ</t>
    </rPh>
    <phoneticPr fontId="5"/>
  </si>
  <si>
    <t>イミュータブル・ジャスティス</t>
    <phoneticPr fontId="5"/>
  </si>
  <si>
    <t>残りHPの300%ダメージ！</t>
    <rPh sb="0" eb="1">
      <t>ノコリ</t>
    </rPh>
    <phoneticPr fontId="5"/>
  </si>
  <si>
    <t>みんなどうしたんだ…！
まさか既に…！？</t>
    <rPh sb="15" eb="16">
      <t>スデニ</t>
    </rPh>
    <phoneticPr fontId="5"/>
  </si>
  <si>
    <t>これ以上誤解させると危険だ！
【フィーバーでアーサーのHPを削り切ろう！】</t>
    <rPh sb="4" eb="6">
      <t>ゴカイサ</t>
    </rPh>
    <rPh sb="10" eb="12">
      <t>キケn</t>
    </rPh>
    <rPh sb="30" eb="31">
      <t>ケズリキロウ</t>
    </rPh>
    <phoneticPr fontId="5"/>
  </si>
  <si>
    <t>がんばって…と、パーシヴァルの囁く声が聞こえた</t>
    <rPh sb="15" eb="16">
      <t>ササヤク</t>
    </rPh>
    <rPh sb="17" eb="18">
      <t>コエ</t>
    </rPh>
    <rPh sb="19" eb="20">
      <t>キコエタ</t>
    </rPh>
    <phoneticPr fontId="5"/>
  </si>
  <si>
    <t>パーシ！援護を頼む！</t>
    <rPh sb="4" eb="6">
      <t>エンゴヲタノム</t>
    </rPh>
    <phoneticPr fontId="5"/>
  </si>
  <si>
    <t>トリス！畳み掛けるぞ！</t>
    <rPh sb="4" eb="5">
      <t>タタミカケルゾ</t>
    </rPh>
    <phoneticPr fontId="5"/>
  </si>
  <si>
    <t>トリスタンは飛び出したい気持ちを堪えているようだ</t>
    <rPh sb="6" eb="7">
      <t>トビダシタイ</t>
    </rPh>
    <rPh sb="12" eb="14">
      <t>キモチヲ</t>
    </rPh>
    <rPh sb="16" eb="17">
      <t>コラエテイル</t>
    </rPh>
    <phoneticPr fontId="5"/>
  </si>
  <si>
    <t>気を遣っているのか、ガウェインは現れない</t>
    <rPh sb="0" eb="1">
      <t>キヲツカッテ</t>
    </rPh>
    <rPh sb="2" eb="3">
      <t>ツカッテ</t>
    </rPh>
    <rPh sb="16" eb="17">
      <t>アラワレナイ</t>
    </rPh>
    <phoneticPr fontId="5"/>
  </si>
  <si>
    <t>老！力を貸してくれ！</t>
    <rPh sb="0" eb="1">
      <t>ロウジn</t>
    </rPh>
    <rPh sb="2" eb="3">
      <t>チカラヲカシテクレ</t>
    </rPh>
    <phoneticPr fontId="5"/>
  </si>
  <si>
    <t>な、なんだっ、敵襲か！？</t>
    <rPh sb="7" eb="9">
      <t>テキシュウ</t>
    </rPh>
    <phoneticPr fontId="5"/>
  </si>
  <si>
    <t>俺はまだ生きているぞ…！</t>
    <rPh sb="0" eb="1">
      <t>オレハ</t>
    </rPh>
    <rPh sb="4" eb="5">
      <t>イキテイルゾ</t>
    </rPh>
    <phoneticPr fontId="5"/>
  </si>
  <si>
    <t>あと少しで誤解が解けそうだ！
【フィーバーでアーサーのHPを削り切ろう！】</t>
    <rPh sb="2" eb="3">
      <t>スコシ</t>
    </rPh>
    <rPh sb="5" eb="7">
      <t>ゴカイ</t>
    </rPh>
    <rPh sb="8" eb="9">
      <t>トケソウ</t>
    </rPh>
    <rPh sb="30" eb="31">
      <t>ケズリキロウ</t>
    </rPh>
    <phoneticPr fontId="5"/>
  </si>
  <si>
    <t>すまない…少し取り乱した</t>
    <rPh sb="5" eb="6">
      <t>スコシ</t>
    </rPh>
    <rPh sb="7" eb="8">
      <t>トリミダシタ</t>
    </rPh>
    <phoneticPr fontId="5"/>
  </si>
  <si>
    <t>俺の姿が変わったのも
その影響だということか？</t>
    <rPh sb="0" eb="1">
      <t>オレノスガタガ</t>
    </rPh>
    <rPh sb="4" eb="5">
      <t>カワッタ</t>
    </rPh>
    <rPh sb="13" eb="15">
      <t>エイキョウダト</t>
    </rPh>
    <phoneticPr fontId="5"/>
  </si>
  <si>
    <t>何故ここに？　というか扉が…</t>
    <rPh sb="0" eb="2">
      <t>ナゼココ</t>
    </rPh>
    <rPh sb="11" eb="12">
      <t>トビラ</t>
    </rPh>
    <phoneticPr fontId="5"/>
  </si>
  <si>
    <t>目を見ればわかる。君に敵意は無いようだ…</t>
    <rPh sb="0" eb="1">
      <t>メヲ</t>
    </rPh>
    <rPh sb="2" eb="3">
      <t>ミレバ</t>
    </rPh>
    <rPh sb="9" eb="10">
      <t>キミニ</t>
    </rPh>
    <rPh sb="11" eb="13">
      <t>テキイハ</t>
    </rPh>
    <rPh sb="14" eb="15">
      <t>ナイヨウダ</t>
    </rPh>
    <phoneticPr fontId="5"/>
  </si>
  <si>
    <t>old</t>
  </si>
  <si>
    <t>心中は察するが…
閉じこもったって何も解決しないだろうに</t>
    <rPh sb="0" eb="2">
      <t>シンチュウ</t>
    </rPh>
    <rPh sb="3" eb="4">
      <t>サッスル</t>
    </rPh>
    <rPh sb="9" eb="10">
      <t>トジコモッテテモ</t>
    </rPh>
    <rPh sb="17" eb="18">
      <t>ナニモ</t>
    </rPh>
    <rPh sb="19" eb="21">
      <t>カイケツ</t>
    </rPh>
    <phoneticPr fontId="5"/>
  </si>
  <si>
    <t>とりあえず機関長室に向かってくれ</t>
    <rPh sb="5" eb="8">
      <t>キカンチョウ</t>
    </rPh>
    <rPh sb="8" eb="9">
      <t>シツ</t>
    </rPh>
    <rPh sb="10" eb="11">
      <t>ムカッテ</t>
    </rPh>
    <phoneticPr fontId="5"/>
  </si>
  <si>
    <t>ALICEの適合者か？
ウィルスの調査に来たって…？</t>
    <rPh sb="6" eb="9">
      <t>テキゴウシャ</t>
    </rPh>
    <rPh sb="17" eb="19">
      <t>チョウサ</t>
    </rPh>
    <rPh sb="20" eb="21">
      <t>キタ</t>
    </rPh>
    <phoneticPr fontId="5"/>
  </si>
  <si>
    <t>パーシヴァルとトリスタンが
機関長室の前で話している</t>
    <rPh sb="14" eb="18">
      <t>キカンチョウシツ</t>
    </rPh>
    <rPh sb="19" eb="20">
      <t>マエニ</t>
    </rPh>
    <rPh sb="21" eb="22">
      <t>ハナシテイル</t>
    </rPh>
    <phoneticPr fontId="5"/>
  </si>
  <si>
    <t>アーサーは言ってたわ
「お前たち、今は入ってこないでくれ！」と…</t>
    <rPh sb="5" eb="6">
      <t>イッテタワ</t>
    </rPh>
    <rPh sb="17" eb="18">
      <t>イマハ</t>
    </rPh>
    <rPh sb="19" eb="20">
      <t>ハイッテ</t>
    </rPh>
    <phoneticPr fontId="5"/>
  </si>
  <si>
    <t>トリス！　いつもみたいにやっちゃいなさい！</t>
    <phoneticPr fontId="5"/>
  </si>
  <si>
    <t>これで道は開けた…後はキミに任せるね…！</t>
    <rPh sb="3" eb="4">
      <t>ミチハ</t>
    </rPh>
    <rPh sb="5" eb="6">
      <t>ヒラケタ</t>
    </rPh>
    <rPh sb="9" eb="10">
      <t>アトハ</t>
    </rPh>
    <rPh sb="14" eb="15">
      <t>マカセル</t>
    </rPh>
    <phoneticPr fontId="5"/>
  </si>
  <si>
    <t>扉をぶち破って現れるなんて…
こんな姿だが、応じないわけにはいかないか！</t>
    <rPh sb="0" eb="1">
      <t>トビラヲ</t>
    </rPh>
    <rPh sb="7" eb="8">
      <t>アラワレル</t>
    </rPh>
    <rPh sb="18" eb="19">
      <t>スガタ</t>
    </rPh>
    <rPh sb="22" eb="23">
      <t>オウジナイ</t>
    </rPh>
    <phoneticPr fontId="5"/>
  </si>
  <si>
    <t>null</t>
    <phoneticPr fontId="5"/>
  </si>
  <si>
    <t>null</t>
    <phoneticPr fontId="5"/>
  </si>
  <si>
    <t>null</t>
    <phoneticPr fontId="5"/>
  </si>
  <si>
    <t>ちょうどいい。協力するから力を貸してくれ。
誰かがあのバカを正気に戻してやらねーと…</t>
    <rPh sb="7" eb="9">
      <t>キョウリョク</t>
    </rPh>
    <rPh sb="13" eb="14">
      <t>チカラヲ</t>
    </rPh>
    <rPh sb="15" eb="16">
      <t>カシテ</t>
    </rPh>
    <rPh sb="22" eb="23">
      <t>ダレカガ</t>
    </rPh>
    <rPh sb="30" eb="32">
      <t>ショウキニ</t>
    </rPh>
    <rPh sb="33" eb="34">
      <t>モドシテ</t>
    </rPh>
    <phoneticPr fontId="5"/>
  </si>
  <si>
    <t>null</t>
    <phoneticPr fontId="5"/>
  </si>
  <si>
    <t>[effect:enemy_message, val1:1.2, val2:2.0],[effect:dis_panel, target:block_red, turn:3, animation:enemy_dis_red]</t>
  </si>
  <si>
    <t>[effect:enemy_message, val1:1.2, val2:2.3],[effect:dis_panel, target:block_blue, turn:2, animation:enemy_dis_blue]</t>
  </si>
  <si>
    <t>[effect:enemy_message, val1:1.2, val2:2.4],[effect:dis_panel, target:block_yellow, turn:1, animation:enemy_dis_yellow]</t>
  </si>
  <si>
    <t>[effect:enemy_message, val1:2.6, val2:2.0],[effect:fix_speed, target:myself, turn:1],[effect:ability_lock, target:unit_all, turn:-1],[effect:hungup, target:unit_all, turn:-1, rate:1],[effect:sleep, target:unit_all, turn:1, rate:1],[effect:crash_condition, target:unit_all, turn:-1, val:99]</t>
    <phoneticPr fontId="5"/>
  </si>
  <si>
    <t>[effect:enemy_message, val1:2.5, val2:4.1],[effect:remove_enhancement, target:unit_all, target_effect:dark, animation:frozen_wave]</t>
    <phoneticPr fontId="5"/>
  </si>
  <si>
    <t>[effect:enemy_message, val1:1.4, val2:2.1],[effect:force_change_block, new_block:block_heart, target:block_all, count:0, val:0],[effect:suicide, target:myself, val:1, dead_type:escape]</t>
  </si>
  <si>
    <t>[effect:enemy_message, val1:1.4, val2:2.0],[effect:break_enchance_enemy, target:myself, val:100, lowest_val:1000, count:-1, status:attack, turn:1, block01:block_heart, calc:add, animation:enemy_enhance_attack],[effect:suicide, target:myself, val:1, dead_type:escape]</t>
  </si>
  <si>
    <t>…ったくアーサーのやつ
らしくない事しやがるぜ</t>
    <rPh sb="17" eb="18">
      <t>コト</t>
    </rPh>
    <phoneticPr fontId="5"/>
  </si>
  <si>
    <t>[effect:enemy_message, val1:2.2, val2:2.7],[effect:fix_speed, target:myself, turn:1],[effect:dark, target:unit_all, turn:-1, animation:enemy_dark]</t>
    <phoneticPr fontId="5"/>
  </si>
  <si>
    <t>…ガウェインさんに頼まれて調査に来たの？
機関長室に入りたいのね…？</t>
    <rPh sb="9" eb="10">
      <t>タノマレ</t>
    </rPh>
    <rPh sb="13" eb="15">
      <t>チョウサ</t>
    </rPh>
    <rPh sb="16" eb="17">
      <t>キタ</t>
    </rPh>
    <rPh sb="21" eb="25">
      <t>キカンチョウシツ</t>
    </rPh>
    <rPh sb="26" eb="27">
      <t>ハイリタイ</t>
    </rPh>
    <phoneticPr fontId="5"/>
  </si>
  <si>
    <t>[effect:enemy_message, val1:1.4, val2:3.4],[effect:suicide, target:enemy_all, val:1.0]</t>
    <phoneticPr fontId="5"/>
  </si>
  <si>
    <t>パーシヴァルは魔銃を解放しようとしている</t>
    <rPh sb="7" eb="8">
      <t>マ</t>
    </rPh>
    <rPh sb="8" eb="9">
      <t>ジュウ</t>
    </rPh>
    <rPh sb="10" eb="12">
      <t>カイホウ</t>
    </rPh>
    <phoneticPr fontId="5"/>
  </si>
  <si>
    <t>ダメだよ姉さん！</t>
    <rPh sb="4" eb="5">
      <t>ネエサン</t>
    </rPh>
    <phoneticPr fontId="5"/>
  </si>
  <si>
    <t>僕たちは入っちゃダメって言われてるでしょ？</t>
    <rPh sb="0" eb="1">
      <t>ボク</t>
    </rPh>
    <rPh sb="4" eb="5">
      <t>ハイッチャ</t>
    </rPh>
    <rPh sb="12" eb="13">
      <t>イワレテル</t>
    </rPh>
    <phoneticPr fontId="5"/>
  </si>
  <si>
    <t>…自然発生したウィルスだとは思えないな。
すぐに調査を開始しなければ…情報感謝する！</t>
    <rPh sb="1" eb="5">
      <t>シゼンハッセイ</t>
    </rPh>
    <rPh sb="14" eb="15">
      <t>オモエン</t>
    </rPh>
    <rPh sb="24" eb="26">
      <t>チョウサ</t>
    </rPh>
    <rPh sb="27" eb="29">
      <t>カイシ</t>
    </rPh>
    <rPh sb="35" eb="37">
      <t>ジョウホウ</t>
    </rPh>
    <rPh sb="37" eb="39">
      <t>カンシャ</t>
    </rPh>
    <phoneticPr fontId="5"/>
  </si>
  <si>
    <t>[effect:enemy_message, val1:1.6, val2:3.5],[effect:suicide, target:myself, val:1, dead_type:escape]</t>
    <phoneticPr fontId="5"/>
  </si>
  <si>
    <t>[effect:enemy_message, val1:1.5, val2:2.6],[effect:fix_speed, target:myself, turn:1]</t>
    <phoneticPr fontId="5"/>
  </si>
  <si>
    <t>[effect:enemy_message, val1:1.5, val2:3.5],[effect:fix_speed, target:myself, turn:1]</t>
    <phoneticPr fontId="5"/>
  </si>
  <si>
    <t>[effect:enemy_message, val1:1.5, val2:2.3],[effect:fix_speed, target:myself, turn:1],[effect:sleep, target:unit_all, turn:3, rate:1]</t>
    <phoneticPr fontId="5"/>
  </si>
  <si>
    <t>[effect:enemy_message, val1:1.4, val2:2.1]</t>
    <phoneticPr fontId="5"/>
  </si>
  <si>
    <t>[effect:enemy_message, val1:1.5, val2:3.6],[effect:enhance_fever, val:1000]</t>
    <phoneticPr fontId="5"/>
  </si>
  <si>
    <t>[effect:enemy_message, val1:1.6, val2:2.0]</t>
    <phoneticPr fontId="5"/>
  </si>
  <si>
    <t>[effect:enemy_message, val1:3.1, val2:3.4],[effect:suicide, target:myself, val:1, dead_type:escape]</t>
    <phoneticPr fontId="5"/>
  </si>
  <si>
    <t>円卓の騎士・機関長
アーサーからの伝言です</t>
    <rPh sb="0" eb="2">
      <t>エンタク</t>
    </rPh>
    <rPh sb="3" eb="5">
      <t>キシ</t>
    </rPh>
    <rPh sb="6" eb="9">
      <t>キカンチョウ</t>
    </rPh>
    <rPh sb="17" eb="19">
      <t>デンゴンヲ</t>
    </rPh>
    <phoneticPr fontId="5"/>
  </si>
  <si>
    <t>彼の位置情報を共有します</t>
    <rPh sb="0" eb="1">
      <t>カレ</t>
    </rPh>
    <rPh sb="2" eb="6">
      <t>イチジョウホウヲ</t>
    </rPh>
    <rPh sb="7" eb="9">
      <t>キョウユウ</t>
    </rPh>
    <phoneticPr fontId="5"/>
  </si>
  <si>
    <t>くっ…見失ってしまったわね…</t>
    <rPh sb="3" eb="5">
      <t>ミウシナッテ</t>
    </rPh>
    <phoneticPr fontId="5"/>
  </si>
  <si>
    <t>そこのあなた。
兎みたいな黒い影を見なかった？</t>
    <rPh sb="8" eb="9">
      <t>ウサギ</t>
    </rPh>
    <rPh sb="13" eb="14">
      <t>クロイ</t>
    </rPh>
    <rPh sb="15" eb="16">
      <t>カゲ</t>
    </rPh>
    <rPh sb="17" eb="18">
      <t>ミル</t>
    </rPh>
    <phoneticPr fontId="5"/>
  </si>
  <si>
    <t>じゃあね</t>
    <phoneticPr fontId="5"/>
  </si>
  <si>
    <t>凛とした仕草で去っていった…
アーサーの元へ急ごう</t>
    <rPh sb="0" eb="1">
      <t>リントシタ</t>
    </rPh>
    <rPh sb="4" eb="6">
      <t>シグサデ</t>
    </rPh>
    <rPh sb="7" eb="8">
      <t>サッテイッタ</t>
    </rPh>
    <rPh sb="20" eb="21">
      <t>モトヘ</t>
    </rPh>
    <rPh sb="22" eb="23">
      <t>イソゴウ</t>
    </rPh>
    <phoneticPr fontId="5"/>
  </si>
  <si>
    <t>アロンダイト。今回も力を貸してくれ！</t>
    <rPh sb="7" eb="9">
      <t>コンカイモ</t>
    </rPh>
    <rPh sb="10" eb="11">
      <t>チカラヲ</t>
    </rPh>
    <rPh sb="12" eb="13">
      <t>カシテ</t>
    </rPh>
    <phoneticPr fontId="5"/>
  </si>
  <si>
    <t>素早い身のこなしで去っていった…
アーサーの元へ急ごう</t>
    <rPh sb="0" eb="2">
      <t>スバヤイ</t>
    </rPh>
    <rPh sb="3" eb="4">
      <t>ミノコナシ</t>
    </rPh>
    <rPh sb="9" eb="10">
      <t>サッテイッタ</t>
    </rPh>
    <rPh sb="22" eb="23">
      <t>モトヘ</t>
    </rPh>
    <rPh sb="24" eb="25">
      <t>イソゴウ</t>
    </rPh>
    <phoneticPr fontId="5"/>
  </si>
  <si>
    <t>不義の輩め…彼にまで手を出すとは…</t>
    <rPh sb="0" eb="2">
      <t>フギ</t>
    </rPh>
    <rPh sb="3" eb="4">
      <t>ヤカラ</t>
    </rPh>
    <rPh sb="6" eb="7">
      <t>カレ</t>
    </rPh>
    <rPh sb="10" eb="11">
      <t>テヲ</t>
    </rPh>
    <rPh sb="12" eb="13">
      <t>ダス</t>
    </rPh>
    <phoneticPr fontId="5"/>
  </si>
  <si>
    <t>大罪人に相応しい末路を、僕が用意してあげるよ…</t>
    <rPh sb="0" eb="3">
      <t>タイザイニン</t>
    </rPh>
    <rPh sb="4" eb="6">
      <t>フサワシイ</t>
    </rPh>
    <rPh sb="8" eb="10">
      <t>マツロヲ</t>
    </rPh>
    <rPh sb="12" eb="13">
      <t>ボクガ</t>
    </rPh>
    <rPh sb="14" eb="16">
      <t>ヨウイ</t>
    </rPh>
    <phoneticPr fontId="5"/>
  </si>
  <si>
    <t>これは正義に属する者の責務だ…
決して私怨なんかじゃ、ない。</t>
    <rPh sb="3" eb="5">
      <t>セイギニ</t>
    </rPh>
    <rPh sb="6" eb="7">
      <t>ゾクスル</t>
    </rPh>
    <rPh sb="9" eb="10">
      <t>モノノ</t>
    </rPh>
    <rPh sb="11" eb="13">
      <t>セキム</t>
    </rPh>
    <rPh sb="16" eb="17">
      <t>ケッシテ</t>
    </rPh>
    <rPh sb="19" eb="21">
      <t>シエン</t>
    </rPh>
    <phoneticPr fontId="5"/>
  </si>
  <si>
    <t>何かを振り払うように去っていった…
アーサーの元へ急ごう</t>
    <rPh sb="0" eb="1">
      <t>ナニカヲ</t>
    </rPh>
    <rPh sb="3" eb="4">
      <t>フリハラウ</t>
    </rPh>
    <rPh sb="10" eb="11">
      <t>サッテイッタ</t>
    </rPh>
    <rPh sb="23" eb="24">
      <t>モトヘ</t>
    </rPh>
    <rPh sb="25" eb="26">
      <t>イソゴウ</t>
    </rPh>
    <phoneticPr fontId="5"/>
  </si>
  <si>
    <t>待てよ…？
当然この騒動にはヤツも気づく…</t>
    <rPh sb="0" eb="1">
      <t>マテヨ</t>
    </rPh>
    <rPh sb="6" eb="8">
      <t>トウゼn</t>
    </rPh>
    <rPh sb="10" eb="12">
      <t>ソウドウ</t>
    </rPh>
    <rPh sb="17" eb="18">
      <t>キヅク</t>
    </rPh>
    <phoneticPr fontId="5"/>
  </si>
  <si>
    <t>ククッ、面白くなってきやがったぜ！</t>
    <rPh sb="4" eb="6">
      <t>オモシロク</t>
    </rPh>
    <phoneticPr fontId="5"/>
  </si>
  <si>
    <t>とても楽しそうに去っていった…
アーサーの元へ急ごう</t>
    <rPh sb="3" eb="4">
      <t>タノシソウ</t>
    </rPh>
    <rPh sb="8" eb="9">
      <t>サッテイッタ</t>
    </rPh>
    <rPh sb="21" eb="22">
      <t>モトヘ</t>
    </rPh>
    <rPh sb="23" eb="24">
      <t>イソゴウ</t>
    </rPh>
    <phoneticPr fontId="5"/>
  </si>
  <si>
    <t>おぉ、来たか
[player_name]！</t>
    <rPh sb="3" eb="4">
      <t>キタカ</t>
    </rPh>
    <phoneticPr fontId="5"/>
  </si>
  <si>
    <t>この先に今回の事件の黒幕がいる。
そこまでは突き止めたんだ。</t>
    <rPh sb="4" eb="6">
      <t>コンカイノ</t>
    </rPh>
    <rPh sb="7" eb="9">
      <t>ジケン</t>
    </rPh>
    <rPh sb="10" eb="12">
      <t>クロマク</t>
    </rPh>
    <rPh sb="22" eb="23">
      <t>ツキトメタ</t>
    </rPh>
    <phoneticPr fontId="5"/>
  </si>
  <si>
    <t>迂闊に近づけば更なる影響を受けてしまう。
そこで…君に陽動を頼みたい。</t>
    <rPh sb="0" eb="2">
      <t>ウカツニ</t>
    </rPh>
    <rPh sb="3" eb="4">
      <t>チカヅケバ</t>
    </rPh>
    <rPh sb="7" eb="8">
      <t>サラナル</t>
    </rPh>
    <rPh sb="10" eb="12">
      <t>エイキョウ</t>
    </rPh>
    <rPh sb="13" eb="14">
      <t>ウケテ</t>
    </rPh>
    <rPh sb="25" eb="26">
      <t>キミニ</t>
    </rPh>
    <rPh sb="27" eb="29">
      <t>ヨウドウヲ</t>
    </rPh>
    <rPh sb="30" eb="31">
      <t>タノミタイ</t>
    </rPh>
    <phoneticPr fontId="5"/>
  </si>
  <si>
    <t>アーサーはアバターが女性に変化した事で
少なからず混乱しているようです
話を聞くためには
一度落ち着かせる必要があるでしょう</t>
    <rPh sb="10" eb="12">
      <t>ジョセイニ</t>
    </rPh>
    <rPh sb="13" eb="15">
      <t>ヘンカ</t>
    </rPh>
    <rPh sb="17" eb="18">
      <t>コトデ</t>
    </rPh>
    <rPh sb="20" eb="21">
      <t>スクナカラズ</t>
    </rPh>
    <rPh sb="25" eb="27">
      <t>コンラン</t>
    </rPh>
    <rPh sb="37" eb="38">
      <t>ハナシヲ</t>
    </rPh>
    <rPh sb="39" eb="40">
      <t>キク</t>
    </rPh>
    <rPh sb="46" eb="48">
      <t>イチド</t>
    </rPh>
    <rPh sb="48" eb="49">
      <t>オチツカセル</t>
    </rPh>
    <rPh sb="54" eb="56">
      <t>ヒツヨウガ</t>
    </rPh>
    <phoneticPr fontId="5"/>
  </si>
  <si>
    <t>ヤツの注意を引きつけてくれ</t>
    <rPh sb="3" eb="5">
      <t>チュウイヲ</t>
    </rPh>
    <rPh sb="6" eb="7">
      <t>ヒキツケテ</t>
    </rPh>
    <phoneticPr fontId="5"/>
  </si>
  <si>
    <t>その隙に俺が不意を突き
ウィルスを無効化してみせる…！</t>
    <rPh sb="4" eb="5">
      <t>オレガ</t>
    </rPh>
    <rPh sb="6" eb="8">
      <t>フイヲ</t>
    </rPh>
    <rPh sb="9" eb="10">
      <t>ツキ</t>
    </rPh>
    <rPh sb="17" eb="20">
      <t>ムコウカ</t>
    </rPh>
    <phoneticPr fontId="5"/>
  </si>
  <si>
    <t>[effect:enemy_message, val1:2.3, val2:2.5],[effect:fix_speed, target:myself, turn:1]</t>
    <phoneticPr fontId="5"/>
  </si>
  <si>
    <t>ただの執行だけじゃ足りないね</t>
    <rPh sb="3" eb="5">
      <t>シッコウ</t>
    </rPh>
    <rPh sb="9" eb="10">
      <t>タリナイ</t>
    </rPh>
    <phoneticPr fontId="5"/>
  </si>
  <si>
    <t>フッ…白兎の手先がお出ましか</t>
    <rPh sb="3" eb="5">
      <t>シロウサギ</t>
    </rPh>
    <rPh sb="6" eb="8">
      <t>テサキ</t>
    </rPh>
    <phoneticPr fontId="5"/>
  </si>
  <si>
    <t>おっと、近づくんじゃないぜ</t>
    <rPh sb="4" eb="5">
      <t>チカヅク</t>
    </rPh>
    <phoneticPr fontId="5"/>
  </si>
  <si>
    <t>絶体絶命の大ピンチ！
……と思われたその時！！</t>
    <rPh sb="0" eb="4">
      <t>ゼッタイゼツメイノ</t>
    </rPh>
    <rPh sb="5" eb="6">
      <t>ダイピンチ</t>
    </rPh>
    <rPh sb="14" eb="15">
      <t>オモワレタ</t>
    </rPh>
    <phoneticPr fontId="5"/>
  </si>
  <si>
    <t>オマエはただ
何もできず朽ち果てる運命なのさ！</t>
    <rPh sb="7" eb="8">
      <t>ナニモ</t>
    </rPh>
    <rPh sb="12" eb="13">
      <t>クチハテル</t>
    </rPh>
    <rPh sb="17" eb="19">
      <t>ウンメイ</t>
    </rPh>
    <phoneticPr fontId="5"/>
  </si>
  <si>
    <t>このウィルスでアバターがどうなるか
もう知っているんだろう…？</t>
    <rPh sb="20" eb="21">
      <t>シッテイル</t>
    </rPh>
    <phoneticPr fontId="5"/>
  </si>
  <si>
    <t>アーサーがUsagi-kunの不意を突き、
ウィルスの発生源を無効化した！</t>
    <rPh sb="15" eb="17">
      <t>フイヲ</t>
    </rPh>
    <rPh sb="18" eb="19">
      <t>ツキ</t>
    </rPh>
    <rPh sb="27" eb="30">
      <t>ハッセイゲン</t>
    </rPh>
    <rPh sb="31" eb="34">
      <t>ムコウカ</t>
    </rPh>
    <phoneticPr fontId="5"/>
  </si>
  <si>
    <t>今だ！　エクスシュレッド！！</t>
    <rPh sb="0" eb="1">
      <t>イマダ</t>
    </rPh>
    <phoneticPr fontId="5"/>
  </si>
  <si>
    <t>アーサーの力を感じる…！
この力でUsagi-kunを打ち倒そう！</t>
    <rPh sb="5" eb="6">
      <t>チカラヲ</t>
    </rPh>
    <rPh sb="7" eb="8">
      <t>カンジル</t>
    </rPh>
    <rPh sb="15" eb="16">
      <t>チカラデ</t>
    </rPh>
    <rPh sb="27" eb="28">
      <t>ウチタオソウ</t>
    </rPh>
    <phoneticPr fontId="5"/>
  </si>
  <si>
    <t>null</t>
    <phoneticPr fontId="5"/>
  </si>
  <si>
    <t>[effect:enemy_message, val1:1.4, val2:1.4],[effect:damage_gravity, val:3, animation:fevergauge_down]</t>
    <phoneticPr fontId="5"/>
  </si>
  <si>
    <t>くそ、仲間がいたとは…
卑怯なやつらめ…！</t>
    <rPh sb="3" eb="5">
      <t>ナカマ</t>
    </rPh>
    <rPh sb="12" eb="14">
      <t>ヒキョウナ</t>
    </rPh>
    <phoneticPr fontId="5"/>
  </si>
  <si>
    <t>こうなったらオレが直々に葬ってやる！
【フィーバーで応戦しよう！】</t>
    <rPh sb="9" eb="10">
      <t>ジキジキニ</t>
    </rPh>
    <rPh sb="12" eb="13">
      <t>ホウムッテ</t>
    </rPh>
    <rPh sb="26" eb="28">
      <t>オウセン</t>
    </rPh>
    <phoneticPr fontId="5"/>
  </si>
  <si>
    <t>「負けるな[player_name]！
　もう一度打ち込むんだ！」</t>
    <rPh sb="1" eb="2">
      <t>マケルナ</t>
    </rPh>
    <rPh sb="23" eb="25">
      <t>イチド</t>
    </rPh>
    <rPh sb="25" eb="26">
      <t>ウチコム</t>
    </rPh>
    <phoneticPr fontId="5"/>
  </si>
  <si>
    <t>すみません、女王様…</t>
    <rPh sb="6" eb="8">
      <t>ジョオウ</t>
    </rPh>
    <rPh sb="8" eb="9">
      <t>サマ</t>
    </rPh>
    <phoneticPr fontId="5"/>
  </si>
  <si>
    <t>このままでは終われない…終われるものか…！</t>
    <rPh sb="6" eb="7">
      <t>オワル</t>
    </rPh>
    <rPh sb="12" eb="13">
      <t>オワレル</t>
    </rPh>
    <phoneticPr fontId="5"/>
  </si>
  <si>
    <t>ALICEの平和を乱す者を
放ってはおけない</t>
    <rPh sb="6" eb="8">
      <t>ヘイワ</t>
    </rPh>
    <rPh sb="9" eb="10">
      <t>ミダス</t>
    </rPh>
    <rPh sb="11" eb="12">
      <t>モノヲ</t>
    </rPh>
    <rPh sb="14" eb="15">
      <t>ホウッテハ</t>
    </rPh>
    <phoneticPr fontId="5"/>
  </si>
  <si>
    <t>それに女王と繋がっている可能性もある。
まずは目の前の事件だな…！</t>
    <rPh sb="3" eb="5">
      <t>ジョオウ</t>
    </rPh>
    <rPh sb="6" eb="7">
      <t>ツナガッテイル</t>
    </rPh>
    <rPh sb="12" eb="15">
      <t>カノウセイ</t>
    </rPh>
    <rPh sb="23" eb="24">
      <t>メノマエノ</t>
    </rPh>
    <rPh sb="27" eb="29">
      <t>ジケn</t>
    </rPh>
    <phoneticPr fontId="5"/>
  </si>
  <si>
    <t>必ず黒幕がいるはずだ…！</t>
    <rPh sb="0" eb="1">
      <t>カナラズ</t>
    </rPh>
    <rPh sb="2" eb="4">
      <t>クロマク</t>
    </rPh>
    <phoneticPr fontId="5"/>
  </si>
  <si>
    <t>それより先に俺様が事件を解決すれば…
アーサー様も…</t>
    <rPh sb="4" eb="5">
      <t>サキニ</t>
    </rPh>
    <rPh sb="6" eb="8">
      <t>オレサマ</t>
    </rPh>
    <rPh sb="9" eb="11">
      <t>ジケンヲ</t>
    </rPh>
    <rPh sb="12" eb="14">
      <t>カイケツ</t>
    </rPh>
    <rPh sb="23" eb="24">
      <t>サマ</t>
    </rPh>
    <phoneticPr fontId="5"/>
  </si>
  <si>
    <t>望んで成った俺様はいいけどよォ
こういうのは違うよなァ…</t>
    <rPh sb="0" eb="1">
      <t>ノゾンデ</t>
    </rPh>
    <rPh sb="3" eb="4">
      <t>ナル</t>
    </rPh>
    <rPh sb="6" eb="8">
      <t>オレサマ</t>
    </rPh>
    <rPh sb="22" eb="23">
      <t>チガウ</t>
    </rPh>
    <phoneticPr fontId="5"/>
  </si>
  <si>
    <t>僕も、突然ああなったら恥ずかしいよ…
だから…気持ちは分かるな…</t>
    <rPh sb="0" eb="1">
      <t>ボクモ</t>
    </rPh>
    <rPh sb="3" eb="5">
      <t>トツゼn</t>
    </rPh>
    <rPh sb="11" eb="12">
      <t>ハズカシイ</t>
    </rPh>
    <rPh sb="23" eb="25">
      <t>キモチ</t>
    </rPh>
    <rPh sb="27" eb="28">
      <t>ワカル</t>
    </rPh>
    <phoneticPr fontId="5"/>
  </si>
  <si>
    <t>[effect:enemy_message, val1:1.6, val2:3.2],[effect:fix_speed, target:myself, turn:1]</t>
    <phoneticPr fontId="5"/>
  </si>
  <si>
    <t>受けよ！シャドウダークネス！</t>
    <rPh sb="0" eb="1">
      <t>ウケヨ</t>
    </rPh>
    <phoneticPr fontId="5"/>
  </si>
  <si>
    <t>困ったわね…
どうしたら…</t>
    <rPh sb="0" eb="1">
      <t>コマッタ</t>
    </rPh>
    <phoneticPr fontId="5"/>
  </si>
  <si>
    <t>こうなったら
いっそ力づくで…！</t>
    <rPh sb="10" eb="11">
      <t>チカラヅク</t>
    </rPh>
    <phoneticPr fontId="5"/>
  </si>
  <si>
    <t>きゃっ！
あ、あなたは…！？</t>
    <phoneticPr fontId="5"/>
  </si>
  <si>
    <t>…あなたなら
機関長室に入れるかも</t>
    <rPh sb="7" eb="11">
      <t>キカンチョウシツ</t>
    </rPh>
    <rPh sb="12" eb="13">
      <t>ハイレル</t>
    </rPh>
    <phoneticPr fontId="5"/>
  </si>
  <si>
    <t>そうと決まれば
実力行使よ！</t>
    <rPh sb="8" eb="12">
      <t>ジツリョクコウシ</t>
    </rPh>
    <phoneticPr fontId="5"/>
  </si>
  <si>
    <t>アーサー…
姿が変わってた…</t>
    <rPh sb="6" eb="7">
      <t>スガタ</t>
    </rPh>
    <rPh sb="8" eb="9">
      <t>カワッテ</t>
    </rPh>
    <phoneticPr fontId="5"/>
  </si>
  <si>
    <t>そっか！
僕たちはダメだけど…</t>
    <rPh sb="5" eb="6">
      <t>ボク</t>
    </rPh>
    <phoneticPr fontId="5"/>
  </si>
  <si>
    <t>オッケー
扉をふっとばすよっ！</t>
    <rPh sb="5" eb="6">
      <t>トビラ</t>
    </rPh>
    <phoneticPr fontId="5"/>
  </si>
  <si>
    <t>パーシ嬢とトリス坊が近くにいるはずだ
詳しい話はそっちで聞くといい</t>
    <rPh sb="3" eb="4">
      <t>ジョウ</t>
    </rPh>
    <rPh sb="8" eb="9">
      <t>ボウ</t>
    </rPh>
    <rPh sb="10" eb="11">
      <t>チカクニ</t>
    </rPh>
    <rPh sb="19" eb="20">
      <t>クワシイ</t>
    </rPh>
    <rPh sb="22" eb="23">
      <t>ハナシハ</t>
    </rPh>
    <rPh sb="28" eb="29">
      <t>キイテ</t>
    </rPh>
    <phoneticPr fontId="5"/>
  </si>
  <si>
    <t>…なに？　アバターの姿を書き換えるウィルスだと…！</t>
    <rPh sb="10" eb="11">
      <t>スガタヲ</t>
    </rPh>
    <rPh sb="12" eb="13">
      <t>カキカエル</t>
    </rPh>
    <phoneticPr fontId="5"/>
  </si>
  <si>
    <t>[effect:enemy_message, val1:2.2, val2:2.8]</t>
    <phoneticPr fontId="5"/>
  </si>
  <si>
    <t>[player_name]っ！</t>
    <phoneticPr fontId="5"/>
  </si>
  <si>
    <t>だが…例のウィルスが厄介でな</t>
    <rPh sb="3" eb="4">
      <t>レイノ</t>
    </rPh>
    <rPh sb="10" eb="12">
      <t>ヤッカイデナ</t>
    </rPh>
    <phoneticPr fontId="5"/>
  </si>
  <si>
    <t>オレは女王様の眷属にして、黒き暗黒の使徒。
その名も　Usagi-kun　だ…！</t>
    <rPh sb="3" eb="5">
      <t>ジョオウ</t>
    </rPh>
    <rPh sb="5" eb="6">
      <t>サマ</t>
    </rPh>
    <rPh sb="7" eb="9">
      <t>ケンゾク</t>
    </rPh>
    <rPh sb="13" eb="14">
      <t>クロ</t>
    </rPh>
    <rPh sb="15" eb="17">
      <t>アンコクノ</t>
    </rPh>
    <rPh sb="18" eb="20">
      <t>シト</t>
    </rPh>
    <phoneticPr fontId="5"/>
  </si>
  <si>
    <t>Usagi-kunのシャドウダークネスは
1000の固定ダメージを与えます
HPがなくなる前にフィーバーで
決着をつけましょう</t>
    <rPh sb="26" eb="28">
      <t>コテイ</t>
    </rPh>
    <rPh sb="33" eb="34">
      <t>アタエマス</t>
    </rPh>
    <rPh sb="46" eb="47">
      <t>マエニ</t>
    </rPh>
    <rPh sb="55" eb="57">
      <t>ケッチャクヲ</t>
    </rPh>
    <phoneticPr fontId="5"/>
  </si>
  <si>
    <t>Usagi-kun</t>
    <phoneticPr fontId="5"/>
  </si>
  <si>
    <t>容姿変更のウィルスは
効果が切れるのに1日はかかるようです
これ以上の拡大は防げましたが
しばらくはこのままとなるでしょう</t>
    <rPh sb="0" eb="2">
      <t>ヨウシヲ</t>
    </rPh>
    <rPh sb="2" eb="4">
      <t>ヘンコウ</t>
    </rPh>
    <rPh sb="11" eb="13">
      <t>コウカガ</t>
    </rPh>
    <rPh sb="14" eb="15">
      <t>キレル</t>
    </rPh>
    <rPh sb="20" eb="21">
      <t>ニチ</t>
    </rPh>
    <rPh sb="36" eb="38">
      <t>カクダイ</t>
    </rPh>
    <rPh sb="39" eb="40">
      <t>フセゲ</t>
    </rPh>
    <phoneticPr fontId="5"/>
  </si>
  <si>
    <t>事件に使われたウィルス</t>
    <rPh sb="0" eb="2">
      <t>ジケn</t>
    </rPh>
    <rPh sb="3" eb="4">
      <t>ツカワレタ</t>
    </rPh>
    <phoneticPr fontId="5"/>
  </si>
  <si>
    <t>アーサーの正義</t>
    <rPh sb="5" eb="7">
      <t>セイギ</t>
    </rPh>
    <phoneticPr fontId="5"/>
  </si>
  <si>
    <t>姿が変わってもALICEの人々が
困っている事を知ると
すぐに行動したアーサー
彼女（彼）の正義は揺るぎないようです</t>
    <rPh sb="0" eb="1">
      <t>スガタ</t>
    </rPh>
    <rPh sb="2" eb="3">
      <t>カワッテ</t>
    </rPh>
    <rPh sb="13" eb="14">
      <t>ヒトビト</t>
    </rPh>
    <rPh sb="17" eb="18">
      <t>コマッテイル</t>
    </rPh>
    <rPh sb="22" eb="23">
      <t>コトヲ</t>
    </rPh>
    <rPh sb="24" eb="25">
      <t>シルト</t>
    </rPh>
    <rPh sb="31" eb="33">
      <t>コウドウ</t>
    </rPh>
    <rPh sb="41" eb="42">
      <t>カレ</t>
    </rPh>
    <rPh sb="42" eb="43">
      <t>カノジョ</t>
    </rPh>
    <rPh sb="44" eb="45">
      <t>カレ</t>
    </rPh>
    <rPh sb="47" eb="49">
      <t>セイギ</t>
    </rPh>
    <rPh sb="50" eb="51">
      <t>ユルギナイ</t>
    </rPh>
    <phoneticPr fontId="5"/>
  </si>
  <si>
    <t>Usagi-kunはハートの女王の手下で
様々な命を受けて活動しています
今回の事件でも何らかの
指示を受けていたようです</t>
    <rPh sb="14" eb="16">
      <t>ジョオウ</t>
    </rPh>
    <rPh sb="17" eb="19">
      <t>テシタ</t>
    </rPh>
    <rPh sb="21" eb="22">
      <t>サマザマナ</t>
    </rPh>
    <rPh sb="24" eb="25">
      <t>メイレイ</t>
    </rPh>
    <rPh sb="26" eb="27">
      <t>ウケテ</t>
    </rPh>
    <rPh sb="29" eb="31">
      <t>カツドウ</t>
    </rPh>
    <rPh sb="38" eb="40">
      <t>コンカイ</t>
    </rPh>
    <rPh sb="41" eb="43">
      <t>ジケン</t>
    </rPh>
    <rPh sb="45" eb="46">
      <t>ナニ</t>
    </rPh>
    <rPh sb="50" eb="52">
      <t>シジヲ</t>
    </rPh>
    <rPh sb="53" eb="54">
      <t>ウケテ</t>
    </rPh>
    <phoneticPr fontId="5"/>
  </si>
  <si>
    <t>事件解決！</t>
    <rPh sb="0" eb="2">
      <t>ジケン</t>
    </rPh>
    <rPh sb="2" eb="4">
      <t>カイケツ</t>
    </rPh>
    <phoneticPr fontId="5"/>
  </si>
  <si>
    <t>未知のウィルス事件の捜査に
ご協力頂きありがとうございました
ALICEに代わってお礼申し上げます</t>
    <rPh sb="0" eb="2">
      <t>ミチノ</t>
    </rPh>
    <rPh sb="7" eb="9">
      <t>ジケン</t>
    </rPh>
    <rPh sb="10" eb="12">
      <t>ソウサニ</t>
    </rPh>
    <rPh sb="17" eb="18">
      <t>イタダキ</t>
    </rPh>
    <rPh sb="38" eb="39">
      <t>カワッテ</t>
    </rPh>
    <rPh sb="44" eb="45">
      <t>モウシアゲマス</t>
    </rPh>
    <phoneticPr fontId="5"/>
  </si>
  <si>
    <t>「事件の黒幕を突き止めた！
　だが、ウィルスの影響で一人で
　追い詰めるのが難しい。協力してくれ！」</t>
    <rPh sb="1" eb="3">
      <t>ジケンノ</t>
    </rPh>
    <rPh sb="4" eb="6">
      <t>クロマク</t>
    </rPh>
    <rPh sb="7" eb="8">
      <t>ツキトメタ</t>
    </rPh>
    <rPh sb="23" eb="25">
      <t>エイキョウ</t>
    </rPh>
    <rPh sb="26" eb="28">
      <t>ヒトリ</t>
    </rPh>
    <rPh sb="31" eb="32">
      <t>オイ</t>
    </rPh>
    <rPh sb="38" eb="39">
      <t>ムズカシイ</t>
    </rPh>
    <rPh sb="42" eb="44">
      <t>キョウリョク</t>
    </rPh>
    <phoneticPr fontId="5"/>
  </si>
  <si>
    <t>向かう途中、元・円卓の騎士のガレスと出会った！</t>
    <rPh sb="0" eb="1">
      <t>ムカウ</t>
    </rPh>
    <rPh sb="3" eb="5">
      <t>トチュウ</t>
    </rPh>
    <rPh sb="6" eb="7">
      <t>モト</t>
    </rPh>
    <rPh sb="8" eb="10">
      <t>エンタクノキシノ</t>
    </rPh>
    <rPh sb="18" eb="20">
      <t>デアッタ</t>
    </rPh>
    <phoneticPr fontId="5"/>
  </si>
  <si>
    <t>向かう途中、元・円卓の騎士のライオネルと出会った！</t>
    <rPh sb="6" eb="7">
      <t>モト</t>
    </rPh>
    <rPh sb="8" eb="10">
      <t>エンタクノキシノ</t>
    </rPh>
    <rPh sb="20" eb="22">
      <t>デアッタ</t>
    </rPh>
    <phoneticPr fontId="5"/>
  </si>
  <si>
    <t>向かう途中、元・円卓の騎士のランスロットと出会った！</t>
    <rPh sb="6" eb="7">
      <t>モト</t>
    </rPh>
    <rPh sb="8" eb="10">
      <t>エンタクノキシ</t>
    </rPh>
    <rPh sb="21" eb="23">
      <t>デアッタ</t>
    </rPh>
    <phoneticPr fontId="5"/>
  </si>
  <si>
    <t>向かう途中、元・円卓の騎士のモルドレッドと出会った！</t>
    <rPh sb="6" eb="7">
      <t>モト</t>
    </rPh>
    <rPh sb="8" eb="10">
      <t>エンタクノキシ</t>
    </rPh>
    <rPh sb="21" eb="23">
      <t>デアッタ</t>
    </rPh>
    <phoneticPr fontId="5"/>
  </si>
  <si>
    <t>……そう。もし見かけたら気をつけなさい。
危険なウィルスをばらまいているみたいだから。</t>
    <rPh sb="7" eb="8">
      <t>ミカケタラ</t>
    </rPh>
    <rPh sb="12" eb="13">
      <t>キヲツケナサイ</t>
    </rPh>
    <rPh sb="21" eb="23">
      <t>キケンナ</t>
    </rPh>
    <phoneticPr fontId="5"/>
  </si>
  <si>
    <t>どうやらこの騒動には黒幕がいるようです
飛び出していったアーサーを追いかけ
共に事件の解決に臨みましょう！</t>
    <phoneticPr fontId="5"/>
  </si>
  <si>
    <t>[effect:enemy_message, val1:2.8, val2:4.7],[effect:freq_turn, target:myself, turn:-1, val:1, animation:enemy_freq_turn],[effect:suicide, target:myself, val:1, dead_type:escape]</t>
    <phoneticPr fontId="5"/>
  </si>
  <si>
    <t>急いで現場に向かい
彼と共に事件を解決に導いてください</t>
    <rPh sb="0" eb="1">
      <t>イソイデ</t>
    </rPh>
    <rPh sb="3" eb="5">
      <t>ゲンバ</t>
    </rPh>
    <rPh sb="6" eb="7">
      <t>ムカイ</t>
    </rPh>
    <rPh sb="10" eb="11">
      <t>カレトトモニ</t>
    </rPh>
    <rPh sb="14" eb="16">
      <t>ジケンヲ</t>
    </rPh>
    <rPh sb="17" eb="19">
      <t>カイケツ</t>
    </rPh>
    <rPh sb="20" eb="21">
      <t>ミチビイテ</t>
    </rPh>
    <phoneticPr fontId="5"/>
  </si>
  <si>
    <t>[effect:enemy_message, val1:1.7, val2:3.1],[effect:fix_speed, target:myself, turn:1],[effect:sleep, target:unit_all, turn:1, rate:1]</t>
    <phoneticPr fontId="5"/>
  </si>
  <si>
    <t>[effect:enemy_message, val1:1.9, val2:3.6],[effect:fix_speed, target:myself, turn:3],[effect:enhance_enemy, target:myself, turn:-1, status:attack, val:1, animation:enemy_enhance_attack],[effect:enhance_fever, val:1000],[effect:enhance_unit, target:unit_all, turn:-1, status:attack, val:6000, calc:add]</t>
    <phoneticPr fontId="5"/>
  </si>
  <si>
    <t>外からやって来たキミなら
きっと入っても大丈夫だね！</t>
    <rPh sb="0" eb="1">
      <t>ソト</t>
    </rPh>
    <rPh sb="6" eb="7">
      <t>キタ</t>
    </rPh>
    <rPh sb="16" eb="17">
      <t>ハイッテモ</t>
    </rPh>
    <rPh sb="20" eb="23">
      <t>ダイジョウブ</t>
    </rPh>
    <phoneticPr fontId="5"/>
  </si>
  <si>
    <t>[effect:enemy_message, val1:2.7, val2:5.4],[effect:fix_speed, target:myself, turn:1],[effect:ability_lock, target:unit_all, turn:-1],[effect:hungup, target:unit_all, turn:-1, rate:1],[effect:sleep, target:unit_all, turn:1, rate:1],[effect:crash_condition, target:unit_all, turn:-1, val:99]</t>
    <phoneticPr fontId="5"/>
  </si>
  <si>
    <t>[effect:enemy_message, val1:1.9, val2:3.2],[effect:suicide, target:myself, val:1, dead_type:escape]</t>
    <phoneticPr fontId="5"/>
  </si>
  <si>
    <t>[effect:enemy_message, val1:1.8, val2:3.0],[effect:fix_speed, target:myself, turn:1],[effect:sleep, target:unit_all, turn:1, rate:1]</t>
    <phoneticPr fontId="5"/>
  </si>
  <si>
    <t>[effect:enemy_message, val1:2.9, val2:4.6],[effect:force_change_block, new_block:crack_bomb, target:block_all, ignore01:block_positive, ignore02:block_negative, color:block_blue, count:1, val:36]</t>
    <phoneticPr fontId="5"/>
  </si>
  <si>
    <t>[effect:enemy_message, val1:1.6, val2:3.0],[effect:suicide, target:myself, val:1, dead_type:escape]</t>
    <phoneticPr fontId="5"/>
  </si>
  <si>
    <t>[effect:enemy_message, val1:1.8, val2:3.0],[effect:fix_speed, target:myself, turn:1],[effect:sleep, target:unit_all, turn:1, rate:1]</t>
    <phoneticPr fontId="5"/>
  </si>
  <si>
    <t>[effect:enemy_message, val1:2.8, val2:3.8],[effect:force_change_block, new_block:crack_bomb, target:block_all, ignore01:block_positive, ignore02:block_negative, color:block_green, count:1, val:36]</t>
    <phoneticPr fontId="5"/>
  </si>
  <si>
    <t>[effect:enemy_message, val1:2.2, val2:3.2],[effect:suicide, target:myself, val:1, dead_type:escape]</t>
    <phoneticPr fontId="5"/>
  </si>
  <si>
    <t>[effect:enemy_message, val1:2.8, val2:2.9],[effect:fix_speed, target:myself, turn:1],[effect:sleep, target:unit_all, turn:1, rate:1]</t>
    <phoneticPr fontId="5"/>
  </si>
  <si>
    <t>[effect:enemy_message, val1:1.8, val2:3.1],[effect:force_change_block, new_block:crack_bomb, target:block_all, ignore01:block_positive, ignore02:block_negative, color:block_red, count:1, val:36]</t>
    <phoneticPr fontId="5"/>
  </si>
  <si>
    <t>[effect:enemy_message, val1:3.7, val2:3.3],[effect:suicide, target:myself, val:1, dead_type:escape]</t>
    <phoneticPr fontId="5"/>
  </si>
  <si>
    <t>[effect:enemy_message, val1:3.7, val2:3.0],[effect:fix_speed, target:myself, turn:1],[effect:sleep, target:unit_all, turn:1, rate:1]</t>
    <phoneticPr fontId="5"/>
  </si>
  <si>
    <t>[effect:enemy_message, val1:2.7, val2:3.1],[effect:force_change_block, new_block:crack_bomb, target:block_all, ignore01:block_positive, ignore02:block_negative, color:block_yellow, count:1, val:36]</t>
    <phoneticPr fontId="5"/>
  </si>
  <si>
    <t>[effect:enemy_message, val1:2.3, val2:3.1],[effect:suicide, target:myself, val:1, dead_type:escape]</t>
    <phoneticPr fontId="5"/>
  </si>
  <si>
    <t>[effect:enemy_message, val1:2.7, val2:3.6],[effect:fix_speed, target:myself, turn:1]</t>
    <phoneticPr fontId="5"/>
  </si>
  <si>
    <t>[effect:enemy_message, val1:2.1, val2:3.8],[effect:sleep, target:unit_all, turn:1, rate:1]</t>
    <phoneticPr fontId="5"/>
  </si>
  <si>
    <t>[effect:enemy_message, val1:1.9, val2:3.2],[effect:suicide, target:myself, val:1, dead_type:escape]</t>
    <phoneticPr fontId="5"/>
  </si>
  <si>
    <t>[effect:enemy_message, val1:1.7, val2:3.4],[effect:force_change_block, new_block:jammer, target:block_all, ignore01:block_positive, ignore02:block_negative, color:block_random, count:20, val:0]</t>
    <phoneticPr fontId="5"/>
  </si>
  <si>
    <t>[effect:enemy_message, val1:2.8, val2:2.8],[effect:force_change_block, new_block:time_bomb, target:block_all, ignore01:block_positive, ignore02:block_negative, color:block_random, count:20, val:0.1, min_time_count:1, max_time_count:1],[effect:suicide, target:myself, val:1, dead_type:suicide]</t>
    <phoneticPr fontId="5"/>
  </si>
  <si>
    <t>[effect:enemy_message, val1:1.9, val2:4.0],[effect:fix_speed, target:myself, turn:1],[effect:force_change_block, new_block:block_red, target:block_all, count:0, val:0],[effect:sleep, target:unit_all, turn:1, rate:1]</t>
    <phoneticPr fontId="5"/>
  </si>
  <si>
    <t>[effect:enemy_message, val1:2.0, val2:3.6],[effect:enhance_fever, val:1000, animation:fevergauge_up03],[effect:enhance_unit, target:unit_all, turn:-1, status:attack, val:6000, calc:add],[effect:suicide, target:myself, val:1, dead_type:escape]</t>
    <phoneticPr fontId="5"/>
  </si>
  <si>
    <t>[effect:enemy_message, val1:2.7, val2:3.8],[effect:fix_speed, target:myself, turn:1]</t>
    <phoneticPr fontId="5"/>
  </si>
  <si>
    <t>[effect:enemy_message, val1:1.9, val2:3.6],[effect:damage_fix_absolute, target:unit_one, val:1000],[effect:enhance_fever, val:1000, animation:fevergauge_up03]</t>
    <phoneticPr fontId="5"/>
  </si>
  <si>
    <t>[effect:enemy_message, val1:2.1, val2:3.0]</t>
    <phoneticPr fontId="5"/>
  </si>
  <si>
    <t>[effect:enemy_message, val1:1.9, val2:4.6],[effect:fix_speed, target:myself, turn:1]</t>
    <phoneticPr fontId="5"/>
  </si>
  <si>
    <t>[effect:enemy_message, val1:1.8, val2:3.5],[effect:suicide, target:enemy_all, val:1.0]</t>
    <phoneticPr fontId="5"/>
  </si>
  <si>
    <t>んー…
やっぱりまずいか…</t>
    <phoneticPr fontId="5"/>
  </si>
  <si>
    <t>[表示しない]</t>
    <rPh sb="1" eb="3">
      <t>ヒョウジ</t>
    </rPh>
    <phoneticPr fontId="5"/>
  </si>
  <si>
    <t>[effect:enemy_message, val1:1.5, val2:0]</t>
    <phoneticPr fontId="5"/>
  </si>
  <si>
    <t>あれ…？
キミはどこから来たの？</t>
    <rPh sb="12" eb="13">
      <t>キタノ</t>
    </rPh>
    <phoneticPr fontId="5"/>
  </si>
  <si>
    <t>…ガウェインおじさんに頼まれて？
そっか、アーサーに会いたいんだね</t>
    <rPh sb="11" eb="12">
      <t>タノマレテ</t>
    </rPh>
    <rPh sb="26" eb="27">
      <t>アワナキャ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</si>
</sst>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9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13" borderId="3" xfId="0" applyFont="1" applyFill="1" applyBorder="1" applyAlignment="1">
      <alignment vertical="center"/>
    </xf>
    <xf numFmtId="0" fontId="6" fillId="32" borderId="3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16" fillId="33" borderId="7" xfId="0" applyFont="1" applyFill="1" applyBorder="1" applyAlignment="1">
      <alignment vertical="center"/>
    </xf>
    <xf numFmtId="0" fontId="16" fillId="33" borderId="8" xfId="0" applyFont="1" applyFill="1" applyBorder="1"/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0" borderId="8" xfId="0" applyFont="1" applyFill="1" applyBorder="1"/>
    <xf numFmtId="0" fontId="52" fillId="33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49001</v>
          </cell>
        </row>
        <row r="282">
          <cell r="A282">
            <v>49002</v>
          </cell>
        </row>
        <row r="283">
          <cell r="A283">
            <v>49003</v>
          </cell>
        </row>
        <row r="284">
          <cell r="A284">
            <v>49004</v>
          </cell>
        </row>
        <row r="285">
          <cell r="A285">
            <v>49005</v>
          </cell>
        </row>
        <row r="286">
          <cell r="A286">
            <v>49006</v>
          </cell>
        </row>
        <row r="287">
          <cell r="A287">
            <v>49007</v>
          </cell>
        </row>
        <row r="288">
          <cell r="A288">
            <v>49008</v>
          </cell>
        </row>
        <row r="289">
          <cell r="A289">
            <v>49009</v>
          </cell>
        </row>
        <row r="290">
          <cell r="A290">
            <v>49010</v>
          </cell>
        </row>
        <row r="291">
          <cell r="A291">
            <v>49011</v>
          </cell>
        </row>
        <row r="292">
          <cell r="A292">
            <v>49012</v>
          </cell>
        </row>
        <row r="293">
          <cell r="A293">
            <v>49013</v>
          </cell>
        </row>
        <row r="294">
          <cell r="A294">
            <v>49014</v>
          </cell>
        </row>
        <row r="295">
          <cell r="A295">
            <v>49015</v>
          </cell>
        </row>
        <row r="296">
          <cell r="A296">
            <v>50001</v>
          </cell>
        </row>
        <row r="297">
          <cell r="A297">
            <v>50002</v>
          </cell>
        </row>
        <row r="298">
          <cell r="A298">
            <v>50003</v>
          </cell>
        </row>
        <row r="299">
          <cell r="A299">
            <v>50004</v>
          </cell>
        </row>
        <row r="300">
          <cell r="A300">
            <v>50005</v>
          </cell>
        </row>
        <row r="301">
          <cell r="A301">
            <v>50006</v>
          </cell>
        </row>
        <row r="302">
          <cell r="A302">
            <v>50007</v>
          </cell>
        </row>
        <row r="303">
          <cell r="A303">
            <v>50008</v>
          </cell>
        </row>
        <row r="304">
          <cell r="A304">
            <v>50009</v>
          </cell>
        </row>
        <row r="305">
          <cell r="A305">
            <v>50010</v>
          </cell>
        </row>
        <row r="306">
          <cell r="A306">
            <v>50011</v>
          </cell>
        </row>
        <row r="307">
          <cell r="A307">
            <v>50012</v>
          </cell>
        </row>
        <row r="308">
          <cell r="A308">
            <v>50013</v>
          </cell>
        </row>
        <row r="309">
          <cell r="A309">
            <v>50014</v>
          </cell>
        </row>
        <row r="310">
          <cell r="A310">
            <v>50015</v>
          </cell>
        </row>
        <row r="311">
          <cell r="A311">
            <v>51001</v>
          </cell>
        </row>
        <row r="312">
          <cell r="A312">
            <v>51002</v>
          </cell>
        </row>
        <row r="313">
          <cell r="A313">
            <v>58001</v>
          </cell>
        </row>
        <row r="314">
          <cell r="A314">
            <v>59001</v>
          </cell>
        </row>
        <row r="315">
          <cell r="A315">
            <v>59002</v>
          </cell>
        </row>
        <row r="316">
          <cell r="A316">
            <v>60001</v>
          </cell>
        </row>
        <row r="317">
          <cell r="A317">
            <v>60002</v>
          </cell>
        </row>
        <row r="318">
          <cell r="A318">
            <v>60003</v>
          </cell>
        </row>
        <row r="319">
          <cell r="A319">
            <v>60004</v>
          </cell>
        </row>
        <row r="320">
          <cell r="A320">
            <v>60005</v>
          </cell>
        </row>
        <row r="321">
          <cell r="A321">
            <v>60006</v>
          </cell>
        </row>
        <row r="322">
          <cell r="A322">
            <v>60007</v>
          </cell>
        </row>
        <row r="323">
          <cell r="A323">
            <v>60010</v>
          </cell>
        </row>
        <row r="324">
          <cell r="A324">
            <v>60011</v>
          </cell>
        </row>
        <row r="325">
          <cell r="A325">
            <v>61011</v>
          </cell>
        </row>
        <row r="326">
          <cell r="A326">
            <v>60012</v>
          </cell>
        </row>
        <row r="327">
          <cell r="A327">
            <v>60013</v>
          </cell>
        </row>
        <row r="328">
          <cell r="A328">
            <v>60014</v>
          </cell>
        </row>
        <row r="329">
          <cell r="A329">
            <v>60015</v>
          </cell>
        </row>
        <row r="330">
          <cell r="A330">
            <v>60016</v>
          </cell>
        </row>
        <row r="331">
          <cell r="A331">
            <v>60017</v>
          </cell>
        </row>
        <row r="332">
          <cell r="A332">
            <v>60018</v>
          </cell>
        </row>
        <row r="333">
          <cell r="A333">
            <v>60019</v>
          </cell>
        </row>
        <row r="334">
          <cell r="A334">
            <v>60020</v>
          </cell>
        </row>
        <row r="335">
          <cell r="A335">
            <v>60025</v>
          </cell>
        </row>
        <row r="336">
          <cell r="A336">
            <v>60026</v>
          </cell>
        </row>
        <row r="337">
          <cell r="A337">
            <v>60027</v>
          </cell>
        </row>
        <row r="338">
          <cell r="A338">
            <v>60028</v>
          </cell>
        </row>
        <row r="339">
          <cell r="A339">
            <v>60029</v>
          </cell>
        </row>
        <row r="340">
          <cell r="A340">
            <v>65525</v>
          </cell>
        </row>
        <row r="341">
          <cell r="A341">
            <v>65526</v>
          </cell>
        </row>
        <row r="342">
          <cell r="A342">
            <v>65527</v>
          </cell>
        </row>
        <row r="343">
          <cell r="A343">
            <v>65528</v>
          </cell>
        </row>
        <row r="344">
          <cell r="A344">
            <v>65529</v>
          </cell>
        </row>
        <row r="345">
          <cell r="A345">
            <v>65530</v>
          </cell>
        </row>
        <row r="346">
          <cell r="A346">
            <v>65531</v>
          </cell>
        </row>
        <row r="347">
          <cell r="A347">
            <v>65532</v>
          </cell>
        </row>
        <row r="348">
          <cell r="A348">
            <v>65533</v>
          </cell>
        </row>
        <row r="349">
          <cell r="A349">
            <v>65534</v>
          </cell>
        </row>
        <row r="350">
          <cell r="A350">
            <v>65535</v>
          </cell>
        </row>
        <row r="351">
          <cell r="A351">
            <v>60021</v>
          </cell>
        </row>
        <row r="352">
          <cell r="A352">
            <v>60022</v>
          </cell>
        </row>
        <row r="353">
          <cell r="A353">
            <v>60023</v>
          </cell>
        </row>
        <row r="354">
          <cell r="A35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48702_1</v>
          </cell>
        </row>
        <row r="891">
          <cell r="A891" t="str">
            <v>48702_2</v>
          </cell>
        </row>
        <row r="892">
          <cell r="A892" t="str">
            <v>49001_1</v>
          </cell>
        </row>
        <row r="893">
          <cell r="A893" t="str">
            <v>49002_1</v>
          </cell>
        </row>
        <row r="894">
          <cell r="A894" t="str">
            <v>49002_2</v>
          </cell>
        </row>
        <row r="895">
          <cell r="A895" t="str">
            <v>49003_1</v>
          </cell>
        </row>
        <row r="896">
          <cell r="A896" t="str">
            <v>49003_2</v>
          </cell>
        </row>
        <row r="897">
          <cell r="A897" t="str">
            <v>49004_1</v>
          </cell>
        </row>
        <row r="898">
          <cell r="A898" t="str">
            <v>49004_2</v>
          </cell>
        </row>
        <row r="899">
          <cell r="A899" t="str">
            <v>49004_3</v>
          </cell>
        </row>
        <row r="900">
          <cell r="A900" t="str">
            <v>49005_1</v>
          </cell>
        </row>
        <row r="901">
          <cell r="A901" t="str">
            <v>49006_1</v>
          </cell>
        </row>
        <row r="902">
          <cell r="A902" t="str">
            <v>49006_2</v>
          </cell>
        </row>
        <row r="903">
          <cell r="A903" t="str">
            <v>49007_1</v>
          </cell>
        </row>
        <row r="904">
          <cell r="A904" t="str">
            <v>49007_2</v>
          </cell>
        </row>
        <row r="905">
          <cell r="A905" t="str">
            <v>49007_3</v>
          </cell>
        </row>
        <row r="906">
          <cell r="A906" t="str">
            <v>49008_1</v>
          </cell>
        </row>
        <row r="907">
          <cell r="A907" t="str">
            <v>49009_1</v>
          </cell>
        </row>
        <row r="908">
          <cell r="A908" t="str">
            <v>49010_1</v>
          </cell>
        </row>
        <row r="909">
          <cell r="A909" t="str">
            <v>49011_1</v>
          </cell>
        </row>
        <row r="910">
          <cell r="A910" t="str">
            <v>49012_1</v>
          </cell>
        </row>
        <row r="911">
          <cell r="A911" t="str">
            <v>49013_1</v>
          </cell>
        </row>
        <row r="912">
          <cell r="A912" t="str">
            <v>49014_1</v>
          </cell>
        </row>
        <row r="913">
          <cell r="A913" t="str">
            <v>49014_2</v>
          </cell>
        </row>
        <row r="914">
          <cell r="A914" t="str">
            <v>49015_1</v>
          </cell>
        </row>
        <row r="915">
          <cell r="A915" t="str">
            <v>49015_2</v>
          </cell>
        </row>
        <row r="916">
          <cell r="A916" t="str">
            <v>49015_3</v>
          </cell>
        </row>
        <row r="917">
          <cell r="A917" t="str">
            <v>50001_1</v>
          </cell>
        </row>
        <row r="918">
          <cell r="A918" t="str">
            <v>50002_1</v>
          </cell>
        </row>
        <row r="919">
          <cell r="A919" t="str">
            <v>50003_1</v>
          </cell>
        </row>
        <row r="920">
          <cell r="A920" t="str">
            <v>50004_1</v>
          </cell>
        </row>
        <row r="921">
          <cell r="A921" t="str">
            <v>50005_1</v>
          </cell>
        </row>
        <row r="922">
          <cell r="A922" t="str">
            <v>50006_1</v>
          </cell>
        </row>
        <row r="923">
          <cell r="A923" t="str">
            <v>50007_1</v>
          </cell>
        </row>
        <row r="924">
          <cell r="A924" t="str">
            <v>50008_1</v>
          </cell>
        </row>
        <row r="925">
          <cell r="A925" t="str">
            <v>50009_1</v>
          </cell>
        </row>
        <row r="926">
          <cell r="A926" t="str">
            <v>50010_1</v>
          </cell>
        </row>
        <row r="927">
          <cell r="A927" t="str">
            <v>50011_1</v>
          </cell>
        </row>
        <row r="928">
          <cell r="A928" t="str">
            <v>50012_1</v>
          </cell>
        </row>
        <row r="929">
          <cell r="A929" t="str">
            <v>50013_1</v>
          </cell>
        </row>
        <row r="930">
          <cell r="A930" t="str">
            <v>50014_1</v>
          </cell>
        </row>
        <row r="931">
          <cell r="A931" t="str">
            <v>50015_1</v>
          </cell>
        </row>
        <row r="932">
          <cell r="A932" t="str">
            <v>51001_1</v>
          </cell>
        </row>
        <row r="933">
          <cell r="A933" t="str">
            <v>51002_1</v>
          </cell>
        </row>
        <row r="934">
          <cell r="A934" t="str">
            <v>58001_1</v>
          </cell>
        </row>
        <row r="935">
          <cell r="A935" t="str">
            <v>59001_1</v>
          </cell>
        </row>
        <row r="936">
          <cell r="A936" t="str">
            <v>59002_1</v>
          </cell>
        </row>
        <row r="937">
          <cell r="A937" t="str">
            <v>60001_1</v>
          </cell>
        </row>
        <row r="938">
          <cell r="A938" t="str">
            <v>60002_1</v>
          </cell>
        </row>
        <row r="939">
          <cell r="A939" t="str">
            <v>60002_2</v>
          </cell>
        </row>
        <row r="940">
          <cell r="A940" t="str">
            <v>60003_1</v>
          </cell>
        </row>
        <row r="941">
          <cell r="A941" t="str">
            <v>60003_2</v>
          </cell>
        </row>
        <row r="942">
          <cell r="A942" t="str">
            <v>60003_3</v>
          </cell>
        </row>
        <row r="943">
          <cell r="A943" t="str">
            <v>60004_1</v>
          </cell>
        </row>
        <row r="944">
          <cell r="A944" t="str">
            <v>60005_1</v>
          </cell>
        </row>
        <row r="945">
          <cell r="A945" t="str">
            <v>60006_1</v>
          </cell>
        </row>
        <row r="946">
          <cell r="A946" t="str">
            <v>60006_2</v>
          </cell>
        </row>
        <row r="947">
          <cell r="A947" t="str">
            <v>60006_3</v>
          </cell>
        </row>
        <row r="948">
          <cell r="A948" t="str">
            <v>60007_1</v>
          </cell>
        </row>
        <row r="949">
          <cell r="A949" t="str">
            <v>60007_2</v>
          </cell>
        </row>
        <row r="950">
          <cell r="A950" t="str">
            <v>60007_3</v>
          </cell>
        </row>
        <row r="951">
          <cell r="A951" t="str">
            <v>60010_1</v>
          </cell>
        </row>
        <row r="952">
          <cell r="A952" t="str">
            <v>60011_1</v>
          </cell>
        </row>
        <row r="953">
          <cell r="A953" t="str">
            <v>60011_2</v>
          </cell>
        </row>
        <row r="954">
          <cell r="A954" t="str">
            <v>60012_1</v>
          </cell>
        </row>
        <row r="955">
          <cell r="A955" t="str">
            <v>60013_1</v>
          </cell>
        </row>
        <row r="956">
          <cell r="A956" t="str">
            <v>60013_2</v>
          </cell>
        </row>
        <row r="957">
          <cell r="A957" t="str">
            <v>60013_3</v>
          </cell>
        </row>
        <row r="958">
          <cell r="A958" t="str">
            <v>60014_1</v>
          </cell>
        </row>
        <row r="959">
          <cell r="A959" t="str">
            <v>60015_1</v>
          </cell>
        </row>
        <row r="960">
          <cell r="A960" t="str">
            <v>60016_1</v>
          </cell>
        </row>
        <row r="961">
          <cell r="A961" t="str">
            <v>60017_1</v>
          </cell>
        </row>
        <row r="962">
          <cell r="A962" t="str">
            <v>60018_1</v>
          </cell>
        </row>
        <row r="963">
          <cell r="A963" t="str">
            <v>60019_1</v>
          </cell>
        </row>
        <row r="964">
          <cell r="A964" t="str">
            <v>60020_1</v>
          </cell>
        </row>
        <row r="965">
          <cell r="A965" t="str">
            <v>60021_3</v>
          </cell>
        </row>
        <row r="966">
          <cell r="A966" t="str">
            <v>60022_3</v>
          </cell>
        </row>
        <row r="967">
          <cell r="A967" t="str">
            <v>60023_3</v>
          </cell>
        </row>
        <row r="968">
          <cell r="A968" t="str">
            <v>60024_3</v>
          </cell>
        </row>
        <row r="969">
          <cell r="A969" t="str">
            <v>60025_1</v>
          </cell>
        </row>
        <row r="970">
          <cell r="A970" t="str">
            <v>60026_1</v>
          </cell>
        </row>
        <row r="971">
          <cell r="A971" t="str">
            <v>61011_1</v>
          </cell>
        </row>
        <row r="972">
          <cell r="A972" t="str">
            <v>60027_1</v>
          </cell>
        </row>
        <row r="973">
          <cell r="A973" t="str">
            <v>60028_1</v>
          </cell>
        </row>
        <row r="974">
          <cell r="A974" t="str">
            <v>60029_1</v>
          </cell>
        </row>
        <row r="975">
          <cell r="A975" t="str">
            <v>65525_1</v>
          </cell>
        </row>
        <row r="976">
          <cell r="A976" t="str">
            <v>65526_1</v>
          </cell>
        </row>
        <row r="977">
          <cell r="A977" t="str">
            <v>65526_2</v>
          </cell>
        </row>
        <row r="978">
          <cell r="A978" t="str">
            <v>65527_1</v>
          </cell>
        </row>
        <row r="979">
          <cell r="A979" t="str">
            <v>65528_1</v>
          </cell>
        </row>
        <row r="980">
          <cell r="A980" t="str">
            <v>65529_1</v>
          </cell>
        </row>
        <row r="981">
          <cell r="A981" t="str">
            <v>65530_1</v>
          </cell>
        </row>
        <row r="982">
          <cell r="A982" t="str">
            <v>65531_1</v>
          </cell>
        </row>
        <row r="983">
          <cell r="A983" t="str">
            <v>65531_2</v>
          </cell>
        </row>
        <row r="984">
          <cell r="A984" t="str">
            <v>65532_1</v>
          </cell>
        </row>
        <row r="985">
          <cell r="A985" t="str">
            <v>65532_2</v>
          </cell>
        </row>
        <row r="986">
          <cell r="A986" t="str">
            <v>65533_1</v>
          </cell>
        </row>
        <row r="987">
          <cell r="A987" t="str">
            <v>65533_2</v>
          </cell>
        </row>
        <row r="988">
          <cell r="A988" t="str">
            <v>65534_1</v>
          </cell>
        </row>
        <row r="989">
          <cell r="A989" t="str">
            <v>65534_2</v>
          </cell>
        </row>
        <row r="990">
          <cell r="A990" t="str">
            <v>65535_1</v>
          </cell>
        </row>
        <row r="991">
          <cell r="A991" t="str">
            <v>65535_2</v>
          </cell>
        </row>
        <row r="992">
          <cell r="A992" t="str">
            <v>65535_3</v>
          </cell>
        </row>
        <row r="993">
          <cell r="A993" t="str">
            <v>65535_4</v>
          </cell>
        </row>
        <row r="994">
          <cell r="A994" t="str">
            <v>65535_5</v>
          </cell>
        </row>
        <row r="995">
          <cell r="A995" t="str">
            <v>65535_6</v>
          </cell>
        </row>
        <row r="996">
          <cell r="A996" t="str">
            <v>65535_7</v>
          </cell>
        </row>
        <row r="997">
          <cell r="A997" t="str">
            <v>65535_8</v>
          </cell>
        </row>
        <row r="998">
          <cell r="A998" t="str">
            <v>65535_9</v>
          </cell>
        </row>
        <row r="999">
          <cell r="A999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8085</v>
          </cell>
        </row>
        <row r="1614">
          <cell r="A1614">
            <v>8086</v>
          </cell>
        </row>
        <row r="1615">
          <cell r="A1615">
            <v>8087</v>
          </cell>
        </row>
        <row r="1616">
          <cell r="A1616">
            <v>8088</v>
          </cell>
        </row>
        <row r="1617">
          <cell r="A1617">
            <v>8089</v>
          </cell>
        </row>
        <row r="1618">
          <cell r="A1618">
            <v>8090</v>
          </cell>
        </row>
        <row r="1619">
          <cell r="A1619">
            <v>8095</v>
          </cell>
        </row>
        <row r="1620">
          <cell r="A1620">
            <v>8096</v>
          </cell>
        </row>
        <row r="1621">
          <cell r="A1621">
            <v>8097</v>
          </cell>
        </row>
        <row r="1622">
          <cell r="A1622">
            <v>8098</v>
          </cell>
        </row>
        <row r="1623">
          <cell r="A1623">
            <v>8099</v>
          </cell>
        </row>
        <row r="1624">
          <cell r="A1624">
            <v>8100</v>
          </cell>
        </row>
        <row r="1625">
          <cell r="A1625">
            <v>8101</v>
          </cell>
        </row>
        <row r="1626">
          <cell r="A1626">
            <v>8102</v>
          </cell>
        </row>
        <row r="1627">
          <cell r="A1627">
            <v>8103</v>
          </cell>
        </row>
        <row r="1628">
          <cell r="A1628">
            <v>8104</v>
          </cell>
        </row>
        <row r="1629">
          <cell r="A1629">
            <v>8105</v>
          </cell>
        </row>
        <row r="1630">
          <cell r="A1630">
            <v>8106</v>
          </cell>
        </row>
        <row r="1631">
          <cell r="A1631">
            <v>9001</v>
          </cell>
        </row>
        <row r="1632">
          <cell r="A1632">
            <v>9002</v>
          </cell>
        </row>
        <row r="1633">
          <cell r="A1633">
            <v>9003</v>
          </cell>
        </row>
        <row r="1634">
          <cell r="A1634">
            <v>9004</v>
          </cell>
        </row>
        <row r="1635">
          <cell r="A1635">
            <v>9005</v>
          </cell>
        </row>
        <row r="1636">
          <cell r="A1636">
            <v>9006</v>
          </cell>
        </row>
        <row r="1637">
          <cell r="A1637">
            <v>9007</v>
          </cell>
        </row>
        <row r="1638">
          <cell r="A1638">
            <v>9008</v>
          </cell>
        </row>
        <row r="1639">
          <cell r="A1639">
            <v>10001</v>
          </cell>
        </row>
        <row r="1640">
          <cell r="A1640">
            <v>10002</v>
          </cell>
        </row>
        <row r="1641">
          <cell r="A1641">
            <v>10003</v>
          </cell>
        </row>
        <row r="1642">
          <cell r="A1642">
            <v>10004</v>
          </cell>
        </row>
        <row r="1643">
          <cell r="A1643">
            <v>10005</v>
          </cell>
        </row>
        <row r="1644">
          <cell r="A1644">
            <v>10006</v>
          </cell>
        </row>
        <row r="1645">
          <cell r="A1645">
            <v>10007</v>
          </cell>
        </row>
        <row r="1646">
          <cell r="A1646">
            <v>10008</v>
          </cell>
        </row>
        <row r="1647">
          <cell r="A1647">
            <v>10009</v>
          </cell>
        </row>
        <row r="1648">
          <cell r="A1648">
            <v>10010</v>
          </cell>
        </row>
        <row r="1649">
          <cell r="A1649">
            <v>10011</v>
          </cell>
        </row>
        <row r="1650">
          <cell r="A1650">
            <v>10012</v>
          </cell>
        </row>
        <row r="1651">
          <cell r="A1651">
            <v>10013</v>
          </cell>
        </row>
        <row r="1652">
          <cell r="A1652">
            <v>10014</v>
          </cell>
        </row>
        <row r="1653">
          <cell r="A1653">
            <v>10015</v>
          </cell>
        </row>
        <row r="1654">
          <cell r="A1654">
            <v>10016</v>
          </cell>
        </row>
        <row r="1655">
          <cell r="A1655">
            <v>10017</v>
          </cell>
        </row>
        <row r="1656">
          <cell r="A1656">
            <v>10018</v>
          </cell>
        </row>
        <row r="1657">
          <cell r="A1657">
            <v>10019</v>
          </cell>
        </row>
        <row r="1658">
          <cell r="A1658">
            <v>10020</v>
          </cell>
        </row>
        <row r="1659">
          <cell r="A1659">
            <v>10021</v>
          </cell>
        </row>
        <row r="1660">
          <cell r="A1660">
            <v>10022</v>
          </cell>
        </row>
        <row r="1661">
          <cell r="A1661">
            <v>10023</v>
          </cell>
        </row>
        <row r="1662">
          <cell r="A1662">
            <v>10024</v>
          </cell>
        </row>
        <row r="1663">
          <cell r="A1663">
            <v>10025</v>
          </cell>
        </row>
        <row r="1664">
          <cell r="A1664">
            <v>10026</v>
          </cell>
        </row>
        <row r="1665">
          <cell r="A1665">
            <v>10027</v>
          </cell>
        </row>
        <row r="1666">
          <cell r="A1666">
            <v>10028</v>
          </cell>
        </row>
        <row r="1667">
          <cell r="A1667">
            <v>10029</v>
          </cell>
        </row>
        <row r="1668">
          <cell r="A1668">
            <v>10030</v>
          </cell>
        </row>
        <row r="1669">
          <cell r="A1669">
            <v>10031</v>
          </cell>
        </row>
        <row r="1670">
          <cell r="A1670">
            <v>10032</v>
          </cell>
        </row>
        <row r="1671">
          <cell r="A1671">
            <v>10033</v>
          </cell>
        </row>
        <row r="1672">
          <cell r="A1672">
            <v>10034</v>
          </cell>
        </row>
        <row r="1673">
          <cell r="A1673">
            <v>10035</v>
          </cell>
        </row>
        <row r="1674">
          <cell r="A1674">
            <v>10036</v>
          </cell>
        </row>
        <row r="1675">
          <cell r="A1675">
            <v>10037</v>
          </cell>
        </row>
        <row r="1676">
          <cell r="A1676">
            <v>10038</v>
          </cell>
        </row>
        <row r="1677">
          <cell r="A1677">
            <v>10039</v>
          </cell>
        </row>
        <row r="1678">
          <cell r="A1678">
            <v>10040</v>
          </cell>
        </row>
        <row r="1679">
          <cell r="A1679">
            <v>10041</v>
          </cell>
        </row>
        <row r="1680">
          <cell r="A1680">
            <v>10042</v>
          </cell>
        </row>
        <row r="1681">
          <cell r="A1681">
            <v>10043</v>
          </cell>
        </row>
        <row r="1682">
          <cell r="A1682">
            <v>10044</v>
          </cell>
        </row>
        <row r="1683">
          <cell r="A1683">
            <v>10045</v>
          </cell>
        </row>
        <row r="1684">
          <cell r="A1684">
            <v>10046</v>
          </cell>
        </row>
        <row r="1685">
          <cell r="A1685">
            <v>10047</v>
          </cell>
        </row>
        <row r="1686">
          <cell r="A1686">
            <v>10048</v>
          </cell>
        </row>
        <row r="1687">
          <cell r="A1687">
            <v>10049</v>
          </cell>
        </row>
        <row r="1688">
          <cell r="A1688">
            <v>10050</v>
          </cell>
        </row>
        <row r="1689">
          <cell r="A1689">
            <v>10051</v>
          </cell>
        </row>
        <row r="1690">
          <cell r="A1690">
            <v>10052</v>
          </cell>
        </row>
        <row r="1691">
          <cell r="A1691">
            <v>10053</v>
          </cell>
        </row>
        <row r="1692">
          <cell r="A1692">
            <v>10054</v>
          </cell>
        </row>
        <row r="1693">
          <cell r="A1693">
            <v>10055</v>
          </cell>
        </row>
        <row r="1694">
          <cell r="A1694">
            <v>10056</v>
          </cell>
        </row>
        <row r="1695">
          <cell r="A1695">
            <v>10057</v>
          </cell>
        </row>
        <row r="1696">
          <cell r="A1696">
            <v>10058</v>
          </cell>
        </row>
        <row r="1697">
          <cell r="A1697">
            <v>10059</v>
          </cell>
        </row>
        <row r="1698">
          <cell r="A1698">
            <v>10060</v>
          </cell>
        </row>
        <row r="1699">
          <cell r="A1699">
            <v>10061</v>
          </cell>
        </row>
        <row r="1700">
          <cell r="A1700">
            <v>10062</v>
          </cell>
        </row>
        <row r="1701">
          <cell r="A1701">
            <v>10063</v>
          </cell>
        </row>
        <row r="1702">
          <cell r="A1702">
            <v>10064</v>
          </cell>
        </row>
        <row r="1703">
          <cell r="A1703">
            <v>10065</v>
          </cell>
        </row>
        <row r="1704">
          <cell r="A1704">
            <v>10066</v>
          </cell>
        </row>
        <row r="1705">
          <cell r="A1705">
            <v>10067</v>
          </cell>
        </row>
        <row r="1706">
          <cell r="A1706">
            <v>10068</v>
          </cell>
        </row>
        <row r="1707">
          <cell r="A1707">
            <v>10069</v>
          </cell>
        </row>
        <row r="1708">
          <cell r="A1708">
            <v>10070</v>
          </cell>
        </row>
        <row r="1709">
          <cell r="A1709">
            <v>10071</v>
          </cell>
        </row>
        <row r="1710">
          <cell r="A1710">
            <v>10072</v>
          </cell>
        </row>
        <row r="1711">
          <cell r="A1711">
            <v>10073</v>
          </cell>
        </row>
        <row r="1712">
          <cell r="A1712">
            <v>10074</v>
          </cell>
        </row>
        <row r="1713">
          <cell r="A1713">
            <v>10075</v>
          </cell>
        </row>
        <row r="1714">
          <cell r="A1714">
            <v>10076</v>
          </cell>
        </row>
        <row r="1715">
          <cell r="A1715">
            <v>10077</v>
          </cell>
        </row>
        <row r="1716">
          <cell r="A1716">
            <v>10078</v>
          </cell>
        </row>
        <row r="1717">
          <cell r="A1717">
            <v>10079</v>
          </cell>
        </row>
        <row r="1718">
          <cell r="A1718">
            <v>10080</v>
          </cell>
        </row>
        <row r="1719">
          <cell r="A1719">
            <v>10081</v>
          </cell>
        </row>
        <row r="1720">
          <cell r="A1720">
            <v>10082</v>
          </cell>
        </row>
        <row r="1721">
          <cell r="A1721">
            <v>10083</v>
          </cell>
        </row>
        <row r="1722">
          <cell r="A1722">
            <v>10084</v>
          </cell>
        </row>
        <row r="1723">
          <cell r="A1723">
            <v>10085</v>
          </cell>
        </row>
        <row r="1724">
          <cell r="A1724">
            <v>10086</v>
          </cell>
        </row>
        <row r="1725">
          <cell r="A1725">
            <v>10087</v>
          </cell>
        </row>
        <row r="1726">
          <cell r="A1726">
            <v>10088</v>
          </cell>
        </row>
        <row r="1727">
          <cell r="A1727">
            <v>10089</v>
          </cell>
        </row>
        <row r="1728">
          <cell r="A1728">
            <v>10090</v>
          </cell>
        </row>
        <row r="1729">
          <cell r="A1729">
            <v>10101</v>
          </cell>
        </row>
        <row r="1730">
          <cell r="A1730">
            <v>10102</v>
          </cell>
        </row>
        <row r="1731">
          <cell r="A1731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J23" sqref="J2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273</v>
      </c>
      <c r="B2" s="57" t="s">
        <v>106</v>
      </c>
      <c r="C2" s="62">
        <v>11230</v>
      </c>
      <c r="D2" s="57" t="s">
        <v>107</v>
      </c>
      <c r="E2" s="56" t="str">
        <f>B2&amp;C2&amp;D2</f>
        <v>floors_11230.tmp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273</v>
      </c>
      <c r="B3" s="57" t="s">
        <v>109</v>
      </c>
      <c r="C3" s="62">
        <f>C$2</f>
        <v>11230</v>
      </c>
      <c r="D3" s="57" t="s">
        <v>107</v>
      </c>
      <c r="E3" s="56" t="str">
        <f>B3&amp;C3&amp;D3</f>
        <v>enemy_habitats_11230.tmp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175</v>
      </c>
    </row>
    <row r="4" spans="1:30" x14ac:dyDescent="0.15">
      <c r="A4" s="61" t="s">
        <v>273</v>
      </c>
      <c r="B4" s="57" t="s">
        <v>111</v>
      </c>
      <c r="C4" s="62">
        <f t="shared" ref="C4:C13" si="0">C$2</f>
        <v>11230</v>
      </c>
      <c r="D4" s="57" t="s">
        <v>107</v>
      </c>
      <c r="E4" s="56" t="str">
        <f>B4&amp;C4&amp;D4</f>
        <v>enemy_habitat_S_11230.tmp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273</v>
      </c>
      <c r="B5" s="57" t="s">
        <v>113</v>
      </c>
      <c r="C5" s="62">
        <f t="shared" si="0"/>
        <v>11230</v>
      </c>
      <c r="D5" s="57" t="s">
        <v>107</v>
      </c>
      <c r="E5" s="56" t="str">
        <f>B5&amp;C5&amp;D5</f>
        <v>enemy_skill_sets_11230.tmp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273</v>
      </c>
      <c r="B6" s="57" t="s">
        <v>115</v>
      </c>
      <c r="C6" s="62">
        <f t="shared" si="0"/>
        <v>11230</v>
      </c>
      <c r="D6" s="57" t="s">
        <v>116</v>
      </c>
      <c r="E6" s="56" t="str">
        <f t="shared" ref="E6:E10" si="1">B6&amp;C6&amp;D6</f>
        <v>enemy_skills_tmp_11230.tmp</v>
      </c>
      <c r="F6" s="57" t="s">
        <v>90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273</v>
      </c>
      <c r="B7" s="57" t="s">
        <v>117</v>
      </c>
      <c r="C7" s="62">
        <f t="shared" si="0"/>
        <v>11230</v>
      </c>
      <c r="D7" s="57" t="s">
        <v>107</v>
      </c>
      <c r="E7" s="56" t="str">
        <f>B7&amp;C7&amp;D7</f>
        <v>enemy_skills_i18n_11230.tmp</v>
      </c>
      <c r="F7" s="57" t="s">
        <v>118</v>
      </c>
      <c r="G7" s="58" t="s">
        <v>78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273</v>
      </c>
      <c r="B8" s="57" t="s">
        <v>119</v>
      </c>
      <c r="C8" s="62">
        <f t="shared" si="0"/>
        <v>11230</v>
      </c>
      <c r="D8" s="57" t="s">
        <v>120</v>
      </c>
      <c r="E8" s="56" t="str">
        <f t="shared" si="1"/>
        <v>enemy_skill_triggers_11230.tmp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184</v>
      </c>
      <c r="B9" s="67" t="s">
        <v>174</v>
      </c>
      <c r="C9" s="62">
        <f t="shared" si="0"/>
        <v>11230</v>
      </c>
      <c r="D9" s="67" t="s">
        <v>168</v>
      </c>
      <c r="E9" s="68" t="str">
        <f t="shared" si="1"/>
        <v>stage_bug_bonuses_11230.tmp</v>
      </c>
      <c r="F9" s="67" t="s">
        <v>169</v>
      </c>
      <c r="G9" s="64" t="s">
        <v>150</v>
      </c>
      <c r="H9" s="64" t="s">
        <v>170</v>
      </c>
      <c r="I9" s="64" t="s">
        <v>171</v>
      </c>
      <c r="J9" s="66" t="s">
        <v>172</v>
      </c>
      <c r="K9" s="64" t="s">
        <v>173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7"/>
      <c r="Y9" s="57"/>
      <c r="Z9" s="57"/>
      <c r="AA9" s="57"/>
      <c r="AB9" s="57"/>
      <c r="AC9" s="57"/>
      <c r="AD9" s="57"/>
    </row>
    <row r="10" spans="1:30" s="73" customFormat="1" x14ac:dyDescent="0.15">
      <c r="A10" s="61" t="s">
        <v>184</v>
      </c>
      <c r="B10" s="67" t="s">
        <v>198</v>
      </c>
      <c r="C10" s="62">
        <f>C$2</f>
        <v>11230</v>
      </c>
      <c r="D10" s="67" t="s">
        <v>177</v>
      </c>
      <c r="E10" s="68" t="str">
        <f t="shared" si="1"/>
        <v>stage_hints_data_c_11230.tmp</v>
      </c>
      <c r="F10" s="67" t="s">
        <v>206</v>
      </c>
      <c r="G10" s="71" t="s">
        <v>178</v>
      </c>
      <c r="H10" s="71" t="s">
        <v>170</v>
      </c>
      <c r="I10" s="72" t="s">
        <v>179</v>
      </c>
      <c r="J10" s="66" t="s">
        <v>180</v>
      </c>
      <c r="K10" s="66" t="s">
        <v>181</v>
      </c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</row>
    <row r="11" spans="1:30" s="73" customFormat="1" x14ac:dyDescent="0.15">
      <c r="A11" s="61" t="s">
        <v>273</v>
      </c>
      <c r="B11" s="67" t="s">
        <v>199</v>
      </c>
      <c r="C11" s="62">
        <f t="shared" si="0"/>
        <v>11230</v>
      </c>
      <c r="D11" s="67" t="s">
        <v>168</v>
      </c>
      <c r="E11" s="68" t="str">
        <f t="shared" ref="E11:E13" si="2">B11&amp;C11&amp;D11</f>
        <v>stage_hints_data_f_11230.tmp</v>
      </c>
      <c r="F11" s="67" t="s">
        <v>207</v>
      </c>
      <c r="G11" s="71" t="s">
        <v>178</v>
      </c>
      <c r="H11" s="71" t="s">
        <v>170</v>
      </c>
      <c r="I11" s="72" t="s">
        <v>179</v>
      </c>
      <c r="J11" s="66" t="s">
        <v>180</v>
      </c>
      <c r="K11" s="66" t="s">
        <v>181</v>
      </c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</row>
    <row r="12" spans="1:30" s="73" customFormat="1" x14ac:dyDescent="0.15">
      <c r="A12" s="61" t="s">
        <v>273</v>
      </c>
      <c r="B12" s="67" t="s">
        <v>200</v>
      </c>
      <c r="C12" s="62">
        <f t="shared" si="0"/>
        <v>11230</v>
      </c>
      <c r="D12" s="67" t="s">
        <v>168</v>
      </c>
      <c r="E12" s="68" t="str">
        <f t="shared" si="2"/>
        <v>stage_hints_i18n_11230.tmp</v>
      </c>
      <c r="F12" s="67" t="s">
        <v>208</v>
      </c>
      <c r="G12" s="72" t="s">
        <v>201</v>
      </c>
      <c r="H12" s="91" t="s">
        <v>202</v>
      </c>
      <c r="I12" s="71" t="s">
        <v>203</v>
      </c>
      <c r="J12" s="95" t="s">
        <v>204</v>
      </c>
      <c r="K12" s="66" t="s">
        <v>205</v>
      </c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</row>
    <row r="13" spans="1:30" s="73" customFormat="1" x14ac:dyDescent="0.15">
      <c r="A13" s="67" t="s">
        <v>244</v>
      </c>
      <c r="B13" s="67" t="s">
        <v>243</v>
      </c>
      <c r="C13" s="62">
        <f t="shared" si="0"/>
        <v>11230</v>
      </c>
      <c r="D13" s="67" t="s">
        <v>224</v>
      </c>
      <c r="E13" s="68" t="str">
        <f t="shared" si="2"/>
        <v>stage_bonuses_11230.tmp</v>
      </c>
      <c r="F13" s="67" t="s">
        <v>223</v>
      </c>
      <c r="G13" s="71" t="s">
        <v>225</v>
      </c>
      <c r="H13" s="71" t="s">
        <v>226</v>
      </c>
      <c r="I13" s="71" t="s">
        <v>227</v>
      </c>
      <c r="J13" s="71" t="s">
        <v>228</v>
      </c>
      <c r="K13" s="71" t="s">
        <v>229</v>
      </c>
      <c r="L13" s="71" t="s">
        <v>230</v>
      </c>
      <c r="M13" s="71" t="s">
        <v>231</v>
      </c>
      <c r="N13" s="71" t="s">
        <v>232</v>
      </c>
      <c r="O13" s="71" t="s">
        <v>233</v>
      </c>
      <c r="P13" s="71" t="s">
        <v>234</v>
      </c>
      <c r="Q13" s="71" t="s">
        <v>235</v>
      </c>
      <c r="R13" s="71" t="s">
        <v>236</v>
      </c>
      <c r="S13" s="71" t="s">
        <v>237</v>
      </c>
      <c r="T13" s="71" t="s">
        <v>238</v>
      </c>
      <c r="U13" s="71" t="s">
        <v>239</v>
      </c>
      <c r="V13" s="71" t="s">
        <v>240</v>
      </c>
      <c r="W13" s="71" t="s">
        <v>241</v>
      </c>
      <c r="X13" s="71" t="s">
        <v>242</v>
      </c>
      <c r="Y13" s="94"/>
      <c r="Z13" s="94"/>
      <c r="AA13" s="94"/>
      <c r="AB13" s="94"/>
      <c r="AC13" s="94"/>
      <c r="AD13" s="94"/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O14" sqref="O1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9" si="0">G2&amp;"-"&amp;I2</f>
        <v>11230_1-1</v>
      </c>
      <c r="B2" s="16" t="str">
        <f>IF(COUNTIF(enemy_habitats!$H:$H,A2),"OK","NG")</f>
        <v>OK</v>
      </c>
      <c r="C2" s="7">
        <v>11230</v>
      </c>
      <c r="D2" s="11" t="str">
        <f ca="1">VLOOKUP($C2,OFFSET([2]quests!$A$1,0,0,COUNTA([2]quests!$A:$A),MATCH(D$1,[2]quests!$1:$1,0)-MATCH($C$1,[2]quests!$1:$1,0)+1),MATCH(D$1,[2]quests!$1:$1,0)-MATCH($C$1,[2]quests!$1:$1,0)+1,FALSE)</f>
        <v>未知のウィルス大捜査！</v>
      </c>
      <c r="E2" s="18" t="str">
        <f ca="1">VLOOKUP($C2,OFFSET([2]quests!$A$1,0,0,COUNTA([2]quests!$A:$A),MATCH(E$1,[2]quests!$1:$1,0)-MATCH($C$1,[2]quests!$1:$1,0)+1),MATCH(E$1,[2]quests!$1:$1,0)-MATCH($C$1,[2]quests!$1:$1,0)+1,FALSE)</f>
        <v>2017年エイプリルフールクエスト</v>
      </c>
      <c r="F2" s="21">
        <v>1</v>
      </c>
      <c r="G2" s="23" t="str">
        <f t="shared" ref="G2:G9" si="1">C2&amp;"_"&amp;F2</f>
        <v>11230_1</v>
      </c>
      <c r="H2" s="15" t="str">
        <f ca="1">VLOOKUP($G2,OFFSET([2]stages!$A$1,0,0,COUNTA([2]stages!$A:$A),MATCH(H$1,[2]stages!$2:$2,0)-MATCH($G$1,[2]stages!$2:$2,0)+1),MATCH(H$1,[2]stages!$2:$2,0)-MATCH($G$1,[2]stages!$2:$2,0)+1,FALSE)</f>
        <v>【前編】未知のウィルス大捜査</v>
      </c>
      <c r="I2" s="21">
        <v>1</v>
      </c>
      <c r="J2" s="12">
        <v>15</v>
      </c>
      <c r="K2" s="12">
        <v>15</v>
      </c>
    </row>
    <row r="3" spans="1:11" ht="21" customHeight="1" x14ac:dyDescent="0.15">
      <c r="A3" s="16" t="str">
        <f t="shared" si="0"/>
        <v>11230_1-2</v>
      </c>
      <c r="B3" s="16" t="str">
        <f>IF(COUNTIF(enemy_habitats!$H:$H,A3),"OK","NG")</f>
        <v>OK</v>
      </c>
      <c r="C3" s="7">
        <v>11230</v>
      </c>
      <c r="D3" s="11" t="str">
        <f ca="1">VLOOKUP($C3,OFFSET([2]quests!$A$1,0,0,COUNTA([2]quests!$A:$A),MATCH(D$1,[2]quests!$1:$1,0)-MATCH($C$1,[2]quests!$1:$1,0)+1),MATCH(D$1,[2]quests!$1:$1,0)-MATCH($C$1,[2]quests!$1:$1,0)+1,FALSE)</f>
        <v>未知のウィルス大捜査！</v>
      </c>
      <c r="E3" s="18" t="str">
        <f ca="1">VLOOKUP($C3,OFFSET([2]quests!$A$1,0,0,COUNTA([2]quests!$A:$A),MATCH(E$1,[2]quests!$1:$1,0)-MATCH($C$1,[2]quests!$1:$1,0)+1),MATCH(E$1,[2]quests!$1:$1,0)-MATCH($C$1,[2]quests!$1:$1,0)+1,FALSE)</f>
        <v>2017年エイプリルフールクエスト</v>
      </c>
      <c r="F3" s="21">
        <v>1</v>
      </c>
      <c r="G3" s="23" t="str">
        <f t="shared" si="1"/>
        <v>11230_1</v>
      </c>
      <c r="H3" s="15" t="str">
        <f ca="1">VLOOKUP($G3,OFFSET([2]stages!$A$1,0,0,COUNTA([2]stages!$A:$A),MATCH(H$1,[2]stages!$2:$2,0)-MATCH($G$1,[2]stages!$2:$2,0)+1),MATCH(H$1,[2]stages!$2:$2,0)-MATCH($G$1,[2]stages!$2:$2,0)+1,FALSE)</f>
        <v>【前編】未知のウィルス大捜査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11230_1-3</v>
      </c>
      <c r="B4" s="16" t="str">
        <f>IF(COUNTIF(enemy_habitats!$H:$H,A4),"OK","NG")</f>
        <v>OK</v>
      </c>
      <c r="C4" s="7">
        <v>11230</v>
      </c>
      <c r="D4" s="11" t="str">
        <f ca="1">VLOOKUP($C4,OFFSET([2]quests!$A$1,0,0,COUNTA([2]quests!$A:$A),MATCH(D$1,[2]quests!$1:$1,0)-MATCH($C$1,[2]quests!$1:$1,0)+1),MATCH(D$1,[2]quests!$1:$1,0)-MATCH($C$1,[2]quests!$1:$1,0)+1,FALSE)</f>
        <v>未知のウィルス大捜査！</v>
      </c>
      <c r="E4" s="18" t="str">
        <f ca="1">VLOOKUP($C4,OFFSET([2]quests!$A$1,0,0,COUNTA([2]quests!$A:$A),MATCH(E$1,[2]quests!$1:$1,0)-MATCH($C$1,[2]quests!$1:$1,0)+1),MATCH(E$1,[2]quests!$1:$1,0)-MATCH($C$1,[2]quests!$1:$1,0)+1,FALSE)</f>
        <v>2017年エイプリルフールクエスト</v>
      </c>
      <c r="F4" s="21">
        <v>1</v>
      </c>
      <c r="G4" s="23" t="str">
        <f t="shared" si="1"/>
        <v>11230_1</v>
      </c>
      <c r="H4" s="15" t="str">
        <f ca="1">VLOOKUP($G4,OFFSET([2]stages!$A$1,0,0,COUNTA([2]stages!$A:$A),MATCH(H$1,[2]stages!$2:$2,0)-MATCH($G$1,[2]stages!$2:$2,0)+1),MATCH(H$1,[2]stages!$2:$2,0)-MATCH($G$1,[2]stages!$2:$2,0)+1,FALSE)</f>
        <v>【前編】未知のウィルス大捜査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11230_1-4</v>
      </c>
      <c r="B5" s="16" t="str">
        <f>IF(COUNTIF(enemy_habitats!$H:$H,A5),"OK","NG")</f>
        <v>OK</v>
      </c>
      <c r="C5" s="7">
        <v>11230</v>
      </c>
      <c r="D5" s="11" t="str">
        <f ca="1">VLOOKUP($C5,OFFSET([2]quests!$A$1,0,0,COUNTA([2]quests!$A:$A),MATCH(D$1,[2]quests!$1:$1,0)-MATCH($C$1,[2]quests!$1:$1,0)+1),MATCH(D$1,[2]quests!$1:$1,0)-MATCH($C$1,[2]quests!$1:$1,0)+1,FALSE)</f>
        <v>未知のウィルス大捜査！</v>
      </c>
      <c r="E5" s="18" t="str">
        <f ca="1">VLOOKUP($C5,OFFSET([2]quests!$A$1,0,0,COUNTA([2]quests!$A:$A),MATCH(E$1,[2]quests!$1:$1,0)-MATCH($C$1,[2]quests!$1:$1,0)+1),MATCH(E$1,[2]quests!$1:$1,0)-MATCH($C$1,[2]quests!$1:$1,0)+1,FALSE)</f>
        <v>2017年エイプリルフールクエスト</v>
      </c>
      <c r="F5" s="21">
        <v>1</v>
      </c>
      <c r="G5" s="23" t="str">
        <f t="shared" si="1"/>
        <v>11230_1</v>
      </c>
      <c r="H5" s="15" t="str">
        <f ca="1">VLOOKUP($G5,OFFSET([2]stages!$A$1,0,0,COUNTA([2]stages!$A:$A),MATCH(H$1,[2]stages!$2:$2,0)-MATCH($G$1,[2]stages!$2:$2,0)+1),MATCH(H$1,[2]stages!$2:$2,0)-MATCH($G$1,[2]stages!$2:$2,0)+1,FALSE)</f>
        <v>【前編】未知のウィルス大捜査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11230_2-1</v>
      </c>
      <c r="B6" s="16" t="str">
        <f>IF(COUNTIF(enemy_habitats!$H:$H,A6),"OK","NG")</f>
        <v>OK</v>
      </c>
      <c r="C6" s="7">
        <v>11230</v>
      </c>
      <c r="D6" s="11" t="str">
        <f ca="1">VLOOKUP($C6,OFFSET([2]quests!$A$1,0,0,COUNTA([2]quests!$A:$A),MATCH(D$1,[2]quests!$1:$1,0)-MATCH($C$1,[2]quests!$1:$1,0)+1),MATCH(D$1,[2]quests!$1:$1,0)-MATCH($C$1,[2]quests!$1:$1,0)+1,FALSE)</f>
        <v>未知のウィルス大捜査！</v>
      </c>
      <c r="E6" s="18" t="str">
        <f ca="1">VLOOKUP($C6,OFFSET([2]quests!$A$1,0,0,COUNTA([2]quests!$A:$A),MATCH(E$1,[2]quests!$1:$1,0)-MATCH($C$1,[2]quests!$1:$1,0)+1),MATCH(E$1,[2]quests!$1:$1,0)-MATCH($C$1,[2]quests!$1:$1,0)+1,FALSE)</f>
        <v>2017年エイプリルフールクエスト</v>
      </c>
      <c r="F6" s="21">
        <v>2</v>
      </c>
      <c r="G6" s="23" t="str">
        <f t="shared" si="1"/>
        <v>11230_2</v>
      </c>
      <c r="H6" s="15" t="str">
        <f ca="1">VLOOKUP($G6,OFFSET([2]stages!$A$1,0,0,COUNTA([2]stages!$A:$A),MATCH(H$1,[2]stages!$2:$2,0)-MATCH($G$1,[2]stages!$2:$2,0)+1),MATCH(H$1,[2]stages!$2:$2,0)-MATCH($G$1,[2]stages!$2:$2,0)+1,FALSE)</f>
        <v>【後編】未知のウィルス大捜査</v>
      </c>
      <c r="I6" s="21">
        <v>1</v>
      </c>
      <c r="J6" s="12">
        <v>15</v>
      </c>
      <c r="K6" s="12">
        <v>15</v>
      </c>
    </row>
    <row r="7" spans="1:11" ht="21" customHeight="1" x14ac:dyDescent="0.15">
      <c r="A7" s="16" t="str">
        <f t="shared" si="0"/>
        <v>11230_2-2</v>
      </c>
      <c r="B7" s="16" t="str">
        <f>IF(COUNTIF(enemy_habitats!$H:$H,A7),"OK","NG")</f>
        <v>OK</v>
      </c>
      <c r="C7" s="7">
        <v>11230</v>
      </c>
      <c r="D7" s="11" t="str">
        <f ca="1">VLOOKUP($C7,OFFSET([2]quests!$A$1,0,0,COUNTA([2]quests!$A:$A),MATCH(D$1,[2]quests!$1:$1,0)-MATCH($C$1,[2]quests!$1:$1,0)+1),MATCH(D$1,[2]quests!$1:$1,0)-MATCH($C$1,[2]quests!$1:$1,0)+1,FALSE)</f>
        <v>未知のウィルス大捜査！</v>
      </c>
      <c r="E7" s="18" t="str">
        <f ca="1">VLOOKUP($C7,OFFSET([2]quests!$A$1,0,0,COUNTA([2]quests!$A:$A),MATCH(E$1,[2]quests!$1:$1,0)-MATCH($C$1,[2]quests!$1:$1,0)+1),MATCH(E$1,[2]quests!$1:$1,0)-MATCH($C$1,[2]quests!$1:$1,0)+1,FALSE)</f>
        <v>2017年エイプリルフールクエスト</v>
      </c>
      <c r="F7" s="21">
        <v>2</v>
      </c>
      <c r="G7" s="23" t="str">
        <f t="shared" si="1"/>
        <v>11230_2</v>
      </c>
      <c r="H7" s="15" t="str">
        <f ca="1">VLOOKUP($G7,OFFSET([2]stages!$A$1,0,0,COUNTA([2]stages!$A:$A),MATCH(H$1,[2]stages!$2:$2,0)-MATCH($G$1,[2]stages!$2:$2,0)+1),MATCH(H$1,[2]stages!$2:$2,0)-MATCH($G$1,[2]stages!$2:$2,0)+1,FALSE)</f>
        <v>【後編】未知のウィルス大捜査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11230_2-3</v>
      </c>
      <c r="B8" s="16" t="str">
        <f>IF(COUNTIF(enemy_habitats!$H:$H,A8),"OK","NG")</f>
        <v>OK</v>
      </c>
      <c r="C8" s="7">
        <v>11230</v>
      </c>
      <c r="D8" s="11" t="str">
        <f ca="1">VLOOKUP($C8,OFFSET([2]quests!$A$1,0,0,COUNTA([2]quests!$A:$A),MATCH(D$1,[2]quests!$1:$1,0)-MATCH($C$1,[2]quests!$1:$1,0)+1),MATCH(D$1,[2]quests!$1:$1,0)-MATCH($C$1,[2]quests!$1:$1,0)+1,FALSE)</f>
        <v>未知のウィルス大捜査！</v>
      </c>
      <c r="E8" s="18" t="str">
        <f ca="1">VLOOKUP($C8,OFFSET([2]quests!$A$1,0,0,COUNTA([2]quests!$A:$A),MATCH(E$1,[2]quests!$1:$1,0)-MATCH($C$1,[2]quests!$1:$1,0)+1),MATCH(E$1,[2]quests!$1:$1,0)-MATCH($C$1,[2]quests!$1:$1,0)+1,FALSE)</f>
        <v>2017年エイプリルフールクエスト</v>
      </c>
      <c r="F8" s="21">
        <v>2</v>
      </c>
      <c r="G8" s="23" t="str">
        <f t="shared" si="1"/>
        <v>11230_2</v>
      </c>
      <c r="H8" s="15" t="str">
        <f ca="1">VLOOKUP($G8,OFFSET([2]stages!$A$1,0,0,COUNTA([2]stages!$A:$A),MATCH(H$1,[2]stages!$2:$2,0)-MATCH($G$1,[2]stages!$2:$2,0)+1),MATCH(H$1,[2]stages!$2:$2,0)-MATCH($G$1,[2]stages!$2:$2,0)+1,FALSE)</f>
        <v>【後編】未知のウィルス大捜査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11230_2-4</v>
      </c>
      <c r="B9" s="16" t="str">
        <f>IF(COUNTIF(enemy_habitats!$H:$H,A9),"OK","NG")</f>
        <v>OK</v>
      </c>
      <c r="C9" s="7">
        <v>11230</v>
      </c>
      <c r="D9" s="11" t="str">
        <f ca="1">VLOOKUP($C9,OFFSET([2]quests!$A$1,0,0,COUNTA([2]quests!$A:$A),MATCH(D$1,[2]quests!$1:$1,0)-MATCH($C$1,[2]quests!$1:$1,0)+1),MATCH(D$1,[2]quests!$1:$1,0)-MATCH($C$1,[2]quests!$1:$1,0)+1,FALSE)</f>
        <v>未知のウィルス大捜査！</v>
      </c>
      <c r="E9" s="18" t="str">
        <f ca="1">VLOOKUP($C9,OFFSET([2]quests!$A$1,0,0,COUNTA([2]quests!$A:$A),MATCH(E$1,[2]quests!$1:$1,0)-MATCH($C$1,[2]quests!$1:$1,0)+1),MATCH(E$1,[2]quests!$1:$1,0)-MATCH($C$1,[2]quests!$1:$1,0)+1,FALSE)</f>
        <v>2017年エイプリルフールクエスト</v>
      </c>
      <c r="F9" s="21">
        <v>2</v>
      </c>
      <c r="G9" s="23" t="str">
        <f t="shared" si="1"/>
        <v>11230_2</v>
      </c>
      <c r="H9" s="15" t="str">
        <f ca="1">VLOOKUP($G9,OFFSET([2]stages!$A$1,0,0,COUNTA([2]stages!$A:$A),MATCH(H$1,[2]stages!$2:$2,0)-MATCH($G$1,[2]stages!$2:$2,0)+1),MATCH(H$1,[2]stages!$2:$2,0)-MATCH($G$1,[2]stages!$2:$2,0)+1,FALSE)</f>
        <v>【後編】未知のウィルス大捜査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3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16" sqref="S16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98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6" t="s">
        <v>245</v>
      </c>
      <c r="U1" s="26" t="s">
        <v>50</v>
      </c>
      <c r="V1" s="96" t="s">
        <v>246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176</v>
      </c>
    </row>
    <row r="2" spans="1:42" ht="21" customHeight="1" x14ac:dyDescent="0.15">
      <c r="A2" s="16" t="str">
        <f t="shared" ref="A2:A13" si="0">B2&amp;"_"&amp;C2&amp;"-"&amp;G2&amp;"/"&amp;L2&amp;"&lt;lv"&amp;R2&amp;"&gt;s"&amp;AC2</f>
        <v>11230_1-1/330&lt;lv30&gt;s1</v>
      </c>
      <c r="B2" s="22">
        <v>11230</v>
      </c>
      <c r="C2" s="21">
        <v>1</v>
      </c>
      <c r="D2" s="2" t="str">
        <f t="shared" ref="D2:D13" si="1">B2&amp;"_"&amp;C2</f>
        <v>11230_1</v>
      </c>
      <c r="E2" s="4" t="str">
        <f ca="1">VLOOKUP($B2,OFFSET([2]quests!$A$1,0,0,COUNTA([2]quests!$A:$A),MATCH(E$1,[2]quests!$1:$1,0)-MATCH($B$1,[2]quests!$1:$1,0)+1),MATCH(E$1,[2]quests!$1:$1,0)-MATCH($B$1,[2]quests!$1:$1,0)+1,FALSE)</f>
        <v>未知のウィルス大捜査！</v>
      </c>
      <c r="F2" s="4" t="str">
        <f ca="1">VLOOKUP($D2,OFFSET([2]stages!$A$1,0,0,COUNTA([2]stages!$A:$A),MATCH(F$1,[2]stages!$2:$2,0)-MATCH($D$1,[2]stages!$2:$2,0)+1),MATCH(F$1,[2]stages!$2:$2,0)-MATCH($D$1,[2]stages!$2:$2,0)+1,FALSE)</f>
        <v>【前編】未知のウィルス大捜査</v>
      </c>
      <c r="G2" s="21">
        <v>1</v>
      </c>
      <c r="H2" s="15" t="str">
        <f t="shared" ref="H2:H13" si="2">B2&amp;"_"&amp;C2&amp;"-"&amp;G2</f>
        <v>11230_1-1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8" t="s">
        <v>250</v>
      </c>
      <c r="L2" s="20">
        <v>330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Usagi-chan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DropWizSSS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30</v>
      </c>
      <c r="S2" s="25">
        <v>5</v>
      </c>
      <c r="T2" s="97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267750</v>
      </c>
      <c r="U2" s="25">
        <v>1</v>
      </c>
      <c r="V2" s="97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3371</v>
      </c>
      <c r="W2" s="5">
        <v>99999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事件解決のためアナタの力を貸してください</v>
      </c>
      <c r="Y2" s="99">
        <v>11230101</v>
      </c>
      <c r="Z2" s="6">
        <v>0</v>
      </c>
      <c r="AA2" s="6">
        <v>100</v>
      </c>
      <c r="AB2" s="6">
        <v>0</v>
      </c>
      <c r="AC2" s="102">
        <v>1</v>
      </c>
      <c r="AD2" s="24">
        <f t="shared" ref="AD2:AD13" si="3">L2</f>
        <v>330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Usagi-chan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DropWizSSS</v>
      </c>
      <c r="AH2" s="7">
        <v>1</v>
      </c>
      <c r="AI2" s="24">
        <f t="shared" ref="AI2:AI13" ca="1" si="4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si="0"/>
        <v>11230_1-2/464&lt;lv30&gt;s1</v>
      </c>
      <c r="B3" s="22">
        <v>11230</v>
      </c>
      <c r="C3" s="21">
        <v>1</v>
      </c>
      <c r="D3" s="2" t="str">
        <f t="shared" si="1"/>
        <v>11230_1</v>
      </c>
      <c r="E3" s="4" t="str">
        <f ca="1">VLOOKUP($B3,OFFSET([2]quests!$A$1,0,0,COUNTA([2]quests!$A:$A),MATCH(E$1,[2]quests!$1:$1,0)-MATCH($B$1,[2]quests!$1:$1,0)+1),MATCH(E$1,[2]quests!$1:$1,0)-MATCH($B$1,[2]quests!$1:$1,0)+1,FALSE)</f>
        <v>未知のウィルス大捜査！</v>
      </c>
      <c r="F3" s="4" t="str">
        <f ca="1">VLOOKUP($D3,OFFSET([2]stages!$A$1,0,0,COUNTA([2]stages!$A:$A),MATCH(F$1,[2]stages!$2:$2,0)-MATCH($D$1,[2]stages!$2:$2,0)+1),MATCH(F$1,[2]stages!$2:$2,0)-MATCH($D$1,[2]stages!$2:$2,0)+1,FALSE)</f>
        <v>【前編】未知のウィルス大捜査</v>
      </c>
      <c r="G3" s="21">
        <v>2</v>
      </c>
      <c r="H3" s="15" t="str">
        <f t="shared" si="2"/>
        <v>11230_1-2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250</v>
      </c>
      <c r="L3" s="20">
        <v>464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円熟の弾導 ガウェイン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30</v>
      </c>
      <c r="S3" s="25">
        <v>5</v>
      </c>
      <c r="T3" s="97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364945</v>
      </c>
      <c r="U3" s="25">
        <v>1</v>
      </c>
      <c r="V3" s="97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2952</v>
      </c>
      <c r="W3" s="5">
        <v>99999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心中は察するが…_x000D_閉じこもったって何も解決しないだろうに</v>
      </c>
      <c r="Y3" s="99">
        <v>11230102</v>
      </c>
      <c r="Z3" s="6">
        <v>0</v>
      </c>
      <c r="AA3" s="6">
        <v>100</v>
      </c>
      <c r="AB3" s="6">
        <v>0</v>
      </c>
      <c r="AC3" s="102">
        <v>1</v>
      </c>
      <c r="AD3" s="24">
        <f t="shared" si="3"/>
        <v>464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円熟の弾導 ガウェイン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4">
        <f t="shared" ca="1" si="4"/>
        <v>5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11230_1-3/233&lt;lv30&gt;s1</v>
      </c>
      <c r="B4" s="22">
        <v>11230</v>
      </c>
      <c r="C4" s="21">
        <v>1</v>
      </c>
      <c r="D4" s="2" t="str">
        <f t="shared" si="1"/>
        <v>11230_1</v>
      </c>
      <c r="E4" s="4" t="str">
        <f ca="1">VLOOKUP($B4,OFFSET([2]quests!$A$1,0,0,COUNTA([2]quests!$A:$A),MATCH(E$1,[2]quests!$1:$1,0)-MATCH($B$1,[2]quests!$1:$1,0)+1),MATCH(E$1,[2]quests!$1:$1,0)-MATCH($B$1,[2]quests!$1:$1,0)+1,FALSE)</f>
        <v>未知のウィルス大捜査！</v>
      </c>
      <c r="F4" s="4" t="str">
        <f ca="1">VLOOKUP($D4,OFFSET([2]stages!$A$1,0,0,COUNTA([2]stages!$A:$A),MATCH(F$1,[2]stages!$2:$2,0)-MATCH($D$1,[2]stages!$2:$2,0)+1),MATCH(F$1,[2]stages!$2:$2,0)-MATCH($D$1,[2]stages!$2:$2,0)+1,FALSE)</f>
        <v>【前編】未知のウィルス大捜査</v>
      </c>
      <c r="G4" s="21">
        <v>3</v>
      </c>
      <c r="H4" s="15" t="str">
        <f t="shared" si="2"/>
        <v>11230_1-3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233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遂行 パーシヴァル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30</v>
      </c>
      <c r="S4" s="25">
        <v>4.5</v>
      </c>
      <c r="T4" s="97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155898</v>
      </c>
      <c r="U4" s="25">
        <v>1</v>
      </c>
      <c r="V4" s="97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2789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パーシヴァルとトリスタンが_x000D_機関長室の前で話している</v>
      </c>
      <c r="Y4" s="99">
        <v>11230103</v>
      </c>
      <c r="Z4" s="6">
        <v>0</v>
      </c>
      <c r="AA4" s="6">
        <v>100</v>
      </c>
      <c r="AB4" s="6">
        <v>0</v>
      </c>
      <c r="AC4" s="102">
        <v>1</v>
      </c>
      <c r="AD4" s="24">
        <f t="shared" si="3"/>
        <v>233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遂行 パーシヴァル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4">
        <f t="shared" ca="1" si="4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11230_1-3/470&lt;lv30&gt;s1</v>
      </c>
      <c r="B5" s="22">
        <v>11230</v>
      </c>
      <c r="C5" s="21">
        <v>1</v>
      </c>
      <c r="D5" s="2" t="str">
        <f t="shared" si="1"/>
        <v>11230_1</v>
      </c>
      <c r="E5" s="4" t="str">
        <f ca="1">VLOOKUP($B5,OFFSET([2]quests!$A$1,0,0,COUNTA([2]quests!$A:$A),MATCH(E$1,[2]quests!$1:$1,0)-MATCH($B$1,[2]quests!$1:$1,0)+1),MATCH(E$1,[2]quests!$1:$1,0)-MATCH($B$1,[2]quests!$1:$1,0)+1,FALSE)</f>
        <v>未知のウィルス大捜査！</v>
      </c>
      <c r="F5" s="4" t="str">
        <f ca="1">VLOOKUP($D5,OFFSET([2]stages!$A$1,0,0,COUNTA([2]stages!$A:$A),MATCH(F$1,[2]stages!$2:$2,0)-MATCH($D$1,[2]stages!$2:$2,0)+1),MATCH(F$1,[2]stages!$2:$2,0)-MATCH($D$1,[2]stages!$2:$2,0)+1,FALSE)</f>
        <v>【前編】未知のウィルス大捜査</v>
      </c>
      <c r="G5" s="21">
        <v>3</v>
      </c>
      <c r="H5" s="15" t="str">
        <f t="shared" si="2"/>
        <v>11230_1-3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20">
        <v>470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純心 トリスタン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30</v>
      </c>
      <c r="S5" s="25">
        <v>4.2</v>
      </c>
      <c r="T5" s="97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158436.6</v>
      </c>
      <c r="U5" s="25">
        <v>1</v>
      </c>
      <c r="V5" s="97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4248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僕も、突然ああなったら恥ずかしいよ…_x000D_だから…気持ちは分かるな…</v>
      </c>
      <c r="Y5" s="99">
        <v>11230104</v>
      </c>
      <c r="Z5" s="6">
        <v>0</v>
      </c>
      <c r="AA5" s="6">
        <v>100</v>
      </c>
      <c r="AB5" s="6">
        <v>1</v>
      </c>
      <c r="AC5" s="102">
        <v>1</v>
      </c>
      <c r="AD5" s="24">
        <f t="shared" si="3"/>
        <v>470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純心 トリスタン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11230_1-4/1471&lt;lv30&gt;s1</v>
      </c>
      <c r="B6" s="22">
        <v>11230</v>
      </c>
      <c r="C6" s="21">
        <v>1</v>
      </c>
      <c r="D6" s="2" t="str">
        <f t="shared" si="1"/>
        <v>11230_1</v>
      </c>
      <c r="E6" s="4" t="str">
        <f ca="1">VLOOKUP($B6,OFFSET([2]quests!$A$1,0,0,COUNTA([2]quests!$A:$A),MATCH(E$1,[2]quests!$1:$1,0)-MATCH($B$1,[2]quests!$1:$1,0)+1),MATCH(E$1,[2]quests!$1:$1,0)-MATCH($B$1,[2]quests!$1:$1,0)+1,FALSE)</f>
        <v>未知のウィルス大捜査！</v>
      </c>
      <c r="F6" s="4" t="str">
        <f ca="1">VLOOKUP($D6,OFFSET([2]stages!$A$1,0,0,COUNTA([2]stages!$A:$A),MATCH(F$1,[2]stages!$2:$2,0)-MATCH($D$1,[2]stages!$2:$2,0)+1),MATCH(F$1,[2]stages!$2:$2,0)-MATCH($D$1,[2]stages!$2:$2,0)+1,FALSE)</f>
        <v>【前編】未知のウィルス大捜査</v>
      </c>
      <c r="G6" s="21">
        <v>4</v>
      </c>
      <c r="H6" s="15" t="str">
        <f t="shared" si="2"/>
        <v>11230_1-4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3</v>
      </c>
      <c r="L6" s="20">
        <v>1471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エイプリルアーサー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30</v>
      </c>
      <c r="S6" s="25">
        <v>3</v>
      </c>
      <c r="T6" s="97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120393</v>
      </c>
      <c r="U6" s="25">
        <v>1</v>
      </c>
      <c r="V6" s="97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3226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扉をぶち破って現れるなんて…_x000D_こんな姿だが、応じないわけにはいかないか！</v>
      </c>
      <c r="Y6" s="99">
        <v>11230105</v>
      </c>
      <c r="Z6" s="6">
        <v>0</v>
      </c>
      <c r="AA6" s="6">
        <v>100</v>
      </c>
      <c r="AB6" s="6">
        <v>0</v>
      </c>
      <c r="AC6" s="102">
        <v>1</v>
      </c>
      <c r="AD6" s="24">
        <f t="shared" si="3"/>
        <v>1471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エイプリルアーサー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6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7">
        <v>1</v>
      </c>
      <c r="AI6" s="24">
        <f t="shared" ca="1" si="4"/>
        <v>6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si="0"/>
        <v>11230_2-1/330&lt;lv30&gt;s1</v>
      </c>
      <c r="B7" s="22">
        <v>11230</v>
      </c>
      <c r="C7" s="21">
        <v>2</v>
      </c>
      <c r="D7" s="2" t="str">
        <f t="shared" si="1"/>
        <v>11230_2</v>
      </c>
      <c r="E7" s="4" t="str">
        <f ca="1">VLOOKUP($B7,OFFSET([2]quests!$A$1,0,0,COUNTA([2]quests!$A:$A),MATCH(E$1,[2]quests!$1:$1,0)-MATCH($B$1,[2]quests!$1:$1,0)+1),MATCH(E$1,[2]quests!$1:$1,0)-MATCH($B$1,[2]quests!$1:$1,0)+1,FALSE)</f>
        <v>未知のウィルス大捜査！</v>
      </c>
      <c r="F7" s="4" t="str">
        <f ca="1">VLOOKUP($D7,OFFSET([2]stages!$A$1,0,0,COUNTA([2]stages!$A:$A),MATCH(F$1,[2]stages!$2:$2,0)-MATCH($D$1,[2]stages!$2:$2,0)+1),MATCH(F$1,[2]stages!$2:$2,0)-MATCH($D$1,[2]stages!$2:$2,0)+1,FALSE)</f>
        <v>【後編】未知のウィルス大捜査</v>
      </c>
      <c r="G7" s="21">
        <v>1</v>
      </c>
      <c r="H7" s="15" t="str">
        <f t="shared" si="2"/>
        <v>11230_2-1</v>
      </c>
      <c r="I7" s="4">
        <f ca="1">VLOOKUP($H7,OFFSET(floors!$A$1,0,0,COUNTA(floors!$A:$A),MATCH(I$1,floors!$1:$1,0)-MATCH($H$1,floors!$1:$1,0)+1),MATCH(I$1,floors!$1:$1,0)-MATCH($H$1,floors!$1:$1,0)+1,FALSE)</f>
        <v>15</v>
      </c>
      <c r="J7" s="4">
        <f ca="1">VLOOKUP($H7,OFFSET(floors!$A$1,0,0,COUNTA(floors!$A:$A),MATCH(J$1,floors!$1:$1,0)-MATCH($H$1,floors!$1:$1,0)+1),MATCH(J$1,floors!$1:$1,0)-MATCH($H$1,floors!$1:$1,0)+1,FALSE)</f>
        <v>15</v>
      </c>
      <c r="K7" s="38" t="s">
        <v>88</v>
      </c>
      <c r="L7" s="20">
        <v>330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Usagi-chan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DropWizSSS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30</v>
      </c>
      <c r="S7" s="25">
        <v>5</v>
      </c>
      <c r="T7" s="97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267750</v>
      </c>
      <c r="U7" s="25">
        <v>1</v>
      </c>
      <c r="V7" s="97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3371</v>
      </c>
      <c r="W7" s="5">
        <v>99999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「事件の黒幕を突き止めた！_x000D_　だが、ウィルスの影響で一人で_x000D_　追い詰めるのが難しい。協力してくれ！」</v>
      </c>
      <c r="Y7" s="99">
        <v>11230201</v>
      </c>
      <c r="Z7" s="6">
        <v>0</v>
      </c>
      <c r="AA7" s="6">
        <v>100</v>
      </c>
      <c r="AB7" s="6">
        <v>0</v>
      </c>
      <c r="AC7" s="102">
        <v>1</v>
      </c>
      <c r="AD7" s="24">
        <f t="shared" si="3"/>
        <v>330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Usagi-chan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DropWizSSS</v>
      </c>
      <c r="AH7" s="7">
        <v>1</v>
      </c>
      <c r="AI7" s="24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si="0"/>
        <v>11230_2-2/468&lt;lv30&gt;s1</v>
      </c>
      <c r="B8" s="22">
        <v>11230</v>
      </c>
      <c r="C8" s="21">
        <v>2</v>
      </c>
      <c r="D8" s="2" t="str">
        <f t="shared" si="1"/>
        <v>11230_2</v>
      </c>
      <c r="E8" s="4" t="str">
        <f ca="1">VLOOKUP($B8,OFFSET([2]quests!$A$1,0,0,COUNTA([2]quests!$A:$A),MATCH(E$1,[2]quests!$1:$1,0)-MATCH($B$1,[2]quests!$1:$1,0)+1),MATCH(E$1,[2]quests!$1:$1,0)-MATCH($B$1,[2]quests!$1:$1,0)+1,FALSE)</f>
        <v>未知のウィルス大捜査！</v>
      </c>
      <c r="F8" s="4" t="str">
        <f ca="1">VLOOKUP($D8,OFFSET([2]stages!$A$1,0,0,COUNTA([2]stages!$A:$A),MATCH(F$1,[2]stages!$2:$2,0)-MATCH($D$1,[2]stages!$2:$2,0)+1),MATCH(F$1,[2]stages!$2:$2,0)-MATCH($D$1,[2]stages!$2:$2,0)+1,FALSE)</f>
        <v>【後編】未知のウィルス大捜査</v>
      </c>
      <c r="G8" s="21">
        <v>2</v>
      </c>
      <c r="H8" s="15" t="str">
        <f t="shared" si="2"/>
        <v>11230_2-2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88</v>
      </c>
      <c r="L8" s="20">
        <v>468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憎愛の尖鋒 モルドレッド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30</v>
      </c>
      <c r="S8" s="25">
        <v>5</v>
      </c>
      <c r="T8" s="97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226515</v>
      </c>
      <c r="U8" s="25">
        <v>1</v>
      </c>
      <c r="V8" s="97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3004</v>
      </c>
      <c r="W8" s="5">
        <v>99999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向かう途中、元・円卓の騎士のモルドレッドと出会った！</v>
      </c>
      <c r="Y8" s="99">
        <v>11230202</v>
      </c>
      <c r="Z8" s="6">
        <v>0</v>
      </c>
      <c r="AA8" s="6">
        <v>100</v>
      </c>
      <c r="AB8" s="6">
        <v>1</v>
      </c>
      <c r="AC8" s="102">
        <v>1</v>
      </c>
      <c r="AD8" s="24">
        <f t="shared" si="3"/>
        <v>468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憎愛の尖鋒 モルドレッド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8" s="7">
        <v>1</v>
      </c>
      <c r="AI8" s="24">
        <f t="shared" ca="1" si="4"/>
        <v>5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si="0"/>
        <v>11230_2-2/466&lt;lv30&gt;s1</v>
      </c>
      <c r="B9" s="22">
        <v>11230</v>
      </c>
      <c r="C9" s="21">
        <v>2</v>
      </c>
      <c r="D9" s="2" t="str">
        <f t="shared" si="1"/>
        <v>11230_2</v>
      </c>
      <c r="E9" s="4" t="str">
        <f ca="1">VLOOKUP($B9,OFFSET([2]quests!$A$1,0,0,COUNTA([2]quests!$A:$A),MATCH(E$1,[2]quests!$1:$1,0)-MATCH($B$1,[2]quests!$1:$1,0)+1),MATCH(E$1,[2]quests!$1:$1,0)-MATCH($B$1,[2]quests!$1:$1,0)+1,FALSE)</f>
        <v>未知のウィルス大捜査！</v>
      </c>
      <c r="F9" s="4" t="str">
        <f ca="1">VLOOKUP($D9,OFFSET([2]stages!$A$1,0,0,COUNTA([2]stages!$A:$A),MATCH(F$1,[2]stages!$2:$2,0)-MATCH($D$1,[2]stages!$2:$2,0)+1),MATCH(F$1,[2]stages!$2:$2,0)-MATCH($D$1,[2]stages!$2:$2,0)+1,FALSE)</f>
        <v>【後編】未知のウィルス大捜査</v>
      </c>
      <c r="G9" s="21">
        <v>2</v>
      </c>
      <c r="H9" s="15" t="str">
        <f t="shared" si="2"/>
        <v>11230_2-2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88</v>
      </c>
      <c r="L9" s="20">
        <v>466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真断の勇覇 ランスロット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30</v>
      </c>
      <c r="S9" s="25">
        <v>5</v>
      </c>
      <c r="T9" s="97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256720</v>
      </c>
      <c r="U9" s="25">
        <v>1</v>
      </c>
      <c r="V9" s="97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3337</v>
      </c>
      <c r="W9" s="5">
        <v>99999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向かう途中、元・円卓の騎士のランスロットと出会った！</v>
      </c>
      <c r="Y9" s="99">
        <v>11230203</v>
      </c>
      <c r="Z9" s="6">
        <v>0</v>
      </c>
      <c r="AA9" s="6">
        <v>100</v>
      </c>
      <c r="AB9" s="6">
        <v>1</v>
      </c>
      <c r="AC9" s="102">
        <v>1</v>
      </c>
      <c r="AD9" s="24">
        <f t="shared" si="3"/>
        <v>466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真断の勇覇 ランスロット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9" s="7">
        <v>1</v>
      </c>
      <c r="AI9" s="24">
        <f t="shared" ca="1" si="4"/>
        <v>5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si="0"/>
        <v>11230_2-2/769&lt;lv30&gt;s1</v>
      </c>
      <c r="B10" s="22">
        <v>11230</v>
      </c>
      <c r="C10" s="21">
        <v>2</v>
      </c>
      <c r="D10" s="2" t="str">
        <f t="shared" si="1"/>
        <v>11230_2</v>
      </c>
      <c r="E10" s="4" t="str">
        <f ca="1">VLOOKUP($B10,OFFSET([2]quests!$A$1,0,0,COUNTA([2]quests!$A:$A),MATCH(E$1,[2]quests!$1:$1,0)-MATCH($B$1,[2]quests!$1:$1,0)+1),MATCH(E$1,[2]quests!$1:$1,0)-MATCH($B$1,[2]quests!$1:$1,0)+1,FALSE)</f>
        <v>未知のウィルス大捜査！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【後編】未知のウィルス大捜査</v>
      </c>
      <c r="G10" s="21">
        <v>2</v>
      </c>
      <c r="H10" s="15" t="str">
        <f t="shared" si="2"/>
        <v>11230_2-2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88</v>
      </c>
      <c r="L10" s="20">
        <v>769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白域・純双剣 ガレス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30</v>
      </c>
      <c r="S10" s="25">
        <v>5</v>
      </c>
      <c r="T10" s="97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231045</v>
      </c>
      <c r="U10" s="25">
        <v>1</v>
      </c>
      <c r="V10" s="97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3004</v>
      </c>
      <c r="W10" s="5">
        <v>99999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向かう途中、元・円卓の騎士のガレスと出会った！</v>
      </c>
      <c r="Y10" s="99">
        <v>11230204</v>
      </c>
      <c r="Z10" s="6">
        <v>0</v>
      </c>
      <c r="AA10" s="6">
        <v>100</v>
      </c>
      <c r="AB10" s="6">
        <v>1</v>
      </c>
      <c r="AC10" s="102">
        <v>1</v>
      </c>
      <c r="AD10" s="24">
        <f t="shared" si="3"/>
        <v>769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白域・純双剣 ガレス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5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7">
        <v>1</v>
      </c>
      <c r="AI10" s="24">
        <f t="shared" ca="1" si="4"/>
        <v>5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si="0"/>
        <v>11230_2-2/765&lt;lv30&gt;s1</v>
      </c>
      <c r="B11" s="22">
        <v>11230</v>
      </c>
      <c r="C11" s="21">
        <v>2</v>
      </c>
      <c r="D11" s="2" t="str">
        <f t="shared" si="1"/>
        <v>11230_2</v>
      </c>
      <c r="E11" s="4" t="str">
        <f ca="1">VLOOKUP($B11,OFFSET([2]quests!$A$1,0,0,COUNTA([2]quests!$A:$A),MATCH(E$1,[2]quests!$1:$1,0)-MATCH($B$1,[2]quests!$1:$1,0)+1),MATCH(E$1,[2]quests!$1:$1,0)-MATCH($B$1,[2]quests!$1:$1,0)+1,FALSE)</f>
        <v>未知のウィルス大捜査！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【後編】未知のウィルス大捜査</v>
      </c>
      <c r="G11" s="21">
        <v>2</v>
      </c>
      <c r="H11" s="15" t="str">
        <f t="shared" si="2"/>
        <v>11230_2-2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88</v>
      </c>
      <c r="L11" s="20">
        <v>765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逆襲獣皇 ライオネル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30</v>
      </c>
      <c r="S11" s="25">
        <v>5</v>
      </c>
      <c r="T11" s="97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262395</v>
      </c>
      <c r="U11" s="25">
        <v>1</v>
      </c>
      <c r="V11" s="97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3822</v>
      </c>
      <c r="W11" s="5">
        <v>99999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向かう途中、元・円卓の騎士のライオネルと出会った！</v>
      </c>
      <c r="Y11" s="99">
        <v>11230205</v>
      </c>
      <c r="Z11" s="6">
        <v>0</v>
      </c>
      <c r="AA11" s="6">
        <v>100</v>
      </c>
      <c r="AB11" s="6">
        <v>1</v>
      </c>
      <c r="AC11" s="102">
        <v>1</v>
      </c>
      <c r="AD11" s="24">
        <f t="shared" si="3"/>
        <v>765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逆襲獣皇 ライオネル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" s="7">
        <v>1</v>
      </c>
      <c r="AI11" s="24">
        <f t="shared" ca="1" si="4"/>
        <v>5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si="0"/>
        <v>11230_2-3/1471&lt;lv30&gt;s1</v>
      </c>
      <c r="B12" s="22">
        <v>11230</v>
      </c>
      <c r="C12" s="21">
        <v>2</v>
      </c>
      <c r="D12" s="2" t="str">
        <f t="shared" si="1"/>
        <v>11230_2</v>
      </c>
      <c r="E12" s="4" t="str">
        <f ca="1">VLOOKUP($B12,OFFSET([2]quests!$A$1,0,0,COUNTA([2]quests!$A:$A),MATCH(E$1,[2]quests!$1:$1,0)-MATCH($B$1,[2]quests!$1:$1,0)+1),MATCH(E$1,[2]quests!$1:$1,0)-MATCH($B$1,[2]quests!$1:$1,0)+1,FALSE)</f>
        <v>未知のウィルス大捜査！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【後編】未知のウィルス大捜査</v>
      </c>
      <c r="G12" s="21">
        <v>3</v>
      </c>
      <c r="H12" s="15" t="str">
        <f t="shared" si="2"/>
        <v>11230_2-3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88</v>
      </c>
      <c r="L12" s="20">
        <v>1471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エイプリルアーサー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DropWizS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7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30</v>
      </c>
      <c r="S12" s="25">
        <v>5</v>
      </c>
      <c r="T12" s="97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200655</v>
      </c>
      <c r="U12" s="25">
        <v>1</v>
      </c>
      <c r="V12" s="97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3226</v>
      </c>
      <c r="W12" s="5">
        <v>99999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この先に今回の事件の黒幕がいる。_x000D_そこまでは突き止めたんだ。</v>
      </c>
      <c r="Y12" s="99">
        <v>11230206</v>
      </c>
      <c r="Z12" s="6">
        <v>0</v>
      </c>
      <c r="AA12" s="6">
        <v>100</v>
      </c>
      <c r="AB12" s="6">
        <v>0</v>
      </c>
      <c r="AC12" s="102">
        <v>1</v>
      </c>
      <c r="AD12" s="24">
        <f t="shared" si="3"/>
        <v>1471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エイプリルアーサー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6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2" s="7">
        <v>1</v>
      </c>
      <c r="AI12" s="24">
        <f t="shared" ca="1" si="4"/>
        <v>6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x14ac:dyDescent="0.15">
      <c r="A13" s="16" t="str">
        <f t="shared" si="0"/>
        <v>11230_2-4/10101&lt;lv30&gt;s1</v>
      </c>
      <c r="B13" s="22">
        <v>11230</v>
      </c>
      <c r="C13" s="21">
        <v>2</v>
      </c>
      <c r="D13" s="2" t="str">
        <f t="shared" si="1"/>
        <v>11230_2</v>
      </c>
      <c r="E13" s="4" t="str">
        <f ca="1">VLOOKUP($B13,OFFSET([2]quests!$A$1,0,0,COUNTA([2]quests!$A:$A),MATCH(E$1,[2]quests!$1:$1,0)-MATCH($B$1,[2]quests!$1:$1,0)+1),MATCH(E$1,[2]quests!$1:$1,0)-MATCH($B$1,[2]quests!$1:$1,0)+1,FALSE)</f>
        <v>未知のウィルス大捜査！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【後編】未知のウィルス大捜査</v>
      </c>
      <c r="G13" s="21">
        <v>4</v>
      </c>
      <c r="H13" s="15" t="str">
        <f t="shared" si="2"/>
        <v>11230_2-4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4</v>
      </c>
      <c r="L13" s="20">
        <v>10101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Usagi-kun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30</v>
      </c>
      <c r="S13" s="25">
        <v>5</v>
      </c>
      <c r="T13" s="97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0</v>
      </c>
      <c r="U13" s="25">
        <v>1</v>
      </c>
      <c r="V13" s="97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0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オレは女王様の眷属にして、黒き暗黒の使徒。_x000D_その名も　Usagi-kun　だ…！</v>
      </c>
      <c r="Y13" s="99">
        <v>11230207</v>
      </c>
      <c r="Z13" s="6">
        <v>0</v>
      </c>
      <c r="AA13" s="6">
        <v>100</v>
      </c>
      <c r="AB13" s="6">
        <v>0</v>
      </c>
      <c r="AC13" s="102">
        <v>1</v>
      </c>
      <c r="AD13" s="24">
        <f t="shared" si="3"/>
        <v>10101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Usagi-kun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6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4">
        <f t="shared" ca="1" si="4"/>
        <v>6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6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17" sqref="T17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6" t="s">
        <v>245</v>
      </c>
      <c r="V1" s="26" t="s">
        <v>50</v>
      </c>
      <c r="W1" s="96" t="s">
        <v>246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11230_1-3/233&lt;lv30&gt;sq1st2</v>
      </c>
      <c r="B2" s="22">
        <v>11230</v>
      </c>
      <c r="C2" s="21">
        <v>1</v>
      </c>
      <c r="D2" s="2" t="str">
        <f>B2&amp;"_"&amp;C2</f>
        <v>11230_1</v>
      </c>
      <c r="E2" s="4" t="str">
        <f ca="1">VLOOKUP($B2,OFFSET([2]quests!$A$1,0,0,COUNTA([2]quests!$A:$A),MATCH(E$1,[2]quests!$1:$1,0)-MATCH($B$1,[2]quests!$1:$1,0)+1),MATCH(E$1,[2]quests!$1:$1,0)-MATCH($B$1,[2]quests!$1:$1,0)+1,FALSE)</f>
        <v>未知のウィルス大捜査！</v>
      </c>
      <c r="F2" s="4" t="str">
        <f ca="1">VLOOKUP($D2,OFFSET([2]stages!$A$1,0,0,COUNTA([2]stages!$A:$A),MATCH(F$1,[2]stages!$2:$2,0)-MATCH($D$1,[2]stages!$2:$2,0)+1),MATCH(F$1,[2]stages!$2:$2,0)-MATCH($D$1,[2]stages!$2:$2,0)+1,FALSE)</f>
        <v>【前編】未知のウィルス大捜査</v>
      </c>
      <c r="G2" s="21">
        <v>3</v>
      </c>
      <c r="H2" s="15" t="str">
        <f>B2&amp;"_"&amp;C2&amp;"-"&amp;G2</f>
        <v>11230_1-3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233</v>
      </c>
      <c r="N2" s="17" t="str">
        <f ca="1">VLOOKUP($M2,OFFSET([3]enemies!$A$1,0,0,COUNTA([3]enemies!$A:$A),MATCH(N$1,[3]enemies!$1:$1,0)-MATCH($M$1,[3]enemies!$1:$1,0)+1),MATCH(N$1,[3]enemies!$1:$1,0)-MATCH($M$1,[3]enemies!$1:$1,0)+1,FALSE)</f>
        <v>遂行 パーシヴァル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30</v>
      </c>
      <c r="T2" s="25">
        <v>6</v>
      </c>
      <c r="U2" s="97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207864</v>
      </c>
      <c r="V2" s="25">
        <v>1</v>
      </c>
      <c r="W2" s="97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2789</v>
      </c>
      <c r="X2" s="5">
        <v>99999</v>
      </c>
      <c r="Y2" s="4" t="s">
        <v>249</v>
      </c>
      <c r="Z2" s="100">
        <v>11230107</v>
      </c>
      <c r="AA2" s="101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11230_1-3/470&lt;lv30&gt;sq2st2</v>
      </c>
      <c r="B3" s="22">
        <v>11230</v>
      </c>
      <c r="C3" s="21">
        <v>1</v>
      </c>
      <c r="D3" s="2" t="str">
        <f>B3&amp;"_"&amp;C3</f>
        <v>11230_1</v>
      </c>
      <c r="E3" s="4" t="str">
        <f ca="1">VLOOKUP($B3,OFFSET([2]quests!$A$1,0,0,COUNTA([2]quests!$A:$A),MATCH(E$1,[2]quests!$1:$1,0)-MATCH($B$1,[2]quests!$1:$1,0)+1),MATCH(E$1,[2]quests!$1:$1,0)-MATCH($B$1,[2]quests!$1:$1,0)+1,FALSE)</f>
        <v>未知のウィルス大捜査！</v>
      </c>
      <c r="F3" s="4" t="str">
        <f ca="1">VLOOKUP($D3,OFFSET([2]stages!$A$1,0,0,COUNTA([2]stages!$A:$A),MATCH(F$1,[2]stages!$2:$2,0)-MATCH($D$1,[2]stages!$2:$2,0)+1),MATCH(F$1,[2]stages!$2:$2,0)-MATCH($D$1,[2]stages!$2:$2,0)+1,FALSE)</f>
        <v>【前編】未知のウィルス大捜査</v>
      </c>
      <c r="G3" s="21">
        <v>3</v>
      </c>
      <c r="H3" s="15" t="str">
        <f>B3&amp;"_"&amp;C3&amp;"-"&amp;G3</f>
        <v>11230_1-3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470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純心 トリスタン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30</v>
      </c>
      <c r="T3" s="25">
        <v>5.6</v>
      </c>
      <c r="U3" s="97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211248.8</v>
      </c>
      <c r="V3" s="25">
        <v>1</v>
      </c>
      <c r="W3" s="97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4248</v>
      </c>
      <c r="X3" s="5">
        <v>99999</v>
      </c>
      <c r="Y3" s="4" t="s">
        <v>249</v>
      </c>
      <c r="Z3" s="100">
        <v>11230108</v>
      </c>
      <c r="AA3" s="101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11230_1-4/1471&lt;lv30&gt;sq3st2</v>
      </c>
      <c r="B4" s="22">
        <v>11230</v>
      </c>
      <c r="C4" s="21">
        <v>1</v>
      </c>
      <c r="D4" s="2" t="str">
        <f>B4&amp;"_"&amp;C4</f>
        <v>11230_1</v>
      </c>
      <c r="E4" s="4" t="str">
        <f ca="1">VLOOKUP($B4,OFFSET([2]quests!$A$1,0,0,COUNTA([2]quests!$A:$A),MATCH(E$1,[2]quests!$1:$1,0)-MATCH($B$1,[2]quests!$1:$1,0)+1),MATCH(E$1,[2]quests!$1:$1,0)-MATCH($B$1,[2]quests!$1:$1,0)+1,FALSE)</f>
        <v>未知のウィルス大捜査！</v>
      </c>
      <c r="F4" s="4" t="str">
        <f ca="1">VLOOKUP($D4,OFFSET([2]stages!$A$1,0,0,COUNTA([2]stages!$A:$A),MATCH(F$1,[2]stages!$2:$2,0)-MATCH($D$1,[2]stages!$2:$2,0)+1),MATCH(F$1,[2]stages!$2:$2,0)-MATCH($D$1,[2]stages!$2:$2,0)+1,FALSE)</f>
        <v>【前編】未知のウィルス大捜査</v>
      </c>
      <c r="G4" s="21">
        <v>4</v>
      </c>
      <c r="H4" s="15" t="str">
        <f>B4&amp;"_"&amp;C4&amp;"-"&amp;G4</f>
        <v>11230_1-4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1471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エイプリルアーサー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30</v>
      </c>
      <c r="T4" s="25">
        <v>5</v>
      </c>
      <c r="U4" s="97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200655</v>
      </c>
      <c r="V4" s="25">
        <v>1</v>
      </c>
      <c r="W4" s="97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3226</v>
      </c>
      <c r="X4" s="5">
        <v>0</v>
      </c>
      <c r="Y4" s="4" t="s">
        <v>249</v>
      </c>
      <c r="Z4" s="100">
        <v>11230106</v>
      </c>
      <c r="AA4" s="101">
        <v>1</v>
      </c>
    </row>
    <row r="5" spans="1:27" ht="21" customHeight="1" x14ac:dyDescent="0.15">
      <c r="A5" s="16" t="str">
        <f>B5&amp;"_"&amp;C5&amp;"-"&amp;G5&amp;"/"&amp;M5&amp;"&lt;lv"&amp;S5&amp;"&gt;sq"&amp;K5&amp;"st"&amp;L5</f>
        <v>11230_2-4/1471&lt;lv30&gt;sq4st2</v>
      </c>
      <c r="B5" s="22">
        <v>11230</v>
      </c>
      <c r="C5" s="21">
        <v>2</v>
      </c>
      <c r="D5" s="2" t="str">
        <f>B5&amp;"_"&amp;C5</f>
        <v>11230_2</v>
      </c>
      <c r="E5" s="4" t="str">
        <f ca="1">VLOOKUP($B5,OFFSET([2]quests!$A$1,0,0,COUNTA([2]quests!$A:$A),MATCH(E$1,[2]quests!$1:$1,0)-MATCH($B$1,[2]quests!$1:$1,0)+1),MATCH(E$1,[2]quests!$1:$1,0)-MATCH($B$1,[2]quests!$1:$1,0)+1,FALSE)</f>
        <v>未知のウィルス大捜査！</v>
      </c>
      <c r="F5" s="4" t="str">
        <f ca="1">VLOOKUP($D5,OFFSET([2]stages!$A$1,0,0,COUNTA([2]stages!$A:$A),MATCH(F$1,[2]stages!$2:$2,0)-MATCH($D$1,[2]stages!$2:$2,0)+1),MATCH(F$1,[2]stages!$2:$2,0)-MATCH($D$1,[2]stages!$2:$2,0)+1,FALSE)</f>
        <v>【後編】未知のウィルス大捜査</v>
      </c>
      <c r="G5" s="21">
        <v>4</v>
      </c>
      <c r="H5" s="15" t="str">
        <f>B5&amp;"_"&amp;C5&amp;"-"&amp;G5</f>
        <v>11230_2-4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38">
        <v>2</v>
      </c>
      <c r="M5" s="20">
        <v>1471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エイプリルアーサー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30</v>
      </c>
      <c r="T5" s="25">
        <v>5</v>
      </c>
      <c r="U5" s="97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200655</v>
      </c>
      <c r="V5" s="25">
        <v>1</v>
      </c>
      <c r="W5" s="97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3226</v>
      </c>
      <c r="X5" s="5">
        <v>0</v>
      </c>
      <c r="Y5" s="4" t="s">
        <v>249</v>
      </c>
      <c r="Z5" s="100">
        <v>11230208</v>
      </c>
      <c r="AA5" s="101">
        <v>1</v>
      </c>
    </row>
    <row r="6" spans="1:27" ht="21" customHeight="1" x14ac:dyDescent="0.15">
      <c r="A6" s="16" t="str">
        <f>B6&amp;"_"&amp;C6&amp;"-"&amp;G6&amp;"/"&amp;M6&amp;"&lt;lv"&amp;S6&amp;"&gt;sq"&amp;K6&amp;"st"&amp;L6</f>
        <v>11230_2-4/10101&lt;lv30&gt;sq4st3</v>
      </c>
      <c r="B6" s="22">
        <v>11230</v>
      </c>
      <c r="C6" s="21">
        <v>2</v>
      </c>
      <c r="D6" s="2" t="str">
        <f>B6&amp;"_"&amp;C6</f>
        <v>11230_2</v>
      </c>
      <c r="E6" s="4" t="str">
        <f ca="1">VLOOKUP($B6,OFFSET([2]quests!$A$1,0,0,COUNTA([2]quests!$A:$A),MATCH(E$1,[2]quests!$1:$1,0)-MATCH($B$1,[2]quests!$1:$1,0)+1),MATCH(E$1,[2]quests!$1:$1,0)-MATCH($B$1,[2]quests!$1:$1,0)+1,FALSE)</f>
        <v>未知のウィルス大捜査！</v>
      </c>
      <c r="F6" s="4" t="str">
        <f ca="1">VLOOKUP($D6,OFFSET([2]stages!$A$1,0,0,COUNTA([2]stages!$A:$A),MATCH(F$1,[2]stages!$2:$2,0)-MATCH($D$1,[2]stages!$2:$2,0)+1),MATCH(F$1,[2]stages!$2:$2,0)-MATCH($D$1,[2]stages!$2:$2,0)+1,FALSE)</f>
        <v>【後編】未知のウィルス大捜査</v>
      </c>
      <c r="G6" s="21">
        <v>4</v>
      </c>
      <c r="H6" s="15" t="str">
        <f>B6&amp;"_"&amp;C6&amp;"-"&amp;G6</f>
        <v>11230_2-4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4</v>
      </c>
      <c r="L6" s="38">
        <v>3</v>
      </c>
      <c r="M6" s="20">
        <v>10101</v>
      </c>
      <c r="N6" s="17" t="str">
        <f ca="1">VLOOKUP($M6,OFFSET([3]enemies!$A$1,0,0,COUNTA([3]enemies!$A:$A),MATCH(N$1,[3]enemies!$1:$1,0)-MATCH($M$1,[3]enemies!$1:$1,0)+1),MATCH(N$1,[3]enemies!$1:$1,0)-MATCH($M$1,[3]enemies!$1:$1,0)+1,FALSE)</f>
        <v>Usagi-kun</v>
      </c>
      <c r="O6" s="17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unknown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30</v>
      </c>
      <c r="T6" s="25">
        <v>2</v>
      </c>
      <c r="U6" s="97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0</v>
      </c>
      <c r="V6" s="25">
        <v>1</v>
      </c>
      <c r="W6" s="97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0</v>
      </c>
      <c r="X6" s="5">
        <v>0</v>
      </c>
      <c r="Y6" s="4" t="s">
        <v>249</v>
      </c>
      <c r="Z6" s="100">
        <v>11230209</v>
      </c>
      <c r="AA6" s="101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2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I17" sqref="I17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11230101_11230111</v>
      </c>
      <c r="B2" s="104">
        <v>11230101</v>
      </c>
      <c r="C2" s="104">
        <v>11230111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緊急事態です_x000D_ALICE全域にウィルスが拡大しています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事件解決のためアナタの力を貸してください</v>
      </c>
      <c r="F2" s="104">
        <v>11230111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5" si="1">B3&amp;"_"&amp;C3</f>
        <v>11230101_11230112</v>
      </c>
      <c r="B3" s="104">
        <v>11230101</v>
      </c>
      <c r="C3" s="104">
        <v>11230112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まずは円卓の騎士の本拠地_x000D_「キャメロット」に向かいましょう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ウィルスの反応が一番強い場所です_x000D_そこから調査を開始してください</v>
      </c>
      <c r="F3" s="104">
        <v>11230112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11230102_11230211</v>
      </c>
      <c r="B4" s="104">
        <v>11230102</v>
      </c>
      <c r="C4" s="104">
        <v>11230211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…ったくアーサーのやつ_x000D_らしくない事しやがるぜ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心中は察するが…_x000D_閉じこもったって何も解決しないだろうに</v>
      </c>
      <c r="F4" s="104">
        <v>11230211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11230102_11230212</v>
      </c>
      <c r="B5" s="104">
        <v>11230102</v>
      </c>
      <c r="C5" s="104">
        <v>11230212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ALICEの適合者か？_x000D_ウィルスの調査に来たって…？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ちょうどいい。協力するから力を貸してくれ。_x000D_誰かがあのバカを正気に戻してやらねーと…</v>
      </c>
      <c r="F5" s="104">
        <v>11230212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:A8" si="2">B6&amp;"_"&amp;C6</f>
        <v>11230102_11230213</v>
      </c>
      <c r="B6" s="104">
        <v>11230102</v>
      </c>
      <c r="C6" s="104">
        <v>11230213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とりあえず機関長室に向かってくれ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パーシ嬢とトリス坊が近くにいるはずだ_x000D_詳しい話はそっちで聞くといい</v>
      </c>
      <c r="F6" s="104">
        <v>11230213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2"/>
        <v>11230103_11230311</v>
      </c>
      <c r="B7" s="104">
        <v>11230103</v>
      </c>
      <c r="C7" s="104">
        <v>11230311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困ったわね…_x000D_どうしたら…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パーシヴァルとトリスタンが_x000D_機関長室の前で話している</v>
      </c>
      <c r="F7" s="104">
        <v>11230311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2"/>
        <v>11230103_11230312</v>
      </c>
      <c r="B8" s="104">
        <v>11230103</v>
      </c>
      <c r="C8" s="104">
        <v>11230312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こうなったら_x000D_いっそ力づくで…！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パーシヴァルは魔銃を解放しようとしている</v>
      </c>
      <c r="F8" s="104">
        <v>11230312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99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" si="3">B9&amp;"_"&amp;C9</f>
        <v>11230103_11230316</v>
      </c>
      <c r="B9" s="104">
        <v>11230103</v>
      </c>
      <c r="C9" s="109">
        <v>11230316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んー…_x000D_やっぱりまずいか…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9" s="109">
        <v>11230316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99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:A27" si="4">B10&amp;"_"&amp;C10</f>
        <v>11230103_11230313</v>
      </c>
      <c r="B10" s="104">
        <v>11230103</v>
      </c>
      <c r="C10" s="104">
        <v>11230313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きゃっ！_x000D_あ、あなたは…！？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…ガウェインさんに頼まれて調査に来たの？_x000D_機関長室に入りたいのね…？</v>
      </c>
      <c r="F10" s="104">
        <v>11230313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99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4"/>
        <v>11230107_11230314</v>
      </c>
      <c r="B11" s="104">
        <v>11230107</v>
      </c>
      <c r="C11" s="104">
        <v>11230314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…あなたなら_x000D_機関長室に入れるかも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アーサーは言ってたわ_x000D_「お前たち、今は入ってこないでくれ！」と…</v>
      </c>
      <c r="F11" s="104">
        <v>11230314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" si="5">B12&amp;"_"&amp;C12</f>
        <v>11230107_11230315</v>
      </c>
      <c r="B12" s="104">
        <v>11230107</v>
      </c>
      <c r="C12" s="104">
        <v>11230315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そうと決まれば_x000D_実力行使よ！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トリス！　いつもみたいにやっちゃいなさい！</v>
      </c>
      <c r="F12" s="104">
        <v>11230315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4"/>
        <v>11230104_11230411</v>
      </c>
      <c r="B13" s="104">
        <v>11230104</v>
      </c>
      <c r="C13" s="104">
        <v>11230411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アーサー…_x000D_姿が変わってた…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僕も、突然ああなったら恥ずかしいよ…_x000D_だから…気持ちは分かるな…</v>
      </c>
      <c r="F13" s="104">
        <v>11230411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4"/>
        <v>11230104_11230412</v>
      </c>
      <c r="B14" s="104">
        <v>11230104</v>
      </c>
      <c r="C14" s="104">
        <v>11230412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ダメだよ姉さん！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僕たちは入っちゃダメって言われてるでしょ？</v>
      </c>
      <c r="F14" s="104">
        <v>11230412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4"/>
        <v>11230104_11230413</v>
      </c>
      <c r="B15" s="104">
        <v>11230104</v>
      </c>
      <c r="C15" s="104">
        <v>11230413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あれ…？_x000D_キミはどこから来たの？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…ガウェインおじさんに頼まれて？_x000D_そっか、アーサーに会いたいんだね</v>
      </c>
      <c r="F15" s="104">
        <v>11230413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ref="A16:A17" si="6">B16&amp;"_"&amp;C16</f>
        <v>11230108_11230414</v>
      </c>
      <c r="B16" s="104">
        <v>11230108</v>
      </c>
      <c r="C16" s="104">
        <v>11230414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そっか！_x000D_僕たちはダメだけど…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外からやって来たキミなら_x000D_きっと入っても大丈夫だね！</v>
      </c>
      <c r="F16" s="104">
        <v>11230414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6"/>
        <v>11230108_11230415</v>
      </c>
      <c r="B17" s="104">
        <v>11230108</v>
      </c>
      <c r="C17" s="104">
        <v>11230415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オッケー_x000D_扉をふっとばすよっ！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これで道は開けた…後はキミに任せるね…！</v>
      </c>
      <c r="F17" s="104">
        <v>11230415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4"/>
        <v>11230105_11230511</v>
      </c>
      <c r="B18" s="104">
        <v>11230105</v>
      </c>
      <c r="C18" s="104">
        <v>11230511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な、なんだっ、敵襲か！？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扉をぶち破って現れるなんて…_x000D_こんな姿だが、応じないわけにはいかないか！</v>
      </c>
      <c r="F18" s="104">
        <v>11230511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4"/>
        <v>11230105_11230512</v>
      </c>
      <c r="B19" s="104">
        <v>11230105</v>
      </c>
      <c r="C19" s="104">
        <v>11230512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老！力を貸してくれ！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気を遣っているのか、ガウェインは現れない</v>
      </c>
      <c r="F19" s="104">
        <v>11230512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4"/>
        <v>11230105_11230513</v>
      </c>
      <c r="B20" s="104">
        <v>11230105</v>
      </c>
      <c r="C20" s="104">
        <v>11230513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パーシ！援護を頼む！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がんばって…と、パーシヴァルの囁く声が聞こえた</v>
      </c>
      <c r="F20" s="104">
        <v>11230513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4"/>
        <v>11230105_11230514</v>
      </c>
      <c r="B21" s="104">
        <v>11230105</v>
      </c>
      <c r="C21" s="104">
        <v>11230514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トリス！畳み掛けるぞ！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トリスタンは飛び出したい気持ちを堪えているようだ</v>
      </c>
      <c r="F21" s="104">
        <v>11230514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47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4"/>
        <v>11230105_11230515</v>
      </c>
      <c r="B22" s="104">
        <v>11230105</v>
      </c>
      <c r="C22" s="104">
        <v>11230515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みんなどうしたんだ…！_x000D_まさか既に…！？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これ以上誤解させると危険だ！_x000D_【フィーバーでアーサーのHPを削り切ろう！】</v>
      </c>
      <c r="F22" s="104">
        <v>11230515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4"/>
        <v>11230105_11230516</v>
      </c>
      <c r="B23" s="104">
        <v>11230105</v>
      </c>
      <c r="C23" s="104">
        <v>11230516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イミュータブル・ジャスティス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残りHPの300%ダメージ！</v>
      </c>
      <c r="F23" s="104">
        <v>11230516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4"/>
        <v>11230105_11230517</v>
      </c>
      <c r="B24" s="104">
        <v>11230105</v>
      </c>
      <c r="C24" s="104">
        <v>11230517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俺はまだ生きているぞ…！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あと少しで誤解が解けそうだ！_x000D_【フィーバーでアーサーのHPを削り切ろう！】</v>
      </c>
      <c r="F24" s="104">
        <v>11230517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45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4"/>
        <v>11230106_11230611</v>
      </c>
      <c r="B25" s="104">
        <v>11230106</v>
      </c>
      <c r="C25" s="104">
        <v>11230611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すまない…少し取り乱した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目を見ればわかる。君に敵意は無いようだ…</v>
      </c>
      <c r="F25" s="104">
        <v>11230611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4"/>
        <v>11230106_11230612</v>
      </c>
      <c r="B26" s="104">
        <v>11230106</v>
      </c>
      <c r="C26" s="104">
        <v>11230612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何故ここに？　というか扉が…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…なに？　アバターの姿を書き換えるウィルスだと…！</v>
      </c>
      <c r="F26" s="104">
        <v>11230612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4"/>
        <v>11230106_11230613</v>
      </c>
      <c r="B27" s="104">
        <v>11230106</v>
      </c>
      <c r="C27" s="104">
        <v>11230613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俺の姿が変わったのも_x000D_その影響だということか？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…自然発生したウィルスだとは思えないな。_x000D_すぐに調査を開始しなければ…情報感謝する！</v>
      </c>
      <c r="F27" s="104">
        <v>11230613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ref="A28" si="7">B28&amp;"_"&amp;C28</f>
        <v>11230201_11230121</v>
      </c>
      <c r="B28" s="47">
        <v>11230201</v>
      </c>
      <c r="C28" s="47">
        <v>11230121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円卓の騎士・機関長_x000D_アーサーからの伝言です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「事件の黒幕を突き止めた！_x000D_　だが、ウィルスの影響で一人で_x000D_　追い詰めるのが難しい。協力してくれ！」</v>
      </c>
      <c r="F28" s="47">
        <v>11230121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ref="A29:A52" si="8">B29&amp;"_"&amp;C29</f>
        <v>11230201_11230122</v>
      </c>
      <c r="B29" s="47">
        <v>11230201</v>
      </c>
      <c r="C29" s="47">
        <v>11230122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彼の位置情報を共有します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急いで現場に向かい_x000D_彼と共に事件を解決に導いてください</v>
      </c>
      <c r="F29" s="47">
        <v>11230122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8"/>
        <v>11230202_11230221</v>
      </c>
      <c r="B30" s="47">
        <v>11230202</v>
      </c>
      <c r="C30" s="47">
        <v>11230221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くっ…見失ってしまったわね…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向かう途中、元・円卓の騎士のモルドレッドと出会った！</v>
      </c>
      <c r="F30" s="47">
        <v>11230221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8"/>
        <v>11230202_11230222</v>
      </c>
      <c r="B31" s="47">
        <v>11230202</v>
      </c>
      <c r="C31" s="47">
        <v>11230222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そこのあなた。_x000D_兎みたいな黒い影を見なかった？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……そう。もし見かけたら気をつけなさい。_x000D_危険なウィルスをばらまいているみたいだから。</v>
      </c>
      <c r="F31" s="47">
        <v>11230222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ref="A32" si="9">B32&amp;"_"&amp;C32</f>
        <v>11230202_11230223</v>
      </c>
      <c r="B32" s="47">
        <v>11230202</v>
      </c>
      <c r="C32" s="47">
        <v>11230223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じゃあね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凛とした仕草で去っていった…_x000D_アーサーの元へ急ごう</v>
      </c>
      <c r="F32" s="47">
        <v>11230223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8"/>
        <v>11230203_11230321</v>
      </c>
      <c r="B33" s="47">
        <v>11230203</v>
      </c>
      <c r="C33" s="47">
        <v>11230321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必ず黒幕がいるはずだ…！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向かう途中、元・円卓の騎士のランスロットと出会った！</v>
      </c>
      <c r="F33" s="47">
        <v>11230321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8"/>
        <v>11230203_11230322</v>
      </c>
      <c r="B34" s="47">
        <v>11230203</v>
      </c>
      <c r="C34" s="47">
        <v>11230322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ALICEの平和を乱す者を_x000D_放ってはおけない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それに女王と繋がっている可能性もある。_x000D_まずは目の前の事件だな…！</v>
      </c>
      <c r="F34" s="47">
        <v>11230322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ref="A35" si="10">B35&amp;"_"&amp;C35</f>
        <v>11230203_11230323</v>
      </c>
      <c r="B35" s="47">
        <v>11230203</v>
      </c>
      <c r="C35" s="47">
        <v>11230323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アロンダイト。今回も力を貸してくれ！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素早い身のこなしで去っていった…_x000D_アーサーの元へ急ごう</v>
      </c>
      <c r="F35" s="47">
        <v>11230323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8"/>
        <v>11230204_11230421</v>
      </c>
      <c r="B36" s="47">
        <v>11230204</v>
      </c>
      <c r="C36" s="47">
        <v>11230421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不義の輩め…彼にまで手を出すとは…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向かう途中、元・円卓の騎士のガレスと出会った！</v>
      </c>
      <c r="F36" s="47">
        <v>11230421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8"/>
        <v>11230204_11230422</v>
      </c>
      <c r="B37" s="47">
        <v>11230204</v>
      </c>
      <c r="C37" s="47">
        <v>11230422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ただの執行だけじゃ足りないね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大罪人に相応しい末路を、僕が用意してあげるよ…</v>
      </c>
      <c r="F37" s="47">
        <v>11230422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ref="A38" si="11">B38&amp;"_"&amp;C38</f>
        <v>11230204_11230423</v>
      </c>
      <c r="B38" s="47">
        <v>11230204</v>
      </c>
      <c r="C38" s="47">
        <v>11230423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これは正義に属する者の責務だ…_x000D_決して私怨なんかじゃ、ない。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何かを振り払うように去っていった…_x000D_アーサーの元へ急ごう</v>
      </c>
      <c r="F38" s="47">
        <v>11230423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8"/>
        <v>11230205_11230521</v>
      </c>
      <c r="B39" s="47">
        <v>11230205</v>
      </c>
      <c r="C39" s="47">
        <v>11230521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望んで成った俺様はいいけどよォ_x000D_こういうのは違うよなァ…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向かう途中、元・円卓の騎士のライオネルと出会った！</v>
      </c>
      <c r="F39" s="47">
        <v>11230521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8"/>
        <v>11230205_11230522</v>
      </c>
      <c r="B40" s="47">
        <v>11230205</v>
      </c>
      <c r="C40" s="47">
        <v>11230522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待てよ…？_x000D_当然この騒動にはヤツも気づく…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それより先に俺様が事件を解決すれば…_x000D_アーサー様も…</v>
      </c>
      <c r="F40" s="47">
        <v>11230522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ref="A41" si="12">B41&amp;"_"&amp;C41</f>
        <v>11230205_11230523</v>
      </c>
      <c r="B41" s="47">
        <v>11230205</v>
      </c>
      <c r="C41" s="47">
        <v>11230523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ククッ、面白くなってきやがったぜ！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とても楽しそうに去っていった…_x000D_アーサーの元へ急ごう</v>
      </c>
      <c r="F41" s="47">
        <v>11230523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8"/>
        <v>11230206_11230621</v>
      </c>
      <c r="B42" s="47">
        <v>11230206</v>
      </c>
      <c r="C42" s="47">
        <v>11230621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おぉ、来たか_x000D_[player_name]！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この先に今回の事件の黒幕がいる。_x000D_そこまでは突き止めたんだ。</v>
      </c>
      <c r="F42" s="47">
        <v>11230621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8"/>
        <v>11230206_11230622</v>
      </c>
      <c r="B43" s="47">
        <v>11230206</v>
      </c>
      <c r="C43" s="47">
        <v>11230622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だが…例のウィルスが厄介でな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迂闊に近づけば更なる影響を受けてしまう。_x000D_そこで…君に陽動を頼みたい。</v>
      </c>
      <c r="F43" s="47">
        <v>11230622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8"/>
        <v>11230206_11230623</v>
      </c>
      <c r="B44" s="47">
        <v>11230206</v>
      </c>
      <c r="C44" s="47">
        <v>11230623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ヤツの注意を引きつけてくれ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その隙に俺が不意を突き_x000D_ウィルスを無効化してみせる…！</v>
      </c>
      <c r="F44" s="47">
        <v>11230623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8"/>
        <v>11230207_11230721</v>
      </c>
      <c r="B45" s="47">
        <v>11230207</v>
      </c>
      <c r="C45" s="47">
        <v>11230721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フッ…白兎の手先がお出ましか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オレは女王様の眷属にして、黒き暗黒の使徒。_x000D_その名も　Usagi-kun　だ…！</v>
      </c>
      <c r="F45" s="47">
        <v>11230721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8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8"/>
        <v>11230207_11230722</v>
      </c>
      <c r="B46" s="47">
        <v>11230207</v>
      </c>
      <c r="C46" s="47">
        <v>11230722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おっと、近づくんじゃないぜ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このウィルスでアバターがどうなるか_x000D_もう知っているんだろう…？</v>
      </c>
      <c r="F46" s="47">
        <v>11230722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8"/>
        <v>11230207_11230723</v>
      </c>
      <c r="B47" s="47">
        <v>11230207</v>
      </c>
      <c r="C47" s="47">
        <v>11230723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オマエはただ_x000D_何もできず朽ち果てる運命なのさ！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絶体絶命の大ピンチ！_x000D_……と思われたその時！！</v>
      </c>
      <c r="F47" s="47">
        <v>11230723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8"/>
        <v>11230208_11230821</v>
      </c>
      <c r="B48" s="47">
        <v>11230208</v>
      </c>
      <c r="C48" s="47">
        <v>11230821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今だ！　エクスシュレッド！！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アーサーがUsagi-kunの不意を突き、_x000D_ウィルスの発生源を無効化した！</v>
      </c>
      <c r="F48" s="47">
        <v>11230821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8"/>
        <v>11230208_11230822</v>
      </c>
      <c r="B49" s="47">
        <v>11230208</v>
      </c>
      <c r="C49" s="47">
        <v>11230822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[player_name]っ！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アーサーの力を感じる…！_x000D_この力でUsagi-kunを打ち倒そう！</v>
      </c>
      <c r="F49" s="47">
        <v>11230822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8"/>
        <v>11230209_11230921</v>
      </c>
      <c r="B50" s="47">
        <v>11230209</v>
      </c>
      <c r="C50" s="47">
        <v>11230921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くそ、仲間がいたとは…_x000D_卑怯なやつらめ…！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こうなったらオレが直々に葬ってやる！_x000D_【フィーバーで応戦しよう！】</v>
      </c>
      <c r="F50" s="47">
        <v>11230921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 t="str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8"/>
        <v>11230209_11230922</v>
      </c>
      <c r="B51" s="47">
        <v>11230209</v>
      </c>
      <c r="C51" s="47">
        <v>11230922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受けよ！シャドウダークネス！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「負けるな[player_name]！_x000D_　もう一度打ち込むんだ！」</v>
      </c>
      <c r="F51" s="47">
        <v>11230922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8"/>
        <v>11230209_11230923</v>
      </c>
      <c r="B52" s="47">
        <v>11230209</v>
      </c>
      <c r="C52" s="47">
        <v>11230923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すみません、女王様…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このままでは終われない…終われるものか…！</v>
      </c>
      <c r="F52" s="47">
        <v>11230923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 t="str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2"/>
  <sheetViews>
    <sheetView showGridLines="0" tabSelected="1" workbookViewId="0">
      <pane ySplit="1" topLeftCell="A2" activePane="bottomLeft" state="frozenSplit"/>
      <selection pane="bottomLeft" activeCell="E18" sqref="E18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104">
        <v>11230111</v>
      </c>
      <c r="B2" s="105" t="s">
        <v>290</v>
      </c>
      <c r="C2" s="106">
        <v>3</v>
      </c>
      <c r="D2" s="106" t="s">
        <v>127</v>
      </c>
      <c r="E2" s="107" t="s">
        <v>252</v>
      </c>
      <c r="F2" s="107" t="s">
        <v>253</v>
      </c>
      <c r="G2" s="63" t="str">
        <f t="shared" ref="G2:G24" si="0">IFERROR(LEFT(B2,FIND("],",B2)),B2)</f>
        <v>[effect:enemy_message, val1:2.6, val2:2.0]</v>
      </c>
      <c r="H2" s="63">
        <f t="shared" ref="H2:H27" si="1">FIND("effect:",G2)+7</f>
        <v>9</v>
      </c>
      <c r="I2" s="63">
        <f t="shared" ref="I2:I24" si="2">IFERROR(FIND(",",G2),LEN(G2))</f>
        <v>22</v>
      </c>
      <c r="J2" s="63" t="e">
        <f t="shared" ref="J2:J24" si="3">FIND("target:",G2)+7</f>
        <v>#VALUE!</v>
      </c>
      <c r="K2" s="63">
        <f t="shared" ref="K2:K24" si="4">FIND(",",G2,I2+1)</f>
        <v>32</v>
      </c>
      <c r="L2" s="63" t="str">
        <f>IFERROR(VLOOKUP(MID(G2,J2,K2-J2),[5]skilldef!$C:$D,2,FALSE),"-") &amp; " / " &amp; IFERROR(VLOOKUP(MID(G2,H2,I2-H2),[5]skilldef!$A:$B,2,FALSE),"-")</f>
        <v>- / -</v>
      </c>
      <c r="M2" s="63" t="str">
        <f t="shared" ref="M2:M24" si="5">IFERROR(RIGHT(B2,LEN(B2)-FIND("],",B2)-1),"none")</f>
        <v>[effect:fix_speed, target:myself, turn:1],[effect:ability_lock, target:unit_all, turn:-1],[effect:hungup, target:unit_all, turn:-1, rate:1],[effect:sleep, target:unit_all, turn:1, rate:1],[effect:crash_condition, target:unit_all, turn:-1, val:99]</v>
      </c>
      <c r="N2" s="48" t="str">
        <f>IFERROR(LEFT(M2,FIND("],",M2)+S17),M2)</f>
        <v>[effect:fix_speed, target:myself, turn:1],[effect:ability_lock, target:unit_all, turn:-1],[effect:hungup, target:unit_all, turn:-1, rate:1],[effect:sleep, target:unit_all, turn:1, rate:1],[effect:crash_condition, target:unit_all, turn:-1, val:99]</v>
      </c>
      <c r="O2" s="63">
        <f t="shared" ref="O2:O27" si="6">FIND("effect:",N2)+7</f>
        <v>9</v>
      </c>
      <c r="P2" s="63">
        <f t="shared" ref="P2:P24" si="7">IFERROR(FIND(",",N2),LEN(N2))</f>
        <v>18</v>
      </c>
      <c r="Q2" s="63">
        <f t="shared" ref="Q2:Q24" si="8">FIND("target:",N2)+7</f>
        <v>27</v>
      </c>
      <c r="R2" s="63">
        <f t="shared" ref="R2:R24" si="9">FIND(",",N2,P2+1)</f>
        <v>33</v>
      </c>
      <c r="S2" s="63" t="str">
        <f>IFERROR(VLOOKUP(MID(N2,Q2,R2-Q2),[5]skilldef!$C:$D,2,FALSE),"-") &amp; " / " &amp; IFERROR(VLOOKUP(MID(N2,O2,P2-O2),[5]skilldef!$A:$B,2,FALSE),"-")</f>
        <v>自分自身に / 行動値設定</v>
      </c>
      <c r="T2" s="48" t="str">
        <f t="shared" ref="T2:T24" si="10">IFERROR(RIGHT(M2,LEN(M2)-FIND("],",M2)-1),"none")</f>
        <v>[effect:ability_lock, target:unit_all, turn:-1],[effect:hungup, target:unit_all, turn:-1, rate:1],[effect:sleep, target:unit_all, turn:1, rate:1],[effect:crash_condition, target:unit_all, turn:-1, val:99]</v>
      </c>
      <c r="U2" s="63">
        <f t="shared" ref="U2:U27" si="11">FIND("effect:",T2)+7</f>
        <v>9</v>
      </c>
      <c r="V2" s="63">
        <f t="shared" ref="V2:V24" si="12">IFERROR(FIND(",",T2),LEN(T2))</f>
        <v>21</v>
      </c>
      <c r="W2" s="63">
        <f t="shared" ref="W2:W24" si="13">FIND("target:",T2)+7</f>
        <v>30</v>
      </c>
      <c r="X2" s="63">
        <f t="shared" ref="X2:X24" si="14">FIND(",",T2,V2+1)</f>
        <v>38</v>
      </c>
      <c r="Y2" s="63" t="str">
        <f>IFERROR(VLOOKUP(MID(T2,W2,X2-W2),[5]skilldef!$C:$D,2,FALSE),"-") &amp; " / " &amp; IFERROR(VLOOKUP(MID(T2,U2,V2-U2),[5]skilldef!$A:$B,2,FALSE),"-")</f>
        <v>味方全体に / -</v>
      </c>
      <c r="Z2" s="50"/>
      <c r="AA2" s="52"/>
      <c r="AB2" s="50"/>
    </row>
    <row r="3" spans="1:28" ht="21" customHeight="1" x14ac:dyDescent="0.15">
      <c r="A3" s="104">
        <v>11230112</v>
      </c>
      <c r="B3" s="105" t="s">
        <v>309</v>
      </c>
      <c r="C3" s="106">
        <v>3</v>
      </c>
      <c r="D3" s="106" t="s">
        <v>127</v>
      </c>
      <c r="E3" s="107" t="s">
        <v>254</v>
      </c>
      <c r="F3" s="107" t="s">
        <v>255</v>
      </c>
      <c r="G3" s="63" t="str">
        <f t="shared" si="0"/>
        <v>[effect:enemy_message, val1:3.1, val2:3.4]</v>
      </c>
      <c r="H3" s="63">
        <f t="shared" si="1"/>
        <v>9</v>
      </c>
      <c r="I3" s="63">
        <f t="shared" si="2"/>
        <v>22</v>
      </c>
      <c r="J3" s="63" t="e">
        <f t="shared" si="3"/>
        <v>#VALUE!</v>
      </c>
      <c r="K3" s="63">
        <f t="shared" si="4"/>
        <v>32</v>
      </c>
      <c r="L3" s="63" t="str">
        <f>IFERROR(VLOOKUP(MID(G3,J3,K3-J3),[5]skilldef!$C:$D,2,FALSE),"-") &amp; " / " &amp; IFERROR(VLOOKUP(MID(G3,H3,I3-H3),[5]skilldef!$A:$B,2,FALSE),"-")</f>
        <v>- / -</v>
      </c>
      <c r="M3" s="63" t="str">
        <f t="shared" si="5"/>
        <v>[effect:suicide, target:myself, val:1, dead_type:escape]</v>
      </c>
      <c r="N3" s="48" t="str">
        <f>IFERROR(LEFT(M3,FIND("],",M3)+S18),M3)</f>
        <v>[effect:suicide, target:myself, val:1, dead_type:escape]</v>
      </c>
      <c r="O3" s="63">
        <f t="shared" si="6"/>
        <v>9</v>
      </c>
      <c r="P3" s="63">
        <f t="shared" si="7"/>
        <v>16</v>
      </c>
      <c r="Q3" s="63">
        <f t="shared" si="8"/>
        <v>25</v>
      </c>
      <c r="R3" s="63">
        <f t="shared" si="9"/>
        <v>31</v>
      </c>
      <c r="S3" s="63" t="str">
        <f>IFERROR(VLOOKUP(MID(N3,Q3,R3-Q3),[5]skilldef!$C:$D,2,FALSE),"-") &amp; " / " &amp; IFERROR(VLOOKUP(MID(N3,O3,P3-O3),[5]skilldef!$A:$B,2,FALSE),"-")</f>
        <v>自分自身に / -</v>
      </c>
      <c r="T3" s="48" t="str">
        <f t="shared" si="10"/>
        <v>none</v>
      </c>
      <c r="U3" s="63" t="e">
        <f t="shared" si="11"/>
        <v>#VALUE!</v>
      </c>
      <c r="V3" s="63">
        <f t="shared" si="12"/>
        <v>4</v>
      </c>
      <c r="W3" s="63" t="e">
        <f t="shared" si="13"/>
        <v>#VALUE!</v>
      </c>
      <c r="X3" s="63" t="e">
        <f t="shared" si="14"/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104">
        <v>11230211</v>
      </c>
      <c r="B4" s="105" t="s">
        <v>295</v>
      </c>
      <c r="C4" s="106">
        <v>3</v>
      </c>
      <c r="D4" s="106" t="s">
        <v>127</v>
      </c>
      <c r="E4" s="107" t="s">
        <v>294</v>
      </c>
      <c r="F4" s="107" t="s">
        <v>274</v>
      </c>
      <c r="G4" s="63" t="str">
        <f t="shared" si="0"/>
        <v>[effect:enemy_message, val1:2.2, val2:2.7]</v>
      </c>
      <c r="H4" s="63">
        <f t="shared" si="1"/>
        <v>9</v>
      </c>
      <c r="I4" s="63">
        <f t="shared" si="2"/>
        <v>22</v>
      </c>
      <c r="J4" s="63" t="e">
        <f t="shared" si="3"/>
        <v>#VALUE!</v>
      </c>
      <c r="K4" s="63">
        <f t="shared" si="4"/>
        <v>32</v>
      </c>
      <c r="L4" s="63" t="str">
        <f>IFERROR(VLOOKUP(MID(G4,J4,K4-J4),[5]skilldef!$C:$D,2,FALSE),"-") &amp; " / " &amp; IFERROR(VLOOKUP(MID(G4,H4,I4-H4),[5]skilldef!$A:$B,2,FALSE),"-")</f>
        <v>- / -</v>
      </c>
      <c r="M4" s="63" t="str">
        <f t="shared" si="5"/>
        <v>[effect:fix_speed, target:myself, turn:1],[effect:dark, target:unit_all, turn:-1, animation:enemy_dark]</v>
      </c>
      <c r="N4" s="48" t="str">
        <f>IFERROR(LEFT(M4,FIND("],",M4)+S19),M4)</f>
        <v>[effect:fix_speed, target:myself, turn:1],[effect:dark, target:unit_all, turn:-1, animation:enemy_dark]</v>
      </c>
      <c r="O4" s="63">
        <f t="shared" si="6"/>
        <v>9</v>
      </c>
      <c r="P4" s="63">
        <f t="shared" si="7"/>
        <v>18</v>
      </c>
      <c r="Q4" s="63">
        <f t="shared" si="8"/>
        <v>27</v>
      </c>
      <c r="R4" s="63">
        <f t="shared" si="9"/>
        <v>33</v>
      </c>
      <c r="S4" s="63" t="str">
        <f>IFERROR(VLOOKUP(MID(N4,Q4,R4-Q4),[5]skilldef!$C:$D,2,FALSE),"-") &amp; " / " &amp; IFERROR(VLOOKUP(MID(N4,O4,P4-O4),[5]skilldef!$A:$B,2,FALSE),"-")</f>
        <v>自分自身に / 行動値設定</v>
      </c>
      <c r="T4" s="48" t="str">
        <f t="shared" si="10"/>
        <v>[effect:dark, target:unit_all, turn:-1, animation:enemy_dark]</v>
      </c>
      <c r="U4" s="63">
        <f t="shared" si="11"/>
        <v>9</v>
      </c>
      <c r="V4" s="63">
        <f t="shared" si="12"/>
        <v>13</v>
      </c>
      <c r="W4" s="63">
        <f t="shared" si="13"/>
        <v>22</v>
      </c>
      <c r="X4" s="63">
        <f t="shared" si="14"/>
        <v>30</v>
      </c>
      <c r="Y4" s="63" t="str">
        <f>IFERROR(VLOOKUP(MID(T4,W4,X4-W4),[5]skilldef!$C:$D,2,FALSE),"-") &amp; " / " &amp; IFERROR(VLOOKUP(MID(T4,U4,V4-U4),[5]skilldef!$A:$B,2,FALSE),"-")</f>
        <v>味方全体に / 暗黒</v>
      </c>
      <c r="Z4" s="50"/>
      <c r="AA4" s="52"/>
      <c r="AB4" s="50"/>
    </row>
    <row r="5" spans="1:28" ht="21" customHeight="1" x14ac:dyDescent="0.15">
      <c r="A5" s="104">
        <v>11230212</v>
      </c>
      <c r="B5" s="105" t="s">
        <v>291</v>
      </c>
      <c r="C5" s="106">
        <v>3</v>
      </c>
      <c r="D5" s="106" t="s">
        <v>127</v>
      </c>
      <c r="E5" s="107" t="s">
        <v>276</v>
      </c>
      <c r="F5" s="107" t="s">
        <v>285</v>
      </c>
      <c r="G5" s="63" t="str">
        <f t="shared" si="0"/>
        <v>[effect:enemy_message, val1:2.5, val2:4.1]</v>
      </c>
      <c r="H5" s="63">
        <f t="shared" si="1"/>
        <v>9</v>
      </c>
      <c r="I5" s="63">
        <f t="shared" si="2"/>
        <v>22</v>
      </c>
      <c r="J5" s="63" t="e">
        <f t="shared" si="3"/>
        <v>#VALUE!</v>
      </c>
      <c r="K5" s="63">
        <f t="shared" si="4"/>
        <v>32</v>
      </c>
      <c r="L5" s="63" t="str">
        <f>IFERROR(VLOOKUP(MID(G5,J5,K5-J5),[5]skilldef!$C:$D,2,FALSE),"-") &amp; " / " &amp; IFERROR(VLOOKUP(MID(G5,H5,I5-H5),[5]skilldef!$A:$B,2,FALSE),"-")</f>
        <v>- / -</v>
      </c>
      <c r="M5" s="63" t="str">
        <f t="shared" si="5"/>
        <v>[effect:remove_enhancement, target:unit_all, target_effect:dark, animation:frozen_wave]</v>
      </c>
      <c r="N5" s="48" t="str">
        <f>IFERROR(LEFT(M5,FIND("],",M5)+S20),M5)</f>
        <v>[effect:remove_enhancement, target:unit_all, target_effect:dark, animation:frozen_wave]</v>
      </c>
      <c r="O5" s="63">
        <f t="shared" si="6"/>
        <v>9</v>
      </c>
      <c r="P5" s="63">
        <f t="shared" si="7"/>
        <v>27</v>
      </c>
      <c r="Q5" s="63">
        <f t="shared" si="8"/>
        <v>36</v>
      </c>
      <c r="R5" s="63">
        <f t="shared" si="9"/>
        <v>44</v>
      </c>
      <c r="S5" s="63" t="str">
        <f>IFERROR(VLOOKUP(MID(N5,Q5,R5-Q5),[5]skilldef!$C:$D,2,FALSE),"-") &amp; " / " &amp; IFERROR(VLOOKUP(MID(N5,O5,P5-O5),[5]skilldef!$A:$B,2,FALSE),"-")</f>
        <v>味方全体に / -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104">
        <v>11230213</v>
      </c>
      <c r="B6" s="105" t="s">
        <v>302</v>
      </c>
      <c r="C6" s="106">
        <v>3</v>
      </c>
      <c r="D6" s="106" t="s">
        <v>127</v>
      </c>
      <c r="E6" s="107" t="s">
        <v>275</v>
      </c>
      <c r="F6" s="107" t="s">
        <v>364</v>
      </c>
      <c r="G6" s="63" t="str">
        <f t="shared" si="0"/>
        <v>[effect:enemy_message, val1:1.6, val2:3.5]</v>
      </c>
      <c r="H6" s="63">
        <f t="shared" si="1"/>
        <v>9</v>
      </c>
      <c r="I6" s="63">
        <f t="shared" si="2"/>
        <v>22</v>
      </c>
      <c r="J6" s="63" t="e">
        <f t="shared" si="3"/>
        <v>#VALUE!</v>
      </c>
      <c r="K6" s="63">
        <f t="shared" si="4"/>
        <v>32</v>
      </c>
      <c r="L6" s="63" t="str">
        <f>IFERROR(VLOOKUP(MID(G6,J6,K6-J6),[5]skilldef!$C:$D,2,FALSE),"-") &amp; " / " &amp; IFERROR(VLOOKUP(MID(G6,H6,I6-H6),[5]skilldef!$A:$B,2,FALSE),"-")</f>
        <v>- / -</v>
      </c>
      <c r="M6" s="63" t="str">
        <f t="shared" si="5"/>
        <v>[effect:suicide, target:myself, val:1, dead_type:escape]</v>
      </c>
      <c r="N6" s="48" t="str">
        <f>IFERROR(LEFT(M6,FIND("],",M6)+S21),M6)</f>
        <v>[effect:suicide, target:myself, val:1, dead_type:escape]</v>
      </c>
      <c r="O6" s="63">
        <f t="shared" si="6"/>
        <v>9</v>
      </c>
      <c r="P6" s="63">
        <f t="shared" si="7"/>
        <v>16</v>
      </c>
      <c r="Q6" s="63">
        <f t="shared" si="8"/>
        <v>25</v>
      </c>
      <c r="R6" s="63">
        <f t="shared" si="9"/>
        <v>31</v>
      </c>
      <c r="S6" s="63" t="str">
        <f>IFERROR(VLOOKUP(MID(N6,Q6,R6-Q6),[5]skilldef!$C:$D,2,FALSE),"-") &amp; " / " &amp; IFERROR(VLOOKUP(MID(N6,O6,P6-O6),[5]skilldef!$A:$B,2,FALSE),"-")</f>
        <v>自分自身に / -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104">
        <v>11230311</v>
      </c>
      <c r="B7" s="105" t="s">
        <v>331</v>
      </c>
      <c r="C7" s="106">
        <v>3</v>
      </c>
      <c r="D7" s="106" t="s">
        <v>127</v>
      </c>
      <c r="E7" s="107" t="s">
        <v>356</v>
      </c>
      <c r="F7" s="107" t="s">
        <v>277</v>
      </c>
      <c r="G7" s="63" t="str">
        <f t="shared" si="0"/>
        <v>[effect:enemy_message, val1:2.3, val2:2.5]</v>
      </c>
      <c r="H7" s="63">
        <f t="shared" si="1"/>
        <v>9</v>
      </c>
      <c r="I7" s="63">
        <f t="shared" si="2"/>
        <v>22</v>
      </c>
      <c r="J7" s="63" t="e">
        <f t="shared" si="3"/>
        <v>#VALUE!</v>
      </c>
      <c r="K7" s="63">
        <f t="shared" si="4"/>
        <v>32</v>
      </c>
      <c r="L7" s="63" t="str">
        <f>IFERROR(VLOOKUP(MID(G7,J7,K7-J7),[5]skilldef!$C:$D,2,FALSE),"-") &amp; " / " &amp; IFERROR(VLOOKUP(MID(G7,H7,I7-H7),[5]skilldef!$A:$B,2,FALSE),"-")</f>
        <v>- / -</v>
      </c>
      <c r="M7" s="63" t="str">
        <f t="shared" si="5"/>
        <v>[effect:fix_speed, target:myself, turn:1]</v>
      </c>
      <c r="N7" s="48" t="str">
        <f>IFERROR(LEFT(M7,FIND("],",M7)+S22),M7)</f>
        <v>[effect:fix_speed, target:myself, turn:1]</v>
      </c>
      <c r="O7" s="63">
        <f t="shared" si="6"/>
        <v>9</v>
      </c>
      <c r="P7" s="63">
        <f t="shared" si="7"/>
        <v>18</v>
      </c>
      <c r="Q7" s="63">
        <f t="shared" si="8"/>
        <v>27</v>
      </c>
      <c r="R7" s="63">
        <f t="shared" si="9"/>
        <v>33</v>
      </c>
      <c r="S7" s="63" t="str">
        <f>IFERROR(VLOOKUP(MID(N7,Q7,R7-Q7),[5]skilldef!$C:$D,2,FALSE),"-") &amp; " / " &amp; IFERROR(VLOOKUP(MID(N7,O7,P7-O7),[5]skilldef!$A:$B,2,FALSE),"-")</f>
        <v>自分自身に / 行動値設定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104">
        <v>11230312</v>
      </c>
      <c r="B8" s="105" t="s">
        <v>308</v>
      </c>
      <c r="C8" s="106">
        <v>3</v>
      </c>
      <c r="D8" s="106" t="s">
        <v>127</v>
      </c>
      <c r="E8" s="107" t="s">
        <v>357</v>
      </c>
      <c r="F8" s="107" t="s">
        <v>298</v>
      </c>
      <c r="G8" s="63" t="str">
        <f t="shared" si="0"/>
        <v>[effect:enemy_message, val1:1.6, val2:2.0]</v>
      </c>
      <c r="H8" s="63">
        <f t="shared" si="1"/>
        <v>9</v>
      </c>
      <c r="I8" s="63">
        <f t="shared" si="2"/>
        <v>22</v>
      </c>
      <c r="J8" s="63" t="e">
        <f t="shared" si="3"/>
        <v>#VALUE!</v>
      </c>
      <c r="K8" s="63">
        <f t="shared" si="4"/>
        <v>32</v>
      </c>
      <c r="L8" s="63" t="str">
        <f>IFERROR(VLOOKUP(MID(G8,J8,K8-J8),[5]skilldef!$C:$D,2,FALSE),"-") &amp; " / " &amp; IFERROR(VLOOKUP(MID(G8,H8,I8-H8),[5]skilldef!$A:$B,2,FALSE),"-")</f>
        <v>- / -</v>
      </c>
      <c r="M8" s="63" t="str">
        <f t="shared" si="5"/>
        <v>none</v>
      </c>
      <c r="N8" s="48" t="str">
        <f>IFERROR(LEFT(M8,FIND("],",M8)+#REF!),M8)</f>
        <v>none</v>
      </c>
      <c r="O8" s="63" t="e">
        <f t="shared" si="6"/>
        <v>#VALUE!</v>
      </c>
      <c r="P8" s="63">
        <f t="shared" si="7"/>
        <v>4</v>
      </c>
      <c r="Q8" s="63" t="e">
        <f t="shared" si="8"/>
        <v>#VALUE!</v>
      </c>
      <c r="R8" s="63" t="e">
        <f t="shared" si="9"/>
        <v>#VALUE!</v>
      </c>
      <c r="S8" s="63" t="str">
        <f>IFERROR(VLOOKUP(MID(N8,Q8,R8-Q8),[5]skilldef!$C:$D,2,FALSE),"-") &amp; " / " &amp; IFERROR(VLOOKUP(MID(N8,O8,P8-O8),[5]skilldef!$A:$B,2,FALSE),"-")</f>
        <v>- / -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104">
        <v>11230313</v>
      </c>
      <c r="B9" s="105" t="s">
        <v>297</v>
      </c>
      <c r="C9" s="106">
        <v>3</v>
      </c>
      <c r="D9" s="106" t="s">
        <v>127</v>
      </c>
      <c r="E9" s="107" t="s">
        <v>358</v>
      </c>
      <c r="F9" s="107" t="s">
        <v>296</v>
      </c>
      <c r="G9" s="63" t="str">
        <f t="shared" ref="G9" si="15">IFERROR(LEFT(B9,FIND("],",B9)),B9)</f>
        <v>[effect:enemy_message, val1:1.4, val2:3.4]</v>
      </c>
      <c r="H9" s="63">
        <f t="shared" si="1"/>
        <v>9</v>
      </c>
      <c r="I9" s="63">
        <f t="shared" ref="I9" si="16">IFERROR(FIND(",",G9),LEN(G9))</f>
        <v>22</v>
      </c>
      <c r="J9" s="63" t="e">
        <f t="shared" ref="J9" si="17">FIND("target:",G9)+7</f>
        <v>#VALUE!</v>
      </c>
      <c r="K9" s="63">
        <f t="shared" ref="K9" si="18">FIND(",",G9,I9+1)</f>
        <v>32</v>
      </c>
      <c r="L9" s="63" t="str">
        <f>IFERROR(VLOOKUP(MID(G9,J9,K9-J9),[5]skilldef!$C:$D,2,FALSE),"-") &amp; " / " &amp; IFERROR(VLOOKUP(MID(G9,H9,I9-H9),[5]skilldef!$A:$B,2,FALSE),"-")</f>
        <v>- / -</v>
      </c>
      <c r="M9" s="63" t="str">
        <f t="shared" ref="M9" si="19">IFERROR(RIGHT(B9,LEN(B9)-FIND("],",B9)-1),"none")</f>
        <v>[effect:suicide, target:enemy_all, val:1.0]</v>
      </c>
      <c r="N9" s="48" t="str">
        <f>IFERROR(LEFT(M9,FIND("],",M9)+#REF!),M9)</f>
        <v>[effect:suicide, target:enemy_all, val:1.0]</v>
      </c>
      <c r="O9" s="63">
        <f t="shared" si="6"/>
        <v>9</v>
      </c>
      <c r="P9" s="63">
        <f t="shared" ref="P9" si="20">IFERROR(FIND(",",N9),LEN(N9))</f>
        <v>16</v>
      </c>
      <c r="Q9" s="63">
        <f t="shared" ref="Q9" si="21">FIND("target:",N9)+7</f>
        <v>25</v>
      </c>
      <c r="R9" s="63">
        <f t="shared" ref="R9" si="22">FIND(",",N9,P9+1)</f>
        <v>34</v>
      </c>
      <c r="S9" s="63" t="str">
        <f>IFERROR(VLOOKUP(MID(N9,Q9,R9-Q9),[5]skilldef!$C:$D,2,FALSE),"-") &amp; " / " &amp; IFERROR(VLOOKUP(MID(N9,O9,P9-O9),[5]skilldef!$A:$B,2,FALSE),"-")</f>
        <v>敵全体に / -</v>
      </c>
      <c r="T9" s="48" t="str">
        <f t="shared" ref="T9" si="23">IFERROR(RIGHT(M9,LEN(M9)-FIND("],",M9)-1),"none")</f>
        <v>none</v>
      </c>
      <c r="U9" s="63" t="e">
        <f t="shared" si="11"/>
        <v>#VALUE!</v>
      </c>
      <c r="V9" s="63">
        <f t="shared" ref="V9" si="24">IFERROR(FIND(",",T9),LEN(T9))</f>
        <v>4</v>
      </c>
      <c r="W9" s="63" t="e">
        <f t="shared" ref="W9" si="25">FIND("target:",T9)+7</f>
        <v>#VALUE!</v>
      </c>
      <c r="X9" s="63" t="e">
        <f t="shared" ref="X9" si="26">FIND(",",T9,V9+1)</f>
        <v>#VALUE!</v>
      </c>
      <c r="Y9" s="63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104">
        <v>11230314</v>
      </c>
      <c r="B10" s="105" t="s">
        <v>388</v>
      </c>
      <c r="C10" s="106">
        <v>3</v>
      </c>
      <c r="D10" s="106" t="s">
        <v>127</v>
      </c>
      <c r="E10" s="107" t="s">
        <v>359</v>
      </c>
      <c r="F10" s="107" t="s">
        <v>278</v>
      </c>
      <c r="G10" s="63" t="str">
        <f t="shared" ref="G10" si="27">IFERROR(LEFT(B10,FIND("],",B10)),B10)</f>
        <v>[effect:enemy_message, val1:1.7, val2:3.1]</v>
      </c>
      <c r="H10" s="63">
        <f t="shared" si="1"/>
        <v>9</v>
      </c>
      <c r="I10" s="63">
        <f t="shared" ref="I10" si="28">IFERROR(FIND(",",G10),LEN(G10))</f>
        <v>22</v>
      </c>
      <c r="J10" s="63" t="e">
        <f t="shared" ref="J10" si="29">FIND("target:",G10)+7</f>
        <v>#VALUE!</v>
      </c>
      <c r="K10" s="63">
        <f t="shared" ref="K10" si="30">FIND(",",G10,I10+1)</f>
        <v>32</v>
      </c>
      <c r="L10" s="63" t="str">
        <f>IFERROR(VLOOKUP(MID(G10,J10,K10-J10),[5]skilldef!$C:$D,2,FALSE),"-") &amp; " / " &amp; IFERROR(VLOOKUP(MID(G10,H10,I10-H10),[5]skilldef!$A:$B,2,FALSE),"-")</f>
        <v>- / -</v>
      </c>
      <c r="M10" s="63" t="str">
        <f t="shared" ref="M10" si="31">IFERROR(RIGHT(B10,LEN(B10)-FIND("],",B10)-1),"none")</f>
        <v>[effect:fix_speed, target:myself, turn:1],[effect:sleep, target:unit_all, turn:1, rate:1]</v>
      </c>
      <c r="N10" s="48" t="str">
        <f>IFERROR(LEFT(M10,FIND("],",M10)+#REF!),M10)</f>
        <v>[effect:fix_speed, target:myself, turn:1],[effect:sleep, target:unit_all, turn:1, rate:1]</v>
      </c>
      <c r="O10" s="63">
        <f t="shared" si="6"/>
        <v>9</v>
      </c>
      <c r="P10" s="63">
        <f t="shared" ref="P10" si="32">IFERROR(FIND(",",N10),LEN(N10))</f>
        <v>18</v>
      </c>
      <c r="Q10" s="63">
        <f t="shared" ref="Q10" si="33">FIND("target:",N10)+7</f>
        <v>27</v>
      </c>
      <c r="R10" s="63">
        <f t="shared" ref="R10" si="34">FIND(",",N10,P10+1)</f>
        <v>33</v>
      </c>
      <c r="S10" s="63" t="str">
        <f>IFERROR(VLOOKUP(MID(N10,Q10,R10-Q10),[5]skilldef!$C:$D,2,FALSE),"-") &amp; " / " &amp; IFERROR(VLOOKUP(MID(N10,O10,P10-O10),[5]skilldef!$A:$B,2,FALSE),"-")</f>
        <v>自分自身に / 行動値設定</v>
      </c>
      <c r="T10" s="48" t="str">
        <f t="shared" ref="T10" si="35">IFERROR(RIGHT(M10,LEN(M10)-FIND("],",M10)-1),"none")</f>
        <v>[effect:sleep, target:unit_all, turn:1, rate:1]</v>
      </c>
      <c r="U10" s="63">
        <f t="shared" si="11"/>
        <v>9</v>
      </c>
      <c r="V10" s="63">
        <f t="shared" ref="V10" si="36">IFERROR(FIND(",",T10),LEN(T10))</f>
        <v>14</v>
      </c>
      <c r="W10" s="63">
        <f t="shared" ref="W10" si="37">FIND("target:",T10)+7</f>
        <v>23</v>
      </c>
      <c r="X10" s="63">
        <f t="shared" ref="X10" si="38">FIND(",",T10,V10+1)</f>
        <v>31</v>
      </c>
      <c r="Y10" s="63" t="str">
        <f>IFERROR(VLOOKUP(MID(T10,W10,X10-W10),[5]skilldef!$C:$D,2,FALSE),"-") &amp; " / " &amp; IFERROR(VLOOKUP(MID(T10,U10,V10-U10),[5]skilldef!$A:$B,2,FALSE),"-")</f>
        <v>味方全体に / スリープ</v>
      </c>
      <c r="Z10" s="50"/>
      <c r="AA10" s="52"/>
      <c r="AB10" s="50"/>
    </row>
    <row r="11" spans="1:28" ht="21" customHeight="1" x14ac:dyDescent="0.15">
      <c r="A11" s="104">
        <v>11230315</v>
      </c>
      <c r="B11" s="105" t="s">
        <v>292</v>
      </c>
      <c r="C11" s="106">
        <v>3</v>
      </c>
      <c r="D11" s="106" t="s">
        <v>127</v>
      </c>
      <c r="E11" s="107" t="s">
        <v>360</v>
      </c>
      <c r="F11" s="107" t="s">
        <v>279</v>
      </c>
      <c r="G11" s="63" t="str">
        <f t="shared" si="0"/>
        <v>[effect:enemy_message, val1:1.4, val2:2.1]</v>
      </c>
      <c r="H11" s="63">
        <f t="shared" si="1"/>
        <v>9</v>
      </c>
      <c r="I11" s="63">
        <f t="shared" si="2"/>
        <v>22</v>
      </c>
      <c r="J11" s="63" t="e">
        <f t="shared" si="3"/>
        <v>#VALUE!</v>
      </c>
      <c r="K11" s="63">
        <f t="shared" si="4"/>
        <v>32</v>
      </c>
      <c r="L11" s="63" t="str">
        <f>IFERROR(VLOOKUP(MID(G11,J11,K11-J11),[5]skilldef!$C:$D,2,FALSE),"-") &amp; " / " &amp; IFERROR(VLOOKUP(MID(G11,H11,I11-H11),[5]skilldef!$A:$B,2,FALSE),"-")</f>
        <v>- / -</v>
      </c>
      <c r="M11" s="63" t="str">
        <f t="shared" si="5"/>
        <v>[effect:force_change_block, new_block:block_heart, target:block_all, count:0, val:0],[effect:suicide, target:myself, val:1, dead_type:escape]</v>
      </c>
      <c r="N11" s="48" t="str">
        <f>IFERROR(LEFT(M11,FIND("],",M11)+S23),M11)</f>
        <v>[effect:force_change_block, new_block:block_heart, target:block_all, count:0, val:0],[effect:suicide, target:myself, val:1, dead_type:escape]</v>
      </c>
      <c r="O11" s="63">
        <f t="shared" si="6"/>
        <v>9</v>
      </c>
      <c r="P11" s="63">
        <f t="shared" si="7"/>
        <v>27</v>
      </c>
      <c r="Q11" s="63">
        <f t="shared" si="8"/>
        <v>59</v>
      </c>
      <c r="R11" s="63">
        <f t="shared" si="9"/>
        <v>50</v>
      </c>
      <c r="S11" s="63" t="str">
        <f>IFERROR(VLOOKUP(MID(N11,Q11,R11-Q11),[5]skilldef!$C:$D,2,FALSE),"-") &amp; " / " &amp; IFERROR(VLOOKUP(MID(N11,O11,P11-O11),[5]skilldef!$A:$B,2,FALSE),"-")</f>
        <v>- / -</v>
      </c>
      <c r="T11" s="48" t="str">
        <f t="shared" si="10"/>
        <v>[effect:suicide, target:myself, val:1, dead_type:escape]</v>
      </c>
      <c r="U11" s="63">
        <f t="shared" si="11"/>
        <v>9</v>
      </c>
      <c r="V11" s="63">
        <f t="shared" si="12"/>
        <v>16</v>
      </c>
      <c r="W11" s="63">
        <f t="shared" si="13"/>
        <v>25</v>
      </c>
      <c r="X11" s="63">
        <f t="shared" si="14"/>
        <v>31</v>
      </c>
      <c r="Y11" s="63" t="str">
        <f>IFERROR(VLOOKUP(MID(T11,W11,X11-W11),[5]skilldef!$C:$D,2,FALSE),"-") &amp; " / " &amp; IFERROR(VLOOKUP(MID(T11,U11,V11-U11),[5]skilldef!$A:$B,2,FALSE),"-")</f>
        <v>自分自身に / -</v>
      </c>
      <c r="Z11" s="50"/>
      <c r="AA11" s="52"/>
      <c r="AB11" s="50"/>
    </row>
    <row r="12" spans="1:28" ht="21" customHeight="1" x14ac:dyDescent="0.15">
      <c r="A12" s="104">
        <v>11230316</v>
      </c>
      <c r="B12" s="105" t="s">
        <v>419</v>
      </c>
      <c r="C12" s="106">
        <v>3</v>
      </c>
      <c r="D12" s="106" t="s">
        <v>127</v>
      </c>
      <c r="E12" s="107" t="s">
        <v>417</v>
      </c>
      <c r="F12" s="107" t="s">
        <v>418</v>
      </c>
      <c r="G12" s="63" t="str">
        <f t="shared" ref="G12" si="39">IFERROR(LEFT(B12,FIND("],",B12)),B12)</f>
        <v>[effect:enemy_message, val1:1.5, val2:0]</v>
      </c>
      <c r="H12" s="63">
        <f t="shared" ref="H12" si="40">FIND("effect:",G12)+7</f>
        <v>9</v>
      </c>
      <c r="I12" s="63">
        <f t="shared" ref="I12" si="41">IFERROR(FIND(",",G12),LEN(G12))</f>
        <v>22</v>
      </c>
      <c r="J12" s="63" t="e">
        <f t="shared" ref="J12" si="42">FIND("target:",G12)+7</f>
        <v>#VALUE!</v>
      </c>
      <c r="K12" s="63">
        <f t="shared" ref="K12" si="43">FIND(",",G12,I12+1)</f>
        <v>32</v>
      </c>
      <c r="L12" s="63" t="str">
        <f>IFERROR(VLOOKUP(MID(G12,J12,K12-J12),[5]skilldef!$C:$D,2,FALSE),"-") &amp; " / " &amp; IFERROR(VLOOKUP(MID(G12,H12,I12-H12),[5]skilldef!$A:$B,2,FALSE),"-")</f>
        <v>- / -</v>
      </c>
      <c r="M12" s="63" t="str">
        <f t="shared" ref="M12" si="44">IFERROR(RIGHT(B12,LEN(B12)-FIND("],",B12)-1),"none")</f>
        <v>none</v>
      </c>
      <c r="N12" s="48" t="str">
        <f>IFERROR(LEFT(M12,FIND("],",M12)+S24),M12)</f>
        <v>none</v>
      </c>
      <c r="O12" s="63" t="e">
        <f t="shared" ref="O12" si="45">FIND("effect:",N12)+7</f>
        <v>#VALUE!</v>
      </c>
      <c r="P12" s="63">
        <f t="shared" ref="P12" si="46">IFERROR(FIND(",",N12),LEN(N12))</f>
        <v>4</v>
      </c>
      <c r="Q12" s="63" t="e">
        <f t="shared" ref="Q12" si="47">FIND("target:",N12)+7</f>
        <v>#VALUE!</v>
      </c>
      <c r="R12" s="63" t="e">
        <f t="shared" ref="R12" si="48">FIND(",",N12,P12+1)</f>
        <v>#VALUE!</v>
      </c>
      <c r="S12" s="63" t="str">
        <f>IFERROR(VLOOKUP(MID(N12,Q12,R12-Q12),[5]skilldef!$C:$D,2,FALSE),"-") &amp; " / " &amp; IFERROR(VLOOKUP(MID(N12,O12,P12-O12),[5]skilldef!$A:$B,2,FALSE),"-")</f>
        <v>- / -</v>
      </c>
      <c r="T12" s="48" t="str">
        <f t="shared" ref="T12" si="49">IFERROR(RIGHT(M12,LEN(M12)-FIND("],",M12)-1),"none")</f>
        <v>none</v>
      </c>
      <c r="U12" s="63" t="e">
        <f t="shared" ref="U12" si="50">FIND("effect:",T12)+7</f>
        <v>#VALUE!</v>
      </c>
      <c r="V12" s="63">
        <f t="shared" ref="V12" si="51">IFERROR(FIND(",",T12),LEN(T12))</f>
        <v>4</v>
      </c>
      <c r="W12" s="63" t="e">
        <f t="shared" ref="W12" si="52">FIND("target:",T12)+7</f>
        <v>#VALUE!</v>
      </c>
      <c r="X12" s="63" t="e">
        <f t="shared" ref="X12" si="53">FIND(",",T12,V12+1)</f>
        <v>#VALUE!</v>
      </c>
      <c r="Y12" s="63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104">
        <v>11230411</v>
      </c>
      <c r="B13" s="105" t="s">
        <v>354</v>
      </c>
      <c r="C13" s="106">
        <v>3</v>
      </c>
      <c r="D13" s="106" t="s">
        <v>127</v>
      </c>
      <c r="E13" s="107" t="s">
        <v>361</v>
      </c>
      <c r="F13" s="107" t="s">
        <v>353</v>
      </c>
      <c r="G13" s="63" t="str">
        <f t="shared" si="0"/>
        <v>[effect:enemy_message, val1:1.6, val2:3.2]</v>
      </c>
      <c r="H13" s="63">
        <f t="shared" si="1"/>
        <v>9</v>
      </c>
      <c r="I13" s="63">
        <f t="shared" si="2"/>
        <v>22</v>
      </c>
      <c r="J13" s="63" t="e">
        <f t="shared" si="3"/>
        <v>#VALUE!</v>
      </c>
      <c r="K13" s="63">
        <f t="shared" si="4"/>
        <v>32</v>
      </c>
      <c r="L13" s="63" t="str">
        <f>IFERROR(VLOOKUP(MID(G13,J13,K13-J13),[5]skilldef!$C:$D,2,FALSE),"-") &amp; " / " &amp; IFERROR(VLOOKUP(MID(G13,H13,I13-H13),[5]skilldef!$A:$B,2,FALSE),"-")</f>
        <v>- / -</v>
      </c>
      <c r="M13" s="63" t="str">
        <f t="shared" si="5"/>
        <v>[effect:fix_speed, target:myself, turn:1]</v>
      </c>
      <c r="N13" s="48" t="str">
        <f>IFERROR(LEFT(M13,FIND("],",M13)+S24),M13)</f>
        <v>[effect:fix_speed, target:myself, turn:1]</v>
      </c>
      <c r="O13" s="63">
        <f t="shared" si="6"/>
        <v>9</v>
      </c>
      <c r="P13" s="63">
        <f t="shared" si="7"/>
        <v>18</v>
      </c>
      <c r="Q13" s="63">
        <f t="shared" si="8"/>
        <v>27</v>
      </c>
      <c r="R13" s="63">
        <f t="shared" si="9"/>
        <v>33</v>
      </c>
      <c r="S13" s="63" t="str">
        <f>IFERROR(VLOOKUP(MID(N13,Q13,R13-Q13),[5]skilldef!$C:$D,2,FALSE),"-") &amp; " / " &amp; IFERROR(VLOOKUP(MID(N13,O13,P13-O13),[5]skilldef!$A:$B,2,FALSE),"-")</f>
        <v>自分自身に / 行動値設定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104">
        <v>11230412</v>
      </c>
      <c r="B14" s="105" t="s">
        <v>306</v>
      </c>
      <c r="C14" s="106">
        <v>3</v>
      </c>
      <c r="D14" s="106" t="s">
        <v>127</v>
      </c>
      <c r="E14" s="107" t="s">
        <v>299</v>
      </c>
      <c r="F14" s="107" t="s">
        <v>300</v>
      </c>
      <c r="G14" s="63" t="str">
        <f t="shared" si="0"/>
        <v>[effect:enemy_message, val1:1.4, val2:2.1]</v>
      </c>
      <c r="H14" s="63">
        <f t="shared" si="1"/>
        <v>9</v>
      </c>
      <c r="I14" s="63">
        <f t="shared" si="2"/>
        <v>22</v>
      </c>
      <c r="J14" s="63" t="e">
        <f t="shared" si="3"/>
        <v>#VALUE!</v>
      </c>
      <c r="K14" s="63">
        <f t="shared" si="4"/>
        <v>32</v>
      </c>
      <c r="L14" s="63" t="str">
        <f>IFERROR(VLOOKUP(MID(G14,J14,K14-J14),[5]skilldef!$C:$D,2,FALSE),"-") &amp; " / " &amp; IFERROR(VLOOKUP(MID(G14,H14,I14-H14),[5]skilldef!$A:$B,2,FALSE),"-")</f>
        <v>- / -</v>
      </c>
      <c r="M14" s="63" t="str">
        <f t="shared" si="5"/>
        <v>none</v>
      </c>
      <c r="N14" s="48" t="str">
        <f>IFERROR(LEFT(M14,FIND("],",M14)+S25),M14)</f>
        <v>none</v>
      </c>
      <c r="O14" s="63" t="e">
        <f t="shared" si="6"/>
        <v>#VALUE!</v>
      </c>
      <c r="P14" s="63">
        <f t="shared" si="7"/>
        <v>4</v>
      </c>
      <c r="Q14" s="63" t="e">
        <f t="shared" si="8"/>
        <v>#VALUE!</v>
      </c>
      <c r="R14" s="63" t="e">
        <f t="shared" si="9"/>
        <v>#VALUE!</v>
      </c>
      <c r="S14" s="63" t="str">
        <f>IFERROR(VLOOKUP(MID(N14,Q14,R14-Q14),[5]skilldef!$C:$D,2,FALSE),"-") &amp; " / " &amp; IFERROR(VLOOKUP(MID(N14,O14,P14-O14),[5]skilldef!$A:$B,2,FALSE),"-")</f>
        <v>- / -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104">
        <v>11230413</v>
      </c>
      <c r="B15" s="105" t="s">
        <v>416</v>
      </c>
      <c r="C15" s="106">
        <v>3</v>
      </c>
      <c r="D15" s="106" t="s">
        <v>127</v>
      </c>
      <c r="E15" s="107" t="s">
        <v>420</v>
      </c>
      <c r="F15" s="107" t="s">
        <v>421</v>
      </c>
      <c r="G15" s="63" t="str">
        <f t="shared" si="0"/>
        <v>[effect:enemy_message, val1:1.8, val2:3.5]</v>
      </c>
      <c r="H15" s="63">
        <f t="shared" si="1"/>
        <v>9</v>
      </c>
      <c r="I15" s="63">
        <f t="shared" si="2"/>
        <v>22</v>
      </c>
      <c r="J15" s="63" t="e">
        <f t="shared" si="3"/>
        <v>#VALUE!</v>
      </c>
      <c r="K15" s="63">
        <f t="shared" si="4"/>
        <v>32</v>
      </c>
      <c r="L15" s="63" t="str">
        <f>IFERROR(VLOOKUP(MID(G15,J15,K15-J15),[5]skilldef!$C:$D,2,FALSE),"-") &amp; " / " &amp; IFERROR(VLOOKUP(MID(G15,H15,I15-H15),[5]skilldef!$A:$B,2,FALSE),"-")</f>
        <v>- / -</v>
      </c>
      <c r="M15" s="63" t="str">
        <f t="shared" si="5"/>
        <v>[effect:suicide, target:enemy_all, val:1.0]</v>
      </c>
      <c r="N15" s="48" t="str">
        <f>IFERROR(LEFT(M15,FIND("],",M15)+S25),M15)</f>
        <v>[effect:suicide, target:enemy_all, val:1.0]</v>
      </c>
      <c r="O15" s="63">
        <f t="shared" si="6"/>
        <v>9</v>
      </c>
      <c r="P15" s="63">
        <f t="shared" si="7"/>
        <v>16</v>
      </c>
      <c r="Q15" s="63">
        <f t="shared" si="8"/>
        <v>25</v>
      </c>
      <c r="R15" s="63">
        <f t="shared" si="9"/>
        <v>34</v>
      </c>
      <c r="S15" s="63" t="str">
        <f>IFERROR(VLOOKUP(MID(N15,Q15,R15-Q15),[5]skilldef!$C:$D,2,FALSE),"-") &amp; " / " &amp; IFERROR(VLOOKUP(MID(N15,O15,P15-O15),[5]skilldef!$A:$B,2,FALSE),"-")</f>
        <v>敵全体に / -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104">
        <v>11230414</v>
      </c>
      <c r="B16" s="105" t="s">
        <v>303</v>
      </c>
      <c r="C16" s="106">
        <v>3</v>
      </c>
      <c r="D16" s="106" t="s">
        <v>127</v>
      </c>
      <c r="E16" s="107" t="s">
        <v>362</v>
      </c>
      <c r="F16" s="107" t="s">
        <v>390</v>
      </c>
      <c r="G16" s="63" t="str">
        <f t="shared" ref="G16" si="54">IFERROR(LEFT(B16,FIND("],",B16)),B16)</f>
        <v>[effect:enemy_message, val1:1.5, val2:2.6]</v>
      </c>
      <c r="H16" s="63">
        <f t="shared" si="1"/>
        <v>9</v>
      </c>
      <c r="I16" s="63">
        <f t="shared" ref="I16" si="55">IFERROR(FIND(",",G16),LEN(G16))</f>
        <v>22</v>
      </c>
      <c r="J16" s="63" t="e">
        <f t="shared" ref="J16" si="56">FIND("target:",G16)+7</f>
        <v>#VALUE!</v>
      </c>
      <c r="K16" s="63">
        <f t="shared" ref="K16" si="57">FIND(",",G16,I16+1)</f>
        <v>32</v>
      </c>
      <c r="L16" s="63" t="str">
        <f>IFERROR(VLOOKUP(MID(G16,J16,K16-J16),[5]skilldef!$C:$D,2,FALSE),"-") &amp; " / " &amp; IFERROR(VLOOKUP(MID(G16,H16,I16-H16),[5]skilldef!$A:$B,2,FALSE),"-")</f>
        <v>- / -</v>
      </c>
      <c r="M16" s="63" t="str">
        <f t="shared" ref="M16" si="58">IFERROR(RIGHT(B16,LEN(B16)-FIND("],",B16)-1),"none")</f>
        <v>[effect:fix_speed, target:myself, turn:1]</v>
      </c>
      <c r="N16" s="48" t="str">
        <f>IFERROR(LEFT(M16,FIND("],",M16)+S26),M16)</f>
        <v>[effect:fix_speed, target:myself, turn:1]</v>
      </c>
      <c r="O16" s="63">
        <f t="shared" si="6"/>
        <v>9</v>
      </c>
      <c r="P16" s="63">
        <f t="shared" ref="P16" si="59">IFERROR(FIND(",",N16),LEN(N16))</f>
        <v>18</v>
      </c>
      <c r="Q16" s="63">
        <f t="shared" ref="Q16" si="60">FIND("target:",N16)+7</f>
        <v>27</v>
      </c>
      <c r="R16" s="63">
        <f t="shared" ref="R16" si="61">FIND(",",N16,P16+1)</f>
        <v>33</v>
      </c>
      <c r="S16" s="63" t="str">
        <f>IFERROR(VLOOKUP(MID(N16,Q16,R16-Q16),[5]skilldef!$C:$D,2,FALSE),"-") &amp; " / " &amp; IFERROR(VLOOKUP(MID(N16,O16,P16-O16),[5]skilldef!$A:$B,2,FALSE),"-")</f>
        <v>自分自身に / 行動値設定</v>
      </c>
      <c r="T16" s="48" t="str">
        <f t="shared" ref="T16" si="62">IFERROR(RIGHT(M16,LEN(M16)-FIND("],",M16)-1),"none")</f>
        <v>none</v>
      </c>
      <c r="U16" s="63" t="e">
        <f t="shared" si="11"/>
        <v>#VALUE!</v>
      </c>
      <c r="V16" s="63">
        <f t="shared" ref="V16" si="63">IFERROR(FIND(",",T16),LEN(T16))</f>
        <v>4</v>
      </c>
      <c r="W16" s="63" t="e">
        <f t="shared" ref="W16" si="64">FIND("target:",T16)+7</f>
        <v>#VALUE!</v>
      </c>
      <c r="X16" s="63" t="e">
        <f t="shared" ref="X16" si="65">FIND(",",T16,V16+1)</f>
        <v>#VALUE!</v>
      </c>
      <c r="Y16" s="63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104">
        <v>11230415</v>
      </c>
      <c r="B17" s="105" t="s">
        <v>293</v>
      </c>
      <c r="C17" s="106">
        <v>3</v>
      </c>
      <c r="D17" s="106" t="s">
        <v>127</v>
      </c>
      <c r="E17" s="107" t="s">
        <v>363</v>
      </c>
      <c r="F17" s="107" t="s">
        <v>280</v>
      </c>
      <c r="G17" s="63" t="str">
        <f t="shared" si="0"/>
        <v>[effect:enemy_message, val1:1.4, val2:2.0]</v>
      </c>
      <c r="H17" s="63">
        <f t="shared" si="1"/>
        <v>9</v>
      </c>
      <c r="I17" s="63">
        <f t="shared" si="2"/>
        <v>22</v>
      </c>
      <c r="J17" s="63" t="e">
        <f t="shared" si="3"/>
        <v>#VALUE!</v>
      </c>
      <c r="K17" s="63">
        <f t="shared" si="4"/>
        <v>32</v>
      </c>
      <c r="L17" s="63" t="str">
        <f>IFERROR(VLOOKUP(MID(G17,J17,K17-J17),[5]skilldef!$C:$D,2,FALSE),"-") &amp; " / " &amp; IFERROR(VLOOKUP(MID(G17,H17,I17-H17),[5]skilldef!$A:$B,2,FALSE),"-")</f>
        <v>- / -</v>
      </c>
      <c r="M17" s="63" t="str">
        <f t="shared" si="5"/>
        <v>[effect:break_enchance_enemy, target:myself, val:100, lowest_val:1000, count:-1, status:attack, turn:1, block01:block_heart, calc:add, animation:enemy_enhance_attack],[effect:suicide, target:myself, val:1, dead_type:escape]</v>
      </c>
      <c r="N17" s="48" t="str">
        <f t="shared" ref="N17:N22" si="66">IFERROR(LEFT(M17,FIND("],",M17)+S26),M17)</f>
        <v>[effect:break_enchance_enemy, target:myself, val:100, lowest_val:1000, count:-1, status:attack, turn:1, block01:block_heart, calc:add, animation:enemy_enhance_attack],[effect:suicide, target:myself, val:1, dead_type:escape]</v>
      </c>
      <c r="O17" s="63">
        <f t="shared" si="6"/>
        <v>9</v>
      </c>
      <c r="P17" s="63">
        <f t="shared" si="7"/>
        <v>29</v>
      </c>
      <c r="Q17" s="63">
        <f t="shared" si="8"/>
        <v>38</v>
      </c>
      <c r="R17" s="63">
        <f t="shared" si="9"/>
        <v>44</v>
      </c>
      <c r="S17" s="63" t="str">
        <f>IFERROR(VLOOKUP(MID(N17,Q17,R17-Q17),[5]skilldef!$C:$D,2,FALSE),"-") &amp; " / " &amp; IFERROR(VLOOKUP(MID(N17,O17,P17-O17),[5]skilldef!$A:$B,2,FALSE),"-")</f>
        <v>自分自身に / -</v>
      </c>
      <c r="T17" s="48" t="str">
        <f t="shared" si="10"/>
        <v>[effect:suicide, target:myself, val:1, dead_type:escape]</v>
      </c>
      <c r="U17" s="63">
        <f t="shared" si="11"/>
        <v>9</v>
      </c>
      <c r="V17" s="63">
        <f t="shared" si="12"/>
        <v>16</v>
      </c>
      <c r="W17" s="63">
        <f t="shared" si="13"/>
        <v>25</v>
      </c>
      <c r="X17" s="63">
        <f t="shared" si="14"/>
        <v>31</v>
      </c>
      <c r="Y17" s="63" t="str">
        <f>IFERROR(VLOOKUP(MID(T17,W17,X17-W17),[5]skilldef!$C:$D,2,FALSE),"-") &amp; " / " &amp; IFERROR(VLOOKUP(MID(T17,U17,V17-U17),[5]skilldef!$A:$B,2,FALSE),"-")</f>
        <v>自分自身に / -</v>
      </c>
      <c r="Z17" s="50"/>
      <c r="AA17" s="52"/>
      <c r="AB17" s="50"/>
    </row>
    <row r="18" spans="1:28" ht="21" customHeight="1" x14ac:dyDescent="0.15">
      <c r="A18" s="104">
        <v>11230511</v>
      </c>
      <c r="B18" s="105" t="s">
        <v>304</v>
      </c>
      <c r="C18" s="106">
        <v>3</v>
      </c>
      <c r="D18" s="106" t="s">
        <v>127</v>
      </c>
      <c r="E18" s="107" t="s">
        <v>266</v>
      </c>
      <c r="F18" s="107" t="s">
        <v>281</v>
      </c>
      <c r="G18" s="63" t="str">
        <f t="shared" si="0"/>
        <v>[effect:enemy_message, val1:1.5, val2:3.5]</v>
      </c>
      <c r="H18" s="63">
        <f t="shared" si="1"/>
        <v>9</v>
      </c>
      <c r="I18" s="63">
        <f t="shared" si="2"/>
        <v>22</v>
      </c>
      <c r="J18" s="63" t="e">
        <f t="shared" si="3"/>
        <v>#VALUE!</v>
      </c>
      <c r="K18" s="63">
        <f t="shared" si="4"/>
        <v>32</v>
      </c>
      <c r="L18" s="63" t="str">
        <f>IFERROR(VLOOKUP(MID(G18,J18,K18-J18),[5]skilldef!$C:$D,2,FALSE),"-") &amp; " / " &amp; IFERROR(VLOOKUP(MID(G18,H18,I18-H18),[5]skilldef!$A:$B,2,FALSE),"-")</f>
        <v>- / -</v>
      </c>
      <c r="M18" s="63" t="str">
        <f t="shared" si="5"/>
        <v>[effect:fix_speed, target:myself, turn:1]</v>
      </c>
      <c r="N18" s="48" t="str">
        <f t="shared" si="66"/>
        <v>[effect:fix_speed, target:myself, turn:1]</v>
      </c>
      <c r="O18" s="63">
        <f t="shared" si="6"/>
        <v>9</v>
      </c>
      <c r="P18" s="63">
        <f t="shared" si="7"/>
        <v>18</v>
      </c>
      <c r="Q18" s="63">
        <f t="shared" si="8"/>
        <v>27</v>
      </c>
      <c r="R18" s="63">
        <f t="shared" si="9"/>
        <v>33</v>
      </c>
      <c r="S18" s="63" t="str">
        <f>IFERROR(VLOOKUP(MID(N18,Q18,R18-Q18),[5]skilldef!$C:$D,2,FALSE),"-") &amp; " / " &amp; IFERROR(VLOOKUP(MID(N18,O18,P18-O18),[5]skilldef!$A:$B,2,FALSE),"-")</f>
        <v>自分自身に / 行動値設定</v>
      </c>
      <c r="T18" s="48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 x14ac:dyDescent="0.15">
      <c r="A19" s="104">
        <v>11230512</v>
      </c>
      <c r="B19" s="105" t="s">
        <v>287</v>
      </c>
      <c r="C19" s="106">
        <v>3</v>
      </c>
      <c r="D19" s="106" t="s">
        <v>127</v>
      </c>
      <c r="E19" s="107" t="s">
        <v>265</v>
      </c>
      <c r="F19" s="107" t="s">
        <v>264</v>
      </c>
      <c r="G19" s="63" t="str">
        <f t="shared" si="0"/>
        <v>[effect:enemy_message, val1:1.2, val2:2.0]</v>
      </c>
      <c r="H19" s="63">
        <f t="shared" si="1"/>
        <v>9</v>
      </c>
      <c r="I19" s="63">
        <f t="shared" si="2"/>
        <v>22</v>
      </c>
      <c r="J19" s="63" t="e">
        <f t="shared" si="3"/>
        <v>#VALUE!</v>
      </c>
      <c r="K19" s="63">
        <f t="shared" si="4"/>
        <v>32</v>
      </c>
      <c r="L19" s="63" t="str">
        <f>IFERROR(VLOOKUP(MID(G19,J19,K19-J19),[5]skilldef!$C:$D,2,FALSE),"-") &amp; " / " &amp; IFERROR(VLOOKUP(MID(G19,H19,I19-H19),[5]skilldef!$A:$B,2,FALSE),"-")</f>
        <v>- / -</v>
      </c>
      <c r="M19" s="63" t="str">
        <f t="shared" si="5"/>
        <v>[effect:dis_panel, target:block_red, turn:3, animation:enemy_dis_red]</v>
      </c>
      <c r="N19" s="48" t="str">
        <f t="shared" si="66"/>
        <v>[effect:dis_panel, target:block_red, turn:3, animation:enemy_dis_red]</v>
      </c>
      <c r="O19" s="63">
        <f t="shared" si="6"/>
        <v>9</v>
      </c>
      <c r="P19" s="63">
        <f t="shared" si="7"/>
        <v>18</v>
      </c>
      <c r="Q19" s="63">
        <f t="shared" si="8"/>
        <v>27</v>
      </c>
      <c r="R19" s="63">
        <f t="shared" si="9"/>
        <v>36</v>
      </c>
      <c r="S19" s="63" t="str">
        <f>IFERROR(VLOOKUP(MID(N19,Q19,R19-Q19),[5]skilldef!$C:$D,2,FALSE),"-") &amp; " / " &amp; IFERROR(VLOOKUP(MID(N19,O19,P19-O19),[5]skilldef!$A:$B,2,FALSE),"-")</f>
        <v>赤パネルを / ディスパネル</v>
      </c>
      <c r="T19" s="48" t="str">
        <f t="shared" si="10"/>
        <v>none</v>
      </c>
      <c r="U19" s="63" t="e">
        <f t="shared" si="11"/>
        <v>#VALUE!</v>
      </c>
      <c r="V19" s="63">
        <f t="shared" si="12"/>
        <v>4</v>
      </c>
      <c r="W19" s="63" t="e">
        <f t="shared" si="13"/>
        <v>#VALUE!</v>
      </c>
      <c r="X19" s="63" t="e">
        <f t="shared" si="14"/>
        <v>#VALUE!</v>
      </c>
      <c r="Y19" s="63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104">
        <v>11230513</v>
      </c>
      <c r="B20" s="105" t="s">
        <v>288</v>
      </c>
      <c r="C20" s="106">
        <v>3</v>
      </c>
      <c r="D20" s="106" t="s">
        <v>127</v>
      </c>
      <c r="E20" s="107" t="s">
        <v>261</v>
      </c>
      <c r="F20" s="107" t="s">
        <v>260</v>
      </c>
      <c r="G20" s="63" t="str">
        <f t="shared" si="0"/>
        <v>[effect:enemy_message, val1:1.2, val2:2.3]</v>
      </c>
      <c r="H20" s="63">
        <f t="shared" si="1"/>
        <v>9</v>
      </c>
      <c r="I20" s="63">
        <f t="shared" si="2"/>
        <v>22</v>
      </c>
      <c r="J20" s="63" t="e">
        <f t="shared" si="3"/>
        <v>#VALUE!</v>
      </c>
      <c r="K20" s="63">
        <f t="shared" si="4"/>
        <v>32</v>
      </c>
      <c r="L20" s="63" t="str">
        <f>IFERROR(VLOOKUP(MID(G20,J20,K20-J20),[5]skilldef!$C:$D,2,FALSE),"-") &amp; " / " &amp; IFERROR(VLOOKUP(MID(G20,H20,I20-H20),[5]skilldef!$A:$B,2,FALSE),"-")</f>
        <v>- / -</v>
      </c>
      <c r="M20" s="63" t="str">
        <f t="shared" si="5"/>
        <v>[effect:dis_panel, target:block_blue, turn:2, animation:enemy_dis_blue]</v>
      </c>
      <c r="N20" s="48" t="str">
        <f t="shared" si="66"/>
        <v>[effect:dis_panel, target:block_blue, turn:2, animation:enemy_dis_blue]</v>
      </c>
      <c r="O20" s="63">
        <f t="shared" si="6"/>
        <v>9</v>
      </c>
      <c r="P20" s="63">
        <f t="shared" si="7"/>
        <v>18</v>
      </c>
      <c r="Q20" s="63">
        <f t="shared" si="8"/>
        <v>27</v>
      </c>
      <c r="R20" s="63">
        <f t="shared" si="9"/>
        <v>37</v>
      </c>
      <c r="S20" s="63" t="str">
        <f>IFERROR(VLOOKUP(MID(N20,Q20,R20-Q20),[5]skilldef!$C:$D,2,FALSE),"-") &amp; " / " &amp; IFERROR(VLOOKUP(MID(N20,O20,P20-O20),[5]skilldef!$A:$B,2,FALSE),"-")</f>
        <v>青パネルを / ディスパネル</v>
      </c>
      <c r="T20" s="48" t="str">
        <f t="shared" si="10"/>
        <v>none</v>
      </c>
      <c r="U20" s="63" t="e">
        <f t="shared" si="11"/>
        <v>#VALUE!</v>
      </c>
      <c r="V20" s="63">
        <f t="shared" si="12"/>
        <v>4</v>
      </c>
      <c r="W20" s="63" t="e">
        <f t="shared" si="13"/>
        <v>#VALUE!</v>
      </c>
      <c r="X20" s="63" t="e">
        <f t="shared" si="14"/>
        <v>#VALUE!</v>
      </c>
      <c r="Y20" s="63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104">
        <v>11230514</v>
      </c>
      <c r="B21" s="105" t="s">
        <v>289</v>
      </c>
      <c r="C21" s="106">
        <v>3</v>
      </c>
      <c r="D21" s="106" t="s">
        <v>127</v>
      </c>
      <c r="E21" s="107" t="s">
        <v>262</v>
      </c>
      <c r="F21" s="107" t="s">
        <v>263</v>
      </c>
      <c r="G21" s="63" t="str">
        <f t="shared" si="0"/>
        <v>[effect:enemy_message, val1:1.2, val2:2.4]</v>
      </c>
      <c r="H21" s="63">
        <f t="shared" si="1"/>
        <v>9</v>
      </c>
      <c r="I21" s="63">
        <f t="shared" si="2"/>
        <v>22</v>
      </c>
      <c r="J21" s="63" t="e">
        <f t="shared" si="3"/>
        <v>#VALUE!</v>
      </c>
      <c r="K21" s="63">
        <f t="shared" si="4"/>
        <v>32</v>
      </c>
      <c r="L21" s="63" t="str">
        <f>IFERROR(VLOOKUP(MID(G21,J21,K21-J21),[5]skilldef!$C:$D,2,FALSE),"-") &amp; " / " &amp; IFERROR(VLOOKUP(MID(G21,H21,I21-H21),[5]skilldef!$A:$B,2,FALSE),"-")</f>
        <v>- / -</v>
      </c>
      <c r="M21" s="63" t="str">
        <f t="shared" si="5"/>
        <v>[effect:dis_panel, target:block_yellow, turn:1, animation:enemy_dis_yellow]</v>
      </c>
      <c r="N21" s="48" t="str">
        <f t="shared" si="66"/>
        <v>[effect:dis_panel, target:block_yellow, turn:1, animation:enemy_dis_yellow]</v>
      </c>
      <c r="O21" s="63">
        <f t="shared" si="6"/>
        <v>9</v>
      </c>
      <c r="P21" s="63">
        <f t="shared" si="7"/>
        <v>18</v>
      </c>
      <c r="Q21" s="63">
        <f t="shared" si="8"/>
        <v>27</v>
      </c>
      <c r="R21" s="63">
        <f t="shared" si="9"/>
        <v>39</v>
      </c>
      <c r="S21" s="63" t="str">
        <f>IFERROR(VLOOKUP(MID(N21,Q21,R21-Q21),[5]skilldef!$C:$D,2,FALSE),"-") &amp; " / " &amp; IFERROR(VLOOKUP(MID(N21,O21,P21-O21),[5]skilldef!$A:$B,2,FALSE),"-")</f>
        <v>黄色パネルを / ディスパネル</v>
      </c>
      <c r="T21" s="48" t="str">
        <f t="shared" si="10"/>
        <v>none</v>
      </c>
      <c r="U21" s="63" t="e">
        <f t="shared" si="11"/>
        <v>#VALUE!</v>
      </c>
      <c r="V21" s="63">
        <f t="shared" si="12"/>
        <v>4</v>
      </c>
      <c r="W21" s="63" t="e">
        <f t="shared" si="13"/>
        <v>#VALUE!</v>
      </c>
      <c r="X21" s="63" t="e">
        <f t="shared" si="14"/>
        <v>#VALUE!</v>
      </c>
      <c r="Y21" s="63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104">
        <v>11230515</v>
      </c>
      <c r="B22" s="105" t="s">
        <v>389</v>
      </c>
      <c r="C22" s="106">
        <v>3</v>
      </c>
      <c r="D22" s="106" t="s">
        <v>127</v>
      </c>
      <c r="E22" s="107" t="s">
        <v>258</v>
      </c>
      <c r="F22" s="107" t="s">
        <v>259</v>
      </c>
      <c r="G22" s="63" t="str">
        <f t="shared" si="0"/>
        <v>[effect:enemy_message, val1:1.9, val2:3.6]</v>
      </c>
      <c r="H22" s="63">
        <f t="shared" si="1"/>
        <v>9</v>
      </c>
      <c r="I22" s="63">
        <f t="shared" si="2"/>
        <v>22</v>
      </c>
      <c r="J22" s="63" t="e">
        <f t="shared" si="3"/>
        <v>#VALUE!</v>
      </c>
      <c r="K22" s="63">
        <f t="shared" si="4"/>
        <v>32</v>
      </c>
      <c r="L22" s="63" t="str">
        <f>IFERROR(VLOOKUP(MID(G22,J22,K22-J22),[5]skilldef!$C:$D,2,FALSE),"-") &amp; " / " &amp; IFERROR(VLOOKUP(MID(G22,H22,I22-H22),[5]skilldef!$A:$B,2,FALSE),"-")</f>
        <v>- / -</v>
      </c>
      <c r="M22" s="63" t="str">
        <f t="shared" si="5"/>
        <v>[effect:fix_speed, target:myself, turn:3],[effect:enhance_enemy, target:myself, turn:-1, status:attack, val:1, animation:enemy_enhance_attack],[effect:enhance_fever, val:1000],[effect:enhance_unit, target:unit_all, turn:-1, status:attack, val:6000, calc:add]</v>
      </c>
      <c r="N22" s="48" t="str">
        <f t="shared" si="66"/>
        <v>[effect:fix_speed, target:myself, turn:3],[effect:enhance_enemy, target:myself, turn:-1, status:attack, val:1, animation:enemy_enhance_attack],[effect:enhance_fever, val:1000],[effect:enhance_unit, target:unit_all, turn:-1, status:attack, val:6000, calc:add]</v>
      </c>
      <c r="O22" s="63">
        <f t="shared" si="6"/>
        <v>9</v>
      </c>
      <c r="P22" s="63">
        <f t="shared" si="7"/>
        <v>18</v>
      </c>
      <c r="Q22" s="63">
        <f t="shared" si="8"/>
        <v>27</v>
      </c>
      <c r="R22" s="63">
        <f t="shared" si="9"/>
        <v>33</v>
      </c>
      <c r="S22" s="63" t="str">
        <f>IFERROR(VLOOKUP(MID(N22,Q22,R22-Q22),[5]skilldef!$C:$D,2,FALSE),"-") &amp; " / " &amp; IFERROR(VLOOKUP(MID(N22,O22,P22-O22),[5]skilldef!$A:$B,2,FALSE),"-")</f>
        <v>自分自身に / 行動値設定</v>
      </c>
      <c r="T22" s="48" t="str">
        <f t="shared" si="10"/>
        <v>[effect:enhance_enemy, target:myself, turn:-1, status:attack, val:1, animation:enemy_enhance_attack],[effect:enhance_fever, val:1000],[effect:enhance_unit, target:unit_all, turn:-1, status:attack, val:6000, calc:add]</v>
      </c>
      <c r="U22" s="63">
        <f t="shared" si="11"/>
        <v>9</v>
      </c>
      <c r="V22" s="63">
        <f t="shared" si="12"/>
        <v>22</v>
      </c>
      <c r="W22" s="63">
        <f t="shared" si="13"/>
        <v>31</v>
      </c>
      <c r="X22" s="63">
        <f t="shared" si="14"/>
        <v>37</v>
      </c>
      <c r="Y22" s="63" t="str">
        <f>IFERROR(VLOOKUP(MID(T22,W22,X22-W22),[5]skilldef!$C:$D,2,FALSE),"-") &amp; " / " &amp; IFERROR(VLOOKUP(MID(T22,U22,V22-U22),[5]skilldef!$A:$B,2,FALSE),"-")</f>
        <v>自分自身に / ステータス強化</v>
      </c>
      <c r="Z22" s="50"/>
      <c r="AA22" s="52"/>
      <c r="AB22" s="50"/>
    </row>
    <row r="23" spans="1:28" ht="21" customHeight="1" x14ac:dyDescent="0.15">
      <c r="A23" s="104">
        <v>11230516</v>
      </c>
      <c r="B23" s="105" t="s">
        <v>342</v>
      </c>
      <c r="C23" s="106">
        <v>3</v>
      </c>
      <c r="D23" s="106" t="s">
        <v>127</v>
      </c>
      <c r="E23" s="107" t="s">
        <v>256</v>
      </c>
      <c r="F23" s="107" t="s">
        <v>257</v>
      </c>
      <c r="G23" s="63" t="str">
        <f t="shared" si="0"/>
        <v>[effect:enemy_message, val1:1.4, val2:1.4]</v>
      </c>
      <c r="H23" s="63">
        <f t="shared" si="1"/>
        <v>9</v>
      </c>
      <c r="I23" s="63">
        <f t="shared" si="2"/>
        <v>22</v>
      </c>
      <c r="J23" s="63" t="e">
        <f t="shared" si="3"/>
        <v>#VALUE!</v>
      </c>
      <c r="K23" s="63">
        <f t="shared" si="4"/>
        <v>32</v>
      </c>
      <c r="L23" s="63" t="str">
        <f>IFERROR(VLOOKUP(MID(G23,J23,K23-J23),[5]skilldef!$C:$D,2,FALSE),"-") &amp; " / " &amp; IFERROR(VLOOKUP(MID(G23,H23,I23-H23),[5]skilldef!$A:$B,2,FALSE),"-")</f>
        <v>- / -</v>
      </c>
      <c r="M23" s="63" t="str">
        <f t="shared" si="5"/>
        <v>[effect:damage_gravity, val:3, animation:fevergauge_down]</v>
      </c>
      <c r="N23" s="48" t="str">
        <f>IFERROR(LEFT(M23,FIND("],",M23)+S34),M23)</f>
        <v>[effect:damage_gravity, val:3, animation:fevergauge_down]</v>
      </c>
      <c r="O23" s="63">
        <f t="shared" si="6"/>
        <v>9</v>
      </c>
      <c r="P23" s="63">
        <f t="shared" si="7"/>
        <v>23</v>
      </c>
      <c r="Q23" s="63" t="e">
        <f t="shared" si="8"/>
        <v>#VALUE!</v>
      </c>
      <c r="R23" s="63">
        <f t="shared" si="9"/>
        <v>30</v>
      </c>
      <c r="S23" s="63" t="str">
        <f>IFERROR(VLOOKUP(MID(N23,Q23,R23-Q23),[5]skilldef!$C:$D,2,FALSE),"-") &amp; " / " &amp; IFERROR(VLOOKUP(MID(N23,O23,P23-O23),[5]skilldef!$A:$B,2,FALSE),"-")</f>
        <v>- / 割合ダメージ</v>
      </c>
      <c r="T23" s="48" t="str">
        <f t="shared" si="10"/>
        <v>none</v>
      </c>
      <c r="U23" s="63" t="e">
        <f t="shared" si="11"/>
        <v>#VALUE!</v>
      </c>
      <c r="V23" s="63">
        <f t="shared" si="12"/>
        <v>4</v>
      </c>
      <c r="W23" s="63" t="e">
        <f t="shared" si="13"/>
        <v>#VALUE!</v>
      </c>
      <c r="X23" s="63" t="e">
        <f t="shared" si="14"/>
        <v>#VALUE!</v>
      </c>
      <c r="Y23" s="63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 x14ac:dyDescent="0.15">
      <c r="A24" s="104">
        <v>11230517</v>
      </c>
      <c r="B24" s="105" t="s">
        <v>307</v>
      </c>
      <c r="C24" s="106">
        <v>3</v>
      </c>
      <c r="D24" s="106" t="s">
        <v>127</v>
      </c>
      <c r="E24" s="107" t="s">
        <v>267</v>
      </c>
      <c r="F24" s="107" t="s">
        <v>268</v>
      </c>
      <c r="G24" s="63" t="str">
        <f t="shared" si="0"/>
        <v>[effect:enemy_message, val1:1.5, val2:3.6]</v>
      </c>
      <c r="H24" s="63">
        <f t="shared" si="1"/>
        <v>9</v>
      </c>
      <c r="I24" s="63">
        <f t="shared" si="2"/>
        <v>22</v>
      </c>
      <c r="J24" s="63" t="e">
        <f t="shared" si="3"/>
        <v>#VALUE!</v>
      </c>
      <c r="K24" s="63">
        <f t="shared" si="4"/>
        <v>32</v>
      </c>
      <c r="L24" s="63" t="str">
        <f>IFERROR(VLOOKUP(MID(G24,J24,K24-J24),[5]skilldef!$C:$D,2,FALSE),"-") &amp; " / " &amp; IFERROR(VLOOKUP(MID(G24,H24,I24-H24),[5]skilldef!$A:$B,2,FALSE),"-")</f>
        <v>- / -</v>
      </c>
      <c r="M24" s="63" t="str">
        <f t="shared" si="5"/>
        <v>[effect:enhance_fever, val:1000]</v>
      </c>
      <c r="N24" s="48" t="str">
        <f>IFERROR(LEFT(M24,FIND("],",M24)+S36),M24)</f>
        <v>[effect:enhance_fever, val:1000]</v>
      </c>
      <c r="O24" s="63">
        <f t="shared" si="6"/>
        <v>9</v>
      </c>
      <c r="P24" s="63">
        <f t="shared" si="7"/>
        <v>22</v>
      </c>
      <c r="Q24" s="63" t="e">
        <f t="shared" si="8"/>
        <v>#VALUE!</v>
      </c>
      <c r="R24" s="63" t="e">
        <f t="shared" si="9"/>
        <v>#VALUE!</v>
      </c>
      <c r="S24" s="63" t="str">
        <f>IFERROR(VLOOKUP(MID(N24,Q24,R24-Q24),[5]skilldef!$C:$D,2,FALSE),"-") &amp; " / " &amp; IFERROR(VLOOKUP(MID(N24,O24,P24-O24),[5]skilldef!$A:$B,2,FALSE),"-")</f>
        <v>- / -</v>
      </c>
      <c r="T24" s="48" t="str">
        <f t="shared" si="10"/>
        <v>none</v>
      </c>
      <c r="U24" s="63" t="e">
        <f t="shared" si="11"/>
        <v>#VALUE!</v>
      </c>
      <c r="V24" s="63">
        <f t="shared" si="12"/>
        <v>4</v>
      </c>
      <c r="W24" s="63" t="e">
        <f t="shared" si="13"/>
        <v>#VALUE!</v>
      </c>
      <c r="X24" s="63" t="e">
        <f t="shared" si="14"/>
        <v>#VALUE!</v>
      </c>
      <c r="Y24" s="63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 x14ac:dyDescent="0.15">
      <c r="A25" s="104">
        <v>11230611</v>
      </c>
      <c r="B25" s="105" t="s">
        <v>305</v>
      </c>
      <c r="C25" s="106">
        <v>3</v>
      </c>
      <c r="D25" s="106" t="s">
        <v>127</v>
      </c>
      <c r="E25" s="107" t="s">
        <v>269</v>
      </c>
      <c r="F25" s="107" t="s">
        <v>272</v>
      </c>
      <c r="G25" s="63" t="str">
        <f t="shared" ref="G25:G28" si="67">IFERROR(LEFT(B25,FIND("],",B25)),B25)</f>
        <v>[effect:enemy_message, val1:1.5, val2:2.3]</v>
      </c>
      <c r="H25" s="63">
        <f t="shared" si="1"/>
        <v>9</v>
      </c>
      <c r="I25" s="63">
        <f t="shared" ref="I25:I28" si="68">IFERROR(FIND(",",G25),LEN(G25))</f>
        <v>22</v>
      </c>
      <c r="J25" s="63" t="e">
        <f t="shared" ref="J25:J28" si="69">FIND("target:",G25)+7</f>
        <v>#VALUE!</v>
      </c>
      <c r="K25" s="63">
        <f t="shared" ref="K25:K28" si="70">FIND(",",G25,I25+1)</f>
        <v>32</v>
      </c>
      <c r="L25" s="63" t="str">
        <f>IFERROR(VLOOKUP(MID(G25,J25,K25-J25),[5]skilldef!$C:$D,2,FALSE),"-") &amp; " / " &amp; IFERROR(VLOOKUP(MID(G25,H25,I25-H25),[5]skilldef!$A:$B,2,FALSE),"-")</f>
        <v>- / -</v>
      </c>
      <c r="M25" s="63" t="str">
        <f t="shared" ref="M25:M28" si="71">IFERROR(RIGHT(B25,LEN(B25)-FIND("],",B25)-1),"none")</f>
        <v>[effect:fix_speed, target:myself, turn:1],[effect:sleep, target:unit_all, turn:3, rate:1]</v>
      </c>
      <c r="N25" s="48" t="str">
        <f t="shared" ref="N25" si="72">IFERROR(LEFT(M25,FIND("],",M25)+S36),M25)</f>
        <v>[effect:fix_speed, target:myself, turn:1],[effect:sleep, target:unit_all, turn:3, rate:1]</v>
      </c>
      <c r="O25" s="63">
        <f t="shared" si="6"/>
        <v>9</v>
      </c>
      <c r="P25" s="63">
        <f t="shared" ref="P25:P28" si="73">IFERROR(FIND(",",N25),LEN(N25))</f>
        <v>18</v>
      </c>
      <c r="Q25" s="63">
        <f t="shared" ref="Q25:Q28" si="74">FIND("target:",N25)+7</f>
        <v>27</v>
      </c>
      <c r="R25" s="63">
        <f t="shared" ref="R25:R28" si="75">FIND(",",N25,P25+1)</f>
        <v>33</v>
      </c>
      <c r="S25" s="63" t="str">
        <f>IFERROR(VLOOKUP(MID(N25,Q25,R25-Q25),[5]skilldef!$C:$D,2,FALSE),"-") &amp; " / " &amp; IFERROR(VLOOKUP(MID(N25,O25,P25-O25),[5]skilldef!$A:$B,2,FALSE),"-")</f>
        <v>自分自身に / 行動値設定</v>
      </c>
      <c r="T25" s="48" t="str">
        <f t="shared" ref="T25:T28" si="76">IFERROR(RIGHT(M25,LEN(M25)-FIND("],",M25)-1),"none")</f>
        <v>[effect:sleep, target:unit_all, turn:3, rate:1]</v>
      </c>
      <c r="U25" s="63">
        <f t="shared" si="11"/>
        <v>9</v>
      </c>
      <c r="V25" s="63">
        <f t="shared" ref="V25:V28" si="77">IFERROR(FIND(",",T25),LEN(T25))</f>
        <v>14</v>
      </c>
      <c r="W25" s="63">
        <f t="shared" ref="W25:W28" si="78">FIND("target:",T25)+7</f>
        <v>23</v>
      </c>
      <c r="X25" s="63">
        <f t="shared" ref="X25:X28" si="79">FIND(",",T25,V25+1)</f>
        <v>31</v>
      </c>
      <c r="Y25" s="63" t="str">
        <f>IFERROR(VLOOKUP(MID(T25,W25,X25-W25),[5]skilldef!$C:$D,2,FALSE),"-") &amp; " / " &amp; IFERROR(VLOOKUP(MID(T25,U25,V25-U25),[5]skilldef!$A:$B,2,FALSE),"-")</f>
        <v>味方全体に / スリープ</v>
      </c>
      <c r="Z25" s="50"/>
      <c r="AA25" s="52"/>
      <c r="AB25" s="50"/>
    </row>
    <row r="26" spans="1:28" ht="21" customHeight="1" x14ac:dyDescent="0.15">
      <c r="A26" s="104">
        <v>11230612</v>
      </c>
      <c r="B26" s="105" t="s">
        <v>366</v>
      </c>
      <c r="C26" s="106">
        <v>3</v>
      </c>
      <c r="D26" s="106" t="s">
        <v>127</v>
      </c>
      <c r="E26" s="107" t="s">
        <v>271</v>
      </c>
      <c r="F26" s="107" t="s">
        <v>365</v>
      </c>
      <c r="G26" s="63" t="str">
        <f t="shared" si="67"/>
        <v>[effect:enemy_message, val1:2.2, val2:2.8]</v>
      </c>
      <c r="H26" s="63">
        <f t="shared" si="1"/>
        <v>9</v>
      </c>
      <c r="I26" s="63">
        <f t="shared" si="68"/>
        <v>22</v>
      </c>
      <c r="J26" s="63" t="e">
        <f t="shared" si="69"/>
        <v>#VALUE!</v>
      </c>
      <c r="K26" s="63">
        <f t="shared" si="70"/>
        <v>32</v>
      </c>
      <c r="L26" s="63" t="str">
        <f>IFERROR(VLOOKUP(MID(G26,J26,K26-J26),[5]skilldef!$C:$D,2,FALSE),"-") &amp; " / " &amp; IFERROR(VLOOKUP(MID(G26,H26,I26-H26),[5]skilldef!$A:$B,2,FALSE),"-")</f>
        <v>- / -</v>
      </c>
      <c r="M26" s="63" t="str">
        <f t="shared" si="71"/>
        <v>none</v>
      </c>
      <c r="N26" s="48" t="str">
        <f>IFERROR(LEFT(M26,FIND("],",M26)+S39),M26)</f>
        <v>none</v>
      </c>
      <c r="O26" s="63" t="e">
        <f t="shared" si="6"/>
        <v>#VALUE!</v>
      </c>
      <c r="P26" s="63">
        <f t="shared" si="73"/>
        <v>4</v>
      </c>
      <c r="Q26" s="63" t="e">
        <f t="shared" si="74"/>
        <v>#VALUE!</v>
      </c>
      <c r="R26" s="63" t="e">
        <f t="shared" si="75"/>
        <v>#VALUE!</v>
      </c>
      <c r="S26" s="63" t="str">
        <f>IFERROR(VLOOKUP(MID(N26,Q26,R26-Q26),[5]skilldef!$C:$D,2,FALSE),"-") &amp; " / " &amp; IFERROR(VLOOKUP(MID(N26,O26,P26-O26),[5]skilldef!$A:$B,2,FALSE),"-")</f>
        <v>- / -</v>
      </c>
      <c r="T26" s="48" t="str">
        <f t="shared" si="76"/>
        <v>none</v>
      </c>
      <c r="U26" s="63" t="e">
        <f t="shared" si="11"/>
        <v>#VALUE!</v>
      </c>
      <c r="V26" s="63">
        <f t="shared" si="77"/>
        <v>4</v>
      </c>
      <c r="W26" s="63" t="e">
        <f t="shared" si="78"/>
        <v>#VALUE!</v>
      </c>
      <c r="X26" s="63" t="e">
        <f t="shared" si="79"/>
        <v>#VALUE!</v>
      </c>
      <c r="Y26" s="63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104">
        <v>11230613</v>
      </c>
      <c r="B27" s="105" t="s">
        <v>386</v>
      </c>
      <c r="C27" s="106">
        <v>3</v>
      </c>
      <c r="D27" s="106" t="s">
        <v>127</v>
      </c>
      <c r="E27" s="107" t="s">
        <v>270</v>
      </c>
      <c r="F27" s="107" t="s">
        <v>301</v>
      </c>
      <c r="G27" s="63" t="str">
        <f t="shared" si="67"/>
        <v>[effect:enemy_message, val1:2.8, val2:4.7]</v>
      </c>
      <c r="H27" s="63">
        <f t="shared" si="1"/>
        <v>9</v>
      </c>
      <c r="I27" s="63">
        <f t="shared" si="68"/>
        <v>22</v>
      </c>
      <c r="J27" s="63" t="e">
        <f t="shared" si="69"/>
        <v>#VALUE!</v>
      </c>
      <c r="K27" s="63">
        <f t="shared" si="70"/>
        <v>32</v>
      </c>
      <c r="L27" s="63" t="str">
        <f>IFERROR(VLOOKUP(MID(G27,J27,K27-J27),[5]skilldef!$C:$D,2,FALSE),"-") &amp; " / " &amp; IFERROR(VLOOKUP(MID(G27,H27,I27-H27),[5]skilldef!$A:$B,2,FALSE),"-")</f>
        <v>- / -</v>
      </c>
      <c r="M27" s="63" t="str">
        <f t="shared" si="71"/>
        <v>[effect:freq_turn, target:myself, turn:-1, val:1, animation:enemy_freq_turn],[effect:suicide, target:myself, val:1, dead_type:escape]</v>
      </c>
      <c r="N27" s="48" t="str">
        <f>IFERROR(LEFT(M27,FIND("],",M27)+S40),M27)</f>
        <v>[effect:freq_turn, target:myself, turn:-1, val:1, animation:enemy_freq_turn],[effect:suicide, target:myself, val:1, dead_type:escape]</v>
      </c>
      <c r="O27" s="63">
        <f t="shared" si="6"/>
        <v>9</v>
      </c>
      <c r="P27" s="63">
        <f t="shared" si="73"/>
        <v>18</v>
      </c>
      <c r="Q27" s="63">
        <f t="shared" si="74"/>
        <v>27</v>
      </c>
      <c r="R27" s="63">
        <f t="shared" si="75"/>
        <v>33</v>
      </c>
      <c r="S27" s="63" t="str">
        <f>IFERROR(VLOOKUP(MID(N27,Q27,R27-Q27),[5]skilldef!$C:$D,2,FALSE),"-") &amp; " / " &amp; IFERROR(VLOOKUP(MID(N27,O27,P27-O27),[5]skilldef!$A:$B,2,FALSE),"-")</f>
        <v>自分自身に / 攻撃頻度がUP</v>
      </c>
      <c r="T27" s="48" t="str">
        <f t="shared" si="76"/>
        <v>[effect:suicide, target:myself, val:1, dead_type:escape]</v>
      </c>
      <c r="U27" s="63">
        <f t="shared" si="11"/>
        <v>9</v>
      </c>
      <c r="V27" s="63">
        <f t="shared" si="77"/>
        <v>16</v>
      </c>
      <c r="W27" s="63">
        <f t="shared" si="78"/>
        <v>25</v>
      </c>
      <c r="X27" s="63">
        <f t="shared" si="79"/>
        <v>31</v>
      </c>
      <c r="Y27" s="63" t="str">
        <f>IFERROR(VLOOKUP(MID(T27,W27,X27-W27),[5]skilldef!$C:$D,2,FALSE),"-") &amp; " / " &amp; IFERROR(VLOOKUP(MID(T27,U27,V27-U27),[5]skilldef!$A:$B,2,FALSE),"-")</f>
        <v>自分自身に / -</v>
      </c>
      <c r="Z27" s="50"/>
      <c r="AA27" s="52"/>
      <c r="AB27" s="50"/>
    </row>
    <row r="28" spans="1:28" ht="21" customHeight="1" x14ac:dyDescent="0.15">
      <c r="A28" s="47">
        <v>11230121</v>
      </c>
      <c r="B28" s="108" t="s">
        <v>391</v>
      </c>
      <c r="C28" s="50">
        <v>3</v>
      </c>
      <c r="D28" s="50" t="s">
        <v>127</v>
      </c>
      <c r="E28" s="51" t="s">
        <v>310</v>
      </c>
      <c r="F28" s="51" t="s">
        <v>379</v>
      </c>
      <c r="G28" s="63" t="str">
        <f t="shared" si="67"/>
        <v>[effect:enemy_message, val1:2.7, val2:5.4]</v>
      </c>
      <c r="H28" s="63">
        <f t="shared" ref="H28" si="80">FIND("effect:",G28)+7</f>
        <v>9</v>
      </c>
      <c r="I28" s="63">
        <f t="shared" si="68"/>
        <v>22</v>
      </c>
      <c r="J28" s="63" t="e">
        <f t="shared" si="69"/>
        <v>#VALUE!</v>
      </c>
      <c r="K28" s="63">
        <f t="shared" si="70"/>
        <v>32</v>
      </c>
      <c r="L28" s="63" t="str">
        <f>IFERROR(VLOOKUP(MID(G28,J28,K28-J28),[5]skilldef!$C:$D,2,FALSE),"-") &amp; " / " &amp; IFERROR(VLOOKUP(MID(G28,H28,I28-H28),[5]skilldef!$A:$B,2,FALSE),"-")</f>
        <v>- / -</v>
      </c>
      <c r="M28" s="63" t="str">
        <f t="shared" si="71"/>
        <v>[effect:fix_speed, target:myself, turn:1],[effect:ability_lock, target:unit_all, turn:-1],[effect:hungup, target:unit_all, turn:-1, rate:1],[effect:sleep, target:unit_all, turn:1, rate:1],[effect:crash_condition, target:unit_all, turn:-1, val:99]</v>
      </c>
      <c r="N28" s="48" t="str">
        <f t="shared" ref="N28" si="81">IFERROR(LEFT(M28,FIND("],",M28)+S46),M28)</f>
        <v>[effect:fix_speed, target:myself, turn:1],[effect:ability_lock, target:unit_all, turn:-1],[effect:hungup, target:unit_all, turn:-1, rate:1],[effect:sleep, target:unit_all, turn:1, rate:1],[effect:crash_condition, target:unit_all, turn:-1, val:99]</v>
      </c>
      <c r="O28" s="63">
        <f t="shared" ref="O28" si="82">FIND("effect:",N28)+7</f>
        <v>9</v>
      </c>
      <c r="P28" s="63">
        <f t="shared" si="73"/>
        <v>18</v>
      </c>
      <c r="Q28" s="63">
        <f t="shared" si="74"/>
        <v>27</v>
      </c>
      <c r="R28" s="63">
        <f t="shared" si="75"/>
        <v>33</v>
      </c>
      <c r="S28" s="63" t="str">
        <f>IFERROR(VLOOKUP(MID(N28,Q28,R28-Q28),[5]skilldef!$C:$D,2,FALSE),"-") &amp; " / " &amp; IFERROR(VLOOKUP(MID(N28,O28,P28-O28),[5]skilldef!$A:$B,2,FALSE),"-")</f>
        <v>自分自身に / 行動値設定</v>
      </c>
      <c r="T28" s="48" t="str">
        <f t="shared" si="76"/>
        <v>[effect:ability_lock, target:unit_all, turn:-1],[effect:hungup, target:unit_all, turn:-1, rate:1],[effect:sleep, target:unit_all, turn:1, rate:1],[effect:crash_condition, target:unit_all, turn:-1, val:99]</v>
      </c>
      <c r="U28" s="63">
        <f t="shared" ref="U28" si="83">FIND("effect:",T28)+7</f>
        <v>9</v>
      </c>
      <c r="V28" s="63">
        <f t="shared" si="77"/>
        <v>21</v>
      </c>
      <c r="W28" s="63">
        <f t="shared" si="78"/>
        <v>30</v>
      </c>
      <c r="X28" s="63">
        <f t="shared" si="79"/>
        <v>38</v>
      </c>
      <c r="Y28" s="63" t="str">
        <f>IFERROR(VLOOKUP(MID(T28,W28,X28-W28),[5]skilldef!$C:$D,2,FALSE),"-") &amp; " / " &amp; IFERROR(VLOOKUP(MID(T28,U28,V28-U28),[5]skilldef!$A:$B,2,FALSE),"-")</f>
        <v>味方全体に / -</v>
      </c>
      <c r="Z28" s="50"/>
      <c r="AA28" s="52"/>
      <c r="AB28" s="50"/>
    </row>
    <row r="29" spans="1:28" ht="21" customHeight="1" x14ac:dyDescent="0.15">
      <c r="A29" s="47">
        <v>11230122</v>
      </c>
      <c r="B29" s="108" t="s">
        <v>392</v>
      </c>
      <c r="C29" s="50">
        <v>3</v>
      </c>
      <c r="D29" s="50" t="s">
        <v>127</v>
      </c>
      <c r="E29" s="51" t="s">
        <v>311</v>
      </c>
      <c r="F29" s="51" t="s">
        <v>387</v>
      </c>
      <c r="G29" s="63" t="str">
        <f t="shared" ref="G29:G52" si="84">IFERROR(LEFT(B29,FIND("],",B29)),B29)</f>
        <v>[effect:enemy_message, val1:1.9, val2:3.2]</v>
      </c>
      <c r="H29" s="63">
        <f t="shared" ref="H29:H52" si="85">FIND("effect:",G29)+7</f>
        <v>9</v>
      </c>
      <c r="I29" s="63">
        <f t="shared" ref="I29:I52" si="86">IFERROR(FIND(",",G29),LEN(G29))</f>
        <v>22</v>
      </c>
      <c r="J29" s="63" t="e">
        <f t="shared" ref="J29:J52" si="87">FIND("target:",G29)+7</f>
        <v>#VALUE!</v>
      </c>
      <c r="K29" s="63">
        <f t="shared" ref="K29:K52" si="88">FIND(",",G29,I29+1)</f>
        <v>32</v>
      </c>
      <c r="L29" s="63" t="str">
        <f>IFERROR(VLOOKUP(MID(G29,J29,K29-J29),[5]skilldef!$C:$D,2,FALSE),"-") &amp; " / " &amp; IFERROR(VLOOKUP(MID(G29,H29,I29-H29),[5]skilldef!$A:$B,2,FALSE),"-")</f>
        <v>- / -</v>
      </c>
      <c r="M29" s="63" t="str">
        <f t="shared" ref="M29:M52" si="89">IFERROR(RIGHT(B29,LEN(B29)-FIND("],",B29)-1),"none")</f>
        <v>[effect:suicide, target:myself, val:1, dead_type:escape]</v>
      </c>
      <c r="N29" s="48" t="str">
        <f>IFERROR(LEFT(M29,FIND("],",M29)+S47),M29)</f>
        <v>[effect:suicide, target:myself, val:1, dead_type:escape]</v>
      </c>
      <c r="O29" s="63">
        <f t="shared" ref="O29:O52" si="90">FIND("effect:",N29)+7</f>
        <v>9</v>
      </c>
      <c r="P29" s="63">
        <f t="shared" ref="P29:P52" si="91">IFERROR(FIND(",",N29),LEN(N29))</f>
        <v>16</v>
      </c>
      <c r="Q29" s="63">
        <f t="shared" ref="Q29:Q52" si="92">FIND("target:",N29)+7</f>
        <v>25</v>
      </c>
      <c r="R29" s="63">
        <f t="shared" ref="R29:R52" si="93">FIND(",",N29,P29+1)</f>
        <v>31</v>
      </c>
      <c r="S29" s="63" t="str">
        <f>IFERROR(VLOOKUP(MID(N29,Q29,R29-Q29),[5]skilldef!$C:$D,2,FALSE),"-") &amp; " / " &amp; IFERROR(VLOOKUP(MID(N29,O29,P29-O29),[5]skilldef!$A:$B,2,FALSE),"-")</f>
        <v>自分自身に / -</v>
      </c>
      <c r="T29" s="48" t="str">
        <f t="shared" ref="T29:T52" si="94">IFERROR(RIGHT(M29,LEN(M29)-FIND("],",M29)-1),"none")</f>
        <v>none</v>
      </c>
      <c r="U29" s="63" t="e">
        <f t="shared" ref="U29:U52" si="95">FIND("effect:",T29)+7</f>
        <v>#VALUE!</v>
      </c>
      <c r="V29" s="63">
        <f t="shared" ref="V29:V52" si="96">IFERROR(FIND(",",T29),LEN(T29))</f>
        <v>4</v>
      </c>
      <c r="W29" s="63" t="e">
        <f t="shared" ref="W29:W52" si="97">FIND("target:",T29)+7</f>
        <v>#VALUE!</v>
      </c>
      <c r="X29" s="63" t="e">
        <f t="shared" ref="X29:X52" si="98">FIND(",",T29,V29+1)</f>
        <v>#VALUE!</v>
      </c>
      <c r="Y29" s="63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47">
        <v>11230221</v>
      </c>
      <c r="B30" s="108" t="s">
        <v>393</v>
      </c>
      <c r="C30" s="50">
        <v>3</v>
      </c>
      <c r="D30" s="50" t="s">
        <v>127</v>
      </c>
      <c r="E30" s="51" t="s">
        <v>312</v>
      </c>
      <c r="F30" s="51" t="s">
        <v>383</v>
      </c>
      <c r="G30" s="63" t="str">
        <f t="shared" si="84"/>
        <v>[effect:enemy_message, val1:1.8, val2:3.0]</v>
      </c>
      <c r="H30" s="63">
        <f t="shared" si="85"/>
        <v>9</v>
      </c>
      <c r="I30" s="63">
        <f t="shared" si="86"/>
        <v>22</v>
      </c>
      <c r="J30" s="63" t="e">
        <f t="shared" si="87"/>
        <v>#VALUE!</v>
      </c>
      <c r="K30" s="63">
        <f t="shared" si="88"/>
        <v>32</v>
      </c>
      <c r="L30" s="63" t="str">
        <f>IFERROR(VLOOKUP(MID(G30,J30,K30-J30),[5]skilldef!$C:$D,2,FALSE),"-") &amp; " / " &amp; IFERROR(VLOOKUP(MID(G30,H30,I30-H30),[5]skilldef!$A:$B,2,FALSE),"-")</f>
        <v>- / -</v>
      </c>
      <c r="M30" s="63" t="str">
        <f t="shared" si="89"/>
        <v>[effect:fix_speed, target:myself, turn:1],[effect:sleep, target:unit_all, turn:1, rate:1]</v>
      </c>
      <c r="N30" s="48" t="str">
        <f>IFERROR(LEFT(M30,FIND("],",M30)+S48),M30)</f>
        <v>[effect:fix_speed, target:myself, turn:1],[effect:sleep, target:unit_all, turn:1, rate:1]</v>
      </c>
      <c r="O30" s="63">
        <f t="shared" si="90"/>
        <v>9</v>
      </c>
      <c r="P30" s="63">
        <f t="shared" si="91"/>
        <v>18</v>
      </c>
      <c r="Q30" s="63">
        <f t="shared" si="92"/>
        <v>27</v>
      </c>
      <c r="R30" s="63">
        <f t="shared" si="93"/>
        <v>33</v>
      </c>
      <c r="S30" s="63" t="str">
        <f>IFERROR(VLOOKUP(MID(N30,Q30,R30-Q30),[5]skilldef!$C:$D,2,FALSE),"-") &amp; " / " &amp; IFERROR(VLOOKUP(MID(N30,O30,P30-O30),[5]skilldef!$A:$B,2,FALSE),"-")</f>
        <v>自分自身に / 行動値設定</v>
      </c>
      <c r="T30" s="48" t="str">
        <f t="shared" si="94"/>
        <v>[effect:sleep, target:unit_all, turn:1, rate:1]</v>
      </c>
      <c r="U30" s="63">
        <f t="shared" si="95"/>
        <v>9</v>
      </c>
      <c r="V30" s="63">
        <f t="shared" si="96"/>
        <v>14</v>
      </c>
      <c r="W30" s="63">
        <f t="shared" si="97"/>
        <v>23</v>
      </c>
      <c r="X30" s="63">
        <f t="shared" si="98"/>
        <v>31</v>
      </c>
      <c r="Y30" s="63" t="str">
        <f>IFERROR(VLOOKUP(MID(T30,W30,X30-W30),[5]skilldef!$C:$D,2,FALSE),"-") &amp; " / " &amp; IFERROR(VLOOKUP(MID(T30,U30,V30-U30),[5]skilldef!$A:$B,2,FALSE),"-")</f>
        <v>味方全体に / スリープ</v>
      </c>
      <c r="Z30" s="50"/>
      <c r="AA30" s="52"/>
      <c r="AB30" s="50"/>
    </row>
    <row r="31" spans="1:28" ht="21" customHeight="1" x14ac:dyDescent="0.15">
      <c r="A31" s="47">
        <v>11230222</v>
      </c>
      <c r="B31" s="108" t="s">
        <v>394</v>
      </c>
      <c r="C31" s="50">
        <v>3</v>
      </c>
      <c r="D31" s="50" t="s">
        <v>127</v>
      </c>
      <c r="E31" s="51" t="s">
        <v>313</v>
      </c>
      <c r="F31" s="51" t="s">
        <v>384</v>
      </c>
      <c r="G31" s="63" t="str">
        <f t="shared" si="84"/>
        <v>[effect:enemy_message, val1:2.9, val2:4.6]</v>
      </c>
      <c r="H31" s="63">
        <f t="shared" si="85"/>
        <v>9</v>
      </c>
      <c r="I31" s="63">
        <f t="shared" si="86"/>
        <v>22</v>
      </c>
      <c r="J31" s="63" t="e">
        <f t="shared" si="87"/>
        <v>#VALUE!</v>
      </c>
      <c r="K31" s="63">
        <f t="shared" si="88"/>
        <v>32</v>
      </c>
      <c r="L31" s="63" t="str">
        <f>IFERROR(VLOOKUP(MID(G31,J31,K31-J31),[5]skilldef!$C:$D,2,FALSE),"-") &amp; " / " &amp; IFERROR(VLOOKUP(MID(G31,H31,I31-H31),[5]skilldef!$A:$B,2,FALSE),"-")</f>
        <v>- / -</v>
      </c>
      <c r="M31" s="63" t="str">
        <f t="shared" si="89"/>
        <v>[effect:force_change_block, new_block:crack_bomb, target:block_all, ignore01:block_positive, ignore02:block_negative, color:block_blue, count:1, val:36]</v>
      </c>
      <c r="N31" s="48" t="str">
        <f>IFERROR(LEFT(M31,FIND("],",M31)+S49),M31)</f>
        <v>[effect:force_change_block, new_block:crack_bomb, target:block_all, ignore01:block_positive, ignore02:block_negative, color:block_blue, count:1, val:36]</v>
      </c>
      <c r="O31" s="63">
        <f t="shared" si="90"/>
        <v>9</v>
      </c>
      <c r="P31" s="63">
        <f t="shared" si="91"/>
        <v>27</v>
      </c>
      <c r="Q31" s="63">
        <f t="shared" si="92"/>
        <v>58</v>
      </c>
      <c r="R31" s="63">
        <f t="shared" si="93"/>
        <v>49</v>
      </c>
      <c r="S31" s="63" t="str">
        <f>IFERROR(VLOOKUP(MID(N31,Q31,R31-Q31),[5]skilldef!$C:$D,2,FALSE),"-") &amp; " / " &amp; IFERROR(VLOOKUP(MID(N31,O31,P31-O31),[5]skilldef!$A:$B,2,FALSE),"-")</f>
        <v>- / -</v>
      </c>
      <c r="T31" s="48" t="str">
        <f t="shared" si="94"/>
        <v>none</v>
      </c>
      <c r="U31" s="63" t="e">
        <f t="shared" si="95"/>
        <v>#VALUE!</v>
      </c>
      <c r="V31" s="63">
        <f t="shared" si="96"/>
        <v>4</v>
      </c>
      <c r="W31" s="63" t="e">
        <f t="shared" si="97"/>
        <v>#VALUE!</v>
      </c>
      <c r="X31" s="63" t="e">
        <f t="shared" si="98"/>
        <v>#VALUE!</v>
      </c>
      <c r="Y31" s="63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21" customHeight="1" x14ac:dyDescent="0.15">
      <c r="A32" s="47">
        <v>11230223</v>
      </c>
      <c r="B32" s="108" t="s">
        <v>395</v>
      </c>
      <c r="C32" s="50">
        <v>3</v>
      </c>
      <c r="D32" s="50" t="s">
        <v>127</v>
      </c>
      <c r="E32" s="51" t="s">
        <v>314</v>
      </c>
      <c r="F32" s="51" t="s">
        <v>315</v>
      </c>
      <c r="G32" s="63" t="str">
        <f t="shared" ref="G32" si="99">IFERROR(LEFT(B32,FIND("],",B32)),B32)</f>
        <v>[effect:enemy_message, val1:1.6, val2:3.0]</v>
      </c>
      <c r="H32" s="63">
        <f t="shared" ref="H32" si="100">FIND("effect:",G32)+7</f>
        <v>9</v>
      </c>
      <c r="I32" s="63">
        <f t="shared" ref="I32" si="101">IFERROR(FIND(",",G32),LEN(G32))</f>
        <v>22</v>
      </c>
      <c r="J32" s="63" t="e">
        <f t="shared" ref="J32" si="102">FIND("target:",G32)+7</f>
        <v>#VALUE!</v>
      </c>
      <c r="K32" s="63">
        <f t="shared" ref="K32" si="103">FIND(",",G32,I32+1)</f>
        <v>32</v>
      </c>
      <c r="L32" s="63" t="str">
        <f>IFERROR(VLOOKUP(MID(G32,J32,K32-J32),[5]skilldef!$C:$D,2,FALSE),"-") &amp; " / " &amp; IFERROR(VLOOKUP(MID(G32,H32,I32-H32),[5]skilldef!$A:$B,2,FALSE),"-")</f>
        <v>- / -</v>
      </c>
      <c r="M32" s="63" t="str">
        <f t="shared" ref="M32" si="104">IFERROR(RIGHT(B32,LEN(B32)-FIND("],",B32)-1),"none")</f>
        <v>[effect:suicide, target:myself, val:1, dead_type:escape]</v>
      </c>
      <c r="N32" s="48" t="str">
        <f>IFERROR(LEFT(M32,FIND("],",M32)+#REF!),M32)</f>
        <v>[effect:suicide, target:myself, val:1, dead_type:escape]</v>
      </c>
      <c r="O32" s="63">
        <f t="shared" ref="O32" si="105">FIND("effect:",N32)+7</f>
        <v>9</v>
      </c>
      <c r="P32" s="63">
        <f t="shared" ref="P32" si="106">IFERROR(FIND(",",N32),LEN(N32))</f>
        <v>16</v>
      </c>
      <c r="Q32" s="63">
        <f t="shared" ref="Q32" si="107">FIND("target:",N32)+7</f>
        <v>25</v>
      </c>
      <c r="R32" s="63">
        <f t="shared" ref="R32" si="108">FIND(",",N32,P32+1)</f>
        <v>31</v>
      </c>
      <c r="S32" s="63" t="str">
        <f>IFERROR(VLOOKUP(MID(N32,Q32,R32-Q32),[5]skilldef!$C:$D,2,FALSE),"-") &amp; " / " &amp; IFERROR(VLOOKUP(MID(N32,O32,P32-O32),[5]skilldef!$A:$B,2,FALSE),"-")</f>
        <v>自分自身に / -</v>
      </c>
      <c r="T32" s="48" t="str">
        <f t="shared" ref="T32" si="109">IFERROR(RIGHT(M32,LEN(M32)-FIND("],",M32)-1),"none")</f>
        <v>none</v>
      </c>
      <c r="U32" s="63" t="e">
        <f t="shared" ref="U32" si="110">FIND("effect:",T32)+7</f>
        <v>#VALUE!</v>
      </c>
      <c r="V32" s="63">
        <f t="shared" ref="V32" si="111">IFERROR(FIND(",",T32),LEN(T32))</f>
        <v>4</v>
      </c>
      <c r="W32" s="63" t="e">
        <f t="shared" ref="W32" si="112">FIND("target:",T32)+7</f>
        <v>#VALUE!</v>
      </c>
      <c r="X32" s="63" t="e">
        <f t="shared" ref="X32" si="113">FIND(",",T32,V32+1)</f>
        <v>#VALUE!</v>
      </c>
      <c r="Y32" s="63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47">
        <v>11230321</v>
      </c>
      <c r="B33" s="108" t="s">
        <v>396</v>
      </c>
      <c r="C33" s="50">
        <v>3</v>
      </c>
      <c r="D33" s="50" t="s">
        <v>127</v>
      </c>
      <c r="E33" s="51" t="s">
        <v>350</v>
      </c>
      <c r="F33" s="51" t="s">
        <v>382</v>
      </c>
      <c r="G33" s="63" t="str">
        <f t="shared" si="84"/>
        <v>[effect:enemy_message, val1:1.8, val2:3.0]</v>
      </c>
      <c r="H33" s="63">
        <f t="shared" si="85"/>
        <v>9</v>
      </c>
      <c r="I33" s="63">
        <f t="shared" si="86"/>
        <v>22</v>
      </c>
      <c r="J33" s="63" t="e">
        <f t="shared" si="87"/>
        <v>#VALUE!</v>
      </c>
      <c r="K33" s="63">
        <f t="shared" si="88"/>
        <v>32</v>
      </c>
      <c r="L33" s="63" t="str">
        <f>IFERROR(VLOOKUP(MID(G33,J33,K33-J33),[5]skilldef!$C:$D,2,FALSE),"-") &amp; " / " &amp; IFERROR(VLOOKUP(MID(G33,H33,I33-H33),[5]skilldef!$A:$B,2,FALSE),"-")</f>
        <v>- / -</v>
      </c>
      <c r="M33" s="63" t="str">
        <f t="shared" si="89"/>
        <v>[effect:fix_speed, target:myself, turn:1],[effect:sleep, target:unit_all, turn:1, rate:1]</v>
      </c>
      <c r="N33" s="48" t="str">
        <f>IFERROR(LEFT(M33,FIND("],",M33)+#REF!),M33)</f>
        <v>[effect:fix_speed, target:myself, turn:1],[effect:sleep, target:unit_all, turn:1, rate:1]</v>
      </c>
      <c r="O33" s="63">
        <f t="shared" si="90"/>
        <v>9</v>
      </c>
      <c r="P33" s="63">
        <f t="shared" si="91"/>
        <v>18</v>
      </c>
      <c r="Q33" s="63">
        <f t="shared" si="92"/>
        <v>27</v>
      </c>
      <c r="R33" s="63">
        <f t="shared" si="93"/>
        <v>33</v>
      </c>
      <c r="S33" s="63" t="str">
        <f>IFERROR(VLOOKUP(MID(N33,Q33,R33-Q33),[5]skilldef!$C:$D,2,FALSE),"-") &amp; " / " &amp; IFERROR(VLOOKUP(MID(N33,O33,P33-O33),[5]skilldef!$A:$B,2,FALSE),"-")</f>
        <v>自分自身に / 行動値設定</v>
      </c>
      <c r="T33" s="48" t="str">
        <f t="shared" si="94"/>
        <v>[effect:sleep, target:unit_all, turn:1, rate:1]</v>
      </c>
      <c r="U33" s="63">
        <f t="shared" si="95"/>
        <v>9</v>
      </c>
      <c r="V33" s="63">
        <f t="shared" si="96"/>
        <v>14</v>
      </c>
      <c r="W33" s="63">
        <f t="shared" si="97"/>
        <v>23</v>
      </c>
      <c r="X33" s="63">
        <f t="shared" si="98"/>
        <v>31</v>
      </c>
      <c r="Y33" s="63" t="str">
        <f>IFERROR(VLOOKUP(MID(T33,W33,X33-W33),[5]skilldef!$C:$D,2,FALSE),"-") &amp; " / " &amp; IFERROR(VLOOKUP(MID(T33,U33,V33-U33),[5]skilldef!$A:$B,2,FALSE),"-")</f>
        <v>味方全体に / スリープ</v>
      </c>
      <c r="Z33" s="50"/>
      <c r="AA33" s="52"/>
      <c r="AB33" s="50"/>
    </row>
    <row r="34" spans="1:28" ht="21" customHeight="1" x14ac:dyDescent="0.15">
      <c r="A34" s="47">
        <v>11230322</v>
      </c>
      <c r="B34" s="108" t="s">
        <v>397</v>
      </c>
      <c r="C34" s="50">
        <v>3</v>
      </c>
      <c r="D34" s="50" t="s">
        <v>127</v>
      </c>
      <c r="E34" s="51" t="s">
        <v>348</v>
      </c>
      <c r="F34" s="51" t="s">
        <v>349</v>
      </c>
      <c r="G34" s="63" t="str">
        <f t="shared" si="84"/>
        <v>[effect:enemy_message, val1:2.8, val2:3.8]</v>
      </c>
      <c r="H34" s="63">
        <f t="shared" si="85"/>
        <v>9</v>
      </c>
      <c r="I34" s="63">
        <f t="shared" si="86"/>
        <v>22</v>
      </c>
      <c r="J34" s="63" t="e">
        <f t="shared" si="87"/>
        <v>#VALUE!</v>
      </c>
      <c r="K34" s="63">
        <f t="shared" si="88"/>
        <v>32</v>
      </c>
      <c r="L34" s="63" t="str">
        <f>IFERROR(VLOOKUP(MID(G34,J34,K34-J34),[5]skilldef!$C:$D,2,FALSE),"-") &amp; " / " &amp; IFERROR(VLOOKUP(MID(G34,H34,I34-H34),[5]skilldef!$A:$B,2,FALSE),"-")</f>
        <v>- / -</v>
      </c>
      <c r="M34" s="63" t="str">
        <f t="shared" si="89"/>
        <v>[effect:force_change_block, new_block:crack_bomb, target:block_all, ignore01:block_positive, ignore02:block_negative, color:block_green, count:1, val:36]</v>
      </c>
      <c r="N34" s="48" t="str">
        <f>IFERROR(LEFT(M34,FIND("],",M34)+S50),M34)</f>
        <v>[effect:force_change_block, new_block:crack_bomb, target:block_all, ignore01:block_positive, ignore02:block_negative, color:block_green, count:1, val:36]</v>
      </c>
      <c r="O34" s="63">
        <f t="shared" si="90"/>
        <v>9</v>
      </c>
      <c r="P34" s="63">
        <f t="shared" si="91"/>
        <v>27</v>
      </c>
      <c r="Q34" s="63">
        <f t="shared" si="92"/>
        <v>58</v>
      </c>
      <c r="R34" s="63">
        <f t="shared" si="93"/>
        <v>49</v>
      </c>
      <c r="S34" s="63" t="str">
        <f>IFERROR(VLOOKUP(MID(N34,Q34,R34-Q34),[5]skilldef!$C:$D,2,FALSE),"-") &amp; " / " &amp; IFERROR(VLOOKUP(MID(N34,O34,P34-O34),[5]skilldef!$A:$B,2,FALSE),"-")</f>
        <v>- / -</v>
      </c>
      <c r="T34" s="48" t="str">
        <f t="shared" si="94"/>
        <v>none</v>
      </c>
      <c r="U34" s="63" t="e">
        <f t="shared" si="95"/>
        <v>#VALUE!</v>
      </c>
      <c r="V34" s="63">
        <f t="shared" si="96"/>
        <v>4</v>
      </c>
      <c r="W34" s="63" t="e">
        <f t="shared" si="97"/>
        <v>#VALUE!</v>
      </c>
      <c r="X34" s="63" t="e">
        <f t="shared" si="98"/>
        <v>#VALUE!</v>
      </c>
      <c r="Y34" s="63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21" customHeight="1" x14ac:dyDescent="0.15">
      <c r="A35" s="47">
        <v>11230323</v>
      </c>
      <c r="B35" s="108" t="s">
        <v>398</v>
      </c>
      <c r="C35" s="50">
        <v>3</v>
      </c>
      <c r="D35" s="50" t="s">
        <v>127</v>
      </c>
      <c r="E35" s="51" t="s">
        <v>316</v>
      </c>
      <c r="F35" s="51" t="s">
        <v>317</v>
      </c>
      <c r="G35" s="63" t="str">
        <f t="shared" ref="G35" si="114">IFERROR(LEFT(B35,FIND("],",B35)),B35)</f>
        <v>[effect:enemy_message, val1:2.2, val2:3.2]</v>
      </c>
      <c r="H35" s="63">
        <f t="shared" ref="H35" si="115">FIND("effect:",G35)+7</f>
        <v>9</v>
      </c>
      <c r="I35" s="63">
        <f t="shared" ref="I35" si="116">IFERROR(FIND(",",G35),LEN(G35))</f>
        <v>22</v>
      </c>
      <c r="J35" s="63" t="e">
        <f t="shared" ref="J35" si="117">FIND("target:",G35)+7</f>
        <v>#VALUE!</v>
      </c>
      <c r="K35" s="63">
        <f t="shared" ref="K35" si="118">FIND(",",G35,I35+1)</f>
        <v>32</v>
      </c>
      <c r="L35" s="63" t="str">
        <f>IFERROR(VLOOKUP(MID(G35,J35,K35-J35),[5]skilldef!$C:$D,2,FALSE),"-") &amp; " / " &amp; IFERROR(VLOOKUP(MID(G35,H35,I35-H35),[5]skilldef!$A:$B,2,FALSE),"-")</f>
        <v>- / -</v>
      </c>
      <c r="M35" s="63" t="str">
        <f t="shared" ref="M35" si="119">IFERROR(RIGHT(B35,LEN(B35)-FIND("],",B35)-1),"none")</f>
        <v>[effect:suicide, target:myself, val:1, dead_type:escape]</v>
      </c>
      <c r="N35" s="48" t="str">
        <f>IFERROR(LEFT(M35,FIND("],",M35)+S51),M35)</f>
        <v>[effect:suicide, target:myself, val:1, dead_type:escape]</v>
      </c>
      <c r="O35" s="63">
        <f t="shared" ref="O35" si="120">FIND("effect:",N35)+7</f>
        <v>9</v>
      </c>
      <c r="P35" s="63">
        <f t="shared" ref="P35" si="121">IFERROR(FIND(",",N35),LEN(N35))</f>
        <v>16</v>
      </c>
      <c r="Q35" s="63">
        <f t="shared" ref="Q35" si="122">FIND("target:",N35)+7</f>
        <v>25</v>
      </c>
      <c r="R35" s="63">
        <f t="shared" ref="R35" si="123">FIND(",",N35,P35+1)</f>
        <v>31</v>
      </c>
      <c r="S35" s="63" t="str">
        <f>IFERROR(VLOOKUP(MID(N35,Q35,R35-Q35),[5]skilldef!$C:$D,2,FALSE),"-") &amp; " / " &amp; IFERROR(VLOOKUP(MID(N35,O35,P35-O35),[5]skilldef!$A:$B,2,FALSE),"-")</f>
        <v>自分自身に / -</v>
      </c>
      <c r="T35" s="48" t="str">
        <f t="shared" ref="T35" si="124">IFERROR(RIGHT(M35,LEN(M35)-FIND("],",M35)-1),"none")</f>
        <v>none</v>
      </c>
      <c r="U35" s="63" t="e">
        <f t="shared" ref="U35" si="125">FIND("effect:",T35)+7</f>
        <v>#VALUE!</v>
      </c>
      <c r="V35" s="63">
        <f t="shared" ref="V35" si="126">IFERROR(FIND(",",T35),LEN(T35))</f>
        <v>4</v>
      </c>
      <c r="W35" s="63" t="e">
        <f t="shared" ref="W35" si="127">FIND("target:",T35)+7</f>
        <v>#VALUE!</v>
      </c>
      <c r="X35" s="63" t="e">
        <f t="shared" ref="X35" si="128">FIND(",",T35,V35+1)</f>
        <v>#VALUE!</v>
      </c>
      <c r="Y35" s="63" t="str">
        <f>IFERROR(VLOOKUP(MID(T35,W35,X35-W35),[5]skilldef!$C:$D,2,FALSE),"-") &amp; " / " &amp; IFERROR(VLOOKUP(MID(T35,U35,V35-U35),[5]skilldef!$A:$B,2,FALSE),"-")</f>
        <v>- / -</v>
      </c>
      <c r="Z35" s="50"/>
      <c r="AA35" s="52"/>
      <c r="AB35" s="50"/>
    </row>
    <row r="36" spans="1:28" ht="21" customHeight="1" x14ac:dyDescent="0.15">
      <c r="A36" s="47">
        <v>11230421</v>
      </c>
      <c r="B36" s="108" t="s">
        <v>399</v>
      </c>
      <c r="C36" s="50">
        <v>3</v>
      </c>
      <c r="D36" s="50" t="s">
        <v>127</v>
      </c>
      <c r="E36" s="51" t="s">
        <v>318</v>
      </c>
      <c r="F36" s="51" t="s">
        <v>380</v>
      </c>
      <c r="G36" s="63" t="str">
        <f t="shared" si="84"/>
        <v>[effect:enemy_message, val1:2.8, val2:2.9]</v>
      </c>
      <c r="H36" s="63">
        <f t="shared" si="85"/>
        <v>9</v>
      </c>
      <c r="I36" s="63">
        <f t="shared" si="86"/>
        <v>22</v>
      </c>
      <c r="J36" s="63" t="e">
        <f t="shared" si="87"/>
        <v>#VALUE!</v>
      </c>
      <c r="K36" s="63">
        <f t="shared" si="88"/>
        <v>32</v>
      </c>
      <c r="L36" s="63" t="str">
        <f>IFERROR(VLOOKUP(MID(G36,J36,K36-J36),[5]skilldef!$C:$D,2,FALSE),"-") &amp; " / " &amp; IFERROR(VLOOKUP(MID(G36,H36,I36-H36),[5]skilldef!$A:$B,2,FALSE),"-")</f>
        <v>- / -</v>
      </c>
      <c r="M36" s="63" t="str">
        <f t="shared" si="89"/>
        <v>[effect:fix_speed, target:myself, turn:1],[effect:sleep, target:unit_all, turn:1, rate:1]</v>
      </c>
      <c r="N36" s="48" t="str">
        <f>IFERROR(LEFT(M36,FIND("],",M36)+S51),M36)</f>
        <v>[effect:fix_speed, target:myself, turn:1],[effect:sleep, target:unit_all, turn:1, rate:1]</v>
      </c>
      <c r="O36" s="63">
        <f t="shared" si="90"/>
        <v>9</v>
      </c>
      <c r="P36" s="63">
        <f t="shared" si="91"/>
        <v>18</v>
      </c>
      <c r="Q36" s="63">
        <f t="shared" si="92"/>
        <v>27</v>
      </c>
      <c r="R36" s="63">
        <f t="shared" si="93"/>
        <v>33</v>
      </c>
      <c r="S36" s="63" t="str">
        <f>IFERROR(VLOOKUP(MID(N36,Q36,R36-Q36),[5]skilldef!$C:$D,2,FALSE),"-") &amp; " / " &amp; IFERROR(VLOOKUP(MID(N36,O36,P36-O36),[5]skilldef!$A:$B,2,FALSE),"-")</f>
        <v>自分自身に / 行動値設定</v>
      </c>
      <c r="T36" s="48" t="str">
        <f t="shared" si="94"/>
        <v>[effect:sleep, target:unit_all, turn:1, rate:1]</v>
      </c>
      <c r="U36" s="63">
        <f t="shared" si="95"/>
        <v>9</v>
      </c>
      <c r="V36" s="63">
        <f t="shared" si="96"/>
        <v>14</v>
      </c>
      <c r="W36" s="63">
        <f t="shared" si="97"/>
        <v>23</v>
      </c>
      <c r="X36" s="63">
        <f t="shared" si="98"/>
        <v>31</v>
      </c>
      <c r="Y36" s="63" t="str">
        <f>IFERROR(VLOOKUP(MID(T36,W36,X36-W36),[5]skilldef!$C:$D,2,FALSE),"-") &amp; " / " &amp; IFERROR(VLOOKUP(MID(T36,U36,V36-U36),[5]skilldef!$A:$B,2,FALSE),"-")</f>
        <v>味方全体に / スリープ</v>
      </c>
      <c r="Z36" s="50"/>
      <c r="AA36" s="52"/>
      <c r="AB36" s="50"/>
    </row>
    <row r="37" spans="1:28" ht="21" customHeight="1" x14ac:dyDescent="0.15">
      <c r="A37" s="47">
        <v>11230422</v>
      </c>
      <c r="B37" s="108" t="s">
        <v>400</v>
      </c>
      <c r="C37" s="50">
        <v>3</v>
      </c>
      <c r="D37" s="50" t="s">
        <v>127</v>
      </c>
      <c r="E37" s="51" t="s">
        <v>332</v>
      </c>
      <c r="F37" s="51" t="s">
        <v>319</v>
      </c>
      <c r="G37" s="63" t="str">
        <f t="shared" si="84"/>
        <v>[effect:enemy_message, val1:1.8, val2:3.1]</v>
      </c>
      <c r="H37" s="63">
        <f t="shared" si="85"/>
        <v>9</v>
      </c>
      <c r="I37" s="63">
        <f t="shared" si="86"/>
        <v>22</v>
      </c>
      <c r="J37" s="63" t="e">
        <f t="shared" si="87"/>
        <v>#VALUE!</v>
      </c>
      <c r="K37" s="63">
        <f t="shared" si="88"/>
        <v>32</v>
      </c>
      <c r="L37" s="63" t="str">
        <f>IFERROR(VLOOKUP(MID(G37,J37,K37-J37),[5]skilldef!$C:$D,2,FALSE),"-") &amp; " / " &amp; IFERROR(VLOOKUP(MID(G37,H37,I37-H37),[5]skilldef!$A:$B,2,FALSE),"-")</f>
        <v>- / -</v>
      </c>
      <c r="M37" s="63" t="str">
        <f t="shared" si="89"/>
        <v>[effect:force_change_block, new_block:crack_bomb, target:block_all, ignore01:block_positive, ignore02:block_negative, color:block_red, count:1, val:36]</v>
      </c>
      <c r="N37" s="48" t="str">
        <f>IFERROR(LEFT(M37,FIND("],",M37)+S52),M37)</f>
        <v>[effect:force_change_block, new_block:crack_bomb, target:block_all, ignore01:block_positive, ignore02:block_negative, color:block_red, count:1, val:36]</v>
      </c>
      <c r="O37" s="63">
        <f t="shared" si="90"/>
        <v>9</v>
      </c>
      <c r="P37" s="63">
        <f t="shared" si="91"/>
        <v>27</v>
      </c>
      <c r="Q37" s="63">
        <f t="shared" si="92"/>
        <v>58</v>
      </c>
      <c r="R37" s="63">
        <f t="shared" si="93"/>
        <v>49</v>
      </c>
      <c r="S37" s="63" t="str">
        <f>IFERROR(VLOOKUP(MID(N37,Q37,R37-Q37),[5]skilldef!$C:$D,2,FALSE),"-") &amp; " / " &amp; IFERROR(VLOOKUP(MID(N37,O37,P37-O37),[5]skilldef!$A:$B,2,FALSE),"-")</f>
        <v>- / -</v>
      </c>
      <c r="T37" s="48" t="str">
        <f t="shared" si="94"/>
        <v>none</v>
      </c>
      <c r="U37" s="63" t="e">
        <f t="shared" si="95"/>
        <v>#VALUE!</v>
      </c>
      <c r="V37" s="63">
        <f t="shared" si="96"/>
        <v>4</v>
      </c>
      <c r="W37" s="63" t="e">
        <f t="shared" si="97"/>
        <v>#VALUE!</v>
      </c>
      <c r="X37" s="63" t="e">
        <f t="shared" si="98"/>
        <v>#VALUE!</v>
      </c>
      <c r="Y37" s="63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  <row r="38" spans="1:28" ht="21" customHeight="1" x14ac:dyDescent="0.15">
      <c r="A38" s="47">
        <v>11230423</v>
      </c>
      <c r="B38" s="108" t="s">
        <v>401</v>
      </c>
      <c r="C38" s="50">
        <v>3</v>
      </c>
      <c r="D38" s="50" t="s">
        <v>127</v>
      </c>
      <c r="E38" s="51" t="s">
        <v>320</v>
      </c>
      <c r="F38" s="51" t="s">
        <v>321</v>
      </c>
      <c r="G38" s="63" t="str">
        <f t="shared" ref="G38" si="129">IFERROR(LEFT(B38,FIND("],",B38)),B38)</f>
        <v>[effect:enemy_message, val1:3.7, val2:3.3]</v>
      </c>
      <c r="H38" s="63">
        <f t="shared" ref="H38" si="130">FIND("effect:",G38)+7</f>
        <v>9</v>
      </c>
      <c r="I38" s="63">
        <f t="shared" ref="I38" si="131">IFERROR(FIND(",",G38),LEN(G38))</f>
        <v>22</v>
      </c>
      <c r="J38" s="63" t="e">
        <f t="shared" ref="J38" si="132">FIND("target:",G38)+7</f>
        <v>#VALUE!</v>
      </c>
      <c r="K38" s="63">
        <f t="shared" ref="K38" si="133">FIND(",",G38,I38+1)</f>
        <v>32</v>
      </c>
      <c r="L38" s="63" t="str">
        <f>IFERROR(VLOOKUP(MID(G38,J38,K38-J38),[5]skilldef!$C:$D,2,FALSE),"-") &amp; " / " &amp; IFERROR(VLOOKUP(MID(G38,H38,I38-H38),[5]skilldef!$A:$B,2,FALSE),"-")</f>
        <v>- / -</v>
      </c>
      <c r="M38" s="63" t="str">
        <f t="shared" ref="M38" si="134">IFERROR(RIGHT(B38,LEN(B38)-FIND("],",B38)-1),"none")</f>
        <v>[effect:suicide, target:myself, val:1, dead_type:escape]</v>
      </c>
      <c r="N38" s="48" t="str">
        <f>IFERROR(LEFT(M38,FIND("],",M38)+S53),M38)</f>
        <v>[effect:suicide, target:myself, val:1, dead_type:escape]</v>
      </c>
      <c r="O38" s="63">
        <f t="shared" ref="O38" si="135">FIND("effect:",N38)+7</f>
        <v>9</v>
      </c>
      <c r="P38" s="63">
        <f t="shared" ref="P38" si="136">IFERROR(FIND(",",N38),LEN(N38))</f>
        <v>16</v>
      </c>
      <c r="Q38" s="63">
        <f t="shared" ref="Q38" si="137">FIND("target:",N38)+7</f>
        <v>25</v>
      </c>
      <c r="R38" s="63">
        <f t="shared" ref="R38" si="138">FIND(",",N38,P38+1)</f>
        <v>31</v>
      </c>
      <c r="S38" s="63" t="str">
        <f>IFERROR(VLOOKUP(MID(N38,Q38,R38-Q38),[5]skilldef!$C:$D,2,FALSE),"-") &amp; " / " &amp; IFERROR(VLOOKUP(MID(N38,O38,P38-O38),[5]skilldef!$A:$B,2,FALSE),"-")</f>
        <v>自分自身に / -</v>
      </c>
      <c r="T38" s="48" t="str">
        <f t="shared" ref="T38" si="139">IFERROR(RIGHT(M38,LEN(M38)-FIND("],",M38)-1),"none")</f>
        <v>none</v>
      </c>
      <c r="U38" s="63" t="e">
        <f t="shared" ref="U38" si="140">FIND("effect:",T38)+7</f>
        <v>#VALUE!</v>
      </c>
      <c r="V38" s="63">
        <f t="shared" ref="V38" si="141">IFERROR(FIND(",",T38),LEN(T38))</f>
        <v>4</v>
      </c>
      <c r="W38" s="63" t="e">
        <f t="shared" ref="W38" si="142">FIND("target:",T38)+7</f>
        <v>#VALUE!</v>
      </c>
      <c r="X38" s="63" t="e">
        <f t="shared" ref="X38" si="143">FIND(",",T38,V38+1)</f>
        <v>#VALUE!</v>
      </c>
      <c r="Y38" s="63" t="str">
        <f>IFERROR(VLOOKUP(MID(T38,W38,X38-W38),[5]skilldef!$C:$D,2,FALSE),"-") &amp; " / " &amp; IFERROR(VLOOKUP(MID(T38,U38,V38-U38),[5]skilldef!$A:$B,2,FALSE),"-")</f>
        <v>- / -</v>
      </c>
      <c r="Z38" s="50"/>
      <c r="AA38" s="52"/>
      <c r="AB38" s="50"/>
    </row>
    <row r="39" spans="1:28" ht="21" customHeight="1" x14ac:dyDescent="0.15">
      <c r="A39" s="47">
        <v>11230521</v>
      </c>
      <c r="B39" s="108" t="s">
        <v>402</v>
      </c>
      <c r="C39" s="50">
        <v>3</v>
      </c>
      <c r="D39" s="50" t="s">
        <v>127</v>
      </c>
      <c r="E39" s="51" t="s">
        <v>352</v>
      </c>
      <c r="F39" s="51" t="s">
        <v>381</v>
      </c>
      <c r="G39" s="63" t="str">
        <f t="shared" si="84"/>
        <v>[effect:enemy_message, val1:3.7, val2:3.0]</v>
      </c>
      <c r="H39" s="63">
        <f t="shared" si="85"/>
        <v>9</v>
      </c>
      <c r="I39" s="63">
        <f t="shared" si="86"/>
        <v>22</v>
      </c>
      <c r="J39" s="63" t="e">
        <f t="shared" si="87"/>
        <v>#VALUE!</v>
      </c>
      <c r="K39" s="63">
        <f t="shared" si="88"/>
        <v>32</v>
      </c>
      <c r="L39" s="63" t="str">
        <f>IFERROR(VLOOKUP(MID(G39,J39,K39-J39),[5]skilldef!$C:$D,2,FALSE),"-") &amp; " / " &amp; IFERROR(VLOOKUP(MID(G39,H39,I39-H39),[5]skilldef!$A:$B,2,FALSE),"-")</f>
        <v>- / -</v>
      </c>
      <c r="M39" s="63" t="str">
        <f t="shared" si="89"/>
        <v>[effect:fix_speed, target:myself, turn:1],[effect:sleep, target:unit_all, turn:1, rate:1]</v>
      </c>
      <c r="N39" s="48" t="str">
        <f>IFERROR(LEFT(M39,FIND("],",M39)+S53),M39)</f>
        <v>[effect:fix_speed, target:myself, turn:1]</v>
      </c>
      <c r="O39" s="63">
        <f t="shared" si="90"/>
        <v>9</v>
      </c>
      <c r="P39" s="63">
        <f t="shared" si="91"/>
        <v>18</v>
      </c>
      <c r="Q39" s="63">
        <f t="shared" si="92"/>
        <v>27</v>
      </c>
      <c r="R39" s="63">
        <f t="shared" si="93"/>
        <v>33</v>
      </c>
      <c r="S39" s="63" t="str">
        <f>IFERROR(VLOOKUP(MID(N39,Q39,R39-Q39),[5]skilldef!$C:$D,2,FALSE),"-") &amp; " / " &amp; IFERROR(VLOOKUP(MID(N39,O39,P39-O39),[5]skilldef!$A:$B,2,FALSE),"-")</f>
        <v>自分自身に / 行動値設定</v>
      </c>
      <c r="T39" s="48" t="str">
        <f t="shared" si="94"/>
        <v>[effect:sleep, target:unit_all, turn:1, rate:1]</v>
      </c>
      <c r="U39" s="63">
        <f t="shared" si="95"/>
        <v>9</v>
      </c>
      <c r="V39" s="63">
        <f t="shared" si="96"/>
        <v>14</v>
      </c>
      <c r="W39" s="63">
        <f t="shared" si="97"/>
        <v>23</v>
      </c>
      <c r="X39" s="63">
        <f t="shared" si="98"/>
        <v>31</v>
      </c>
      <c r="Y39" s="63" t="str">
        <f>IFERROR(VLOOKUP(MID(T39,W39,X39-W39),[5]skilldef!$C:$D,2,FALSE),"-") &amp; " / " &amp; IFERROR(VLOOKUP(MID(T39,U39,V39-U39),[5]skilldef!$A:$B,2,FALSE),"-")</f>
        <v>味方全体に / スリープ</v>
      </c>
      <c r="Z39" s="50"/>
      <c r="AA39" s="52"/>
      <c r="AB39" s="50"/>
    </row>
    <row r="40" spans="1:28" ht="21" customHeight="1" x14ac:dyDescent="0.15">
      <c r="A40" s="47">
        <v>11230522</v>
      </c>
      <c r="B40" s="108" t="s">
        <v>403</v>
      </c>
      <c r="C40" s="50">
        <v>3</v>
      </c>
      <c r="D40" s="50" t="s">
        <v>127</v>
      </c>
      <c r="E40" s="51" t="s">
        <v>322</v>
      </c>
      <c r="F40" s="51" t="s">
        <v>351</v>
      </c>
      <c r="G40" s="63" t="str">
        <f t="shared" si="84"/>
        <v>[effect:enemy_message, val1:2.7, val2:3.1]</v>
      </c>
      <c r="H40" s="63">
        <f t="shared" si="85"/>
        <v>9</v>
      </c>
      <c r="I40" s="63">
        <f t="shared" si="86"/>
        <v>22</v>
      </c>
      <c r="J40" s="63" t="e">
        <f t="shared" si="87"/>
        <v>#VALUE!</v>
      </c>
      <c r="K40" s="63">
        <f t="shared" si="88"/>
        <v>32</v>
      </c>
      <c r="L40" s="63" t="str">
        <f>IFERROR(VLOOKUP(MID(G40,J40,K40-J40),[5]skilldef!$C:$D,2,FALSE),"-") &amp; " / " &amp; IFERROR(VLOOKUP(MID(G40,H40,I40-H40),[5]skilldef!$A:$B,2,FALSE),"-")</f>
        <v>- / -</v>
      </c>
      <c r="M40" s="63" t="str">
        <f t="shared" si="89"/>
        <v>[effect:force_change_block, new_block:crack_bomb, target:block_all, ignore01:block_positive, ignore02:block_negative, color:block_yellow, count:1, val:36]</v>
      </c>
      <c r="N40" s="48" t="str">
        <f>IFERROR(LEFT(M40,FIND("],",M40)+S54),M40)</f>
        <v>[effect:force_change_block, new_block:crack_bomb, target:block_all, ignore01:block_positive, ignore02:block_negative, color:block_yellow, count:1, val:36]</v>
      </c>
      <c r="O40" s="63">
        <f t="shared" si="90"/>
        <v>9</v>
      </c>
      <c r="P40" s="63">
        <f t="shared" si="91"/>
        <v>27</v>
      </c>
      <c r="Q40" s="63">
        <f t="shared" si="92"/>
        <v>58</v>
      </c>
      <c r="R40" s="63">
        <f t="shared" si="93"/>
        <v>49</v>
      </c>
      <c r="S40" s="63" t="str">
        <f>IFERROR(VLOOKUP(MID(N40,Q40,R40-Q40),[5]skilldef!$C:$D,2,FALSE),"-") &amp; " / " &amp; IFERROR(VLOOKUP(MID(N40,O40,P40-O40),[5]skilldef!$A:$B,2,FALSE),"-")</f>
        <v>- / -</v>
      </c>
      <c r="T40" s="48" t="str">
        <f t="shared" si="94"/>
        <v>none</v>
      </c>
      <c r="U40" s="63" t="e">
        <f t="shared" si="95"/>
        <v>#VALUE!</v>
      </c>
      <c r="V40" s="63">
        <f t="shared" si="96"/>
        <v>4</v>
      </c>
      <c r="W40" s="63" t="e">
        <f t="shared" si="97"/>
        <v>#VALUE!</v>
      </c>
      <c r="X40" s="63" t="e">
        <f t="shared" si="98"/>
        <v>#VALUE!</v>
      </c>
      <c r="Y40" s="63" t="str">
        <f>IFERROR(VLOOKUP(MID(T40,W40,X40-W40),[5]skilldef!$C:$D,2,FALSE),"-") &amp; " / " &amp; IFERROR(VLOOKUP(MID(T40,U40,V40-U40),[5]skilldef!$A:$B,2,FALSE),"-")</f>
        <v>- / -</v>
      </c>
      <c r="Z40" s="50"/>
      <c r="AA40" s="52"/>
      <c r="AB40" s="50"/>
    </row>
    <row r="41" spans="1:28" ht="21" customHeight="1" x14ac:dyDescent="0.15">
      <c r="A41" s="47">
        <v>11230523</v>
      </c>
      <c r="B41" s="108" t="s">
        <v>404</v>
      </c>
      <c r="C41" s="50">
        <v>3</v>
      </c>
      <c r="D41" s="50" t="s">
        <v>127</v>
      </c>
      <c r="E41" s="51" t="s">
        <v>323</v>
      </c>
      <c r="F41" s="51" t="s">
        <v>324</v>
      </c>
      <c r="G41" s="63" t="str">
        <f t="shared" ref="G41" si="144">IFERROR(LEFT(B41,FIND("],",B41)),B41)</f>
        <v>[effect:enemy_message, val1:2.3, val2:3.1]</v>
      </c>
      <c r="H41" s="63">
        <f t="shared" ref="H41" si="145">FIND("effect:",G41)+7</f>
        <v>9</v>
      </c>
      <c r="I41" s="63">
        <f t="shared" ref="I41" si="146">IFERROR(FIND(",",G41),LEN(G41))</f>
        <v>22</v>
      </c>
      <c r="J41" s="63" t="e">
        <f t="shared" ref="J41" si="147">FIND("target:",G41)+7</f>
        <v>#VALUE!</v>
      </c>
      <c r="K41" s="63">
        <f t="shared" ref="K41" si="148">FIND(",",G41,I41+1)</f>
        <v>32</v>
      </c>
      <c r="L41" s="63" t="str">
        <f>IFERROR(VLOOKUP(MID(G41,J41,K41-J41),[5]skilldef!$C:$D,2,FALSE),"-") &amp; " / " &amp; IFERROR(VLOOKUP(MID(G41,H41,I41-H41),[5]skilldef!$A:$B,2,FALSE),"-")</f>
        <v>- / -</v>
      </c>
      <c r="M41" s="63" t="str">
        <f t="shared" ref="M41" si="149">IFERROR(RIGHT(B41,LEN(B41)-FIND("],",B41)-1),"none")</f>
        <v>[effect:suicide, target:myself, val:1, dead_type:escape]</v>
      </c>
      <c r="N41" s="48" t="str">
        <f>IFERROR(LEFT(M41,FIND("],",M41)+S55),M41)</f>
        <v>[effect:suicide, target:myself, val:1, dead_type:escape]</v>
      </c>
      <c r="O41" s="63">
        <f t="shared" ref="O41" si="150">FIND("effect:",N41)+7</f>
        <v>9</v>
      </c>
      <c r="P41" s="63">
        <f t="shared" ref="P41" si="151">IFERROR(FIND(",",N41),LEN(N41))</f>
        <v>16</v>
      </c>
      <c r="Q41" s="63">
        <f t="shared" ref="Q41" si="152">FIND("target:",N41)+7</f>
        <v>25</v>
      </c>
      <c r="R41" s="63">
        <f t="shared" ref="R41" si="153">FIND(",",N41,P41+1)</f>
        <v>31</v>
      </c>
      <c r="S41" s="63" t="str">
        <f>IFERROR(VLOOKUP(MID(N41,Q41,R41-Q41),[5]skilldef!$C:$D,2,FALSE),"-") &amp; " / " &amp; IFERROR(VLOOKUP(MID(N41,O41,P41-O41),[5]skilldef!$A:$B,2,FALSE),"-")</f>
        <v>自分自身に / -</v>
      </c>
      <c r="T41" s="48" t="str">
        <f t="shared" ref="T41" si="154">IFERROR(RIGHT(M41,LEN(M41)-FIND("],",M41)-1),"none")</f>
        <v>none</v>
      </c>
      <c r="U41" s="63" t="e">
        <f t="shared" ref="U41" si="155">FIND("effect:",T41)+7</f>
        <v>#VALUE!</v>
      </c>
      <c r="V41" s="63">
        <f t="shared" ref="V41" si="156">IFERROR(FIND(",",T41),LEN(T41))</f>
        <v>4</v>
      </c>
      <c r="W41" s="63" t="e">
        <f t="shared" ref="W41" si="157">FIND("target:",T41)+7</f>
        <v>#VALUE!</v>
      </c>
      <c r="X41" s="63" t="e">
        <f t="shared" ref="X41" si="158">FIND(",",T41,V41+1)</f>
        <v>#VALUE!</v>
      </c>
      <c r="Y41" s="63" t="str">
        <f>IFERROR(VLOOKUP(MID(T41,W41,X41-W41),[5]skilldef!$C:$D,2,FALSE),"-") &amp; " / " &amp; IFERROR(VLOOKUP(MID(T41,U41,V41-U41),[5]skilldef!$A:$B,2,FALSE),"-")</f>
        <v>- / -</v>
      </c>
      <c r="Z41" s="50"/>
      <c r="AA41" s="52"/>
      <c r="AB41" s="50"/>
    </row>
    <row r="42" spans="1:28" ht="21" customHeight="1" x14ac:dyDescent="0.15">
      <c r="A42" s="47">
        <v>11230621</v>
      </c>
      <c r="B42" s="108" t="s">
        <v>405</v>
      </c>
      <c r="C42" s="50">
        <v>3</v>
      </c>
      <c r="D42" s="50" t="s">
        <v>127</v>
      </c>
      <c r="E42" s="51" t="s">
        <v>325</v>
      </c>
      <c r="F42" s="51" t="s">
        <v>326</v>
      </c>
      <c r="G42" s="63" t="str">
        <f t="shared" si="84"/>
        <v>[effect:enemy_message, val1:2.7, val2:3.6]</v>
      </c>
      <c r="H42" s="63">
        <f t="shared" si="85"/>
        <v>9</v>
      </c>
      <c r="I42" s="63">
        <f t="shared" si="86"/>
        <v>22</v>
      </c>
      <c r="J42" s="63" t="e">
        <f t="shared" si="87"/>
        <v>#VALUE!</v>
      </c>
      <c r="K42" s="63">
        <f t="shared" si="88"/>
        <v>32</v>
      </c>
      <c r="L42" s="63" t="str">
        <f>IFERROR(VLOOKUP(MID(G42,J42,K42-J42),[5]skilldef!$C:$D,2,FALSE),"-") &amp; " / " &amp; IFERROR(VLOOKUP(MID(G42,H42,I42-H42),[5]skilldef!$A:$B,2,FALSE),"-")</f>
        <v>- / -</v>
      </c>
      <c r="M42" s="63" t="str">
        <f t="shared" si="89"/>
        <v>[effect:fix_speed, target:myself, turn:1]</v>
      </c>
      <c r="N42" s="48" t="str">
        <f t="shared" ref="N42:N49" si="159">IFERROR(LEFT(M42,FIND("],",M42)+S55),M42)</f>
        <v>[effect:fix_speed, target:myself, turn:1]</v>
      </c>
      <c r="O42" s="63">
        <f t="shared" si="90"/>
        <v>9</v>
      </c>
      <c r="P42" s="63">
        <f t="shared" si="91"/>
        <v>18</v>
      </c>
      <c r="Q42" s="63">
        <f t="shared" si="92"/>
        <v>27</v>
      </c>
      <c r="R42" s="63">
        <f t="shared" si="93"/>
        <v>33</v>
      </c>
      <c r="S42" s="63" t="str">
        <f>IFERROR(VLOOKUP(MID(N42,Q42,R42-Q42),[5]skilldef!$C:$D,2,FALSE),"-") &amp; " / " &amp; IFERROR(VLOOKUP(MID(N42,O42,P42-O42),[5]skilldef!$A:$B,2,FALSE),"-")</f>
        <v>自分自身に / 行動値設定</v>
      </c>
      <c r="T42" s="48" t="str">
        <f t="shared" si="94"/>
        <v>none</v>
      </c>
      <c r="U42" s="63" t="e">
        <f t="shared" si="95"/>
        <v>#VALUE!</v>
      </c>
      <c r="V42" s="63">
        <f t="shared" si="96"/>
        <v>4</v>
      </c>
      <c r="W42" s="63" t="e">
        <f t="shared" si="97"/>
        <v>#VALUE!</v>
      </c>
      <c r="X42" s="63" t="e">
        <f t="shared" si="98"/>
        <v>#VALUE!</v>
      </c>
      <c r="Y42" s="63" t="str">
        <f>IFERROR(VLOOKUP(MID(T42,W42,X42-W42),[5]skilldef!$C:$D,2,FALSE),"-") &amp; " / " &amp; IFERROR(VLOOKUP(MID(T42,U42,V42-U42),[5]skilldef!$A:$B,2,FALSE),"-")</f>
        <v>- / -</v>
      </c>
      <c r="Z42" s="50"/>
      <c r="AA42" s="52"/>
      <c r="AB42" s="50"/>
    </row>
    <row r="43" spans="1:28" ht="21" customHeight="1" x14ac:dyDescent="0.15">
      <c r="A43" s="47">
        <v>11230622</v>
      </c>
      <c r="B43" s="108" t="s">
        <v>406</v>
      </c>
      <c r="C43" s="50">
        <v>3</v>
      </c>
      <c r="D43" s="50" t="s">
        <v>127</v>
      </c>
      <c r="E43" s="51" t="s">
        <v>368</v>
      </c>
      <c r="F43" s="51" t="s">
        <v>327</v>
      </c>
      <c r="G43" s="63" t="str">
        <f t="shared" si="84"/>
        <v>[effect:enemy_message, val1:2.1, val2:3.8]</v>
      </c>
      <c r="H43" s="63">
        <f t="shared" si="85"/>
        <v>9</v>
      </c>
      <c r="I43" s="63">
        <f t="shared" si="86"/>
        <v>22</v>
      </c>
      <c r="J43" s="63" t="e">
        <f t="shared" si="87"/>
        <v>#VALUE!</v>
      </c>
      <c r="K43" s="63">
        <f t="shared" si="88"/>
        <v>32</v>
      </c>
      <c r="L43" s="63" t="str">
        <f>IFERROR(VLOOKUP(MID(G43,J43,K43-J43),[5]skilldef!$C:$D,2,FALSE),"-") &amp; " / " &amp; IFERROR(VLOOKUP(MID(G43,H43,I43-H43),[5]skilldef!$A:$B,2,FALSE),"-")</f>
        <v>- / -</v>
      </c>
      <c r="M43" s="63" t="str">
        <f t="shared" si="89"/>
        <v>[effect:sleep, target:unit_all, turn:1, rate:1]</v>
      </c>
      <c r="N43" s="48" t="str">
        <f t="shared" si="159"/>
        <v>[effect:sleep, target:unit_all, turn:1, rate:1]</v>
      </c>
      <c r="O43" s="63">
        <f t="shared" si="90"/>
        <v>9</v>
      </c>
      <c r="P43" s="63">
        <f t="shared" si="91"/>
        <v>14</v>
      </c>
      <c r="Q43" s="63">
        <f t="shared" si="92"/>
        <v>23</v>
      </c>
      <c r="R43" s="63">
        <f t="shared" si="93"/>
        <v>31</v>
      </c>
      <c r="S43" s="63" t="str">
        <f>IFERROR(VLOOKUP(MID(N43,Q43,R43-Q43),[5]skilldef!$C:$D,2,FALSE),"-") &amp; " / " &amp; IFERROR(VLOOKUP(MID(N43,O43,P43-O43),[5]skilldef!$A:$B,2,FALSE),"-")</f>
        <v>味方全体に / スリープ</v>
      </c>
      <c r="T43" s="48" t="str">
        <f t="shared" si="94"/>
        <v>none</v>
      </c>
      <c r="U43" s="63" t="e">
        <f t="shared" si="95"/>
        <v>#VALUE!</v>
      </c>
      <c r="V43" s="63">
        <f t="shared" si="96"/>
        <v>4</v>
      </c>
      <c r="W43" s="63" t="e">
        <f t="shared" si="97"/>
        <v>#VALUE!</v>
      </c>
      <c r="X43" s="63" t="e">
        <f t="shared" si="98"/>
        <v>#VALUE!</v>
      </c>
      <c r="Y43" s="63" t="str">
        <f>IFERROR(VLOOKUP(MID(T43,W43,X43-W43),[5]skilldef!$C:$D,2,FALSE),"-") &amp; " / " &amp; IFERROR(VLOOKUP(MID(T43,U43,V43-U43),[5]skilldef!$A:$B,2,FALSE),"-")</f>
        <v>- / -</v>
      </c>
      <c r="Z43" s="50"/>
      <c r="AA43" s="52"/>
      <c r="AB43" s="50"/>
    </row>
    <row r="44" spans="1:28" ht="21" customHeight="1" x14ac:dyDescent="0.15">
      <c r="A44" s="47">
        <v>11230623</v>
      </c>
      <c r="B44" s="108" t="s">
        <v>407</v>
      </c>
      <c r="C44" s="50">
        <v>3</v>
      </c>
      <c r="D44" s="50" t="s">
        <v>127</v>
      </c>
      <c r="E44" s="51" t="s">
        <v>329</v>
      </c>
      <c r="F44" s="51" t="s">
        <v>330</v>
      </c>
      <c r="G44" s="63" t="str">
        <f t="shared" si="84"/>
        <v>[effect:enemy_message, val1:1.9, val2:3.2]</v>
      </c>
      <c r="H44" s="63">
        <f t="shared" si="85"/>
        <v>9</v>
      </c>
      <c r="I44" s="63">
        <f t="shared" si="86"/>
        <v>22</v>
      </c>
      <c r="J44" s="63" t="e">
        <f t="shared" si="87"/>
        <v>#VALUE!</v>
      </c>
      <c r="K44" s="63">
        <f t="shared" si="88"/>
        <v>32</v>
      </c>
      <c r="L44" s="63" t="str">
        <f>IFERROR(VLOOKUP(MID(G44,J44,K44-J44),[5]skilldef!$C:$D,2,FALSE),"-") &amp; " / " &amp; IFERROR(VLOOKUP(MID(G44,H44,I44-H44),[5]skilldef!$A:$B,2,FALSE),"-")</f>
        <v>- / -</v>
      </c>
      <c r="M44" s="63" t="str">
        <f t="shared" si="89"/>
        <v>[effect:suicide, target:myself, val:1, dead_type:escape]</v>
      </c>
      <c r="N44" s="48" t="str">
        <f t="shared" si="159"/>
        <v>[effect:suicide, target:myself, val:1, dead_type:escape]</v>
      </c>
      <c r="O44" s="63">
        <f t="shared" si="90"/>
        <v>9</v>
      </c>
      <c r="P44" s="63">
        <f t="shared" si="91"/>
        <v>16</v>
      </c>
      <c r="Q44" s="63">
        <f t="shared" si="92"/>
        <v>25</v>
      </c>
      <c r="R44" s="63">
        <f t="shared" si="93"/>
        <v>31</v>
      </c>
      <c r="S44" s="63" t="str">
        <f>IFERROR(VLOOKUP(MID(N44,Q44,R44-Q44),[5]skilldef!$C:$D,2,FALSE),"-") &amp; " / " &amp; IFERROR(VLOOKUP(MID(N44,O44,P44-O44),[5]skilldef!$A:$B,2,FALSE),"-")</f>
        <v>自分自身に / -</v>
      </c>
      <c r="T44" s="48" t="str">
        <f t="shared" si="94"/>
        <v>none</v>
      </c>
      <c r="U44" s="63" t="e">
        <f t="shared" si="95"/>
        <v>#VALUE!</v>
      </c>
      <c r="V44" s="63">
        <f t="shared" si="96"/>
        <v>4</v>
      </c>
      <c r="W44" s="63" t="e">
        <f t="shared" si="97"/>
        <v>#VALUE!</v>
      </c>
      <c r="X44" s="63" t="e">
        <f t="shared" si="98"/>
        <v>#VALUE!</v>
      </c>
      <c r="Y44" s="63" t="str">
        <f>IFERROR(VLOOKUP(MID(T44,W44,X44-W44),[5]skilldef!$C:$D,2,FALSE),"-") &amp; " / " &amp; IFERROR(VLOOKUP(MID(T44,U44,V44-U44),[5]skilldef!$A:$B,2,FALSE),"-")</f>
        <v>- / -</v>
      </c>
      <c r="Z44" s="50"/>
      <c r="AA44" s="52"/>
      <c r="AB44" s="50"/>
    </row>
    <row r="45" spans="1:28" ht="21" customHeight="1" x14ac:dyDescent="0.15">
      <c r="A45" s="47">
        <v>11230721</v>
      </c>
      <c r="B45" s="108" t="s">
        <v>415</v>
      </c>
      <c r="C45" s="50">
        <v>3</v>
      </c>
      <c r="D45" s="50" t="s">
        <v>127</v>
      </c>
      <c r="E45" s="51" t="s">
        <v>333</v>
      </c>
      <c r="F45" s="51" t="s">
        <v>369</v>
      </c>
      <c r="G45" s="63" t="str">
        <f t="shared" si="84"/>
        <v>[effect:enemy_message, val1:1.9, val2:4.6]</v>
      </c>
      <c r="H45" s="63">
        <f t="shared" si="85"/>
        <v>9</v>
      </c>
      <c r="I45" s="63">
        <f t="shared" si="86"/>
        <v>22</v>
      </c>
      <c r="J45" s="63" t="e">
        <f t="shared" si="87"/>
        <v>#VALUE!</v>
      </c>
      <c r="K45" s="63">
        <f t="shared" si="88"/>
        <v>32</v>
      </c>
      <c r="L45" s="63" t="str">
        <f>IFERROR(VLOOKUP(MID(G45,J45,K45-J45),[5]skilldef!$C:$D,2,FALSE),"-") &amp; " / " &amp; IFERROR(VLOOKUP(MID(G45,H45,I45-H45),[5]skilldef!$A:$B,2,FALSE),"-")</f>
        <v>- / -</v>
      </c>
      <c r="M45" s="63" t="str">
        <f t="shared" si="89"/>
        <v>[effect:fix_speed, target:myself, turn:1]</v>
      </c>
      <c r="N45" s="48" t="str">
        <f t="shared" si="159"/>
        <v>[effect:fix_speed, target:myself, turn:1]</v>
      </c>
      <c r="O45" s="63">
        <f t="shared" si="90"/>
        <v>9</v>
      </c>
      <c r="P45" s="63">
        <f t="shared" si="91"/>
        <v>18</v>
      </c>
      <c r="Q45" s="63">
        <f t="shared" si="92"/>
        <v>27</v>
      </c>
      <c r="R45" s="63">
        <f t="shared" si="93"/>
        <v>33</v>
      </c>
      <c r="S45" s="63" t="str">
        <f>IFERROR(VLOOKUP(MID(N45,Q45,R45-Q45),[5]skilldef!$C:$D,2,FALSE),"-") &amp; " / " &amp; IFERROR(VLOOKUP(MID(N45,O45,P45-O45),[5]skilldef!$A:$B,2,FALSE),"-")</f>
        <v>自分自身に / 行動値設定</v>
      </c>
      <c r="T45" s="48" t="str">
        <f t="shared" si="94"/>
        <v>none</v>
      </c>
      <c r="U45" s="63" t="e">
        <f t="shared" si="95"/>
        <v>#VALUE!</v>
      </c>
      <c r="V45" s="63">
        <f t="shared" si="96"/>
        <v>4</v>
      </c>
      <c r="W45" s="63" t="e">
        <f t="shared" si="97"/>
        <v>#VALUE!</v>
      </c>
      <c r="X45" s="63" t="e">
        <f t="shared" si="98"/>
        <v>#VALUE!</v>
      </c>
      <c r="Y45" s="63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ht="21" customHeight="1" x14ac:dyDescent="0.15">
      <c r="A46" s="47">
        <v>11230722</v>
      </c>
      <c r="B46" s="108" t="s">
        <v>408</v>
      </c>
      <c r="C46" s="50">
        <v>3</v>
      </c>
      <c r="D46" s="50" t="s">
        <v>127</v>
      </c>
      <c r="E46" s="51" t="s">
        <v>334</v>
      </c>
      <c r="F46" s="51" t="s">
        <v>337</v>
      </c>
      <c r="G46" s="63" t="str">
        <f t="shared" si="84"/>
        <v>[effect:enemy_message, val1:1.7, val2:3.4]</v>
      </c>
      <c r="H46" s="63">
        <f t="shared" si="85"/>
        <v>9</v>
      </c>
      <c r="I46" s="63">
        <f t="shared" si="86"/>
        <v>22</v>
      </c>
      <c r="J46" s="63" t="e">
        <f t="shared" si="87"/>
        <v>#VALUE!</v>
      </c>
      <c r="K46" s="63">
        <f t="shared" si="88"/>
        <v>32</v>
      </c>
      <c r="L46" s="63" t="str">
        <f>IFERROR(VLOOKUP(MID(G46,J46,K46-J46),[5]skilldef!$C:$D,2,FALSE),"-") &amp; " / " &amp; IFERROR(VLOOKUP(MID(G46,H46,I46-H46),[5]skilldef!$A:$B,2,FALSE),"-")</f>
        <v>- / -</v>
      </c>
      <c r="M46" s="63" t="str">
        <f t="shared" si="89"/>
        <v>[effect:force_change_block, new_block:jammer, target:block_all, ignore01:block_positive, ignore02:block_negative, color:block_random, count:20, val:0]</v>
      </c>
      <c r="N46" s="48" t="str">
        <f t="shared" si="159"/>
        <v>[effect:force_change_block, new_block:jammer, target:block_all, ignore01:block_positive, ignore02:block_negative, color:block_random, count:20, val:0]</v>
      </c>
      <c r="O46" s="63">
        <f t="shared" si="90"/>
        <v>9</v>
      </c>
      <c r="P46" s="63">
        <f t="shared" si="91"/>
        <v>27</v>
      </c>
      <c r="Q46" s="63">
        <f t="shared" si="92"/>
        <v>54</v>
      </c>
      <c r="R46" s="63">
        <f t="shared" si="93"/>
        <v>45</v>
      </c>
      <c r="S46" s="63" t="str">
        <f>IFERROR(VLOOKUP(MID(N46,Q46,R46-Q46),[5]skilldef!$C:$D,2,FALSE),"-") &amp; " / " &amp; IFERROR(VLOOKUP(MID(N46,O46,P46-O46),[5]skilldef!$A:$B,2,FALSE),"-")</f>
        <v>- / -</v>
      </c>
      <c r="T46" s="48" t="str">
        <f t="shared" si="94"/>
        <v>none</v>
      </c>
      <c r="U46" s="63" t="e">
        <f t="shared" si="95"/>
        <v>#VALUE!</v>
      </c>
      <c r="V46" s="63">
        <f t="shared" si="96"/>
        <v>4</v>
      </c>
      <c r="W46" s="63" t="e">
        <f t="shared" si="97"/>
        <v>#VALUE!</v>
      </c>
      <c r="X46" s="63" t="e">
        <f t="shared" si="98"/>
        <v>#VALUE!</v>
      </c>
      <c r="Y46" s="63" t="str">
        <f>IFERROR(VLOOKUP(MID(T46,W46,X46-W46),[5]skilldef!$C:$D,2,FALSE),"-") &amp; " / " &amp; IFERROR(VLOOKUP(MID(T46,U46,V46-U46),[5]skilldef!$A:$B,2,FALSE),"-")</f>
        <v>- / -</v>
      </c>
      <c r="Z46" s="50"/>
      <c r="AA46" s="52"/>
      <c r="AB46" s="50"/>
    </row>
    <row r="47" spans="1:28" ht="21" customHeight="1" x14ac:dyDescent="0.15">
      <c r="A47" s="47">
        <v>11230723</v>
      </c>
      <c r="B47" s="108" t="s">
        <v>409</v>
      </c>
      <c r="C47" s="50">
        <v>3</v>
      </c>
      <c r="D47" s="50" t="s">
        <v>127</v>
      </c>
      <c r="E47" s="51" t="s">
        <v>336</v>
      </c>
      <c r="F47" s="51" t="s">
        <v>335</v>
      </c>
      <c r="G47" s="63" t="str">
        <f t="shared" si="84"/>
        <v>[effect:enemy_message, val1:2.8, val2:2.8]</v>
      </c>
      <c r="H47" s="63">
        <f t="shared" si="85"/>
        <v>9</v>
      </c>
      <c r="I47" s="63">
        <f t="shared" si="86"/>
        <v>22</v>
      </c>
      <c r="J47" s="63" t="e">
        <f t="shared" si="87"/>
        <v>#VALUE!</v>
      </c>
      <c r="K47" s="63">
        <f t="shared" si="88"/>
        <v>32</v>
      </c>
      <c r="L47" s="63" t="str">
        <f>IFERROR(VLOOKUP(MID(G47,J47,K47-J47),[5]skilldef!$C:$D,2,FALSE),"-") &amp; " / " &amp; IFERROR(VLOOKUP(MID(G47,H47,I47-H47),[5]skilldef!$A:$B,2,FALSE),"-")</f>
        <v>- / -</v>
      </c>
      <c r="M47" s="63" t="str">
        <f t="shared" si="89"/>
        <v>[effect:force_change_block, new_block:time_bomb, target:block_all, ignore01:block_positive, ignore02:block_negative, color:block_random, count:20, val:0.1, min_time_count:1, max_time_count:1],[effect:suicide, target:myself, val:1, dead_type:suicide]</v>
      </c>
      <c r="N47" s="48" t="str">
        <f t="shared" si="159"/>
        <v>[effect:force_change_block, new_block:time_bomb, target:block_all, ignore01:block_positive, ignore02:block_negative, color:block_random, count:20, val:0.1, min_time_count:1, max_time_count:1]</v>
      </c>
      <c r="O47" s="63">
        <f t="shared" si="90"/>
        <v>9</v>
      </c>
      <c r="P47" s="63">
        <f t="shared" si="91"/>
        <v>27</v>
      </c>
      <c r="Q47" s="63">
        <f t="shared" si="92"/>
        <v>57</v>
      </c>
      <c r="R47" s="63">
        <f t="shared" si="93"/>
        <v>48</v>
      </c>
      <c r="S47" s="63" t="str">
        <f>IFERROR(VLOOKUP(MID(N47,Q47,R47-Q47),[5]skilldef!$C:$D,2,FALSE),"-") &amp; " / " &amp; IFERROR(VLOOKUP(MID(N47,O47,P47-O47),[5]skilldef!$A:$B,2,FALSE),"-")</f>
        <v>- / -</v>
      </c>
      <c r="T47" s="48" t="str">
        <f t="shared" si="94"/>
        <v>[effect:suicide, target:myself, val:1, dead_type:suicide]</v>
      </c>
      <c r="U47" s="63">
        <f t="shared" si="95"/>
        <v>9</v>
      </c>
      <c r="V47" s="63">
        <f t="shared" si="96"/>
        <v>16</v>
      </c>
      <c r="W47" s="63">
        <f t="shared" si="97"/>
        <v>25</v>
      </c>
      <c r="X47" s="63">
        <f t="shared" si="98"/>
        <v>31</v>
      </c>
      <c r="Y47" s="63" t="str">
        <f>IFERROR(VLOOKUP(MID(T47,W47,X47-W47),[5]skilldef!$C:$D,2,FALSE),"-") &amp; " / " &amp; IFERROR(VLOOKUP(MID(T47,U47,V47-U47),[5]skilldef!$A:$B,2,FALSE),"-")</f>
        <v>自分自身に / -</v>
      </c>
      <c r="Z47" s="50"/>
      <c r="AA47" s="52"/>
      <c r="AB47" s="50"/>
    </row>
    <row r="48" spans="1:28" ht="21" customHeight="1" x14ac:dyDescent="0.15">
      <c r="A48" s="47">
        <v>11230821</v>
      </c>
      <c r="B48" s="108" t="s">
        <v>410</v>
      </c>
      <c r="C48" s="50">
        <v>3</v>
      </c>
      <c r="D48" s="50" t="s">
        <v>127</v>
      </c>
      <c r="E48" s="51" t="s">
        <v>339</v>
      </c>
      <c r="F48" s="51" t="s">
        <v>338</v>
      </c>
      <c r="G48" s="63" t="str">
        <f t="shared" si="84"/>
        <v>[effect:enemy_message, val1:1.9, val2:4.0]</v>
      </c>
      <c r="H48" s="63">
        <f t="shared" si="85"/>
        <v>9</v>
      </c>
      <c r="I48" s="63">
        <f t="shared" si="86"/>
        <v>22</v>
      </c>
      <c r="J48" s="63" t="e">
        <f t="shared" si="87"/>
        <v>#VALUE!</v>
      </c>
      <c r="K48" s="63">
        <f t="shared" si="88"/>
        <v>32</v>
      </c>
      <c r="L48" s="63" t="str">
        <f>IFERROR(VLOOKUP(MID(G48,J48,K48-J48),[5]skilldef!$C:$D,2,FALSE),"-") &amp; " / " &amp; IFERROR(VLOOKUP(MID(G48,H48,I48-H48),[5]skilldef!$A:$B,2,FALSE),"-")</f>
        <v>- / -</v>
      </c>
      <c r="M48" s="63" t="str">
        <f t="shared" si="89"/>
        <v>[effect:fix_speed, target:myself, turn:1],[effect:force_change_block, new_block:block_red, target:block_all, count:0, val:0],[effect:sleep, target:unit_all, turn:1, rate:1]</v>
      </c>
      <c r="N48" s="48" t="str">
        <f t="shared" si="159"/>
        <v>[effect:fix_speed, target:myself, turn:1]</v>
      </c>
      <c r="O48" s="63">
        <f t="shared" si="90"/>
        <v>9</v>
      </c>
      <c r="P48" s="63">
        <f t="shared" si="91"/>
        <v>18</v>
      </c>
      <c r="Q48" s="63">
        <f t="shared" si="92"/>
        <v>27</v>
      </c>
      <c r="R48" s="63">
        <f t="shared" si="93"/>
        <v>33</v>
      </c>
      <c r="S48" s="63" t="str">
        <f>IFERROR(VLOOKUP(MID(N48,Q48,R48-Q48),[5]skilldef!$C:$D,2,FALSE),"-") &amp; " / " &amp; IFERROR(VLOOKUP(MID(N48,O48,P48-O48),[5]skilldef!$A:$B,2,FALSE),"-")</f>
        <v>自分自身に / 行動値設定</v>
      </c>
      <c r="T48" s="48" t="str">
        <f t="shared" si="94"/>
        <v>[effect:force_change_block, new_block:block_red, target:block_all, count:0, val:0],[effect:sleep, target:unit_all, turn:1, rate:1]</v>
      </c>
      <c r="U48" s="63">
        <f t="shared" si="95"/>
        <v>9</v>
      </c>
      <c r="V48" s="63">
        <f t="shared" si="96"/>
        <v>27</v>
      </c>
      <c r="W48" s="63">
        <f t="shared" si="97"/>
        <v>57</v>
      </c>
      <c r="X48" s="63">
        <f t="shared" si="98"/>
        <v>48</v>
      </c>
      <c r="Y48" s="63" t="str">
        <f>IFERROR(VLOOKUP(MID(T48,W48,X48-W48),[5]skilldef!$C:$D,2,FALSE),"-") &amp; " / " &amp; IFERROR(VLOOKUP(MID(T48,U48,V48-U48),[5]skilldef!$A:$B,2,FALSE),"-")</f>
        <v>- / -</v>
      </c>
      <c r="Z48" s="50"/>
      <c r="AA48" s="52"/>
      <c r="AB48" s="50"/>
    </row>
    <row r="49" spans="1:28" ht="21" customHeight="1" x14ac:dyDescent="0.15">
      <c r="A49" s="47">
        <v>11230822</v>
      </c>
      <c r="B49" s="108" t="s">
        <v>411</v>
      </c>
      <c r="C49" s="50">
        <v>3</v>
      </c>
      <c r="D49" s="50" t="s">
        <v>127</v>
      </c>
      <c r="E49" s="51" t="s">
        <v>367</v>
      </c>
      <c r="F49" s="51" t="s">
        <v>340</v>
      </c>
      <c r="G49" s="63" t="str">
        <f t="shared" si="84"/>
        <v>[effect:enemy_message, val1:2.0, val2:3.6]</v>
      </c>
      <c r="H49" s="63">
        <f t="shared" si="85"/>
        <v>9</v>
      </c>
      <c r="I49" s="63">
        <f t="shared" si="86"/>
        <v>22</v>
      </c>
      <c r="J49" s="63" t="e">
        <f t="shared" si="87"/>
        <v>#VALUE!</v>
      </c>
      <c r="K49" s="63">
        <f t="shared" si="88"/>
        <v>32</v>
      </c>
      <c r="L49" s="63" t="str">
        <f>IFERROR(VLOOKUP(MID(G49,J49,K49-J49),[5]skilldef!$C:$D,2,FALSE),"-") &amp; " / " &amp; IFERROR(VLOOKUP(MID(G49,H49,I49-H49),[5]skilldef!$A:$B,2,FALSE),"-")</f>
        <v>- / -</v>
      </c>
      <c r="M49" s="63" t="str">
        <f t="shared" si="89"/>
        <v>[effect:enhance_fever, val:1000, animation:fevergauge_up03],[effect:enhance_unit, target:unit_all, turn:-1, status:attack, val:6000, calc:add],[effect:suicide, target:myself, val:1, dead_type:escape]</v>
      </c>
      <c r="N49" s="48" t="str">
        <f t="shared" si="159"/>
        <v>[effect:enhance_fever, val:1000, animation:fevergauge_up03]</v>
      </c>
      <c r="O49" s="63">
        <f t="shared" si="90"/>
        <v>9</v>
      </c>
      <c r="P49" s="63">
        <f t="shared" si="91"/>
        <v>22</v>
      </c>
      <c r="Q49" s="63" t="e">
        <f t="shared" si="92"/>
        <v>#VALUE!</v>
      </c>
      <c r="R49" s="63">
        <f t="shared" si="93"/>
        <v>32</v>
      </c>
      <c r="S49" s="63" t="str">
        <f>IFERROR(VLOOKUP(MID(N49,Q49,R49-Q49),[5]skilldef!$C:$D,2,FALSE),"-") &amp; " / " &amp; IFERROR(VLOOKUP(MID(N49,O49,P49-O49),[5]skilldef!$A:$B,2,FALSE),"-")</f>
        <v>- / -</v>
      </c>
      <c r="T49" s="48" t="str">
        <f t="shared" si="94"/>
        <v>[effect:enhance_unit, target:unit_all, turn:-1, status:attack, val:6000, calc:add],[effect:suicide, target:myself, val:1, dead_type:escape]</v>
      </c>
      <c r="U49" s="63">
        <f t="shared" si="95"/>
        <v>9</v>
      </c>
      <c r="V49" s="63">
        <f t="shared" si="96"/>
        <v>21</v>
      </c>
      <c r="W49" s="63">
        <f t="shared" si="97"/>
        <v>30</v>
      </c>
      <c r="X49" s="63">
        <f t="shared" si="98"/>
        <v>38</v>
      </c>
      <c r="Y49" s="63" t="str">
        <f>IFERROR(VLOOKUP(MID(T49,W49,X49-W49),[5]skilldef!$C:$D,2,FALSE),"-") &amp; " / " &amp; IFERROR(VLOOKUP(MID(T49,U49,V49-U49),[5]skilldef!$A:$B,2,FALSE),"-")</f>
        <v>味方全体に / -</v>
      </c>
      <c r="Z49" s="50"/>
      <c r="AA49" s="52"/>
      <c r="AB49" s="50"/>
    </row>
    <row r="50" spans="1:28" ht="21" customHeight="1" x14ac:dyDescent="0.15">
      <c r="A50" s="47">
        <v>11230921</v>
      </c>
      <c r="B50" s="108" t="s">
        <v>412</v>
      </c>
      <c r="C50" s="50">
        <v>3</v>
      </c>
      <c r="D50" s="50" t="s">
        <v>127</v>
      </c>
      <c r="E50" s="51" t="s">
        <v>343</v>
      </c>
      <c r="F50" s="51" t="s">
        <v>344</v>
      </c>
      <c r="G50" s="63" t="str">
        <f t="shared" si="84"/>
        <v>[effect:enemy_message, val1:2.7, val2:3.8]</v>
      </c>
      <c r="H50" s="63">
        <f t="shared" si="85"/>
        <v>9</v>
      </c>
      <c r="I50" s="63">
        <f t="shared" si="86"/>
        <v>22</v>
      </c>
      <c r="J50" s="63" t="e">
        <f t="shared" si="87"/>
        <v>#VALUE!</v>
      </c>
      <c r="K50" s="63">
        <f t="shared" si="88"/>
        <v>32</v>
      </c>
      <c r="L50" s="63" t="str">
        <f>IFERROR(VLOOKUP(MID(G50,J50,K50-J50),[5]skilldef!$C:$D,2,FALSE),"-") &amp; " / " &amp; IFERROR(VLOOKUP(MID(G50,H50,I50-H50),[5]skilldef!$A:$B,2,FALSE),"-")</f>
        <v>- / -</v>
      </c>
      <c r="M50" s="63" t="str">
        <f t="shared" si="89"/>
        <v>[effect:fix_speed, target:myself, turn:1]</v>
      </c>
      <c r="N50" s="48" t="str">
        <f t="shared" ref="N50:N52" si="160">IFERROR(LEFT(M50,FIND("],",M50)+S64),M50)</f>
        <v>[effect:fix_speed, target:myself, turn:1]</v>
      </c>
      <c r="O50" s="63">
        <f t="shared" si="90"/>
        <v>9</v>
      </c>
      <c r="P50" s="63">
        <f t="shared" si="91"/>
        <v>18</v>
      </c>
      <c r="Q50" s="63">
        <f t="shared" si="92"/>
        <v>27</v>
      </c>
      <c r="R50" s="63">
        <f t="shared" si="93"/>
        <v>33</v>
      </c>
      <c r="S50" s="63" t="str">
        <f>IFERROR(VLOOKUP(MID(N50,Q50,R50-Q50),[5]skilldef!$C:$D,2,FALSE),"-") &amp; " / " &amp; IFERROR(VLOOKUP(MID(N50,O50,P50-O50),[5]skilldef!$A:$B,2,FALSE),"-")</f>
        <v>自分自身に / 行動値設定</v>
      </c>
      <c r="T50" s="48" t="str">
        <f t="shared" si="94"/>
        <v>none</v>
      </c>
      <c r="U50" s="63" t="e">
        <f t="shared" si="95"/>
        <v>#VALUE!</v>
      </c>
      <c r="V50" s="63">
        <f t="shared" si="96"/>
        <v>4</v>
      </c>
      <c r="W50" s="63" t="e">
        <f t="shared" si="97"/>
        <v>#VALUE!</v>
      </c>
      <c r="X50" s="63" t="e">
        <f t="shared" si="98"/>
        <v>#VALUE!</v>
      </c>
      <c r="Y50" s="63" t="str">
        <f>IFERROR(VLOOKUP(MID(T50,W50,X50-W50),[5]skilldef!$C:$D,2,FALSE),"-") &amp; " / " &amp; IFERROR(VLOOKUP(MID(T50,U50,V50-U50),[5]skilldef!$A:$B,2,FALSE),"-")</f>
        <v>- / -</v>
      </c>
      <c r="Z50" s="50"/>
      <c r="AA50" s="52"/>
      <c r="AB50" s="50"/>
    </row>
    <row r="51" spans="1:28" ht="21" customHeight="1" x14ac:dyDescent="0.15">
      <c r="A51" s="47">
        <v>11230922</v>
      </c>
      <c r="B51" s="108" t="s">
        <v>413</v>
      </c>
      <c r="C51" s="50">
        <v>3</v>
      </c>
      <c r="D51" s="50" t="s">
        <v>127</v>
      </c>
      <c r="E51" s="51" t="s">
        <v>355</v>
      </c>
      <c r="F51" s="51" t="s">
        <v>345</v>
      </c>
      <c r="G51" s="63" t="str">
        <f t="shared" si="84"/>
        <v>[effect:enemy_message, val1:1.9, val2:3.6]</v>
      </c>
      <c r="H51" s="63">
        <f t="shared" si="85"/>
        <v>9</v>
      </c>
      <c r="I51" s="63">
        <f t="shared" si="86"/>
        <v>22</v>
      </c>
      <c r="J51" s="63" t="e">
        <f t="shared" si="87"/>
        <v>#VALUE!</v>
      </c>
      <c r="K51" s="63">
        <f t="shared" si="88"/>
        <v>32</v>
      </c>
      <c r="L51" s="63" t="str">
        <f>IFERROR(VLOOKUP(MID(G51,J51,K51-J51),[5]skilldef!$C:$D,2,FALSE),"-") &amp; " / " &amp; IFERROR(VLOOKUP(MID(G51,H51,I51-H51),[5]skilldef!$A:$B,2,FALSE),"-")</f>
        <v>- / -</v>
      </c>
      <c r="M51" s="63" t="str">
        <f t="shared" si="89"/>
        <v>[effect:damage_fix_absolute, target:unit_one, val:1000],[effect:enhance_fever, val:1000, animation:fevergauge_up03]</v>
      </c>
      <c r="N51" s="48" t="str">
        <f t="shared" si="160"/>
        <v>[effect:damage_fix_absolute, target:unit_one, val:1000]</v>
      </c>
      <c r="O51" s="63">
        <f t="shared" si="90"/>
        <v>9</v>
      </c>
      <c r="P51" s="63">
        <f t="shared" si="91"/>
        <v>28</v>
      </c>
      <c r="Q51" s="63">
        <f t="shared" si="92"/>
        <v>37</v>
      </c>
      <c r="R51" s="63">
        <f t="shared" si="93"/>
        <v>45</v>
      </c>
      <c r="S51" s="63" t="str">
        <f>IFERROR(VLOOKUP(MID(N51,Q51,R51-Q51),[5]skilldef!$C:$D,2,FALSE),"-") &amp; " / " &amp; IFERROR(VLOOKUP(MID(N51,O51,P51-O51),[5]skilldef!$A:$B,2,FALSE),"-")</f>
        <v>味方単体に / -</v>
      </c>
      <c r="T51" s="48" t="str">
        <f t="shared" si="94"/>
        <v>[effect:enhance_fever, val:1000, animation:fevergauge_up03]</v>
      </c>
      <c r="U51" s="63">
        <f t="shared" si="95"/>
        <v>9</v>
      </c>
      <c r="V51" s="63">
        <f t="shared" si="96"/>
        <v>22</v>
      </c>
      <c r="W51" s="63" t="e">
        <f t="shared" si="97"/>
        <v>#VALUE!</v>
      </c>
      <c r="X51" s="63">
        <f t="shared" si="98"/>
        <v>32</v>
      </c>
      <c r="Y51" s="63" t="str">
        <f>IFERROR(VLOOKUP(MID(T51,W51,X51-W51),[5]skilldef!$C:$D,2,FALSE),"-") &amp; " / " &amp; IFERROR(VLOOKUP(MID(T51,U51,V51-U51),[5]skilldef!$A:$B,2,FALSE),"-")</f>
        <v>- / -</v>
      </c>
      <c r="Z51" s="50"/>
      <c r="AA51" s="52"/>
      <c r="AB51" s="50"/>
    </row>
    <row r="52" spans="1:28" ht="21" customHeight="1" x14ac:dyDescent="0.15">
      <c r="A52" s="47">
        <v>11230923</v>
      </c>
      <c r="B52" s="108" t="s">
        <v>414</v>
      </c>
      <c r="C52" s="50">
        <v>3</v>
      </c>
      <c r="D52" s="50" t="s">
        <v>127</v>
      </c>
      <c r="E52" s="51" t="s">
        <v>346</v>
      </c>
      <c r="F52" s="51" t="s">
        <v>347</v>
      </c>
      <c r="G52" s="63" t="str">
        <f t="shared" si="84"/>
        <v>[effect:enemy_message, val1:2.1, val2:3.0]</v>
      </c>
      <c r="H52" s="63">
        <f t="shared" si="85"/>
        <v>9</v>
      </c>
      <c r="I52" s="63">
        <f t="shared" si="86"/>
        <v>22</v>
      </c>
      <c r="J52" s="63" t="e">
        <f t="shared" si="87"/>
        <v>#VALUE!</v>
      </c>
      <c r="K52" s="63">
        <f t="shared" si="88"/>
        <v>32</v>
      </c>
      <c r="L52" s="63" t="str">
        <f>IFERROR(VLOOKUP(MID(G52,J52,K52-J52),[5]skilldef!$C:$D,2,FALSE),"-") &amp; " / " &amp; IFERROR(VLOOKUP(MID(G52,H52,I52-H52),[5]skilldef!$A:$B,2,FALSE),"-")</f>
        <v>- / -</v>
      </c>
      <c r="M52" s="63" t="str">
        <f t="shared" si="89"/>
        <v>none</v>
      </c>
      <c r="N52" s="48" t="str">
        <f t="shared" si="160"/>
        <v>none</v>
      </c>
      <c r="O52" s="63" t="e">
        <f t="shared" si="90"/>
        <v>#VALUE!</v>
      </c>
      <c r="P52" s="63">
        <f t="shared" si="91"/>
        <v>4</v>
      </c>
      <c r="Q52" s="63" t="e">
        <f t="shared" si="92"/>
        <v>#VALUE!</v>
      </c>
      <c r="R52" s="63" t="e">
        <f t="shared" si="93"/>
        <v>#VALUE!</v>
      </c>
      <c r="S52" s="63" t="str">
        <f>IFERROR(VLOOKUP(MID(N52,Q52,R52-Q52),[5]skilldef!$C:$D,2,FALSE),"-") &amp; " / " &amp; IFERROR(VLOOKUP(MID(N52,O52,P52-O52),[5]skilldef!$A:$B,2,FALSE),"-")</f>
        <v>- / -</v>
      </c>
      <c r="T52" s="48" t="str">
        <f t="shared" si="94"/>
        <v>none</v>
      </c>
      <c r="U52" s="63" t="e">
        <f t="shared" si="95"/>
        <v>#VALUE!</v>
      </c>
      <c r="V52" s="63">
        <f t="shared" si="96"/>
        <v>4</v>
      </c>
      <c r="W52" s="63" t="e">
        <f t="shared" si="97"/>
        <v>#VALUE!</v>
      </c>
      <c r="X52" s="63" t="e">
        <f t="shared" si="98"/>
        <v>#VALUE!</v>
      </c>
      <c r="Y52" s="63" t="str">
        <f>IFERROR(VLOOKUP(MID(T52,W52,X52-W52),[5]skilldef!$C:$D,2,FALSE),"-") &amp; " / " &amp; IFERROR(VLOOKUP(MID(T52,U52,V52-U52),[5]skilldef!$A:$B,2,FALSE),"-")</f>
        <v>- / -</v>
      </c>
      <c r="Z52" s="50"/>
      <c r="AA52" s="52"/>
      <c r="AB52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52"/>
  <sheetViews>
    <sheetView showGridLines="0" workbookViewId="0">
      <pane ySplit="1" topLeftCell="A2" activePane="bottomLeft" state="frozenSplit"/>
      <selection pane="bottomLeft" activeCell="G16" sqref="G16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104">
        <v>11230111</v>
      </c>
      <c r="B2" s="104">
        <v>1</v>
      </c>
      <c r="C2" s="104" t="s">
        <v>88</v>
      </c>
      <c r="D2" s="104">
        <v>100</v>
      </c>
      <c r="E2" s="104" t="s">
        <v>248</v>
      </c>
      <c r="F2" s="104" t="s">
        <v>89</v>
      </c>
      <c r="G2" s="104">
        <v>1</v>
      </c>
      <c r="H2" s="104" t="s">
        <v>89</v>
      </c>
      <c r="I2" s="104" t="s">
        <v>89</v>
      </c>
      <c r="J2" s="48">
        <f t="shared" ref="J2" si="0">D2</f>
        <v>100</v>
      </c>
    </row>
    <row r="3" spans="1:11" ht="21" customHeight="1" x14ac:dyDescent="0.15">
      <c r="A3" s="104">
        <v>11230112</v>
      </c>
      <c r="B3" s="104">
        <v>0</v>
      </c>
      <c r="C3" s="104">
        <v>49</v>
      </c>
      <c r="D3" s="104">
        <v>100</v>
      </c>
      <c r="E3" s="104" t="s">
        <v>282</v>
      </c>
      <c r="F3" s="104" t="s">
        <v>250</v>
      </c>
      <c r="G3" s="104">
        <v>1</v>
      </c>
      <c r="H3" s="104" t="s">
        <v>283</v>
      </c>
      <c r="I3" s="104" t="s">
        <v>282</v>
      </c>
      <c r="J3" s="48">
        <f t="shared" ref="J3:J5" si="1">D3</f>
        <v>100</v>
      </c>
    </row>
    <row r="4" spans="1:11" ht="21" customHeight="1" x14ac:dyDescent="0.15">
      <c r="A4" s="104">
        <v>11230211</v>
      </c>
      <c r="B4" s="104">
        <v>1</v>
      </c>
      <c r="C4" s="104" t="s">
        <v>250</v>
      </c>
      <c r="D4" s="104">
        <v>100</v>
      </c>
      <c r="E4" s="104" t="s">
        <v>282</v>
      </c>
      <c r="F4" s="104" t="s">
        <v>250</v>
      </c>
      <c r="G4" s="104">
        <v>1</v>
      </c>
      <c r="H4" s="104" t="s">
        <v>283</v>
      </c>
      <c r="I4" s="104" t="s">
        <v>282</v>
      </c>
      <c r="J4" s="48">
        <f t="shared" si="1"/>
        <v>100</v>
      </c>
    </row>
    <row r="5" spans="1:11" ht="21" customHeight="1" x14ac:dyDescent="0.15">
      <c r="A5" s="104">
        <v>11230212</v>
      </c>
      <c r="B5" s="104">
        <v>0</v>
      </c>
      <c r="C5" s="104">
        <v>49</v>
      </c>
      <c r="D5" s="104">
        <v>100</v>
      </c>
      <c r="E5" s="104" t="s">
        <v>282</v>
      </c>
      <c r="F5" s="104" t="s">
        <v>250</v>
      </c>
      <c r="G5" s="104">
        <v>1</v>
      </c>
      <c r="H5" s="104" t="s">
        <v>283</v>
      </c>
      <c r="I5" s="104" t="s">
        <v>282</v>
      </c>
      <c r="J5" s="48">
        <f t="shared" si="1"/>
        <v>100</v>
      </c>
    </row>
    <row r="6" spans="1:11" ht="21" customHeight="1" x14ac:dyDescent="0.15">
      <c r="A6" s="104">
        <v>11230213</v>
      </c>
      <c r="B6" s="104">
        <v>0</v>
      </c>
      <c r="C6" s="104">
        <v>48</v>
      </c>
      <c r="D6" s="104">
        <v>100</v>
      </c>
      <c r="E6" s="104" t="s">
        <v>282</v>
      </c>
      <c r="F6" s="104" t="s">
        <v>250</v>
      </c>
      <c r="G6" s="104">
        <v>1</v>
      </c>
      <c r="H6" s="104" t="s">
        <v>283</v>
      </c>
      <c r="I6" s="104" t="s">
        <v>282</v>
      </c>
      <c r="J6" s="48">
        <f t="shared" ref="J6:J28" si="2">D6</f>
        <v>100</v>
      </c>
    </row>
    <row r="7" spans="1:11" ht="21" customHeight="1" x14ac:dyDescent="0.15">
      <c r="A7" s="104">
        <v>11230311</v>
      </c>
      <c r="B7" s="104">
        <v>1</v>
      </c>
      <c r="C7" s="104" t="s">
        <v>250</v>
      </c>
      <c r="D7" s="104">
        <v>100</v>
      </c>
      <c r="E7" s="104" t="s">
        <v>282</v>
      </c>
      <c r="F7" s="104" t="s">
        <v>250</v>
      </c>
      <c r="G7" s="104">
        <v>1</v>
      </c>
      <c r="H7" s="104" t="s">
        <v>283</v>
      </c>
      <c r="I7" s="104" t="s">
        <v>282</v>
      </c>
      <c r="J7" s="48">
        <f t="shared" si="2"/>
        <v>100</v>
      </c>
    </row>
    <row r="8" spans="1:11" ht="21" customHeight="1" x14ac:dyDescent="0.15">
      <c r="A8" s="104">
        <v>11230312</v>
      </c>
      <c r="B8" s="104">
        <v>0</v>
      </c>
      <c r="C8" s="104">
        <v>49</v>
      </c>
      <c r="D8" s="104">
        <v>100</v>
      </c>
      <c r="E8" s="104" t="s">
        <v>282</v>
      </c>
      <c r="F8" s="104">
        <v>99</v>
      </c>
      <c r="G8" s="104">
        <v>1</v>
      </c>
      <c r="H8" s="104" t="s">
        <v>283</v>
      </c>
      <c r="I8" s="104" t="s">
        <v>282</v>
      </c>
      <c r="J8" s="48">
        <f t="shared" si="2"/>
        <v>100</v>
      </c>
    </row>
    <row r="9" spans="1:11" ht="21" customHeight="1" x14ac:dyDescent="0.15">
      <c r="A9" s="104">
        <v>11230313</v>
      </c>
      <c r="B9" s="104">
        <v>0</v>
      </c>
      <c r="C9" s="104">
        <v>47</v>
      </c>
      <c r="D9" s="104">
        <v>100</v>
      </c>
      <c r="E9" s="104">
        <v>99</v>
      </c>
      <c r="F9" s="104" t="s">
        <v>286</v>
      </c>
      <c r="G9" s="104">
        <v>1</v>
      </c>
      <c r="H9" s="104" t="s">
        <v>283</v>
      </c>
      <c r="I9" s="104" t="s">
        <v>282</v>
      </c>
      <c r="J9" s="48">
        <f t="shared" si="2"/>
        <v>100</v>
      </c>
    </row>
    <row r="10" spans="1:11" ht="21" customHeight="1" x14ac:dyDescent="0.15">
      <c r="A10" s="104">
        <v>11230314</v>
      </c>
      <c r="B10" s="104">
        <v>1</v>
      </c>
      <c r="C10" s="104" t="s">
        <v>250</v>
      </c>
      <c r="D10" s="104">
        <v>100</v>
      </c>
      <c r="E10" s="104" t="s">
        <v>282</v>
      </c>
      <c r="F10" s="104" t="s">
        <v>250</v>
      </c>
      <c r="G10" s="104">
        <v>1</v>
      </c>
      <c r="H10" s="104" t="s">
        <v>283</v>
      </c>
      <c r="I10" s="104" t="s">
        <v>282</v>
      </c>
      <c r="J10" s="48">
        <f t="shared" si="2"/>
        <v>100</v>
      </c>
    </row>
    <row r="11" spans="1:11" ht="21" customHeight="1" x14ac:dyDescent="0.15">
      <c r="A11" s="104">
        <v>11230315</v>
      </c>
      <c r="B11" s="104">
        <v>0</v>
      </c>
      <c r="C11" s="104">
        <v>46</v>
      </c>
      <c r="D11" s="104">
        <v>100</v>
      </c>
      <c r="E11" s="104" t="s">
        <v>250</v>
      </c>
      <c r="F11" s="104" t="s">
        <v>250</v>
      </c>
      <c r="G11" s="104">
        <v>1</v>
      </c>
      <c r="H11" s="104" t="s">
        <v>283</v>
      </c>
      <c r="I11" s="104" t="s">
        <v>282</v>
      </c>
      <c r="J11" s="48">
        <f t="shared" si="2"/>
        <v>100</v>
      </c>
    </row>
    <row r="12" spans="1:11" ht="21" customHeight="1" x14ac:dyDescent="0.15">
      <c r="A12" s="104">
        <v>11230316</v>
      </c>
      <c r="B12" s="104">
        <v>0</v>
      </c>
      <c r="C12" s="104">
        <v>48</v>
      </c>
      <c r="D12" s="104">
        <v>100</v>
      </c>
      <c r="E12" s="104" t="s">
        <v>286</v>
      </c>
      <c r="F12" s="104">
        <v>99</v>
      </c>
      <c r="G12" s="104">
        <v>1</v>
      </c>
      <c r="H12" s="104" t="s">
        <v>248</v>
      </c>
      <c r="I12" s="104" t="s">
        <v>282</v>
      </c>
      <c r="J12" s="48">
        <f t="shared" ref="J12" si="3">D12</f>
        <v>100</v>
      </c>
    </row>
    <row r="13" spans="1:11" ht="21" customHeight="1" x14ac:dyDescent="0.15">
      <c r="A13" s="104">
        <v>11230411</v>
      </c>
      <c r="B13" s="104">
        <v>1</v>
      </c>
      <c r="C13" s="104" t="s">
        <v>250</v>
      </c>
      <c r="D13" s="104">
        <v>100</v>
      </c>
      <c r="E13" s="104" t="s">
        <v>282</v>
      </c>
      <c r="F13" s="104" t="s">
        <v>250</v>
      </c>
      <c r="G13" s="104">
        <v>1</v>
      </c>
      <c r="H13" s="104" t="s">
        <v>283</v>
      </c>
      <c r="I13" s="104" t="s">
        <v>282</v>
      </c>
      <c r="J13" s="48">
        <f t="shared" si="2"/>
        <v>100</v>
      </c>
    </row>
    <row r="14" spans="1:11" ht="21" customHeight="1" x14ac:dyDescent="0.15">
      <c r="A14" s="104">
        <v>11230412</v>
      </c>
      <c r="B14" s="104">
        <v>0</v>
      </c>
      <c r="C14" s="104">
        <v>49</v>
      </c>
      <c r="D14" s="104">
        <v>100</v>
      </c>
      <c r="E14" s="104" t="s">
        <v>282</v>
      </c>
      <c r="F14" s="104" t="s">
        <v>248</v>
      </c>
      <c r="G14" s="104">
        <v>1</v>
      </c>
      <c r="H14" s="104" t="s">
        <v>283</v>
      </c>
      <c r="I14" s="104" t="s">
        <v>282</v>
      </c>
      <c r="J14" s="48">
        <f t="shared" si="2"/>
        <v>100</v>
      </c>
    </row>
    <row r="15" spans="1:11" ht="21" customHeight="1" x14ac:dyDescent="0.15">
      <c r="A15" s="104">
        <v>11230413</v>
      </c>
      <c r="B15" s="104">
        <v>0</v>
      </c>
      <c r="C15" s="104">
        <v>48</v>
      </c>
      <c r="D15" s="104">
        <v>100</v>
      </c>
      <c r="E15" s="104" t="s">
        <v>248</v>
      </c>
      <c r="F15" s="104" t="s">
        <v>286</v>
      </c>
      <c r="G15" s="104">
        <v>1</v>
      </c>
      <c r="H15" s="104" t="s">
        <v>283</v>
      </c>
      <c r="I15" s="104" t="s">
        <v>282</v>
      </c>
      <c r="J15" s="48">
        <f t="shared" si="2"/>
        <v>100</v>
      </c>
    </row>
    <row r="16" spans="1:11" ht="21" customHeight="1" x14ac:dyDescent="0.15">
      <c r="A16" s="104">
        <v>11230414</v>
      </c>
      <c r="B16" s="104">
        <v>1</v>
      </c>
      <c r="C16" s="104" t="s">
        <v>250</v>
      </c>
      <c r="D16" s="104">
        <v>100</v>
      </c>
      <c r="E16" s="104" t="s">
        <v>282</v>
      </c>
      <c r="F16" s="104" t="s">
        <v>250</v>
      </c>
      <c r="G16" s="104">
        <v>1</v>
      </c>
      <c r="H16" s="104" t="s">
        <v>283</v>
      </c>
      <c r="I16" s="104" t="s">
        <v>282</v>
      </c>
      <c r="J16" s="48">
        <f t="shared" si="2"/>
        <v>100</v>
      </c>
    </row>
    <row r="17" spans="1:10" ht="21" customHeight="1" x14ac:dyDescent="0.15">
      <c r="A17" s="104">
        <v>11230415</v>
      </c>
      <c r="B17" s="104">
        <v>0</v>
      </c>
      <c r="C17" s="104">
        <v>46</v>
      </c>
      <c r="D17" s="104">
        <v>100</v>
      </c>
      <c r="E17" s="104" t="s">
        <v>250</v>
      </c>
      <c r="F17" s="104" t="s">
        <v>250</v>
      </c>
      <c r="G17" s="104">
        <v>1</v>
      </c>
      <c r="H17" s="104" t="s">
        <v>283</v>
      </c>
      <c r="I17" s="104" t="s">
        <v>282</v>
      </c>
      <c r="J17" s="48">
        <f t="shared" si="2"/>
        <v>100</v>
      </c>
    </row>
    <row r="18" spans="1:10" ht="21" customHeight="1" x14ac:dyDescent="0.15">
      <c r="A18" s="104">
        <v>11230511</v>
      </c>
      <c r="B18" s="104">
        <v>1</v>
      </c>
      <c r="C18" s="104" t="s">
        <v>250</v>
      </c>
      <c r="D18" s="104">
        <v>100</v>
      </c>
      <c r="E18" s="104" t="s">
        <v>282</v>
      </c>
      <c r="F18" s="104" t="s">
        <v>250</v>
      </c>
      <c r="G18" s="104">
        <v>1</v>
      </c>
      <c r="H18" s="104" t="s">
        <v>283</v>
      </c>
      <c r="I18" s="104" t="s">
        <v>282</v>
      </c>
      <c r="J18" s="48">
        <f t="shared" si="2"/>
        <v>100</v>
      </c>
    </row>
    <row r="19" spans="1:10" ht="21" customHeight="1" x14ac:dyDescent="0.15">
      <c r="A19" s="104">
        <v>11230512</v>
      </c>
      <c r="B19" s="104">
        <v>0</v>
      </c>
      <c r="C19" s="104">
        <v>49</v>
      </c>
      <c r="D19" s="104">
        <v>100</v>
      </c>
      <c r="E19" s="104" t="s">
        <v>282</v>
      </c>
      <c r="F19" s="104" t="s">
        <v>250</v>
      </c>
      <c r="G19" s="104">
        <v>1</v>
      </c>
      <c r="H19" s="104" t="s">
        <v>283</v>
      </c>
      <c r="I19" s="104" t="s">
        <v>282</v>
      </c>
      <c r="J19" s="48">
        <f t="shared" si="2"/>
        <v>100</v>
      </c>
    </row>
    <row r="20" spans="1:10" ht="21" customHeight="1" x14ac:dyDescent="0.15">
      <c r="A20" s="104">
        <v>11230513</v>
      </c>
      <c r="B20" s="104">
        <v>0</v>
      </c>
      <c r="C20" s="104">
        <v>48</v>
      </c>
      <c r="D20" s="104">
        <v>100</v>
      </c>
      <c r="E20" s="104" t="s">
        <v>282</v>
      </c>
      <c r="F20" s="104" t="s">
        <v>250</v>
      </c>
      <c r="G20" s="104">
        <v>1</v>
      </c>
      <c r="H20" s="104" t="s">
        <v>283</v>
      </c>
      <c r="I20" s="104" t="s">
        <v>282</v>
      </c>
      <c r="J20" s="48">
        <f t="shared" si="2"/>
        <v>100</v>
      </c>
    </row>
    <row r="21" spans="1:10" ht="21" customHeight="1" x14ac:dyDescent="0.15">
      <c r="A21" s="104">
        <v>11230514</v>
      </c>
      <c r="B21" s="104">
        <v>0</v>
      </c>
      <c r="C21" s="104">
        <v>47</v>
      </c>
      <c r="D21" s="104">
        <v>100</v>
      </c>
      <c r="E21" s="104" t="s">
        <v>282</v>
      </c>
      <c r="F21" s="104" t="s">
        <v>250</v>
      </c>
      <c r="G21" s="104">
        <v>1</v>
      </c>
      <c r="H21" s="104" t="s">
        <v>283</v>
      </c>
      <c r="I21" s="104" t="s">
        <v>282</v>
      </c>
      <c r="J21" s="48">
        <f t="shared" si="2"/>
        <v>100</v>
      </c>
    </row>
    <row r="22" spans="1:10" ht="21" customHeight="1" x14ac:dyDescent="0.15">
      <c r="A22" s="104">
        <v>11230515</v>
      </c>
      <c r="B22" s="104">
        <v>0</v>
      </c>
      <c r="C22" s="104">
        <v>46</v>
      </c>
      <c r="D22" s="104">
        <v>100</v>
      </c>
      <c r="E22" s="104" t="s">
        <v>282</v>
      </c>
      <c r="F22" s="104" t="s">
        <v>250</v>
      </c>
      <c r="G22" s="104">
        <v>1</v>
      </c>
      <c r="H22" s="104" t="s">
        <v>283</v>
      </c>
      <c r="I22" s="104" t="s">
        <v>282</v>
      </c>
      <c r="J22" s="48">
        <f t="shared" si="2"/>
        <v>100</v>
      </c>
    </row>
    <row r="23" spans="1:10" ht="21" customHeight="1" x14ac:dyDescent="0.15">
      <c r="A23" s="104">
        <v>11230516</v>
      </c>
      <c r="B23" s="104">
        <v>0</v>
      </c>
      <c r="C23" s="104">
        <v>40</v>
      </c>
      <c r="D23" s="104">
        <v>100</v>
      </c>
      <c r="E23" s="104" t="s">
        <v>282</v>
      </c>
      <c r="F23" s="104" t="s">
        <v>250</v>
      </c>
      <c r="G23" s="104" t="s">
        <v>284</v>
      </c>
      <c r="H23" s="104" t="s">
        <v>283</v>
      </c>
      <c r="I23" s="104" t="s">
        <v>282</v>
      </c>
      <c r="J23" s="48">
        <f t="shared" si="2"/>
        <v>100</v>
      </c>
    </row>
    <row r="24" spans="1:10" ht="21" customHeight="1" x14ac:dyDescent="0.15">
      <c r="A24" s="104">
        <v>11230517</v>
      </c>
      <c r="B24" s="104">
        <v>0</v>
      </c>
      <c r="C24" s="104">
        <v>45</v>
      </c>
      <c r="D24" s="104">
        <v>100</v>
      </c>
      <c r="E24" s="104">
        <v>50</v>
      </c>
      <c r="F24" s="104" t="s">
        <v>250</v>
      </c>
      <c r="G24" s="104">
        <v>1</v>
      </c>
      <c r="H24" s="104" t="s">
        <v>283</v>
      </c>
      <c r="I24" s="104" t="s">
        <v>282</v>
      </c>
      <c r="J24" s="48">
        <f t="shared" si="2"/>
        <v>100</v>
      </c>
    </row>
    <row r="25" spans="1:10" ht="21" customHeight="1" x14ac:dyDescent="0.15">
      <c r="A25" s="104">
        <v>11230611</v>
      </c>
      <c r="B25" s="104">
        <v>1</v>
      </c>
      <c r="C25" s="104" t="s">
        <v>250</v>
      </c>
      <c r="D25" s="104">
        <v>100</v>
      </c>
      <c r="E25" s="104" t="s">
        <v>282</v>
      </c>
      <c r="F25" s="104" t="s">
        <v>250</v>
      </c>
      <c r="G25" s="104">
        <v>1</v>
      </c>
      <c r="H25" s="104" t="s">
        <v>283</v>
      </c>
      <c r="I25" s="104" t="s">
        <v>282</v>
      </c>
      <c r="J25" s="48">
        <f t="shared" si="2"/>
        <v>100</v>
      </c>
    </row>
    <row r="26" spans="1:10" ht="21" customHeight="1" x14ac:dyDescent="0.15">
      <c r="A26" s="104">
        <v>11230612</v>
      </c>
      <c r="B26" s="104">
        <v>0</v>
      </c>
      <c r="C26" s="104">
        <v>49</v>
      </c>
      <c r="D26" s="104">
        <v>100</v>
      </c>
      <c r="E26" s="104" t="s">
        <v>282</v>
      </c>
      <c r="F26" s="104" t="s">
        <v>250</v>
      </c>
      <c r="G26" s="104">
        <v>1</v>
      </c>
      <c r="H26" s="104" t="s">
        <v>283</v>
      </c>
      <c r="I26" s="104" t="s">
        <v>282</v>
      </c>
      <c r="J26" s="48">
        <f t="shared" si="2"/>
        <v>100</v>
      </c>
    </row>
    <row r="27" spans="1:10" ht="21" customHeight="1" x14ac:dyDescent="0.15">
      <c r="A27" s="104">
        <v>11230613</v>
      </c>
      <c r="B27" s="104">
        <v>0</v>
      </c>
      <c r="C27" s="104">
        <v>48</v>
      </c>
      <c r="D27" s="104">
        <v>100</v>
      </c>
      <c r="E27" s="104" t="s">
        <v>282</v>
      </c>
      <c r="F27" s="104" t="s">
        <v>250</v>
      </c>
      <c r="G27" s="104">
        <v>1</v>
      </c>
      <c r="H27" s="104" t="s">
        <v>283</v>
      </c>
      <c r="I27" s="104" t="s">
        <v>282</v>
      </c>
      <c r="J27" s="48">
        <f t="shared" si="2"/>
        <v>100</v>
      </c>
    </row>
    <row r="28" spans="1:10" ht="21" customHeight="1" x14ac:dyDescent="0.15">
      <c r="A28" s="47">
        <v>11230121</v>
      </c>
      <c r="B28" s="47">
        <v>1</v>
      </c>
      <c r="C28" s="47" t="s">
        <v>88</v>
      </c>
      <c r="D28" s="47">
        <v>100</v>
      </c>
      <c r="E28" s="47" t="s">
        <v>88</v>
      </c>
      <c r="F28" s="47" t="s">
        <v>88</v>
      </c>
      <c r="G28" s="47">
        <v>1</v>
      </c>
      <c r="H28" s="47" t="s">
        <v>88</v>
      </c>
      <c r="I28" s="47" t="s">
        <v>88</v>
      </c>
      <c r="J28" s="48">
        <f t="shared" si="2"/>
        <v>100</v>
      </c>
    </row>
    <row r="29" spans="1:10" ht="21" customHeight="1" x14ac:dyDescent="0.15">
      <c r="A29" s="47">
        <v>11230122</v>
      </c>
      <c r="B29" s="47">
        <v>0</v>
      </c>
      <c r="C29" s="47">
        <v>49</v>
      </c>
      <c r="D29" s="47">
        <v>100</v>
      </c>
      <c r="E29" s="47" t="s">
        <v>88</v>
      </c>
      <c r="F29" s="47" t="s">
        <v>88</v>
      </c>
      <c r="G29" s="47">
        <v>1</v>
      </c>
      <c r="H29" s="47" t="s">
        <v>88</v>
      </c>
      <c r="I29" s="47" t="s">
        <v>88</v>
      </c>
      <c r="J29" s="48">
        <f t="shared" ref="J29:J52" si="4">D29</f>
        <v>100</v>
      </c>
    </row>
    <row r="30" spans="1:10" ht="21" customHeight="1" x14ac:dyDescent="0.15">
      <c r="A30" s="47">
        <v>11230221</v>
      </c>
      <c r="B30" s="47">
        <v>1</v>
      </c>
      <c r="C30" s="47" t="s">
        <v>88</v>
      </c>
      <c r="D30" s="47">
        <v>100</v>
      </c>
      <c r="E30" s="47" t="s">
        <v>88</v>
      </c>
      <c r="F30" s="47" t="s">
        <v>341</v>
      </c>
      <c r="G30" s="47">
        <v>1</v>
      </c>
      <c r="H30" s="47" t="s">
        <v>88</v>
      </c>
      <c r="I30" s="47" t="s">
        <v>88</v>
      </c>
      <c r="J30" s="48">
        <f t="shared" si="4"/>
        <v>100</v>
      </c>
    </row>
    <row r="31" spans="1:10" ht="21" customHeight="1" x14ac:dyDescent="0.15">
      <c r="A31" s="47">
        <v>11230222</v>
      </c>
      <c r="B31" s="47">
        <v>0</v>
      </c>
      <c r="C31" s="47">
        <v>49</v>
      </c>
      <c r="D31" s="47">
        <v>100</v>
      </c>
      <c r="E31" s="47" t="s">
        <v>88</v>
      </c>
      <c r="F31" s="47" t="s">
        <v>88</v>
      </c>
      <c r="G31" s="47">
        <v>1</v>
      </c>
      <c r="H31" s="47" t="s">
        <v>88</v>
      </c>
      <c r="I31" s="47" t="s">
        <v>88</v>
      </c>
      <c r="J31" s="48">
        <f t="shared" si="4"/>
        <v>100</v>
      </c>
    </row>
    <row r="32" spans="1:10" ht="21" customHeight="1" x14ac:dyDescent="0.15">
      <c r="A32" s="47">
        <v>11230223</v>
      </c>
      <c r="B32" s="47">
        <v>0</v>
      </c>
      <c r="C32" s="47">
        <v>48</v>
      </c>
      <c r="D32" s="47">
        <v>100</v>
      </c>
      <c r="E32" s="47" t="s">
        <v>88</v>
      </c>
      <c r="F32" s="47" t="s">
        <v>88</v>
      </c>
      <c r="G32" s="47">
        <v>1</v>
      </c>
      <c r="H32" s="47" t="s">
        <v>88</v>
      </c>
      <c r="I32" s="47" t="s">
        <v>88</v>
      </c>
      <c r="J32" s="48">
        <f t="shared" ref="J32" si="5">D32</f>
        <v>100</v>
      </c>
    </row>
    <row r="33" spans="1:10" ht="21" customHeight="1" x14ac:dyDescent="0.15">
      <c r="A33" s="47">
        <v>11230321</v>
      </c>
      <c r="B33" s="47">
        <v>1</v>
      </c>
      <c r="C33" s="47" t="s">
        <v>88</v>
      </c>
      <c r="D33" s="47">
        <v>100</v>
      </c>
      <c r="E33" s="47" t="s">
        <v>88</v>
      </c>
      <c r="F33" s="47" t="s">
        <v>341</v>
      </c>
      <c r="G33" s="47">
        <v>1</v>
      </c>
      <c r="H33" s="47" t="s">
        <v>88</v>
      </c>
      <c r="I33" s="47" t="s">
        <v>88</v>
      </c>
      <c r="J33" s="48">
        <f t="shared" si="4"/>
        <v>100</v>
      </c>
    </row>
    <row r="34" spans="1:10" ht="21" customHeight="1" x14ac:dyDescent="0.15">
      <c r="A34" s="47">
        <v>11230322</v>
      </c>
      <c r="B34" s="47">
        <v>0</v>
      </c>
      <c r="C34" s="47">
        <v>49</v>
      </c>
      <c r="D34" s="47">
        <v>100</v>
      </c>
      <c r="E34" s="47" t="s">
        <v>88</v>
      </c>
      <c r="F34" s="47" t="s">
        <v>88</v>
      </c>
      <c r="G34" s="47">
        <v>1</v>
      </c>
      <c r="H34" s="47" t="s">
        <v>88</v>
      </c>
      <c r="I34" s="47" t="s">
        <v>88</v>
      </c>
      <c r="J34" s="48">
        <f t="shared" si="4"/>
        <v>100</v>
      </c>
    </row>
    <row r="35" spans="1:10" ht="21" customHeight="1" x14ac:dyDescent="0.15">
      <c r="A35" s="47">
        <v>11230323</v>
      </c>
      <c r="B35" s="47">
        <v>0</v>
      </c>
      <c r="C35" s="47">
        <v>48</v>
      </c>
      <c r="D35" s="47">
        <v>100</v>
      </c>
      <c r="E35" s="47" t="s">
        <v>88</v>
      </c>
      <c r="F35" s="47" t="s">
        <v>88</v>
      </c>
      <c r="G35" s="47">
        <v>1</v>
      </c>
      <c r="H35" s="47" t="s">
        <v>88</v>
      </c>
      <c r="I35" s="47" t="s">
        <v>88</v>
      </c>
      <c r="J35" s="48">
        <f t="shared" ref="J35" si="6">D35</f>
        <v>100</v>
      </c>
    </row>
    <row r="36" spans="1:10" ht="21" customHeight="1" x14ac:dyDescent="0.15">
      <c r="A36" s="47">
        <v>11230421</v>
      </c>
      <c r="B36" s="47">
        <v>1</v>
      </c>
      <c r="C36" s="47" t="s">
        <v>88</v>
      </c>
      <c r="D36" s="47">
        <v>100</v>
      </c>
      <c r="E36" s="47" t="s">
        <v>88</v>
      </c>
      <c r="F36" s="47" t="s">
        <v>341</v>
      </c>
      <c r="G36" s="47">
        <v>1</v>
      </c>
      <c r="H36" s="47" t="s">
        <v>88</v>
      </c>
      <c r="I36" s="47" t="s">
        <v>88</v>
      </c>
      <c r="J36" s="48">
        <f t="shared" si="4"/>
        <v>100</v>
      </c>
    </row>
    <row r="37" spans="1:10" ht="21" customHeight="1" x14ac:dyDescent="0.15">
      <c r="A37" s="47">
        <v>11230422</v>
      </c>
      <c r="B37" s="47">
        <v>0</v>
      </c>
      <c r="C37" s="47">
        <v>49</v>
      </c>
      <c r="D37" s="47">
        <v>100</v>
      </c>
      <c r="E37" s="47" t="s">
        <v>88</v>
      </c>
      <c r="F37" s="47" t="s">
        <v>88</v>
      </c>
      <c r="G37" s="47">
        <v>1</v>
      </c>
      <c r="H37" s="47" t="s">
        <v>88</v>
      </c>
      <c r="I37" s="47" t="s">
        <v>88</v>
      </c>
      <c r="J37" s="48">
        <f t="shared" si="4"/>
        <v>100</v>
      </c>
    </row>
    <row r="38" spans="1:10" ht="21" customHeight="1" x14ac:dyDescent="0.15">
      <c r="A38" s="47">
        <v>11230423</v>
      </c>
      <c r="B38" s="47">
        <v>0</v>
      </c>
      <c r="C38" s="47">
        <v>48</v>
      </c>
      <c r="D38" s="47">
        <v>100</v>
      </c>
      <c r="E38" s="47" t="s">
        <v>88</v>
      </c>
      <c r="F38" s="47" t="s">
        <v>88</v>
      </c>
      <c r="G38" s="47">
        <v>1</v>
      </c>
      <c r="H38" s="47" t="s">
        <v>88</v>
      </c>
      <c r="I38" s="47" t="s">
        <v>88</v>
      </c>
      <c r="J38" s="48">
        <f t="shared" ref="J38" si="7">D38</f>
        <v>100</v>
      </c>
    </row>
    <row r="39" spans="1:10" ht="21" customHeight="1" x14ac:dyDescent="0.15">
      <c r="A39" s="47">
        <v>11230521</v>
      </c>
      <c r="B39" s="47">
        <v>1</v>
      </c>
      <c r="C39" s="47" t="s">
        <v>88</v>
      </c>
      <c r="D39" s="47">
        <v>100</v>
      </c>
      <c r="E39" s="47" t="s">
        <v>88</v>
      </c>
      <c r="F39" s="47" t="s">
        <v>341</v>
      </c>
      <c r="G39" s="47">
        <v>1</v>
      </c>
      <c r="H39" s="47" t="s">
        <v>88</v>
      </c>
      <c r="I39" s="47" t="s">
        <v>88</v>
      </c>
      <c r="J39" s="48">
        <f t="shared" si="4"/>
        <v>100</v>
      </c>
    </row>
    <row r="40" spans="1:10" ht="21" customHeight="1" x14ac:dyDescent="0.15">
      <c r="A40" s="47">
        <v>11230522</v>
      </c>
      <c r="B40" s="47">
        <v>0</v>
      </c>
      <c r="C40" s="47">
        <v>49</v>
      </c>
      <c r="D40" s="47">
        <v>100</v>
      </c>
      <c r="E40" s="47" t="s">
        <v>88</v>
      </c>
      <c r="F40" s="47" t="s">
        <v>88</v>
      </c>
      <c r="G40" s="47">
        <v>1</v>
      </c>
      <c r="H40" s="47" t="s">
        <v>88</v>
      </c>
      <c r="I40" s="47" t="s">
        <v>88</v>
      </c>
      <c r="J40" s="48">
        <f t="shared" si="4"/>
        <v>100</v>
      </c>
    </row>
    <row r="41" spans="1:10" ht="21" customHeight="1" x14ac:dyDescent="0.15">
      <c r="A41" s="47">
        <v>11230523</v>
      </c>
      <c r="B41" s="47">
        <v>0</v>
      </c>
      <c r="C41" s="47">
        <v>48</v>
      </c>
      <c r="D41" s="47">
        <v>100</v>
      </c>
      <c r="E41" s="47" t="s">
        <v>88</v>
      </c>
      <c r="F41" s="47" t="s">
        <v>88</v>
      </c>
      <c r="G41" s="47">
        <v>1</v>
      </c>
      <c r="H41" s="47" t="s">
        <v>88</v>
      </c>
      <c r="I41" s="47" t="s">
        <v>88</v>
      </c>
      <c r="J41" s="48">
        <f t="shared" ref="J41" si="8">D41</f>
        <v>100</v>
      </c>
    </row>
    <row r="42" spans="1:10" ht="21" customHeight="1" x14ac:dyDescent="0.15">
      <c r="A42" s="47">
        <v>11230621</v>
      </c>
      <c r="B42" s="47">
        <v>1</v>
      </c>
      <c r="C42" s="47" t="s">
        <v>88</v>
      </c>
      <c r="D42" s="47">
        <v>100</v>
      </c>
      <c r="E42" s="47" t="s">
        <v>88</v>
      </c>
      <c r="F42" s="47" t="s">
        <v>341</v>
      </c>
      <c r="G42" s="47">
        <v>1</v>
      </c>
      <c r="H42" s="47" t="s">
        <v>88</v>
      </c>
      <c r="I42" s="47" t="s">
        <v>88</v>
      </c>
      <c r="J42" s="48">
        <f t="shared" si="4"/>
        <v>100</v>
      </c>
    </row>
    <row r="43" spans="1:10" ht="21" customHeight="1" x14ac:dyDescent="0.15">
      <c r="A43" s="47">
        <v>11230622</v>
      </c>
      <c r="B43" s="47">
        <v>0</v>
      </c>
      <c r="C43" s="47">
        <v>49</v>
      </c>
      <c r="D43" s="47">
        <v>100</v>
      </c>
      <c r="E43" s="47" t="s">
        <v>88</v>
      </c>
      <c r="F43" s="47" t="s">
        <v>88</v>
      </c>
      <c r="G43" s="47">
        <v>1</v>
      </c>
      <c r="H43" s="47" t="s">
        <v>88</v>
      </c>
      <c r="I43" s="47" t="s">
        <v>88</v>
      </c>
      <c r="J43" s="48">
        <f t="shared" si="4"/>
        <v>100</v>
      </c>
    </row>
    <row r="44" spans="1:10" ht="21" customHeight="1" x14ac:dyDescent="0.15">
      <c r="A44" s="47">
        <v>11230623</v>
      </c>
      <c r="B44" s="47">
        <v>0</v>
      </c>
      <c r="C44" s="47">
        <v>48</v>
      </c>
      <c r="D44" s="47">
        <v>100</v>
      </c>
      <c r="E44" s="47" t="s">
        <v>88</v>
      </c>
      <c r="F44" s="47" t="s">
        <v>88</v>
      </c>
      <c r="G44" s="47">
        <v>1</v>
      </c>
      <c r="H44" s="47" t="s">
        <v>88</v>
      </c>
      <c r="I44" s="47" t="s">
        <v>88</v>
      </c>
      <c r="J44" s="48">
        <f t="shared" si="4"/>
        <v>100</v>
      </c>
    </row>
    <row r="45" spans="1:10" ht="21" customHeight="1" x14ac:dyDescent="0.15">
      <c r="A45" s="47">
        <v>11230721</v>
      </c>
      <c r="B45" s="47">
        <v>1</v>
      </c>
      <c r="C45" s="47" t="s">
        <v>88</v>
      </c>
      <c r="D45" s="47">
        <v>100</v>
      </c>
      <c r="E45" s="47" t="s">
        <v>88</v>
      </c>
      <c r="F45" s="47" t="s">
        <v>341</v>
      </c>
      <c r="G45" s="47">
        <v>1</v>
      </c>
      <c r="H45" s="47" t="s">
        <v>88</v>
      </c>
      <c r="I45" s="47" t="s">
        <v>88</v>
      </c>
      <c r="J45" s="48">
        <f t="shared" si="4"/>
        <v>100</v>
      </c>
    </row>
    <row r="46" spans="1:10" ht="21" customHeight="1" x14ac:dyDescent="0.15">
      <c r="A46" s="47">
        <v>11230722</v>
      </c>
      <c r="B46" s="47">
        <v>0</v>
      </c>
      <c r="C46" s="47">
        <v>49</v>
      </c>
      <c r="D46" s="47">
        <v>100</v>
      </c>
      <c r="E46" s="47" t="s">
        <v>88</v>
      </c>
      <c r="F46" s="47" t="s">
        <v>88</v>
      </c>
      <c r="G46" s="47">
        <v>1</v>
      </c>
      <c r="H46" s="47" t="s">
        <v>88</v>
      </c>
      <c r="I46" s="47" t="s">
        <v>88</v>
      </c>
      <c r="J46" s="48">
        <f t="shared" si="4"/>
        <v>100</v>
      </c>
    </row>
    <row r="47" spans="1:10" ht="21" customHeight="1" x14ac:dyDescent="0.15">
      <c r="A47" s="47">
        <v>11230723</v>
      </c>
      <c r="B47" s="47">
        <v>0</v>
      </c>
      <c r="C47" s="47">
        <v>48</v>
      </c>
      <c r="D47" s="47">
        <v>100</v>
      </c>
      <c r="E47" s="47" t="s">
        <v>88</v>
      </c>
      <c r="F47" s="47" t="s">
        <v>88</v>
      </c>
      <c r="G47" s="47">
        <v>1</v>
      </c>
      <c r="H47" s="47" t="s">
        <v>88</v>
      </c>
      <c r="I47" s="47" t="s">
        <v>88</v>
      </c>
      <c r="J47" s="48">
        <f t="shared" si="4"/>
        <v>100</v>
      </c>
    </row>
    <row r="48" spans="1:10" ht="21" customHeight="1" x14ac:dyDescent="0.15">
      <c r="A48" s="47">
        <v>11230821</v>
      </c>
      <c r="B48" s="47">
        <v>1</v>
      </c>
      <c r="C48" s="47" t="s">
        <v>88</v>
      </c>
      <c r="D48" s="47">
        <v>100</v>
      </c>
      <c r="E48" s="47" t="s">
        <v>88</v>
      </c>
      <c r="F48" s="47" t="s">
        <v>341</v>
      </c>
      <c r="G48" s="47">
        <v>1</v>
      </c>
      <c r="H48" s="47" t="s">
        <v>88</v>
      </c>
      <c r="I48" s="47" t="s">
        <v>88</v>
      </c>
      <c r="J48" s="48">
        <f t="shared" si="4"/>
        <v>100</v>
      </c>
    </row>
    <row r="49" spans="1:10" ht="21" customHeight="1" x14ac:dyDescent="0.15">
      <c r="A49" s="47">
        <v>11230822</v>
      </c>
      <c r="B49" s="47">
        <v>0</v>
      </c>
      <c r="C49" s="47">
        <v>49</v>
      </c>
      <c r="D49" s="47">
        <v>100</v>
      </c>
      <c r="E49" s="47" t="s">
        <v>88</v>
      </c>
      <c r="F49" s="47" t="s">
        <v>88</v>
      </c>
      <c r="G49" s="47">
        <v>1</v>
      </c>
      <c r="H49" s="47" t="s">
        <v>88</v>
      </c>
      <c r="I49" s="47" t="s">
        <v>88</v>
      </c>
      <c r="J49" s="48">
        <f t="shared" si="4"/>
        <v>100</v>
      </c>
    </row>
    <row r="50" spans="1:10" ht="21" customHeight="1" x14ac:dyDescent="0.15">
      <c r="A50" s="47">
        <v>11230921</v>
      </c>
      <c r="B50" s="47">
        <v>1</v>
      </c>
      <c r="C50" s="47" t="s">
        <v>88</v>
      </c>
      <c r="D50" s="47">
        <v>100</v>
      </c>
      <c r="E50" s="47" t="s">
        <v>88</v>
      </c>
      <c r="F50" s="47" t="s">
        <v>341</v>
      </c>
      <c r="G50" s="47">
        <v>1</v>
      </c>
      <c r="H50" s="47" t="s">
        <v>88</v>
      </c>
      <c r="I50" s="47" t="s">
        <v>88</v>
      </c>
      <c r="J50" s="48">
        <f t="shared" si="4"/>
        <v>100</v>
      </c>
    </row>
    <row r="51" spans="1:10" ht="21" customHeight="1" x14ac:dyDescent="0.15">
      <c r="A51" s="47">
        <v>11230922</v>
      </c>
      <c r="B51" s="47">
        <v>0</v>
      </c>
      <c r="C51" s="47">
        <v>49</v>
      </c>
      <c r="D51" s="47">
        <v>100</v>
      </c>
      <c r="E51" s="47" t="s">
        <v>88</v>
      </c>
      <c r="F51" s="47" t="s">
        <v>88</v>
      </c>
      <c r="G51" s="47" t="s">
        <v>88</v>
      </c>
      <c r="H51" s="47" t="s">
        <v>88</v>
      </c>
      <c r="I51" s="47" t="s">
        <v>88</v>
      </c>
      <c r="J51" s="48">
        <f t="shared" si="4"/>
        <v>100</v>
      </c>
    </row>
    <row r="52" spans="1:10" ht="21" customHeight="1" x14ac:dyDescent="0.15">
      <c r="A52" s="47">
        <v>11230923</v>
      </c>
      <c r="B52" s="47">
        <v>0</v>
      </c>
      <c r="C52" s="47" t="s">
        <v>88</v>
      </c>
      <c r="D52" s="47">
        <v>100</v>
      </c>
      <c r="E52" s="47" t="s">
        <v>88</v>
      </c>
      <c r="F52" s="47" t="s">
        <v>88</v>
      </c>
      <c r="G52" s="47">
        <v>0</v>
      </c>
      <c r="H52" s="47" t="s">
        <v>88</v>
      </c>
      <c r="I52" s="47">
        <v>0</v>
      </c>
      <c r="J52" s="48">
        <f t="shared" si="4"/>
        <v>100</v>
      </c>
    </row>
  </sheetData>
  <autoFilter ref="A1:G1"/>
  <phoneticPr fontId="5"/>
  <conditionalFormatting sqref="K33:K34 K1:K3 K7:K11 K36:K37 K39:K40 K42:K1048576 K13:K31">
    <cfRule type="duplicateValues" dxfId="7" priority="8"/>
  </conditionalFormatting>
  <conditionalFormatting sqref="K4">
    <cfRule type="duplicateValues" dxfId="6" priority="7"/>
  </conditionalFormatting>
  <conditionalFormatting sqref="K5:K6">
    <cfRule type="duplicateValues" dxfId="5" priority="6"/>
  </conditionalFormatting>
  <conditionalFormatting sqref="K32">
    <cfRule type="duplicateValues" dxfId="4" priority="5"/>
  </conditionalFormatting>
  <conditionalFormatting sqref="K35">
    <cfRule type="duplicateValues" dxfId="3" priority="4"/>
  </conditionalFormatting>
  <conditionalFormatting sqref="K38">
    <cfRule type="duplicateValues" dxfId="2" priority="3"/>
  </conditionalFormatting>
  <conditionalFormatting sqref="K41">
    <cfRule type="duplicateValues" dxfId="1" priority="2"/>
  </conditionalFormatting>
  <conditionalFormatting sqref="K1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"/>
  <sheetViews>
    <sheetView workbookViewId="0">
      <selection activeCell="A2" sqref="A2:XFD5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0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109" activePane="bottomLeft" state="frozen"/>
      <selection pane="bottomLeft" activeCell="L123" sqref="L123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185</v>
      </c>
      <c r="B1" s="71" t="s">
        <v>186</v>
      </c>
      <c r="C1" s="75" t="s">
        <v>187</v>
      </c>
      <c r="D1" s="75" t="s">
        <v>33</v>
      </c>
      <c r="E1" s="71" t="s">
        <v>188</v>
      </c>
      <c r="F1" s="75" t="s">
        <v>189</v>
      </c>
      <c r="G1" s="75" t="s">
        <v>33</v>
      </c>
      <c r="H1" s="71" t="s">
        <v>190</v>
      </c>
      <c r="I1" s="89" t="s">
        <v>192</v>
      </c>
      <c r="J1" s="77" t="s">
        <v>126</v>
      </c>
      <c r="K1" s="76" t="s">
        <v>183</v>
      </c>
      <c r="L1" s="90" t="s">
        <v>182</v>
      </c>
      <c r="M1" s="78" t="s">
        <v>193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8"/>
  <sheetViews>
    <sheetView showGridLines="0" workbookViewId="0">
      <pane ySplit="1" topLeftCell="A2" activePane="bottomLeft" state="frozen"/>
      <selection pane="bottomLeft" activeCell="N3" sqref="N3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4" t="s">
        <v>185</v>
      </c>
      <c r="B1" s="71" t="s">
        <v>150</v>
      </c>
      <c r="C1" s="75" t="s">
        <v>187</v>
      </c>
      <c r="D1" s="75" t="s">
        <v>33</v>
      </c>
      <c r="E1" s="71" t="s">
        <v>188</v>
      </c>
      <c r="F1" s="75" t="s">
        <v>18</v>
      </c>
      <c r="G1" s="75" t="s">
        <v>33</v>
      </c>
      <c r="H1" s="71" t="s">
        <v>190</v>
      </c>
      <c r="I1" s="87" t="s">
        <v>191</v>
      </c>
      <c r="J1" s="89" t="s">
        <v>192</v>
      </c>
      <c r="K1" s="77" t="s">
        <v>126</v>
      </c>
      <c r="L1" s="76" t="s">
        <v>183</v>
      </c>
      <c r="M1" s="90" t="s">
        <v>182</v>
      </c>
      <c r="N1" s="78" t="s">
        <v>193</v>
      </c>
    </row>
    <row r="2" spans="1:15" ht="70" x14ac:dyDescent="0.15">
      <c r="A2" s="79" t="s">
        <v>194</v>
      </c>
      <c r="B2" s="80">
        <f>floors!$C$2</f>
        <v>11230</v>
      </c>
      <c r="C2" s="81" t="str">
        <f ca="1">VLOOKUP($B2,OFFSET([2]quests!$A$1,0,0,COUNTA([2]quests!$A:$A),MATCH(C$1,[2]quests!$1:$1,0)-MATCH($B$1,[2]quests!$1:$1,0)+1),MATCH(C$1,[2]quests!$1:$1,0)-MATCH($B$1,[2]quests!$1:$1,0)+1,FALSE)</f>
        <v>未知のウィルス大捜査！</v>
      </c>
      <c r="D2" s="81" t="str">
        <f ca="1">VLOOKUP($B2,OFFSET([2]quests!$A$1,0,0,COUNTA([2]quests!$A:$A),MATCH(D$1,[2]quests!$1:$1,0)-MATCH($B$1,[2]quests!$1:$1,0)+1),MATCH(D$1,[2]quests!$1:$1,0)-MATCH($B$1,[2]quests!$1:$1,0)+1,FALSE)</f>
        <v>2017年エイプリルフールクエスト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【前編】未知のウィルス大捜査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2017年エイプリルフールクエスト</v>
      </c>
      <c r="H2" s="83">
        <v>4</v>
      </c>
      <c r="I2" s="88">
        <f t="shared" ref="I2:I8" si="0">ROW()-1</f>
        <v>1</v>
      </c>
      <c r="J2" s="84" t="str">
        <f t="shared" ref="J2:J8" si="1">B2&amp;TEXT(I2,"00")</f>
        <v>1123001</v>
      </c>
      <c r="K2" s="82" t="s">
        <v>195</v>
      </c>
      <c r="L2" s="85" t="s">
        <v>247</v>
      </c>
      <c r="M2" s="103" t="s">
        <v>328</v>
      </c>
      <c r="N2" s="57" t="s">
        <v>196</v>
      </c>
      <c r="O2">
        <f t="shared" ref="O2:O8" si="2">LEN(M2)</f>
        <v>63</v>
      </c>
    </row>
    <row r="3" spans="1:15" ht="56" x14ac:dyDescent="0.15">
      <c r="A3" s="79" t="s">
        <v>197</v>
      </c>
      <c r="B3" s="80">
        <f>floors!$C$2</f>
        <v>11230</v>
      </c>
      <c r="C3" s="81" t="str">
        <f ca="1">VLOOKUP($B3,OFFSET([2]quests!$A$1,0,0,COUNTA([2]quests!$A:$A),MATCH(C$1,[2]quests!$1:$1,0)-MATCH($B$1,[2]quests!$1:$1,0)+1),MATCH(C$1,[2]quests!$1:$1,0)-MATCH($B$1,[2]quests!$1:$1,0)+1,FALSE)</f>
        <v>未知のウィルス大捜査！</v>
      </c>
      <c r="D3" s="81" t="str">
        <f ca="1">VLOOKUP($B3,OFFSET([2]quests!$A$1,0,0,COUNTA([2]quests!$A:$A),MATCH(D$1,[2]quests!$1:$1,0)-MATCH($B$1,[2]quests!$1:$1,0)+1),MATCH(D$1,[2]quests!$1:$1,0)-MATCH($B$1,[2]quests!$1:$1,0)+1,FALSE)</f>
        <v>2017年エイプリルフールクエスト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【前編】未知のウィルス大捜査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2017年エイプリルフールクエスト</v>
      </c>
      <c r="H3" s="83">
        <v>0</v>
      </c>
      <c r="I3" s="88">
        <f t="shared" si="0"/>
        <v>2</v>
      </c>
      <c r="J3" s="84" t="str">
        <f t="shared" si="1"/>
        <v>1123002</v>
      </c>
      <c r="K3" s="82" t="s">
        <v>195</v>
      </c>
      <c r="L3" s="85" t="s">
        <v>251</v>
      </c>
      <c r="M3" s="103" t="s">
        <v>385</v>
      </c>
      <c r="N3" s="57" t="s">
        <v>196</v>
      </c>
      <c r="O3">
        <f t="shared" si="2"/>
        <v>54</v>
      </c>
    </row>
    <row r="4" spans="1:15" ht="70" x14ac:dyDescent="0.15">
      <c r="A4" s="79" t="s">
        <v>194</v>
      </c>
      <c r="B4" s="80">
        <f>floors!$C$2</f>
        <v>11230</v>
      </c>
      <c r="C4" s="81" t="str">
        <f ca="1">VLOOKUP($B4,OFFSET([2]quests!$A$1,0,0,COUNTA([2]quests!$A:$A),MATCH(C$1,[2]quests!$1:$1,0)-MATCH($B$1,[2]quests!$1:$1,0)+1),MATCH(C$1,[2]quests!$1:$1,0)-MATCH($B$1,[2]quests!$1:$1,0)+1,FALSE)</f>
        <v>未知のウィルス大捜査！</v>
      </c>
      <c r="D4" s="81" t="str">
        <f ca="1">VLOOKUP($B4,OFFSET([2]quests!$A$1,0,0,COUNTA([2]quests!$A:$A),MATCH(D$1,[2]quests!$1:$1,0)-MATCH($B$1,[2]quests!$1:$1,0)+1),MATCH(D$1,[2]quests!$1:$1,0)-MATCH($B$1,[2]quests!$1:$1,0)+1,FALSE)</f>
        <v>2017年エイプリルフールクエスト</v>
      </c>
      <c r="E4" s="82">
        <v>2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【後編】未知のウィルス大捜査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2017年エイプリルフールクエスト</v>
      </c>
      <c r="H4" s="83">
        <v>4</v>
      </c>
      <c r="I4" s="88">
        <f t="shared" si="0"/>
        <v>3</v>
      </c>
      <c r="J4" s="84" t="str">
        <f t="shared" si="1"/>
        <v>1123003</v>
      </c>
      <c r="K4" s="82" t="s">
        <v>127</v>
      </c>
      <c r="L4" s="85" t="s">
        <v>247</v>
      </c>
      <c r="M4" s="103" t="s">
        <v>370</v>
      </c>
      <c r="N4" s="57" t="s">
        <v>196</v>
      </c>
      <c r="O4">
        <f t="shared" si="2"/>
        <v>64</v>
      </c>
    </row>
    <row r="5" spans="1:15" ht="70" x14ac:dyDescent="0.15">
      <c r="A5" s="79" t="s">
        <v>197</v>
      </c>
      <c r="B5" s="80">
        <f>floors!$C$2</f>
        <v>11230</v>
      </c>
      <c r="C5" s="81" t="str">
        <f ca="1">VLOOKUP($B5,OFFSET([2]quests!$A$1,0,0,COUNTA([2]quests!$A:$A),MATCH(C$1,[2]quests!$1:$1,0)-MATCH($B$1,[2]quests!$1:$1,0)+1),MATCH(C$1,[2]quests!$1:$1,0)-MATCH($B$1,[2]quests!$1:$1,0)+1,FALSE)</f>
        <v>未知のウィルス大捜査！</v>
      </c>
      <c r="D5" s="81" t="str">
        <f ca="1">VLOOKUP($B5,OFFSET([2]quests!$A$1,0,0,COUNTA([2]quests!$A:$A),MATCH(D$1,[2]quests!$1:$1,0)-MATCH($B$1,[2]quests!$1:$1,0)+1),MATCH(D$1,[2]quests!$1:$1,0)-MATCH($B$1,[2]quests!$1:$1,0)+1,FALSE)</f>
        <v>2017年エイプリルフールクエスト</v>
      </c>
      <c r="E5" s="82">
        <v>2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【後編】未知のウィルス大捜査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2017年エイプリルフールクエスト</v>
      </c>
      <c r="H5" s="83">
        <v>0</v>
      </c>
      <c r="I5" s="88">
        <f t="shared" si="0"/>
        <v>4</v>
      </c>
      <c r="J5" s="84" t="str">
        <f t="shared" si="1"/>
        <v>1123004</v>
      </c>
      <c r="K5" s="82" t="s">
        <v>127</v>
      </c>
      <c r="L5" s="85" t="s">
        <v>371</v>
      </c>
      <c r="M5" s="103" t="s">
        <v>376</v>
      </c>
      <c r="N5" s="57" t="s">
        <v>196</v>
      </c>
      <c r="O5">
        <f t="shared" si="2"/>
        <v>62</v>
      </c>
    </row>
    <row r="6" spans="1:15" ht="70" x14ac:dyDescent="0.15">
      <c r="A6" s="79" t="s">
        <v>197</v>
      </c>
      <c r="B6" s="80">
        <f>floors!$C$2</f>
        <v>11230</v>
      </c>
      <c r="C6" s="81" t="str">
        <f ca="1">VLOOKUP($B6,OFFSET([2]quests!$A$1,0,0,COUNTA([2]quests!$A:$A),MATCH(C$1,[2]quests!$1:$1,0)-MATCH($B$1,[2]quests!$1:$1,0)+1),MATCH(C$1,[2]quests!$1:$1,0)-MATCH($B$1,[2]quests!$1:$1,0)+1,FALSE)</f>
        <v>未知のウィルス大捜査！</v>
      </c>
      <c r="D6" s="81" t="str">
        <f ca="1">VLOOKUP($B6,OFFSET([2]quests!$A$1,0,0,COUNTA([2]quests!$A:$A),MATCH(D$1,[2]quests!$1:$1,0)-MATCH($B$1,[2]quests!$1:$1,0)+1),MATCH(D$1,[2]quests!$1:$1,0)-MATCH($B$1,[2]quests!$1:$1,0)+1,FALSE)</f>
        <v>2017年エイプリルフールクエスト</v>
      </c>
      <c r="E6" s="82">
        <v>2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【後編】未知のウィルス大捜査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2017年エイプリルフールクエスト</v>
      </c>
      <c r="H6" s="83">
        <v>0</v>
      </c>
      <c r="I6" s="88">
        <f t="shared" si="0"/>
        <v>5</v>
      </c>
      <c r="J6" s="84" t="str">
        <f t="shared" si="1"/>
        <v>1123005</v>
      </c>
      <c r="K6" s="82" t="s">
        <v>127</v>
      </c>
      <c r="L6" s="85" t="s">
        <v>373</v>
      </c>
      <c r="M6" s="103" t="s">
        <v>372</v>
      </c>
      <c r="N6" s="57" t="s">
        <v>196</v>
      </c>
      <c r="O6">
        <f t="shared" si="2"/>
        <v>62</v>
      </c>
    </row>
    <row r="7" spans="1:15" ht="70" x14ac:dyDescent="0.15">
      <c r="A7" s="79" t="s">
        <v>197</v>
      </c>
      <c r="B7" s="80">
        <f>floors!$C$2</f>
        <v>11230</v>
      </c>
      <c r="C7" s="81" t="str">
        <f ca="1">VLOOKUP($B7,OFFSET([2]quests!$A$1,0,0,COUNTA([2]quests!$A:$A),MATCH(C$1,[2]quests!$1:$1,0)-MATCH($B$1,[2]quests!$1:$1,0)+1),MATCH(C$1,[2]quests!$1:$1,0)-MATCH($B$1,[2]quests!$1:$1,0)+1,FALSE)</f>
        <v>未知のウィルス大捜査！</v>
      </c>
      <c r="D7" s="81" t="str">
        <f ca="1">VLOOKUP($B7,OFFSET([2]quests!$A$1,0,0,COUNTA([2]quests!$A:$A),MATCH(D$1,[2]quests!$1:$1,0)-MATCH($B$1,[2]quests!$1:$1,0)+1),MATCH(D$1,[2]quests!$1:$1,0)-MATCH($B$1,[2]quests!$1:$1,0)+1,FALSE)</f>
        <v>2017年エイプリルフールクエスト</v>
      </c>
      <c r="E7" s="82">
        <v>2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【後編】未知のウィルス大捜査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2017年エイプリルフールクエスト</v>
      </c>
      <c r="H7" s="83">
        <v>0</v>
      </c>
      <c r="I7" s="88">
        <f t="shared" si="0"/>
        <v>6</v>
      </c>
      <c r="J7" s="84" t="str">
        <f t="shared" si="1"/>
        <v>1123006</v>
      </c>
      <c r="K7" s="82" t="s">
        <v>127</v>
      </c>
      <c r="L7" s="85" t="s">
        <v>374</v>
      </c>
      <c r="M7" s="103" t="s">
        <v>375</v>
      </c>
      <c r="N7" s="57" t="s">
        <v>196</v>
      </c>
      <c r="O7">
        <f t="shared" si="2"/>
        <v>59</v>
      </c>
    </row>
    <row r="8" spans="1:15" ht="56" x14ac:dyDescent="0.15">
      <c r="A8" s="79" t="s">
        <v>197</v>
      </c>
      <c r="B8" s="80">
        <f>floors!$C$2</f>
        <v>11230</v>
      </c>
      <c r="C8" s="81" t="str">
        <f ca="1">VLOOKUP($B8,OFFSET([2]quests!$A$1,0,0,COUNTA([2]quests!$A:$A),MATCH(C$1,[2]quests!$1:$1,0)-MATCH($B$1,[2]quests!$1:$1,0)+1),MATCH(C$1,[2]quests!$1:$1,0)-MATCH($B$1,[2]quests!$1:$1,0)+1,FALSE)</f>
        <v>未知のウィルス大捜査！</v>
      </c>
      <c r="D8" s="81" t="str">
        <f ca="1">VLOOKUP($B8,OFFSET([2]quests!$A$1,0,0,COUNTA([2]quests!$A:$A),MATCH(D$1,[2]quests!$1:$1,0)-MATCH($B$1,[2]quests!$1:$1,0)+1),MATCH(D$1,[2]quests!$1:$1,0)-MATCH($B$1,[2]quests!$1:$1,0)+1,FALSE)</f>
        <v>2017年エイプリルフールクエスト</v>
      </c>
      <c r="E8" s="82">
        <v>2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【後編】未知のウィルス大捜査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2017年エイプリルフールクエスト</v>
      </c>
      <c r="H8" s="83">
        <v>0</v>
      </c>
      <c r="I8" s="88">
        <f t="shared" si="0"/>
        <v>7</v>
      </c>
      <c r="J8" s="84" t="str">
        <f t="shared" si="1"/>
        <v>1123007</v>
      </c>
      <c r="K8" s="82" t="s">
        <v>127</v>
      </c>
      <c r="L8" s="85" t="s">
        <v>377</v>
      </c>
      <c r="M8" s="103" t="s">
        <v>378</v>
      </c>
      <c r="N8" s="57" t="s">
        <v>196</v>
      </c>
      <c r="O8">
        <f t="shared" si="2"/>
        <v>50</v>
      </c>
    </row>
  </sheetData>
  <phoneticPr fontId="5"/>
  <dataValidations count="1">
    <dataValidation type="list" allowBlank="1" showInputMessage="1" showErrorMessage="1" sqref="A2:A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M17" sqref="M1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209</v>
      </c>
      <c r="B1" s="93" t="s">
        <v>210</v>
      </c>
      <c r="C1" s="75" t="s">
        <v>211</v>
      </c>
      <c r="D1" s="75" t="s">
        <v>33</v>
      </c>
      <c r="E1" s="93" t="s">
        <v>212</v>
      </c>
      <c r="F1" s="75" t="s">
        <v>213</v>
      </c>
      <c r="G1" s="75" t="s">
        <v>33</v>
      </c>
      <c r="H1" s="93" t="s">
        <v>214</v>
      </c>
      <c r="I1" s="93" t="s">
        <v>215</v>
      </c>
      <c r="J1" s="93" t="s">
        <v>216</v>
      </c>
      <c r="K1" s="71" t="s">
        <v>217</v>
      </c>
      <c r="L1" s="71" t="s">
        <v>218</v>
      </c>
      <c r="M1" s="71" t="s">
        <v>156</v>
      </c>
      <c r="N1" s="75" t="s">
        <v>16</v>
      </c>
      <c r="O1" s="71" t="s">
        <v>219</v>
      </c>
      <c r="P1" s="71" t="s">
        <v>56</v>
      </c>
      <c r="Q1" s="71" t="s">
        <v>220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221</v>
      </c>
      <c r="X1" s="71" t="s">
        <v>222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2017-03-31T08:44:28Z</dcterms:modified>
</cp:coreProperties>
</file>