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agashirashuntakashi/BULL_data/master_excel/"/>
    </mc:Choice>
  </mc:AlternateContent>
  <bookViews>
    <workbookView xWindow="7780" yWindow="3240" windowWidth="19400" windowHeight="13840" tabRatio="740" firstSheet="2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  <sheet name="Sheet1" sheetId="23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4" i="11" l="1"/>
  <c r="J93" i="11"/>
  <c r="O94" i="9"/>
  <c r="N94" i="9"/>
  <c r="M94" i="9"/>
  <c r="L94" i="9"/>
  <c r="K94" i="9"/>
  <c r="J94" i="9"/>
  <c r="I94" i="9"/>
  <c r="H94" i="9"/>
  <c r="G94" i="9"/>
  <c r="E94" i="9"/>
  <c r="D94" i="9"/>
  <c r="A94" i="9"/>
  <c r="J92" i="11"/>
  <c r="O93" i="9"/>
  <c r="N93" i="9"/>
  <c r="M93" i="9"/>
  <c r="L93" i="9"/>
  <c r="K93" i="9"/>
  <c r="J93" i="9"/>
  <c r="I93" i="9"/>
  <c r="H93" i="9"/>
  <c r="G93" i="9"/>
  <c r="E93" i="9"/>
  <c r="D93" i="9"/>
  <c r="A93" i="9"/>
  <c r="J91" i="11"/>
  <c r="O92" i="9"/>
  <c r="N92" i="9"/>
  <c r="M92" i="9"/>
  <c r="L92" i="9"/>
  <c r="K92" i="9"/>
  <c r="J92" i="9"/>
  <c r="I92" i="9"/>
  <c r="H92" i="9"/>
  <c r="G92" i="9"/>
  <c r="E92" i="9"/>
  <c r="D92" i="9"/>
  <c r="A92" i="9"/>
  <c r="J90" i="11"/>
  <c r="O91" i="9"/>
  <c r="N91" i="9"/>
  <c r="M91" i="9"/>
  <c r="L91" i="9"/>
  <c r="K91" i="9"/>
  <c r="J91" i="9"/>
  <c r="I91" i="9"/>
  <c r="H91" i="9"/>
  <c r="G91" i="9"/>
  <c r="E91" i="9"/>
  <c r="D91" i="9"/>
  <c r="A91" i="9"/>
  <c r="J89" i="11"/>
  <c r="O90" i="9"/>
  <c r="N90" i="9"/>
  <c r="M90" i="9"/>
  <c r="L90" i="9"/>
  <c r="K90" i="9"/>
  <c r="J90" i="9"/>
  <c r="I90" i="9"/>
  <c r="H90" i="9"/>
  <c r="G90" i="9"/>
  <c r="E90" i="9"/>
  <c r="D90" i="9"/>
  <c r="A90" i="9"/>
  <c r="J88" i="11"/>
  <c r="O89" i="9"/>
  <c r="N89" i="9"/>
  <c r="M89" i="9"/>
  <c r="L89" i="9"/>
  <c r="K89" i="9"/>
  <c r="J89" i="9"/>
  <c r="I89" i="9"/>
  <c r="H89" i="9"/>
  <c r="G89" i="9"/>
  <c r="E89" i="9"/>
  <c r="D89" i="9"/>
  <c r="A89" i="9"/>
  <c r="J87" i="11"/>
  <c r="O88" i="9"/>
  <c r="N88" i="9"/>
  <c r="M88" i="9"/>
  <c r="L88" i="9"/>
  <c r="K88" i="9"/>
  <c r="J88" i="9"/>
  <c r="I88" i="9"/>
  <c r="H88" i="9"/>
  <c r="G88" i="9"/>
  <c r="E88" i="9"/>
  <c r="D88" i="9"/>
  <c r="A88" i="9"/>
  <c r="J86" i="11"/>
  <c r="O87" i="9"/>
  <c r="N87" i="9"/>
  <c r="M87" i="9"/>
  <c r="L87" i="9"/>
  <c r="K87" i="9"/>
  <c r="J87" i="9"/>
  <c r="I87" i="9"/>
  <c r="H87" i="9"/>
  <c r="G87" i="9"/>
  <c r="E87" i="9"/>
  <c r="D87" i="9"/>
  <c r="A87" i="9"/>
  <c r="J85" i="11"/>
  <c r="O86" i="9"/>
  <c r="N86" i="9"/>
  <c r="M86" i="9"/>
  <c r="L86" i="9"/>
  <c r="K86" i="9"/>
  <c r="J86" i="9"/>
  <c r="I86" i="9"/>
  <c r="H86" i="9"/>
  <c r="G86" i="9"/>
  <c r="E86" i="9"/>
  <c r="D86" i="9"/>
  <c r="A86" i="9"/>
  <c r="J84" i="11"/>
  <c r="O85" i="9"/>
  <c r="N85" i="9"/>
  <c r="M85" i="9"/>
  <c r="L85" i="9"/>
  <c r="K85" i="9"/>
  <c r="J85" i="9"/>
  <c r="I85" i="9"/>
  <c r="H85" i="9"/>
  <c r="G85" i="9"/>
  <c r="E85" i="9"/>
  <c r="D85" i="9"/>
  <c r="A85" i="9"/>
  <c r="J83" i="11"/>
  <c r="O84" i="9"/>
  <c r="N84" i="9"/>
  <c r="M84" i="9"/>
  <c r="L84" i="9"/>
  <c r="K84" i="9"/>
  <c r="J84" i="9"/>
  <c r="I84" i="9"/>
  <c r="H84" i="9"/>
  <c r="G84" i="9"/>
  <c r="E84" i="9"/>
  <c r="D84" i="9"/>
  <c r="A84" i="9"/>
  <c r="J82" i="11"/>
  <c r="O83" i="9"/>
  <c r="N83" i="9"/>
  <c r="M83" i="9"/>
  <c r="L83" i="9"/>
  <c r="K83" i="9"/>
  <c r="J83" i="9"/>
  <c r="I83" i="9"/>
  <c r="H83" i="9"/>
  <c r="G83" i="9"/>
  <c r="E83" i="9"/>
  <c r="D83" i="9"/>
  <c r="A83" i="9"/>
  <c r="J81" i="11"/>
  <c r="O82" i="9"/>
  <c r="N82" i="9"/>
  <c r="M82" i="9"/>
  <c r="L82" i="9"/>
  <c r="K82" i="9"/>
  <c r="J82" i="9"/>
  <c r="I82" i="9"/>
  <c r="H82" i="9"/>
  <c r="G82" i="9"/>
  <c r="E82" i="9"/>
  <c r="D82" i="9"/>
  <c r="A82" i="9"/>
  <c r="J80" i="11"/>
  <c r="O81" i="9"/>
  <c r="N81" i="9"/>
  <c r="M81" i="9"/>
  <c r="L81" i="9"/>
  <c r="K81" i="9"/>
  <c r="J81" i="9"/>
  <c r="I81" i="9"/>
  <c r="H81" i="9"/>
  <c r="G81" i="9"/>
  <c r="E81" i="9"/>
  <c r="D81" i="9"/>
  <c r="A81" i="9"/>
  <c r="J79" i="11"/>
  <c r="O80" i="9"/>
  <c r="N80" i="9"/>
  <c r="M80" i="9"/>
  <c r="L80" i="9"/>
  <c r="K80" i="9"/>
  <c r="J80" i="9"/>
  <c r="I80" i="9"/>
  <c r="H80" i="9"/>
  <c r="G80" i="9"/>
  <c r="E80" i="9"/>
  <c r="D80" i="9"/>
  <c r="A80" i="9"/>
  <c r="J78" i="11"/>
  <c r="O79" i="9"/>
  <c r="N79" i="9"/>
  <c r="M79" i="9"/>
  <c r="L79" i="9"/>
  <c r="K79" i="9"/>
  <c r="J79" i="9"/>
  <c r="I79" i="9"/>
  <c r="H79" i="9"/>
  <c r="G79" i="9"/>
  <c r="E79" i="9"/>
  <c r="D79" i="9"/>
  <c r="A79" i="9"/>
  <c r="J77" i="11"/>
  <c r="O78" i="9"/>
  <c r="N78" i="9"/>
  <c r="M78" i="9"/>
  <c r="L78" i="9"/>
  <c r="K78" i="9"/>
  <c r="J78" i="9"/>
  <c r="I78" i="9"/>
  <c r="H78" i="9"/>
  <c r="G78" i="9"/>
  <c r="E78" i="9"/>
  <c r="D78" i="9"/>
  <c r="A78" i="9"/>
  <c r="J76" i="11"/>
  <c r="O77" i="9"/>
  <c r="N77" i="9"/>
  <c r="M77" i="9"/>
  <c r="L77" i="9"/>
  <c r="K77" i="9"/>
  <c r="J77" i="9"/>
  <c r="I77" i="9"/>
  <c r="H77" i="9"/>
  <c r="G77" i="9"/>
  <c r="E77" i="9"/>
  <c r="D77" i="9"/>
  <c r="A77" i="9"/>
  <c r="J75" i="11"/>
  <c r="O76" i="9"/>
  <c r="N76" i="9"/>
  <c r="M76" i="9"/>
  <c r="L76" i="9"/>
  <c r="K76" i="9"/>
  <c r="J76" i="9"/>
  <c r="I76" i="9"/>
  <c r="H76" i="9"/>
  <c r="G76" i="9"/>
  <c r="E76" i="9"/>
  <c r="D76" i="9"/>
  <c r="A76" i="9"/>
  <c r="J74" i="11"/>
  <c r="O75" i="9"/>
  <c r="N75" i="9"/>
  <c r="M75" i="9"/>
  <c r="L75" i="9"/>
  <c r="K75" i="9"/>
  <c r="J75" i="9"/>
  <c r="I75" i="9"/>
  <c r="H75" i="9"/>
  <c r="G75" i="9"/>
  <c r="E75" i="9"/>
  <c r="D75" i="9"/>
  <c r="A75" i="9"/>
  <c r="J73" i="11"/>
  <c r="O74" i="9"/>
  <c r="N74" i="9"/>
  <c r="M74" i="9"/>
  <c r="L74" i="9"/>
  <c r="K74" i="9"/>
  <c r="J74" i="9"/>
  <c r="I74" i="9"/>
  <c r="H74" i="9"/>
  <c r="G74" i="9"/>
  <c r="E74" i="9"/>
  <c r="D74" i="9"/>
  <c r="A74" i="9"/>
  <c r="J72" i="11"/>
  <c r="O73" i="9"/>
  <c r="N73" i="9"/>
  <c r="M73" i="9"/>
  <c r="L73" i="9"/>
  <c r="K73" i="9"/>
  <c r="J73" i="9"/>
  <c r="I73" i="9"/>
  <c r="H73" i="9"/>
  <c r="G73" i="9"/>
  <c r="E73" i="9"/>
  <c r="D73" i="9"/>
  <c r="A73" i="9"/>
  <c r="J71" i="11"/>
  <c r="O72" i="9"/>
  <c r="N72" i="9"/>
  <c r="M72" i="9"/>
  <c r="L72" i="9"/>
  <c r="K72" i="9"/>
  <c r="J72" i="9"/>
  <c r="I72" i="9"/>
  <c r="H72" i="9"/>
  <c r="G72" i="9"/>
  <c r="E72" i="9"/>
  <c r="D72" i="9"/>
  <c r="A72" i="9"/>
  <c r="J70" i="11"/>
  <c r="O71" i="9"/>
  <c r="N71" i="9"/>
  <c r="M71" i="9"/>
  <c r="L71" i="9"/>
  <c r="K71" i="9"/>
  <c r="J71" i="9"/>
  <c r="I71" i="9"/>
  <c r="H71" i="9"/>
  <c r="G71" i="9"/>
  <c r="E71" i="9"/>
  <c r="D71" i="9"/>
  <c r="A71" i="9"/>
  <c r="J69" i="11"/>
  <c r="O70" i="9"/>
  <c r="N70" i="9"/>
  <c r="M70" i="9"/>
  <c r="L70" i="9"/>
  <c r="K70" i="9"/>
  <c r="J70" i="9"/>
  <c r="I70" i="9"/>
  <c r="H70" i="9"/>
  <c r="G70" i="9"/>
  <c r="E70" i="9"/>
  <c r="D70" i="9"/>
  <c r="A70" i="9"/>
  <c r="J68" i="11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J67" i="11"/>
  <c r="O67" i="9"/>
  <c r="N67" i="9"/>
  <c r="M67" i="9"/>
  <c r="L67" i="9"/>
  <c r="K67" i="9"/>
  <c r="J67" i="9"/>
  <c r="I67" i="9"/>
  <c r="H67" i="9"/>
  <c r="G67" i="9"/>
  <c r="E67" i="9"/>
  <c r="D67" i="9"/>
  <c r="A67" i="9"/>
  <c r="J66" i="11"/>
  <c r="O66" i="9"/>
  <c r="N66" i="9"/>
  <c r="M66" i="9"/>
  <c r="L66" i="9"/>
  <c r="K66" i="9"/>
  <c r="J66" i="9"/>
  <c r="I66" i="9"/>
  <c r="H66" i="9"/>
  <c r="G66" i="9"/>
  <c r="E66" i="9"/>
  <c r="D66" i="9"/>
  <c r="A66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J63" i="11"/>
  <c r="O63" i="9"/>
  <c r="N63" i="9"/>
  <c r="M63" i="9"/>
  <c r="L63" i="9"/>
  <c r="K63" i="9"/>
  <c r="J63" i="9"/>
  <c r="I63" i="9"/>
  <c r="H63" i="9"/>
  <c r="G63" i="9"/>
  <c r="E63" i="9"/>
  <c r="D63" i="9"/>
  <c r="A63" i="9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60" i="11"/>
  <c r="O60" i="9"/>
  <c r="N60" i="9"/>
  <c r="M60" i="9"/>
  <c r="L60" i="9"/>
  <c r="K60" i="9"/>
  <c r="J60" i="9"/>
  <c r="I60" i="9"/>
  <c r="H60" i="9"/>
  <c r="G60" i="9"/>
  <c r="E60" i="9"/>
  <c r="D60" i="9"/>
  <c r="A60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M94" i="10"/>
  <c r="N94" i="10"/>
  <c r="Q94" i="10"/>
  <c r="P94" i="10"/>
  <c r="R94" i="10"/>
  <c r="O94" i="10"/>
  <c r="S94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M93" i="10"/>
  <c r="N93" i="10"/>
  <c r="Q93" i="10"/>
  <c r="P93" i="10"/>
  <c r="R93" i="10"/>
  <c r="O93" i="10"/>
  <c r="S93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M92" i="10"/>
  <c r="N92" i="10"/>
  <c r="Q92" i="10"/>
  <c r="P92" i="10"/>
  <c r="R92" i="10"/>
  <c r="O92" i="10"/>
  <c r="S92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M91" i="10"/>
  <c r="N91" i="10"/>
  <c r="Q91" i="10"/>
  <c r="P91" i="10"/>
  <c r="R91" i="10"/>
  <c r="O91" i="10"/>
  <c r="S91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M90" i="10"/>
  <c r="N90" i="10"/>
  <c r="Q90" i="10"/>
  <c r="P90" i="10"/>
  <c r="R90" i="10"/>
  <c r="O90" i="10"/>
  <c r="S90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3" i="10"/>
  <c r="T23" i="10"/>
  <c r="W23" i="10"/>
  <c r="V23" i="10"/>
  <c r="X23" i="10"/>
  <c r="U23" i="10"/>
  <c r="Y23" i="10"/>
  <c r="M41" i="10"/>
  <c r="N41" i="10"/>
  <c r="Q41" i="10"/>
  <c r="P41" i="10"/>
  <c r="R41" i="10"/>
  <c r="O41" i="10"/>
  <c r="S41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M40" i="10"/>
  <c r="N40" i="10"/>
  <c r="Q40" i="10"/>
  <c r="P40" i="10"/>
  <c r="R40" i="10"/>
  <c r="O40" i="10"/>
  <c r="S40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T92" i="10"/>
  <c r="W92" i="10"/>
  <c r="V92" i="10"/>
  <c r="X92" i="10"/>
  <c r="U92" i="10"/>
  <c r="Y92" i="10"/>
  <c r="G92" i="10"/>
  <c r="J92" i="10"/>
  <c r="I92" i="10"/>
  <c r="K92" i="10"/>
  <c r="H92" i="10"/>
  <c r="L92" i="10"/>
  <c r="T94" i="10"/>
  <c r="W94" i="10"/>
  <c r="V94" i="10"/>
  <c r="X94" i="10"/>
  <c r="U94" i="10"/>
  <c r="Y94" i="10"/>
  <c r="G94" i="10"/>
  <c r="J94" i="10"/>
  <c r="I94" i="10"/>
  <c r="K94" i="10"/>
  <c r="H94" i="10"/>
  <c r="L94" i="10"/>
  <c r="T93" i="10"/>
  <c r="W93" i="10"/>
  <c r="V93" i="10"/>
  <c r="X93" i="10"/>
  <c r="U93" i="10"/>
  <c r="Y93" i="10"/>
  <c r="G93" i="10"/>
  <c r="J93" i="10"/>
  <c r="I93" i="10"/>
  <c r="K93" i="10"/>
  <c r="H93" i="10"/>
  <c r="L93" i="10"/>
  <c r="T91" i="10"/>
  <c r="W91" i="10"/>
  <c r="V91" i="10"/>
  <c r="X91" i="10"/>
  <c r="U91" i="10"/>
  <c r="Y91" i="10"/>
  <c r="G91" i="10"/>
  <c r="J91" i="10"/>
  <c r="I91" i="10"/>
  <c r="K91" i="10"/>
  <c r="H91" i="10"/>
  <c r="L91" i="10"/>
  <c r="T90" i="10"/>
  <c r="W90" i="10"/>
  <c r="V90" i="10"/>
  <c r="X90" i="10"/>
  <c r="U90" i="10"/>
  <c r="Y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A2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36" i="11"/>
  <c r="J37" i="11"/>
  <c r="J38" i="11"/>
  <c r="J39" i="11"/>
  <c r="J40" i="11"/>
  <c r="J41" i="11"/>
  <c r="J42" i="11"/>
  <c r="J43" i="11"/>
  <c r="J44" i="11"/>
  <c r="J45" i="11"/>
  <c r="J46" i="11"/>
  <c r="J47" i="11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J34" i="11"/>
  <c r="J26" i="11"/>
  <c r="J10" i="11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S4" i="1"/>
  <c r="S5" i="1"/>
  <c r="V2" i="7"/>
  <c r="U5" i="1"/>
  <c r="U4" i="1"/>
  <c r="U3" i="1"/>
  <c r="U2" i="1"/>
  <c r="V2" i="1"/>
  <c r="S2" i="1"/>
  <c r="J19" i="11"/>
  <c r="J18" i="11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W2" i="7"/>
  <c r="V5" i="1"/>
  <c r="V4" i="1"/>
  <c r="V3" i="1"/>
  <c r="U2" i="7"/>
  <c r="T5" i="1"/>
  <c r="T4" i="1"/>
  <c r="T3" i="1"/>
  <c r="T2" i="1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I4" i="9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J32" i="11"/>
  <c r="J31" i="11"/>
  <c r="J30" i="11"/>
  <c r="J29" i="11"/>
  <c r="J28" i="11"/>
  <c r="J27" i="11"/>
  <c r="J25" i="11"/>
  <c r="J24" i="11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25" i="10"/>
  <c r="T25" i="10"/>
  <c r="W25" i="10"/>
  <c r="V25" i="10"/>
  <c r="X25" i="10"/>
  <c r="U25" i="10"/>
  <c r="Y25" i="10"/>
  <c r="M82" i="10"/>
  <c r="N82" i="10"/>
  <c r="Q82" i="10"/>
  <c r="P82" i="10"/>
  <c r="R82" i="10"/>
  <c r="O82" i="10"/>
  <c r="S82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T82" i="10"/>
  <c r="W82" i="10"/>
  <c r="V82" i="10"/>
  <c r="X82" i="10"/>
  <c r="U82" i="10"/>
  <c r="Y82" i="10"/>
  <c r="G82" i="10"/>
  <c r="J82" i="10"/>
  <c r="I82" i="10"/>
  <c r="K82" i="10"/>
  <c r="H82" i="10"/>
  <c r="L82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D5" i="1"/>
  <c r="AF5" i="1"/>
  <c r="AI5" i="1"/>
  <c r="AG5" i="1"/>
  <c r="AE5" i="1"/>
  <c r="X5" i="1"/>
  <c r="Q5" i="1"/>
  <c r="P5" i="1"/>
  <c r="O5" i="1"/>
  <c r="N5" i="1"/>
  <c r="M5" i="1"/>
  <c r="H5" i="1"/>
  <c r="G2" i="2"/>
  <c r="A2" i="2"/>
  <c r="G3" i="2"/>
  <c r="A3" i="2"/>
  <c r="G4" i="2"/>
  <c r="A4" i="2"/>
  <c r="J5" i="1"/>
  <c r="I5" i="1"/>
  <c r="D5" i="1"/>
  <c r="F5" i="1"/>
  <c r="E5" i="1"/>
  <c r="A5" i="1"/>
  <c r="AD4" i="1"/>
  <c r="AF4" i="1"/>
  <c r="AI4" i="1"/>
  <c r="AG4" i="1"/>
  <c r="AE4" i="1"/>
  <c r="X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Q3" i="1"/>
  <c r="P3" i="1"/>
  <c r="O3" i="1"/>
  <c r="N3" i="1"/>
  <c r="M3" i="1"/>
  <c r="H3" i="1"/>
  <c r="J3" i="1"/>
  <c r="I3" i="1"/>
  <c r="D3" i="1"/>
  <c r="F3" i="1"/>
  <c r="E3" i="1"/>
  <c r="A3" i="1"/>
  <c r="H4" i="2"/>
  <c r="E4" i="2"/>
  <c r="D4" i="2"/>
  <c r="H2" i="1"/>
  <c r="B4" i="2"/>
  <c r="H3" i="2"/>
  <c r="E3" i="2"/>
  <c r="D3" i="2"/>
  <c r="B3" i="2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2" i="19"/>
  <c r="C2" i="19"/>
  <c r="D2" i="19"/>
  <c r="F2" i="19"/>
  <c r="G2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B2" i="21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E9" i="16"/>
  <c r="Y2" i="7"/>
  <c r="X2" i="1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<sst xmlns="http://schemas.openxmlformats.org/spreadsheetml/2006/main" count="1163" uniqueCount="340">
  <si>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</si>
  <si>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</si>
  <si>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</si>
  <si>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</si>
  <si>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</si>
  <si>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</si>
  <si>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</si>
  <si>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</si>
  <si>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</si>
  <si>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</si>
  <si>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</si>
  <si>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</si>
  <si>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</si>
  <si>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</si>
  <si>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</si>
  <si>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</si>
  <si>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</si>
  <si>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</si>
  <si>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</si>
  <si>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</si>
  <si>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</si>
  <si>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</si>
  <si>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</si>
  <si>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</si>
  <si>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</si>
  <si>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</si>
  <si>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</si>
  <si>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</si>
  <si>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</si>
  <si>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</si>
  <si>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</si>
  <si>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</si>
  <si>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</si>
  <si>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</si>
  <si>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</si>
  <si>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</si>
  <si>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</si>
  <si>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</si>
  <si>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</si>
  <si>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</si>
  <si>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</si>
  <si>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</si>
  <si>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</si>
  <si>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</si>
  <si>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</si>
  <si>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</si>
  <si>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</si>
  <si>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</si>
  <si>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</si>
  <si>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</si>
  <si>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</si>
  <si>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</si>
  <si>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</si>
  <si>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</si>
  <si>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</si>
  <si>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</si>
  <si>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</si>
  <si>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</si>
  <si>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</si>
  <si>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</si>
  <si>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</si>
  <si>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</si>
  <si>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</si>
  <si>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</si>
  <si>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</si>
  <si>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</si>
  <si>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</si>
  <si>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</si>
  <si>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</si>
  <si>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</si>
  <si>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</si>
  <si>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</si>
  <si>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</si>
  <si>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</si>
  <si>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</si>
  <si>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</si>
  <si>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</si>
  <si>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</si>
  <si>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</si>
  <si>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</si>
  <si>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</si>
  <si>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</si>
  <si>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</si>
  <si>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</si>
  <si>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</si>
  <si>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</si>
  <si>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</si>
  <si>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</si>
  <si>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</si>
  <si>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</si>
  <si>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</si>
  <si>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</si>
  <si>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</si>
  <si>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</si>
  <si>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</si>
  <si>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</si>
  <si>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</si>
  <si>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</si>
  <si>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</si>
  <si>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</si>
  <si>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</si>
  <si>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</si>
  <si>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</si>
  <si>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</si>
  <si>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</si>
  <si>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</si>
  <si>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</si>
  <si>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</si>
  <si>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</si>
  <si>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</si>
  <si>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</si>
  <si>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</si>
  <si>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</si>
  <si>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</si>
  <si>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</si>
  <si>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</si>
  <si>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</si>
  <si>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</si>
  <si>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</si>
  <si>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</si>
  <si>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</si>
  <si>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</si>
  <si>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</si>
  <si>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</si>
  <si>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</si>
  <si>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</si>
  <si>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</si>
  <si>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</si>
  <si>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</si>
  <si>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</si>
  <si>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</si>
  <si>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</si>
  <si>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</si>
  <si>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</si>
  <si>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</si>
  <si>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</si>
  <si>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</si>
  <si>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</si>
  <si>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</si>
  <si>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</si>
  <si>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</si>
  <si>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</si>
  <si>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</si>
  <si>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</si>
  <si>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</si>
  <si>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</si>
  <si>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</si>
  <si>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</si>
  <si>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</si>
  <si>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</si>
  <si>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</si>
  <si>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</si>
  <si>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</si>
  <si>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</si>
  <si>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</si>
  <si>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</si>
  <si>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</si>
  <si>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</si>
  <si>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</si>
  <si>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</si>
  <si>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</si>
  <si>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</si>
  <si>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</si>
  <si>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</si>
  <si>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</si>
  <si>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</si>
  <si>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</si>
  <si>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</si>
  <si>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</si>
  <si>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</si>
  <si>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</si>
  <si>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</si>
  <si>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</si>
  <si>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</si>
  <si>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</si>
  <si>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</si>
  <si>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</si>
  <si>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</si>
  <si>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</si>
  <si>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</si>
  <si>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</si>
  <si>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</si>
  <si>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</si>
  <si>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</si>
  <si>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</si>
  <si>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</si>
  <si>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</si>
  <si>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</si>
  <si>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</si>
  <si>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</si>
  <si>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</si>
  <si>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</si>
  <si>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</si>
  <si>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</si>
  <si>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</si>
  <si>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</si>
  <si>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</si>
  <si>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</si>
  <si>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</si>
  <si>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</si>
  <si>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</si>
  <si>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</si>
  <si>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</si>
  <si>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</si>
  <si>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</si>
  <si>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</si>
  <si>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</si>
  <si>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</si>
  <si>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</si>
  <si>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</si>
  <si>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</si>
  <si>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</si>
  <si>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</si>
  <si>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</si>
  <si>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</si>
  <si>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</si>
  <si>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</si>
  <si>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</si>
  <si>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</si>
  <si>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</si>
  <si>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</si>
  <si>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</si>
  <si>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</si>
  <si>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</si>
  <si>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</si>
  <si>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</si>
  <si>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</si>
  <si>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</si>
  <si>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</si>
  <si>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</si>
  <si>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</si>
  <si>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</si>
  <si>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</si>
  <si>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</si>
  <si>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</si>
  <si>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</si>
  <si>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</si>
  <si>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</si>
  <si>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</si>
  <si>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</si>
  <si>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</si>
  <si>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</si>
  <si>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</si>
  <si>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</si>
  <si>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</si>
  <si>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</si>
  <si>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</si>
  <si>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</si>
  <si>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</si>
  <si>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</si>
  <si>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</si>
  <si>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</si>
  <si>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</si>
  <si>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</si>
  <si>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</si>
  <si>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</si>
  <si>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</si>
  <si>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</si>
  <si>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old</t>
    <phoneticPr fontId="5"/>
  </si>
  <si>
    <t xml:space="preserve">[effect:enemy_message, val1:1.2, val2:1.2],[effect:tolerance, target:myself, turn:-1, count:-1, tolerance_effect:all, animation:enemy_tolerance]    </t>
    <phoneticPr fontId="5"/>
  </si>
  <si>
    <t>状態異常耐性</t>
    <rPh sb="0" eb="6">
      <t>ジョウタ</t>
    </rPh>
    <phoneticPr fontId="5"/>
  </si>
  <si>
    <t>4回連続攻撃</t>
    <rPh sb="1" eb="6">
      <t>k</t>
    </rPh>
    <phoneticPr fontId="5"/>
  </si>
  <si>
    <t>１２回連続攻撃</t>
    <phoneticPr fontId="5"/>
  </si>
  <si>
    <t>21回連続攻撃</t>
    <rPh sb="2" eb="3">
      <t>カ</t>
    </rPh>
    <rPh sb="3" eb="7">
      <t>レンゾk</t>
    </rPh>
    <phoneticPr fontId="5"/>
  </si>
  <si>
    <t>隙ありっ！！</t>
    <rPh sb="0" eb="1">
      <t>sukiアリ！</t>
    </rPh>
    <phoneticPr fontId="5"/>
  </si>
  <si>
    <t>クリティカル！！</t>
    <phoneticPr fontId="5"/>
  </si>
  <si>
    <t>状態異常耐性</t>
    <rPh sb="0" eb="4">
      <t>ジョウタ</t>
    </rPh>
    <rPh sb="4" eb="6">
      <t>タイセ</t>
    </rPh>
    <phoneticPr fontId="5"/>
  </si>
  <si>
    <t>コーハン行くッス！！</t>
    <rPh sb="4" eb="5">
      <t>イクッs</t>
    </rPh>
    <phoneticPr fontId="5"/>
  </si>
  <si>
    <t>いっくどー！</t>
    <phoneticPr fontId="5"/>
  </si>
  <si>
    <t>キリキリまいまーい！</t>
    <phoneticPr fontId="5"/>
  </si>
  <si>
    <t>斬るでヤンス！</t>
    <rPh sb="0" eb="1">
      <t>キルデ</t>
    </rPh>
    <phoneticPr fontId="5"/>
  </si>
  <si>
    <t>ここだっ！！</t>
    <phoneticPr fontId="5"/>
  </si>
  <si>
    <t>表示なし</t>
    <rPh sb="0" eb="2">
      <t>ヒョ</t>
    </rPh>
    <phoneticPr fontId="5"/>
  </si>
  <si>
    <t>「はあぁ！！」
キムは構えている</t>
    <rPh sb="11" eb="12">
      <t>カマ</t>
    </rPh>
    <phoneticPr fontId="5"/>
  </si>
  <si>
    <t>ゆくぞっ！！</t>
    <phoneticPr fontId="5"/>
  </si>
  <si>
    <t>特定エリアを赤パネルに変換+
単体攻撃</t>
    <rPh sb="0" eb="2">
      <t>トクテ</t>
    </rPh>
    <rPh sb="6" eb="7">
      <t>アカ</t>
    </rPh>
    <rPh sb="11" eb="13">
      <t>ヘンカn</t>
    </rPh>
    <rPh sb="15" eb="19">
      <t>タンタ</t>
    </rPh>
    <phoneticPr fontId="5"/>
  </si>
  <si>
    <t>12回連続攻撃</t>
    <phoneticPr fontId="5"/>
  </si>
  <si>
    <t>ランダムで、全パネルをお邪魔パネルに(最大5個)変換+
単体攻撃</t>
    <rPh sb="6" eb="7">
      <t>ゼn</t>
    </rPh>
    <rPh sb="24" eb="26">
      <t>k</t>
    </rPh>
    <rPh sb="28" eb="32">
      <t>タンタ</t>
    </rPh>
    <phoneticPr fontId="5"/>
  </si>
  <si>
    <t xml:space="preserve">[effect:enemy_message, val1:1.5, val2:1.2],[effect:tolerance, target:myself, turn:-1, count:-1, tolerance_effect:all, animation:enemy_tolerance]    </t>
    <phoneticPr fontId="5"/>
  </si>
  <si>
    <t>[effect:enemy_message, val1:1.5, val2:0]</t>
    <phoneticPr fontId="5"/>
  </si>
  <si>
    <t>見切った！！</t>
    <rPh sb="0" eb="2">
      <t>ミキッt</t>
    </rPh>
    <phoneticPr fontId="5"/>
  </si>
  <si>
    <t>テコンドーの足技！
お見せしましょう！！</t>
    <rPh sb="6" eb="8">
      <t>アs</t>
    </rPh>
    <phoneticPr fontId="5"/>
  </si>
  <si>
    <t xml:space="preserve">なかなかのお手前で！
</t>
    <rPh sb="7" eb="8">
      <t>マ</t>
    </rPh>
    <phoneticPr fontId="5"/>
  </si>
  <si>
    <t>[effect:enemy_message, val1:1.2, val2:1.2, dead_type:suicide]</t>
    <phoneticPr fontId="5"/>
  </si>
  <si>
    <t>くっ…</t>
    <phoneticPr fontId="5"/>
  </si>
  <si>
    <t>ウああああああぁぁぁぁーーっ！！</t>
  </si>
  <si>
    <t>私としたことが…</t>
    <rPh sb="0" eb="1">
      <t>ワタs</t>
    </rPh>
    <phoneticPr fontId="5"/>
  </si>
  <si>
    <t>無念！</t>
    <rPh sb="0" eb="2">
      <t>ムn</t>
    </rPh>
    <phoneticPr fontId="5"/>
  </si>
  <si>
    <t>飛燕斬！！</t>
    <rPh sb="0" eb="1">
      <t>トb</t>
    </rPh>
    <rPh sb="1" eb="2">
      <t>エン</t>
    </rPh>
    <rPh sb="2" eb="3">
      <t>ザン</t>
    </rPh>
    <phoneticPr fontId="5"/>
  </si>
  <si>
    <t>半月斬！！</t>
    <rPh sb="0" eb="3">
      <t>ハンゲツザn</t>
    </rPh>
    <phoneticPr fontId="5"/>
  </si>
  <si>
    <t>飛翔脚！！</t>
    <rPh sb="0" eb="1">
      <t>トb</t>
    </rPh>
    <rPh sb="1" eb="2">
      <t>ショ</t>
    </rPh>
    <phoneticPr fontId="5"/>
  </si>
  <si>
    <t>２回連続攻撃</t>
    <phoneticPr fontId="5"/>
  </si>
  <si>
    <t>3回連続攻撃</t>
    <phoneticPr fontId="5"/>
  </si>
  <si>
    <t>4回連続攻撃</t>
    <phoneticPr fontId="5"/>
  </si>
  <si>
    <t>お邪魔パネルを全て吸収して攻撃</t>
    <rPh sb="7" eb="8">
      <t>スベt</t>
    </rPh>
    <rPh sb="9" eb="15">
      <t>キュウシュ</t>
    </rPh>
    <phoneticPr fontId="5"/>
  </si>
  <si>
    <t>[effect:enemy_message, val1:1.5, val2:0]</t>
    <phoneticPr fontId="5"/>
  </si>
  <si>
    <t>特定エリアを黄パネルに変換+
単体攻撃</t>
    <rPh sb="0" eb="2">
      <t>トクテ</t>
    </rPh>
    <rPh sb="6" eb="7">
      <t>k</t>
    </rPh>
    <rPh sb="11" eb="13">
      <t>ヘンカn</t>
    </rPh>
    <rPh sb="15" eb="19">
      <t>タンタイコウg</t>
    </rPh>
    <phoneticPr fontId="5"/>
  </si>
  <si>
    <t>「鳳凰脚！！」
あたたた…あたぁ！！</t>
    <rPh sb="1" eb="3">
      <t>ホウオ</t>
    </rPh>
    <rPh sb="3" eb="4">
      <t>アs</t>
    </rPh>
    <phoneticPr fontId="5"/>
  </si>
  <si>
    <t xml:space="preserve">[effect:enemy_message, val1:1.2, val2:1.2],[effect:rush, count:4, val:0.1]    </t>
    <phoneticPr fontId="5"/>
  </si>
  <si>
    <t xml:space="preserve">[effect:enemy_message, val1:1.6, val2:1.2],[effect:rush, count:4, val:0.2]    </t>
    <phoneticPr fontId="5"/>
  </si>
  <si>
    <t xml:space="preserve">[effect:enemy_message, val1:1.2, val2:1.2],[effect:critical, val:1.0, animation:enemy_critical]    </t>
    <phoneticPr fontId="5"/>
  </si>
  <si>
    <t>悪は許さん！！</t>
  </si>
  <si>
    <t xml:space="preserve">[effect:enemy_message, val1:1.6, val2:1.2],[effect:rush, count:12, val:20]    </t>
    <phoneticPr fontId="5"/>
  </si>
  <si>
    <t xml:space="preserve">[effect:enemy_message, val1:1.4, val2:1.2],[effect:rush, count:21, val:20]    </t>
    <phoneticPr fontId="5"/>
  </si>
  <si>
    <t xml:space="preserve">[effect:enemy_message, val1:1.6, val2:1.2],[effect:rush, count:12, val:0.083]    </t>
    <phoneticPr fontId="5"/>
  </si>
  <si>
    <t xml:space="preserve">[effect:enemy_message, val1:1.6, val2:1.2],[effect:rush, count:4, val:0.23]    </t>
    <phoneticPr fontId="5"/>
  </si>
  <si>
    <t xml:space="preserve">[effect:enemy_message, val1:1.6, val2:1.2],[effect:rush, count:3, val:0.23]    </t>
    <phoneticPr fontId="5"/>
  </si>
  <si>
    <t xml:space="preserve">[effect:enemy_message, val1:1.6, val2:1.2],[effect:rush, count:2, val:0.23]    </t>
    <phoneticPr fontId="5"/>
  </si>
  <si>
    <t>[effect:enemy_message, val1:1.2, val2:1.8],[effect:change_range_block,block_change:1,base_type:0, square_count:7, position01:0, position02:3, position03:6, value_h01:7, value_h02:7, value_h03:7,  value_w01:1, value_w02:1, value_w03:1, new_block:block_yellow,  target:normal, count:0, val:0, animation:change_range_block],[effect:rush, count:1, val:0.4]</t>
    <phoneticPr fontId="5"/>
  </si>
  <si>
    <t>2回連続攻撃</t>
    <phoneticPr fontId="5"/>
  </si>
  <si>
    <t xml:space="preserve">[effect:enemy_message, val1:1.2, val2:1.4],[effect:break_attack,_fix,target:unit_one, val:0.03, lowest_val:2000, count:-1, color:blue, block01:jammer]    </t>
    <phoneticPr fontId="5"/>
  </si>
  <si>
    <t>[effect:enemy_message, val1:1.2, val2:2.2], [effect:panel_freeze, target:normal,color:block_yellow, count:2]</t>
    <phoneticPr fontId="5"/>
  </si>
  <si>
    <t xml:space="preserve">[effect:enemy_message, val1:1.6, val2:1.2],[effect:rush, count:2, val:0.2]    </t>
    <phoneticPr fontId="5"/>
  </si>
  <si>
    <t xml:space="preserve">[effect:enemy_message, val1:1.6, val2:1.2],[effect:rush, count:4, val:0.18]    </t>
    <phoneticPr fontId="5"/>
  </si>
  <si>
    <t xml:space="preserve">[effect:enemy_message, val1:1.6, val2:1.2],[effect:rush, count:3, val:0.18]    </t>
    <phoneticPr fontId="5"/>
  </si>
  <si>
    <t xml:space="preserve">[effect:enemy_message, val1:1.4, val2:1.2],[effect:enemy_message, val1:1.2, val2:1.2],[effect:rush, count:12, val:0.057]    </t>
    <phoneticPr fontId="5"/>
  </si>
  <si>
    <t xml:space="preserve">[effect:enemy_message, val1:1.6, val2:1.2],[effect:rush, count:3, val:0.25]    </t>
    <phoneticPr fontId="5"/>
  </si>
  <si>
    <t xml:space="preserve">[effect:enemy_message, val1:1.4, val2:1.2],[effect:rush, count:21, val:0.055]    </t>
    <phoneticPr fontId="5"/>
  </si>
  <si>
    <t>[effect:enemy_message, val1:1.2, val2:3.1],[effect:force_change_block, new_block:jammer, target:normal, ignore01:jammer, count:5, val:0, animation:change_block] ,[effect:rush, count:1, val:0.2]</t>
    <phoneticPr fontId="5"/>
  </si>
  <si>
    <t xml:space="preserve">[effect:enemy_message, val1:1.6, val2:1.2],[effect:rush, count:2, val:0.25]    </t>
    <phoneticPr fontId="5"/>
  </si>
  <si>
    <t>黄パネルをプロテクト(最大2個)</t>
    <rPh sb="0" eb="1">
      <t>キイr</t>
    </rPh>
    <phoneticPr fontId="5"/>
  </si>
  <si>
    <t>[effect:enemy_message, val1:1.2, val2:1.8],[effect:change_range_block,block_change:1, base_type:0, square_count:6, position01:8, value_h01:4, value_w01:2, position02:13, value_h02:2, value_w02:4,new_block:block_red, target:normal, count:0, val:0, animation:change_range_block],[effect:rush, count:1, val:0.5]</t>
    <phoneticPr fontId="5"/>
  </si>
  <si>
    <t>old</t>
  </si>
  <si>
    <t>link</t>
  </si>
  <si>
    <t>unit</t>
  </si>
  <si>
    <t>自分のことばかり考えていると
大事なものを失うぞ！</t>
    <rPh sb="0" eb="2">
      <t>ジブn</t>
    </rPh>
    <rPh sb="8" eb="9">
      <t>カンガ</t>
    </rPh>
    <rPh sb="15" eb="17">
      <t>ダイz</t>
    </rPh>
    <rPh sb="21" eb="22">
      <t>ウシナ</t>
    </rPh>
    <phoneticPr fontId="5"/>
  </si>
  <si>
    <t>ハッハッハ！
私に追いついてみなさい！</t>
    <rPh sb="7" eb="8">
      <t>ワタs</t>
    </rPh>
    <rPh sb="9" eb="10">
      <t>オイツ</t>
    </rPh>
    <phoneticPr fontId="5"/>
  </si>
  <si>
    <t>誰であろうと手加減しませんよ！</t>
    <rPh sb="0" eb="1">
      <t>ダレd</t>
    </rPh>
    <rPh sb="6" eb="9">
      <t>テカゲn</t>
    </rPh>
    <phoneticPr fontId="5"/>
  </si>
  <si>
    <t>まだまだ…これからですよ！</t>
    <phoneticPr fontId="5"/>
  </si>
  <si>
    <t>null</t>
  </si>
  <si>
    <t>[effect:enemy_message, val1:1.8, val2:1.2],[effect:tolerance, target:myself, turn:-1, count:-1, tolerance_effect:all, animation:enemy_tolerance]</t>
    <phoneticPr fontId="5"/>
  </si>
  <si>
    <t>状態異常耐性　</t>
    <rPh sb="0" eb="4">
      <t>ジョウタ</t>
    </rPh>
    <rPh sb="4" eb="6">
      <t>タイセ</t>
    </rPh>
    <phoneticPr fontId="5"/>
  </si>
  <si>
    <t>いいだろう！
全力でかかってきたまえ！！</t>
    <phoneticPr fontId="5"/>
  </si>
  <si>
    <t>チャンとチョイはクリティカル攻撃や
連続攻撃のほかにエリア変換を行います
こまめにHPを回復しながら
攻撃しましょう</t>
    <phoneticPr fontId="5"/>
  </si>
  <si>
    <t>チョイと顔を見合わせ
笑っている</t>
    <rPh sb="4" eb="5">
      <t>カオ</t>
    </rPh>
    <rPh sb="6" eb="8">
      <t>ミアワs</t>
    </rPh>
    <phoneticPr fontId="5"/>
  </si>
  <si>
    <t>チャンと顔を見合わせ
笑っている</t>
    <phoneticPr fontId="5"/>
  </si>
  <si>
    <t>キムは構えた後に連続攻撃を使用します
防御UPスキルを使用することで
ダメージを抑えることが出来ます</t>
    <phoneticPr fontId="5"/>
  </si>
  <si>
    <t>キムは特定のタイミングで
お邪魔パネル変換スキルと
お邪魔吸収攻撃を使用します
お邪魔パネルを残さないことで
ダメージを抑えられます</t>
    <phoneticPr fontId="5"/>
  </si>
  <si>
    <t>キムは強力な連続攻撃を使用します
残りHPに余裕があれば
カウンタースキルを使用することで
大ダメージを与えることが出来ます</t>
    <phoneticPr fontId="5"/>
  </si>
  <si>
    <t>私が君を止めてみせよう！</t>
    <rPh sb="0" eb="1">
      <t>ワタs</t>
    </rPh>
    <rPh sb="2" eb="3">
      <t>キm</t>
    </rPh>
    <rPh sb="4" eb="5">
      <t>トm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</si>
</sst>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color rgb="FF0070C0"/>
      <name val="ＭＳ Ｐゴシック"/>
      <family val="3"/>
      <charset val="128"/>
      <scheme val="minor"/>
    </font>
    <font>
      <sz val="10"/>
      <color theme="1"/>
      <name val="Arial"/>
    </font>
    <font>
      <sz val="10"/>
      <color rgb="FF000000"/>
      <name val="ＭＳ Ｐゴシック"/>
      <family val="3"/>
      <charset val="128"/>
      <scheme val="maj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3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52" fillId="0" borderId="7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53" fillId="0" borderId="7" xfId="0" applyFont="1" applyBorder="1" applyAlignment="1">
      <alignment vertical="center"/>
    </xf>
    <xf numFmtId="0" fontId="52" fillId="0" borderId="7" xfId="0" applyFont="1" applyBorder="1" applyAlignment="1">
      <alignment vertical="center"/>
    </xf>
    <xf numFmtId="0" fontId="54" fillId="0" borderId="7" xfId="0" applyFont="1" applyBorder="1"/>
    <xf numFmtId="0" fontId="55" fillId="0" borderId="0" xfId="0" applyFont="1"/>
    <xf numFmtId="0" fontId="11" fillId="0" borderId="7" xfId="0" applyFont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6" borderId="2" xfId="0" applyFont="1" applyFill="1" applyBorder="1" applyAlignment="1">
      <alignment horizontal="center"/>
    </xf>
    <xf numFmtId="0" fontId="16" fillId="6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0" fontId="16" fillId="13" borderId="2" xfId="0" applyFont="1" applyFill="1" applyBorder="1" applyAlignment="1">
      <alignment horizontal="center"/>
    </xf>
    <xf numFmtId="0" fontId="16" fillId="15" borderId="2" xfId="0" applyFont="1" applyFill="1" applyBorder="1" applyAlignment="1">
      <alignment horizontal="center"/>
    </xf>
    <xf numFmtId="0" fontId="16" fillId="14" borderId="2" xfId="0" applyFont="1" applyFill="1" applyBorder="1" applyAlignment="1">
      <alignment horizontal="center"/>
    </xf>
    <xf numFmtId="56" fontId="16" fillId="14" borderId="2" xfId="0" applyNumberFormat="1" applyFont="1" applyFill="1" applyBorder="1" applyAlignment="1">
      <alignment horizontal="center"/>
    </xf>
    <xf numFmtId="0" fontId="0" fillId="15" borderId="2" xfId="0" applyFill="1" applyBorder="1"/>
    <xf numFmtId="0" fontId="27" fillId="0" borderId="12" xfId="0" applyFont="1" applyFill="1" applyBorder="1"/>
    <xf numFmtId="0" fontId="28" fillId="0" borderId="12" xfId="0" applyFont="1" applyFill="1" applyBorder="1"/>
    <xf numFmtId="0" fontId="31" fillId="0" borderId="12" xfId="0" applyFont="1" applyFill="1" applyBorder="1"/>
    <xf numFmtId="0" fontId="30" fillId="0" borderId="12" xfId="0" applyFont="1" applyFill="1" applyBorder="1"/>
    <xf numFmtId="0" fontId="31" fillId="14" borderId="12" xfId="0" applyFont="1" applyFill="1" applyBorder="1"/>
    <xf numFmtId="38" fontId="16" fillId="14" borderId="12" xfId="628" applyFont="1" applyFill="1" applyBorder="1" applyAlignment="1"/>
    <xf numFmtId="0" fontId="0" fillId="0" borderId="12" xfId="0" applyBorder="1"/>
    <xf numFmtId="0" fontId="0" fillId="0" borderId="0" xfId="0" applyBorder="1"/>
    <xf numFmtId="0" fontId="0" fillId="0" borderId="23" xfId="0" applyBorder="1"/>
    <xf numFmtId="0" fontId="11" fillId="0" borderId="10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11" fillId="0" borderId="24" xfId="0" applyFont="1" applyBorder="1" applyAlignment="1">
      <alignment vertical="center"/>
    </xf>
  </cellXfs>
  <cellStyles count="73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赤字強調" xfId="431"/>
    <cellStyle name="青字強調" xfId="430"/>
  </cellStyles>
  <dxfs count="9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8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externalLink" Target="externalLinks/externalLink2.xml"/><Relationship Id="rId15" Type="http://schemas.openxmlformats.org/officeDocument/2006/relationships/externalLink" Target="externalLinks/externalLink3.xml"/><Relationship Id="rId16" Type="http://schemas.openxmlformats.org/officeDocument/2006/relationships/externalLink" Target="externalLinks/externalLink4.xml"/><Relationship Id="rId17" Type="http://schemas.openxmlformats.org/officeDocument/2006/relationships/externalLink" Target="externalLinks/externalLink5.xml"/><Relationship Id="rId18" Type="http://schemas.openxmlformats.org/officeDocument/2006/relationships/externalLink" Target="externalLinks/externalLink6.xml"/><Relationship Id="rId19" Type="http://schemas.openxmlformats.org/officeDocument/2006/relationships/externalLink" Target="externalLinks/externalLink7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/Desktop/BULL_data/master_excel/Definitions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48101</v>
          </cell>
        </row>
        <row r="257">
          <cell r="A257">
            <v>48501</v>
          </cell>
        </row>
        <row r="258">
          <cell r="A258">
            <v>48502</v>
          </cell>
        </row>
        <row r="259">
          <cell r="A259">
            <v>48503</v>
          </cell>
        </row>
        <row r="260">
          <cell r="A260">
            <v>48701</v>
          </cell>
        </row>
        <row r="261">
          <cell r="A261">
            <v>48702</v>
          </cell>
        </row>
        <row r="262">
          <cell r="A262">
            <v>41001</v>
          </cell>
        </row>
        <row r="263">
          <cell r="A263">
            <v>41002</v>
          </cell>
        </row>
        <row r="264">
          <cell r="A264">
            <v>41003</v>
          </cell>
        </row>
        <row r="265">
          <cell r="A265">
            <v>41004</v>
          </cell>
        </row>
        <row r="266">
          <cell r="A266">
            <v>41005</v>
          </cell>
        </row>
        <row r="267">
          <cell r="A267">
            <v>41006</v>
          </cell>
        </row>
        <row r="268">
          <cell r="A268">
            <v>41007</v>
          </cell>
        </row>
        <row r="269">
          <cell r="A269">
            <v>41008</v>
          </cell>
        </row>
        <row r="270">
          <cell r="A270">
            <v>41009</v>
          </cell>
        </row>
        <row r="271">
          <cell r="A271">
            <v>41010</v>
          </cell>
        </row>
        <row r="272">
          <cell r="A272">
            <v>41011</v>
          </cell>
        </row>
        <row r="273">
          <cell r="A273">
            <v>41012</v>
          </cell>
        </row>
        <row r="274">
          <cell r="A274">
            <v>41013</v>
          </cell>
        </row>
        <row r="275">
          <cell r="A275">
            <v>41014</v>
          </cell>
        </row>
        <row r="276">
          <cell r="A276">
            <v>41015</v>
          </cell>
        </row>
        <row r="277">
          <cell r="A277">
            <v>47001</v>
          </cell>
        </row>
        <row r="278">
          <cell r="A278">
            <v>47002</v>
          </cell>
        </row>
        <row r="279">
          <cell r="A279">
            <v>47003</v>
          </cell>
        </row>
        <row r="280">
          <cell r="A280">
            <v>47004</v>
          </cell>
        </row>
        <row r="281">
          <cell r="A281">
            <v>47005</v>
          </cell>
        </row>
        <row r="282">
          <cell r="A282">
            <v>47006</v>
          </cell>
        </row>
        <row r="283">
          <cell r="A283">
            <v>47007</v>
          </cell>
        </row>
        <row r="284">
          <cell r="A284">
            <v>47008</v>
          </cell>
        </row>
        <row r="285">
          <cell r="A285">
            <v>47009</v>
          </cell>
        </row>
        <row r="286">
          <cell r="A286">
            <v>47010</v>
          </cell>
        </row>
        <row r="287">
          <cell r="A287">
            <v>47011</v>
          </cell>
        </row>
        <row r="288">
          <cell r="A288">
            <v>47012</v>
          </cell>
        </row>
        <row r="289">
          <cell r="A289">
            <v>47013</v>
          </cell>
        </row>
        <row r="290">
          <cell r="A290">
            <v>47014</v>
          </cell>
        </row>
        <row r="291">
          <cell r="A291">
            <v>49001</v>
          </cell>
        </row>
        <row r="292">
          <cell r="A292">
            <v>49002</v>
          </cell>
        </row>
        <row r="293">
          <cell r="A293">
            <v>49003</v>
          </cell>
        </row>
        <row r="294">
          <cell r="A294">
            <v>49004</v>
          </cell>
        </row>
        <row r="295">
          <cell r="A295">
            <v>49005</v>
          </cell>
        </row>
        <row r="296">
          <cell r="A296">
            <v>49006</v>
          </cell>
        </row>
        <row r="297">
          <cell r="A297">
            <v>49007</v>
          </cell>
        </row>
        <row r="298">
          <cell r="A298">
            <v>49008</v>
          </cell>
        </row>
        <row r="299">
          <cell r="A299">
            <v>49009</v>
          </cell>
        </row>
        <row r="300">
          <cell r="A300">
            <v>49010</v>
          </cell>
        </row>
        <row r="301">
          <cell r="A301">
            <v>49011</v>
          </cell>
        </row>
        <row r="302">
          <cell r="A302">
            <v>49012</v>
          </cell>
        </row>
        <row r="303">
          <cell r="A303">
            <v>49013</v>
          </cell>
        </row>
        <row r="304">
          <cell r="A304">
            <v>49014</v>
          </cell>
        </row>
        <row r="305">
          <cell r="A305">
            <v>49015</v>
          </cell>
        </row>
        <row r="306">
          <cell r="A306">
            <v>49016</v>
          </cell>
        </row>
        <row r="307">
          <cell r="A307">
            <v>50001</v>
          </cell>
        </row>
        <row r="308">
          <cell r="A308">
            <v>50002</v>
          </cell>
        </row>
        <row r="309">
          <cell r="A309">
            <v>50003</v>
          </cell>
        </row>
        <row r="310">
          <cell r="A310">
            <v>50004</v>
          </cell>
        </row>
        <row r="311">
          <cell r="A311">
            <v>50005</v>
          </cell>
        </row>
        <row r="312">
          <cell r="A312">
            <v>50006</v>
          </cell>
        </row>
        <row r="313">
          <cell r="A313">
            <v>50007</v>
          </cell>
        </row>
        <row r="314">
          <cell r="A314">
            <v>50008</v>
          </cell>
        </row>
        <row r="315">
          <cell r="A315">
            <v>50009</v>
          </cell>
        </row>
        <row r="316">
          <cell r="A316">
            <v>50010</v>
          </cell>
        </row>
        <row r="317">
          <cell r="A317">
            <v>50011</v>
          </cell>
        </row>
        <row r="318">
          <cell r="A318">
            <v>50012</v>
          </cell>
        </row>
        <row r="319">
          <cell r="A319">
            <v>50013</v>
          </cell>
        </row>
        <row r="320">
          <cell r="A320">
            <v>50014</v>
          </cell>
        </row>
        <row r="321">
          <cell r="A321">
            <v>50015</v>
          </cell>
        </row>
        <row r="322">
          <cell r="A322">
            <v>50016</v>
          </cell>
        </row>
        <row r="323">
          <cell r="A323">
            <v>51001</v>
          </cell>
        </row>
        <row r="324">
          <cell r="A324">
            <v>51002</v>
          </cell>
        </row>
        <row r="325">
          <cell r="A325">
            <v>58001</v>
          </cell>
        </row>
        <row r="326">
          <cell r="A326">
            <v>58002</v>
          </cell>
        </row>
        <row r="327">
          <cell r="A327">
            <v>58101</v>
          </cell>
        </row>
        <row r="328">
          <cell r="A328">
            <v>59001</v>
          </cell>
        </row>
        <row r="329">
          <cell r="A329">
            <v>59002</v>
          </cell>
        </row>
        <row r="330">
          <cell r="A330">
            <v>59003</v>
          </cell>
        </row>
        <row r="331">
          <cell r="A331">
            <v>60001</v>
          </cell>
        </row>
        <row r="332">
          <cell r="A332">
            <v>60002</v>
          </cell>
        </row>
        <row r="333">
          <cell r="A333">
            <v>60003</v>
          </cell>
        </row>
        <row r="334">
          <cell r="A334">
            <v>60004</v>
          </cell>
        </row>
        <row r="335">
          <cell r="A335">
            <v>60005</v>
          </cell>
        </row>
        <row r="336">
          <cell r="A336">
            <v>60006</v>
          </cell>
        </row>
        <row r="337">
          <cell r="A337">
            <v>60007</v>
          </cell>
        </row>
        <row r="338">
          <cell r="A338">
            <v>60010</v>
          </cell>
        </row>
        <row r="339">
          <cell r="A339">
            <v>60011</v>
          </cell>
        </row>
        <row r="340">
          <cell r="A340">
            <v>61011</v>
          </cell>
        </row>
        <row r="341">
          <cell r="A341">
            <v>60012</v>
          </cell>
        </row>
        <row r="342">
          <cell r="A342">
            <v>60013</v>
          </cell>
        </row>
        <row r="343">
          <cell r="A343">
            <v>60014</v>
          </cell>
        </row>
        <row r="344">
          <cell r="A344">
            <v>60015</v>
          </cell>
        </row>
        <row r="345">
          <cell r="A345">
            <v>60016</v>
          </cell>
        </row>
        <row r="346">
          <cell r="A346">
            <v>60017</v>
          </cell>
        </row>
        <row r="347">
          <cell r="A347">
            <v>60018</v>
          </cell>
        </row>
        <row r="348">
          <cell r="A348">
            <v>60019</v>
          </cell>
        </row>
        <row r="349">
          <cell r="A349">
            <v>60020</v>
          </cell>
        </row>
        <row r="350">
          <cell r="A350">
            <v>60025</v>
          </cell>
        </row>
        <row r="351">
          <cell r="A351">
            <v>60026</v>
          </cell>
        </row>
        <row r="352">
          <cell r="A352">
            <v>60027</v>
          </cell>
        </row>
        <row r="353">
          <cell r="A353">
            <v>60028</v>
          </cell>
        </row>
        <row r="354">
          <cell r="A354">
            <v>60029</v>
          </cell>
        </row>
        <row r="355">
          <cell r="A355">
            <v>60030</v>
          </cell>
        </row>
        <row r="356">
          <cell r="A356">
            <v>60031</v>
          </cell>
        </row>
        <row r="357">
          <cell r="A357">
            <v>65523</v>
          </cell>
        </row>
        <row r="358">
          <cell r="A358">
            <v>65524</v>
          </cell>
        </row>
        <row r="359">
          <cell r="A359">
            <v>65525</v>
          </cell>
        </row>
        <row r="360">
          <cell r="A360">
            <v>65526</v>
          </cell>
        </row>
        <row r="361">
          <cell r="A361">
            <v>65527</v>
          </cell>
        </row>
        <row r="362">
          <cell r="A362">
            <v>65528</v>
          </cell>
        </row>
        <row r="363">
          <cell r="A363">
            <v>65529</v>
          </cell>
        </row>
        <row r="364">
          <cell r="A364">
            <v>65530</v>
          </cell>
        </row>
        <row r="365">
          <cell r="A365">
            <v>65531</v>
          </cell>
        </row>
        <row r="366">
          <cell r="A366">
            <v>65532</v>
          </cell>
        </row>
        <row r="367">
          <cell r="A367">
            <v>65533</v>
          </cell>
        </row>
        <row r="368">
          <cell r="A368">
            <v>65534</v>
          </cell>
        </row>
        <row r="369">
          <cell r="A369">
            <v>65535</v>
          </cell>
        </row>
        <row r="370">
          <cell r="A370">
            <v>60021</v>
          </cell>
        </row>
        <row r="371">
          <cell r="A371">
            <v>60022</v>
          </cell>
        </row>
        <row r="372">
          <cell r="A372">
            <v>60023</v>
          </cell>
        </row>
        <row r="373">
          <cell r="A37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47014_1</v>
          </cell>
        </row>
        <row r="876">
          <cell r="A876" t="str">
            <v>47014_2</v>
          </cell>
        </row>
        <row r="877">
          <cell r="A877" t="str">
            <v>47014_3</v>
          </cell>
        </row>
        <row r="878">
          <cell r="A878" t="str">
            <v>48001_1</v>
          </cell>
        </row>
        <row r="879">
          <cell r="A879" t="str">
            <v>48002_1</v>
          </cell>
        </row>
        <row r="880">
          <cell r="A880" t="str">
            <v>48002_2</v>
          </cell>
        </row>
        <row r="881">
          <cell r="A881" t="str">
            <v>48002_3</v>
          </cell>
        </row>
        <row r="882">
          <cell r="A882" t="str">
            <v>48003_1</v>
          </cell>
        </row>
        <row r="883">
          <cell r="A883" t="str">
            <v>48003_2</v>
          </cell>
        </row>
        <row r="884">
          <cell r="A884" t="str">
            <v>48004_1</v>
          </cell>
        </row>
        <row r="885">
          <cell r="A885" t="str">
            <v>48004_2</v>
          </cell>
        </row>
        <row r="886">
          <cell r="A886" t="str">
            <v>48005_1</v>
          </cell>
        </row>
        <row r="887">
          <cell r="A887" t="str">
            <v>48005_2</v>
          </cell>
        </row>
        <row r="888">
          <cell r="A888" t="str">
            <v>48006_1</v>
          </cell>
        </row>
        <row r="889">
          <cell r="A889" t="str">
            <v>48006_2</v>
          </cell>
        </row>
        <row r="890">
          <cell r="A890" t="str">
            <v>48007_1</v>
          </cell>
        </row>
        <row r="891">
          <cell r="A891" t="str">
            <v>48007_2</v>
          </cell>
        </row>
        <row r="892">
          <cell r="A892" t="str">
            <v>48008_1</v>
          </cell>
        </row>
        <row r="893">
          <cell r="A893" t="str">
            <v>48008_2</v>
          </cell>
        </row>
        <row r="894">
          <cell r="A894" t="str">
            <v>48009_1</v>
          </cell>
        </row>
        <row r="895">
          <cell r="A895" t="str">
            <v>48009_2</v>
          </cell>
        </row>
        <row r="896">
          <cell r="A896" t="str">
            <v>48010_1</v>
          </cell>
        </row>
        <row r="897">
          <cell r="A897" t="str">
            <v>48011_1</v>
          </cell>
        </row>
        <row r="898">
          <cell r="A898" t="str">
            <v>48011_2</v>
          </cell>
        </row>
        <row r="899">
          <cell r="A899" t="str">
            <v>48012_1</v>
          </cell>
        </row>
        <row r="900">
          <cell r="A900" t="str">
            <v>48012_2</v>
          </cell>
        </row>
        <row r="901">
          <cell r="A901" t="str">
            <v>48013_1</v>
          </cell>
        </row>
        <row r="902">
          <cell r="A902" t="str">
            <v>48013_2</v>
          </cell>
        </row>
        <row r="903">
          <cell r="A903" t="str">
            <v>48014_1</v>
          </cell>
        </row>
        <row r="904">
          <cell r="A904" t="str">
            <v>48014_2</v>
          </cell>
        </row>
        <row r="905">
          <cell r="A905" t="str">
            <v>48101_1</v>
          </cell>
        </row>
        <row r="906">
          <cell r="A906" t="str">
            <v>48101_2</v>
          </cell>
        </row>
        <row r="907">
          <cell r="A907" t="str">
            <v>48501_1</v>
          </cell>
        </row>
        <row r="908">
          <cell r="A908" t="str">
            <v>48501_2</v>
          </cell>
        </row>
        <row r="909">
          <cell r="A909" t="str">
            <v>48502_1</v>
          </cell>
        </row>
        <row r="910">
          <cell r="A910" t="str">
            <v>48502_2</v>
          </cell>
        </row>
        <row r="911">
          <cell r="A911" t="str">
            <v>48503_1</v>
          </cell>
        </row>
        <row r="912">
          <cell r="A912" t="str">
            <v>48503_2</v>
          </cell>
        </row>
        <row r="913">
          <cell r="A913" t="str">
            <v>48701_1</v>
          </cell>
        </row>
        <row r="914">
          <cell r="A914" t="str">
            <v>48701_2</v>
          </cell>
        </row>
        <row r="915">
          <cell r="A915" t="str">
            <v>48702_1</v>
          </cell>
        </row>
        <row r="916">
          <cell r="A916" t="str">
            <v>48702_2</v>
          </cell>
        </row>
        <row r="917">
          <cell r="A917" t="str">
            <v>49001_1</v>
          </cell>
        </row>
        <row r="918">
          <cell r="A918" t="str">
            <v>49002_1</v>
          </cell>
        </row>
        <row r="919">
          <cell r="A919" t="str">
            <v>49002_2</v>
          </cell>
        </row>
        <row r="920">
          <cell r="A920" t="str">
            <v>49003_1</v>
          </cell>
        </row>
        <row r="921">
          <cell r="A921" t="str">
            <v>49003_2</v>
          </cell>
        </row>
        <row r="922">
          <cell r="A922" t="str">
            <v>49004_1</v>
          </cell>
        </row>
        <row r="923">
          <cell r="A923" t="str">
            <v>49004_2</v>
          </cell>
        </row>
        <row r="924">
          <cell r="A924" t="str">
            <v>49004_3</v>
          </cell>
        </row>
        <row r="925">
          <cell r="A925" t="str">
            <v>49005_1</v>
          </cell>
        </row>
        <row r="926">
          <cell r="A926" t="str">
            <v>49006_1</v>
          </cell>
        </row>
        <row r="927">
          <cell r="A927" t="str">
            <v>49006_2</v>
          </cell>
        </row>
        <row r="928">
          <cell r="A928" t="str">
            <v>49007_1</v>
          </cell>
        </row>
        <row r="929">
          <cell r="A929" t="str">
            <v>49007_2</v>
          </cell>
        </row>
        <row r="930">
          <cell r="A930" t="str">
            <v>49007_3</v>
          </cell>
        </row>
        <row r="931">
          <cell r="A931" t="str">
            <v>49008_1</v>
          </cell>
        </row>
        <row r="932">
          <cell r="A932" t="str">
            <v>49009_1</v>
          </cell>
        </row>
        <row r="933">
          <cell r="A933" t="str">
            <v>49010_1</v>
          </cell>
        </row>
        <row r="934">
          <cell r="A934" t="str">
            <v>49011_1</v>
          </cell>
        </row>
        <row r="935">
          <cell r="A935" t="str">
            <v>49012_1</v>
          </cell>
        </row>
        <row r="936">
          <cell r="A936" t="str">
            <v>49013_1</v>
          </cell>
        </row>
        <row r="937">
          <cell r="A937" t="str">
            <v>49014_1</v>
          </cell>
        </row>
        <row r="938">
          <cell r="A938" t="str">
            <v>49014_2</v>
          </cell>
        </row>
        <row r="939">
          <cell r="A939" t="str">
            <v>49015_1</v>
          </cell>
        </row>
        <row r="940">
          <cell r="A940" t="str">
            <v>49015_2</v>
          </cell>
        </row>
        <row r="941">
          <cell r="A941" t="str">
            <v>49015_3</v>
          </cell>
        </row>
        <row r="942">
          <cell r="A942" t="str">
            <v>49016_1</v>
          </cell>
        </row>
        <row r="943">
          <cell r="A943" t="str">
            <v>49016_2</v>
          </cell>
        </row>
        <row r="944">
          <cell r="A944" t="str">
            <v>50001_1</v>
          </cell>
        </row>
        <row r="945">
          <cell r="A945" t="str">
            <v>50002_1</v>
          </cell>
        </row>
        <row r="946">
          <cell r="A946" t="str">
            <v>50003_1</v>
          </cell>
        </row>
        <row r="947">
          <cell r="A947" t="str">
            <v>50004_1</v>
          </cell>
        </row>
        <row r="948">
          <cell r="A948" t="str">
            <v>50005_1</v>
          </cell>
        </row>
        <row r="949">
          <cell r="A949" t="str">
            <v>50006_1</v>
          </cell>
        </row>
        <row r="950">
          <cell r="A950" t="str">
            <v>50007_1</v>
          </cell>
        </row>
        <row r="951">
          <cell r="A951" t="str">
            <v>50008_1</v>
          </cell>
        </row>
        <row r="952">
          <cell r="A952" t="str">
            <v>50009_1</v>
          </cell>
        </row>
        <row r="953">
          <cell r="A953" t="str">
            <v>50010_1</v>
          </cell>
        </row>
        <row r="954">
          <cell r="A954" t="str">
            <v>50011_1</v>
          </cell>
        </row>
        <row r="955">
          <cell r="A955" t="str">
            <v>50012_1</v>
          </cell>
        </row>
        <row r="956">
          <cell r="A956" t="str">
            <v>50013_1</v>
          </cell>
        </row>
        <row r="957">
          <cell r="A957" t="str">
            <v>50014_1</v>
          </cell>
        </row>
        <row r="958">
          <cell r="A958" t="str">
            <v>50015_1</v>
          </cell>
        </row>
        <row r="959">
          <cell r="A959" t="str">
            <v>50016_1</v>
          </cell>
        </row>
        <row r="960">
          <cell r="A960" t="str">
            <v>51001_1</v>
          </cell>
        </row>
        <row r="961">
          <cell r="A961" t="str">
            <v>51002_1</v>
          </cell>
        </row>
        <row r="962">
          <cell r="A962" t="str">
            <v>58001_1</v>
          </cell>
        </row>
        <row r="963">
          <cell r="A963" t="str">
            <v>58002_1</v>
          </cell>
        </row>
        <row r="964">
          <cell r="A964" t="str">
            <v>58101_1</v>
          </cell>
        </row>
        <row r="965">
          <cell r="A965" t="str">
            <v>59001_1</v>
          </cell>
        </row>
        <row r="966">
          <cell r="A966" t="str">
            <v>59002_1</v>
          </cell>
        </row>
        <row r="967">
          <cell r="A967" t="str">
            <v>59003_1</v>
          </cell>
        </row>
        <row r="968">
          <cell r="A968" t="str">
            <v>59003_2</v>
          </cell>
        </row>
        <row r="969">
          <cell r="A969" t="str">
            <v>60001_1</v>
          </cell>
        </row>
        <row r="970">
          <cell r="A970" t="str">
            <v>60002_1</v>
          </cell>
        </row>
        <row r="971">
          <cell r="A971" t="str">
            <v>60002_2</v>
          </cell>
        </row>
        <row r="972">
          <cell r="A972" t="str">
            <v>60003_1</v>
          </cell>
        </row>
        <row r="973">
          <cell r="A973" t="str">
            <v>60003_2</v>
          </cell>
        </row>
        <row r="974">
          <cell r="A974" t="str">
            <v>60003_3</v>
          </cell>
        </row>
        <row r="975">
          <cell r="A975" t="str">
            <v>60004_1</v>
          </cell>
        </row>
        <row r="976">
          <cell r="A976" t="str">
            <v>60005_1</v>
          </cell>
        </row>
        <row r="977">
          <cell r="A977" t="str">
            <v>60006_1</v>
          </cell>
        </row>
        <row r="978">
          <cell r="A978" t="str">
            <v>60006_2</v>
          </cell>
        </row>
        <row r="979">
          <cell r="A979" t="str">
            <v>60006_3</v>
          </cell>
        </row>
        <row r="980">
          <cell r="A980" t="str">
            <v>60007_1</v>
          </cell>
        </row>
        <row r="981">
          <cell r="A981" t="str">
            <v>60007_2</v>
          </cell>
        </row>
        <row r="982">
          <cell r="A982" t="str">
            <v>60007_3</v>
          </cell>
        </row>
        <row r="983">
          <cell r="A983" t="str">
            <v>60010_1</v>
          </cell>
        </row>
        <row r="984">
          <cell r="A984" t="str">
            <v>60011_1</v>
          </cell>
        </row>
        <row r="985">
          <cell r="A985" t="str">
            <v>60011_2</v>
          </cell>
        </row>
        <row r="986">
          <cell r="A986" t="str">
            <v>60012_1</v>
          </cell>
        </row>
        <row r="987">
          <cell r="A987" t="str">
            <v>60013_1</v>
          </cell>
        </row>
        <row r="988">
          <cell r="A988" t="str">
            <v>60013_2</v>
          </cell>
        </row>
        <row r="989">
          <cell r="A989" t="str">
            <v>60013_3</v>
          </cell>
        </row>
        <row r="990">
          <cell r="A990" t="str">
            <v>60014_1</v>
          </cell>
        </row>
        <row r="991">
          <cell r="A991" t="str">
            <v>60015_1</v>
          </cell>
        </row>
        <row r="992">
          <cell r="A992" t="str">
            <v>60016_1</v>
          </cell>
        </row>
        <row r="993">
          <cell r="A993" t="str">
            <v>60017_1</v>
          </cell>
        </row>
        <row r="994">
          <cell r="A994" t="str">
            <v>60018_1</v>
          </cell>
        </row>
        <row r="995">
          <cell r="A995" t="str">
            <v>60019_1</v>
          </cell>
        </row>
        <row r="996">
          <cell r="A996" t="str">
            <v>60020_1</v>
          </cell>
        </row>
        <row r="997">
          <cell r="A997" t="str">
            <v>60021_3</v>
          </cell>
        </row>
        <row r="998">
          <cell r="A998" t="str">
            <v>60022_3</v>
          </cell>
        </row>
        <row r="999">
          <cell r="A999" t="str">
            <v>60023_3</v>
          </cell>
        </row>
        <row r="1000">
          <cell r="A1000" t="str">
            <v>60024_3</v>
          </cell>
        </row>
        <row r="1001">
          <cell r="A1001" t="str">
            <v>60025_1</v>
          </cell>
        </row>
        <row r="1002">
          <cell r="A1002" t="str">
            <v>60026_1</v>
          </cell>
        </row>
        <row r="1003">
          <cell r="A1003" t="str">
            <v>61011_1</v>
          </cell>
        </row>
        <row r="1004">
          <cell r="A1004" t="str">
            <v>60027_1</v>
          </cell>
        </row>
        <row r="1005">
          <cell r="A1005" t="str">
            <v>60028_1</v>
          </cell>
        </row>
        <row r="1006">
          <cell r="A1006" t="str">
            <v>60029_1</v>
          </cell>
        </row>
        <row r="1007">
          <cell r="A1007" t="str">
            <v>60030_1</v>
          </cell>
        </row>
        <row r="1008">
          <cell r="A1008" t="str">
            <v>60031_1</v>
          </cell>
        </row>
        <row r="1009">
          <cell r="A1009" t="str">
            <v>65523_1</v>
          </cell>
        </row>
        <row r="1010">
          <cell r="A1010" t="str">
            <v>65523_2</v>
          </cell>
        </row>
        <row r="1011">
          <cell r="A1011" t="str">
            <v>65523_3</v>
          </cell>
        </row>
        <row r="1012">
          <cell r="A1012" t="str">
            <v>65524_1</v>
          </cell>
        </row>
        <row r="1013">
          <cell r="A1013" t="str">
            <v>65524_2</v>
          </cell>
        </row>
        <row r="1014">
          <cell r="A1014" t="str">
            <v>65525_1</v>
          </cell>
        </row>
        <row r="1015">
          <cell r="A1015" t="str">
            <v>65526_1</v>
          </cell>
        </row>
        <row r="1016">
          <cell r="A1016" t="str">
            <v>65526_2</v>
          </cell>
        </row>
        <row r="1017">
          <cell r="A1017" t="str">
            <v>65527_1</v>
          </cell>
        </row>
        <row r="1018">
          <cell r="A1018" t="str">
            <v>65528_1</v>
          </cell>
        </row>
        <row r="1019">
          <cell r="A1019" t="str">
            <v>65529_1</v>
          </cell>
        </row>
        <row r="1020">
          <cell r="A1020" t="str">
            <v>65530_1</v>
          </cell>
        </row>
        <row r="1021">
          <cell r="A1021" t="str">
            <v>65531_1</v>
          </cell>
        </row>
        <row r="1022">
          <cell r="A1022" t="str">
            <v>65531_2</v>
          </cell>
        </row>
        <row r="1023">
          <cell r="A1023" t="str">
            <v>65532_1</v>
          </cell>
        </row>
        <row r="1024">
          <cell r="A1024" t="str">
            <v>65532_2</v>
          </cell>
        </row>
        <row r="1025">
          <cell r="A1025" t="str">
            <v>65533_1</v>
          </cell>
        </row>
        <row r="1026">
          <cell r="A1026" t="str">
            <v>65533_2</v>
          </cell>
        </row>
        <row r="1027">
          <cell r="A1027" t="str">
            <v>65534_1</v>
          </cell>
        </row>
        <row r="1028">
          <cell r="A1028" t="str">
            <v>65535_1</v>
          </cell>
        </row>
        <row r="1029">
          <cell r="A1029" t="str">
            <v>65535_2</v>
          </cell>
        </row>
        <row r="1030">
          <cell r="A1030" t="str">
            <v>65535_3</v>
          </cell>
        </row>
        <row r="1031">
          <cell r="A1031" t="str">
            <v>65535_4</v>
          </cell>
        </row>
        <row r="1032">
          <cell r="A1032" t="str">
            <v>65535_5</v>
          </cell>
        </row>
        <row r="1033">
          <cell r="A1033" t="str">
            <v>65535_6</v>
          </cell>
        </row>
        <row r="1034">
          <cell r="A1034" t="str">
            <v>65535_7</v>
          </cell>
        </row>
        <row r="1035">
          <cell r="A1035" t="str">
            <v>65535_8</v>
          </cell>
        </row>
        <row r="1036">
          <cell r="A1036" t="str">
            <v>65535_9</v>
          </cell>
        </row>
        <row r="1037">
          <cell r="A1037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5001</v>
          </cell>
        </row>
        <row r="1434">
          <cell r="A1434">
            <v>5002</v>
          </cell>
        </row>
        <row r="1435">
          <cell r="A1435">
            <v>5003</v>
          </cell>
        </row>
        <row r="1436">
          <cell r="A1436">
            <v>5004</v>
          </cell>
        </row>
        <row r="1437">
          <cell r="A1437">
            <v>5005</v>
          </cell>
        </row>
        <row r="1438">
          <cell r="A1438">
            <v>5006</v>
          </cell>
        </row>
        <row r="1439">
          <cell r="A1439">
            <v>5007</v>
          </cell>
        </row>
        <row r="1440">
          <cell r="A1440">
            <v>5008</v>
          </cell>
        </row>
        <row r="1441">
          <cell r="A1441">
            <v>6001</v>
          </cell>
        </row>
        <row r="1442">
          <cell r="A1442">
            <v>6002</v>
          </cell>
        </row>
        <row r="1443">
          <cell r="A1443">
            <v>6003</v>
          </cell>
        </row>
        <row r="1444">
          <cell r="A1444">
            <v>6004</v>
          </cell>
        </row>
        <row r="1445">
          <cell r="A1445">
            <v>6005</v>
          </cell>
        </row>
        <row r="1446">
          <cell r="A1446">
            <v>6006</v>
          </cell>
        </row>
        <row r="1447">
          <cell r="A1447">
            <v>6007</v>
          </cell>
        </row>
        <row r="1448">
          <cell r="A1448">
            <v>6008</v>
          </cell>
        </row>
        <row r="1449">
          <cell r="A1449">
            <v>6009</v>
          </cell>
        </row>
        <row r="1450">
          <cell r="A1450">
            <v>6010</v>
          </cell>
        </row>
        <row r="1451">
          <cell r="A1451">
            <v>6011</v>
          </cell>
        </row>
        <row r="1452">
          <cell r="A1452">
            <v>6012</v>
          </cell>
        </row>
        <row r="1453">
          <cell r="A1453">
            <v>6013</v>
          </cell>
        </row>
        <row r="1454">
          <cell r="A1454">
            <v>6014</v>
          </cell>
        </row>
        <row r="1455">
          <cell r="A1455">
            <v>6015</v>
          </cell>
        </row>
        <row r="1456">
          <cell r="A1456">
            <v>6016</v>
          </cell>
        </row>
        <row r="1457">
          <cell r="A1457">
            <v>6017</v>
          </cell>
        </row>
        <row r="1458">
          <cell r="A1458">
            <v>6018</v>
          </cell>
        </row>
        <row r="1459">
          <cell r="A1459">
            <v>6019</v>
          </cell>
        </row>
        <row r="1460">
          <cell r="A1460">
            <v>6020</v>
          </cell>
        </row>
        <row r="1461">
          <cell r="A1461">
            <v>8001</v>
          </cell>
        </row>
        <row r="1462">
          <cell r="A1462">
            <v>8002</v>
          </cell>
        </row>
        <row r="1463">
          <cell r="A1463">
            <v>8003</v>
          </cell>
        </row>
        <row r="1464">
          <cell r="A1464">
            <v>8004</v>
          </cell>
        </row>
        <row r="1465">
          <cell r="A1465">
            <v>8005</v>
          </cell>
        </row>
        <row r="1466">
          <cell r="A1466">
            <v>8006</v>
          </cell>
        </row>
        <row r="1467">
          <cell r="A1467">
            <v>8007</v>
          </cell>
        </row>
        <row r="1468">
          <cell r="A1468">
            <v>8008</v>
          </cell>
        </row>
        <row r="1469">
          <cell r="A1469">
            <v>8009</v>
          </cell>
        </row>
        <row r="1470">
          <cell r="A1470">
            <v>8010</v>
          </cell>
        </row>
        <row r="1471">
          <cell r="A1471">
            <v>8011</v>
          </cell>
        </row>
        <row r="1472">
          <cell r="A1472">
            <v>8012</v>
          </cell>
        </row>
        <row r="1473">
          <cell r="A1473">
            <v>8013</v>
          </cell>
        </row>
        <row r="1474">
          <cell r="A1474">
            <v>8014</v>
          </cell>
        </row>
        <row r="1475">
          <cell r="A1475">
            <v>8015</v>
          </cell>
        </row>
        <row r="1476">
          <cell r="A1476">
            <v>8016</v>
          </cell>
        </row>
        <row r="1477">
          <cell r="A1477">
            <v>8017</v>
          </cell>
        </row>
        <row r="1478">
          <cell r="A1478">
            <v>8018</v>
          </cell>
        </row>
        <row r="1479">
          <cell r="A1479">
            <v>8019</v>
          </cell>
        </row>
        <row r="1480">
          <cell r="A1480">
            <v>8020</v>
          </cell>
        </row>
        <row r="1481">
          <cell r="A1481">
            <v>8021</v>
          </cell>
        </row>
        <row r="1482">
          <cell r="A1482">
            <v>8022</v>
          </cell>
        </row>
        <row r="1483">
          <cell r="A1483">
            <v>8023</v>
          </cell>
        </row>
        <row r="1484">
          <cell r="A1484">
            <v>8024</v>
          </cell>
        </row>
        <row r="1485">
          <cell r="A1485">
            <v>8025</v>
          </cell>
        </row>
        <row r="1486">
          <cell r="A1486">
            <v>8026</v>
          </cell>
        </row>
        <row r="1487">
          <cell r="A1487">
            <v>8027</v>
          </cell>
        </row>
        <row r="1488">
          <cell r="A1488">
            <v>8028</v>
          </cell>
        </row>
        <row r="1489">
          <cell r="A1489">
            <v>8029</v>
          </cell>
        </row>
        <row r="1490">
          <cell r="A1490">
            <v>8030</v>
          </cell>
        </row>
        <row r="1491">
          <cell r="A1491">
            <v>8031</v>
          </cell>
        </row>
        <row r="1492">
          <cell r="A1492">
            <v>8032</v>
          </cell>
        </row>
        <row r="1493">
          <cell r="A1493">
            <v>8033</v>
          </cell>
        </row>
        <row r="1494">
          <cell r="A1494">
            <v>8034</v>
          </cell>
        </row>
        <row r="1495">
          <cell r="A1495">
            <v>8035</v>
          </cell>
        </row>
        <row r="1496">
          <cell r="A1496">
            <v>8036</v>
          </cell>
        </row>
        <row r="1497">
          <cell r="A1497">
            <v>8037</v>
          </cell>
        </row>
        <row r="1498">
          <cell r="A1498">
            <v>8038</v>
          </cell>
        </row>
        <row r="1499">
          <cell r="A1499">
            <v>8039</v>
          </cell>
        </row>
        <row r="1500">
          <cell r="A1500">
            <v>8040</v>
          </cell>
        </row>
        <row r="1501">
          <cell r="A1501">
            <v>8041</v>
          </cell>
        </row>
        <row r="1502">
          <cell r="A1502">
            <v>8042</v>
          </cell>
        </row>
        <row r="1503">
          <cell r="A1503">
            <v>8043</v>
          </cell>
        </row>
        <row r="1504">
          <cell r="A1504">
            <v>8044</v>
          </cell>
        </row>
        <row r="1505">
          <cell r="A1505">
            <v>8045</v>
          </cell>
        </row>
        <row r="1506">
          <cell r="A1506">
            <v>8046</v>
          </cell>
        </row>
        <row r="1507">
          <cell r="A1507">
            <v>8047</v>
          </cell>
        </row>
        <row r="1508">
          <cell r="A1508">
            <v>8048</v>
          </cell>
        </row>
        <row r="1509">
          <cell r="A1509">
            <v>8049</v>
          </cell>
        </row>
        <row r="1510">
          <cell r="A1510">
            <v>8050</v>
          </cell>
        </row>
        <row r="1511">
          <cell r="A1511">
            <v>8051</v>
          </cell>
        </row>
        <row r="1512">
          <cell r="A1512">
            <v>8052</v>
          </cell>
        </row>
        <row r="1513">
          <cell r="A1513">
            <v>8053</v>
          </cell>
        </row>
        <row r="1514">
          <cell r="A1514">
            <v>8054</v>
          </cell>
        </row>
        <row r="1515">
          <cell r="A1515">
            <v>8055</v>
          </cell>
        </row>
        <row r="1516">
          <cell r="A1516">
            <v>8056</v>
          </cell>
        </row>
        <row r="1517">
          <cell r="A1517">
            <v>8057</v>
          </cell>
        </row>
        <row r="1518">
          <cell r="A1518">
            <v>8058</v>
          </cell>
        </row>
        <row r="1519">
          <cell r="A1519">
            <v>8059</v>
          </cell>
        </row>
        <row r="1520">
          <cell r="A1520">
            <v>8060</v>
          </cell>
        </row>
        <row r="1521">
          <cell r="A1521">
            <v>8061</v>
          </cell>
        </row>
        <row r="1522">
          <cell r="A1522">
            <v>8062</v>
          </cell>
        </row>
        <row r="1523">
          <cell r="A1523">
            <v>8063</v>
          </cell>
        </row>
        <row r="1524">
          <cell r="A1524">
            <v>8064</v>
          </cell>
        </row>
        <row r="1525">
          <cell r="A1525">
            <v>8065</v>
          </cell>
        </row>
        <row r="1526">
          <cell r="A1526">
            <v>8066</v>
          </cell>
        </row>
        <row r="1527">
          <cell r="A1527">
            <v>8067</v>
          </cell>
        </row>
        <row r="1528">
          <cell r="A1528">
            <v>8068</v>
          </cell>
        </row>
        <row r="1529">
          <cell r="A1529">
            <v>8069</v>
          </cell>
        </row>
        <row r="1530">
          <cell r="A1530">
            <v>8070</v>
          </cell>
        </row>
        <row r="1531">
          <cell r="A1531">
            <v>8071</v>
          </cell>
        </row>
        <row r="1532">
          <cell r="A1532">
            <v>8072</v>
          </cell>
        </row>
        <row r="1533">
          <cell r="A1533">
            <v>8073</v>
          </cell>
        </row>
        <row r="1534">
          <cell r="A1534">
            <v>8074</v>
          </cell>
        </row>
        <row r="1535">
          <cell r="A1535">
            <v>8077</v>
          </cell>
        </row>
        <row r="1536">
          <cell r="A1536">
            <v>8078</v>
          </cell>
        </row>
        <row r="1537">
          <cell r="A1537">
            <v>8079</v>
          </cell>
        </row>
        <row r="1538">
          <cell r="A1538">
            <v>8080</v>
          </cell>
        </row>
        <row r="1539">
          <cell r="A1539">
            <v>8081</v>
          </cell>
        </row>
        <row r="1540">
          <cell r="A1540">
            <v>8082</v>
          </cell>
        </row>
        <row r="1541">
          <cell r="A1541">
            <v>8083</v>
          </cell>
        </row>
        <row r="1542">
          <cell r="A1542">
            <v>8084</v>
          </cell>
        </row>
        <row r="1543">
          <cell r="A1543">
            <v>8085</v>
          </cell>
        </row>
        <row r="1544">
          <cell r="A1544">
            <v>8086</v>
          </cell>
        </row>
        <row r="1545">
          <cell r="A1545">
            <v>8087</v>
          </cell>
        </row>
        <row r="1546">
          <cell r="A1546">
            <v>8088</v>
          </cell>
        </row>
        <row r="1547">
          <cell r="A1547">
            <v>8089</v>
          </cell>
        </row>
        <row r="1548">
          <cell r="A1548">
            <v>8090</v>
          </cell>
        </row>
        <row r="1549">
          <cell r="A1549">
            <v>8095</v>
          </cell>
        </row>
        <row r="1550">
          <cell r="A1550">
            <v>8096</v>
          </cell>
        </row>
        <row r="1551">
          <cell r="A1551">
            <v>8097</v>
          </cell>
        </row>
        <row r="1552">
          <cell r="A1552">
            <v>8098</v>
          </cell>
        </row>
        <row r="1553">
          <cell r="A1553">
            <v>8099</v>
          </cell>
        </row>
        <row r="1554">
          <cell r="A1554">
            <v>8100</v>
          </cell>
        </row>
        <row r="1555">
          <cell r="A1555">
            <v>8101</v>
          </cell>
        </row>
        <row r="1556">
          <cell r="A1556">
            <v>8102</v>
          </cell>
        </row>
        <row r="1557">
          <cell r="A1557">
            <v>8103</v>
          </cell>
        </row>
        <row r="1558">
          <cell r="A1558">
            <v>8104</v>
          </cell>
        </row>
        <row r="1559">
          <cell r="A1559">
            <v>8105</v>
          </cell>
        </row>
        <row r="1560">
          <cell r="A1560">
            <v>8106</v>
          </cell>
        </row>
        <row r="1561">
          <cell r="A1561">
            <v>8111</v>
          </cell>
        </row>
        <row r="1562">
          <cell r="A1562">
            <v>8112</v>
          </cell>
        </row>
        <row r="1563">
          <cell r="A1563">
            <v>8113</v>
          </cell>
        </row>
        <row r="1564">
          <cell r="A1564">
            <v>8114</v>
          </cell>
        </row>
        <row r="1565">
          <cell r="A1565">
            <v>8115</v>
          </cell>
        </row>
        <row r="1566">
          <cell r="A1566">
            <v>8116</v>
          </cell>
        </row>
        <row r="1567">
          <cell r="A1567">
            <v>8117</v>
          </cell>
        </row>
        <row r="1568">
          <cell r="A1568">
            <v>8118</v>
          </cell>
        </row>
        <row r="1569">
          <cell r="A1569">
            <v>8119</v>
          </cell>
        </row>
        <row r="1570">
          <cell r="A1570">
            <v>8120</v>
          </cell>
        </row>
        <row r="1571">
          <cell r="A1571">
            <v>8121</v>
          </cell>
        </row>
        <row r="1572">
          <cell r="A1572">
            <v>8122</v>
          </cell>
        </row>
        <row r="1573">
          <cell r="A1573">
            <v>8127</v>
          </cell>
        </row>
        <row r="1574">
          <cell r="A1574">
            <v>8128</v>
          </cell>
        </row>
        <row r="1575">
          <cell r="A1575">
            <v>8129</v>
          </cell>
        </row>
        <row r="1576">
          <cell r="A1576">
            <v>8130</v>
          </cell>
        </row>
        <row r="1577">
          <cell r="A1577">
            <v>8131</v>
          </cell>
        </row>
        <row r="1578">
          <cell r="A1578">
            <v>8132</v>
          </cell>
        </row>
        <row r="1579">
          <cell r="A1579">
            <v>8133</v>
          </cell>
        </row>
        <row r="1580">
          <cell r="A1580">
            <v>8134</v>
          </cell>
        </row>
        <row r="1581">
          <cell r="A1581">
            <v>8135</v>
          </cell>
        </row>
        <row r="1582">
          <cell r="A1582">
            <v>8136</v>
          </cell>
        </row>
        <row r="1583">
          <cell r="A1583">
            <v>8137</v>
          </cell>
        </row>
        <row r="1584">
          <cell r="A1584">
            <v>8138</v>
          </cell>
        </row>
        <row r="1585">
          <cell r="A1585">
            <v>9001</v>
          </cell>
        </row>
        <row r="1586">
          <cell r="A1586">
            <v>9002</v>
          </cell>
        </row>
        <row r="1587">
          <cell r="A1587">
            <v>9003</v>
          </cell>
        </row>
        <row r="1588">
          <cell r="A1588">
            <v>9004</v>
          </cell>
        </row>
        <row r="1589">
          <cell r="A1589">
            <v>9005</v>
          </cell>
        </row>
        <row r="1590">
          <cell r="A1590">
            <v>9006</v>
          </cell>
        </row>
        <row r="1591">
          <cell r="A1591">
            <v>9007</v>
          </cell>
        </row>
        <row r="1592">
          <cell r="A1592">
            <v>9008</v>
          </cell>
        </row>
        <row r="1593">
          <cell r="A1593">
            <v>10101</v>
          </cell>
        </row>
        <row r="1594">
          <cell r="A1594">
            <v>10102</v>
          </cell>
        </row>
        <row r="1595">
          <cell r="A1595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1687</v>
          </cell>
        </row>
        <row r="1565">
          <cell r="A1565">
            <v>1688</v>
          </cell>
        </row>
        <row r="1566">
          <cell r="A1566">
            <v>1689</v>
          </cell>
        </row>
        <row r="1567">
          <cell r="A1567">
            <v>1690</v>
          </cell>
        </row>
        <row r="1568">
          <cell r="A1568">
            <v>1691</v>
          </cell>
        </row>
        <row r="1569">
          <cell r="A1569">
            <v>5001</v>
          </cell>
        </row>
        <row r="1570">
          <cell r="A1570">
            <v>5002</v>
          </cell>
        </row>
        <row r="1571">
          <cell r="A1571">
            <v>5003</v>
          </cell>
        </row>
        <row r="1572">
          <cell r="A1572">
            <v>5004</v>
          </cell>
        </row>
        <row r="1573">
          <cell r="A1573">
            <v>5005</v>
          </cell>
        </row>
        <row r="1574">
          <cell r="A1574">
            <v>5006</v>
          </cell>
        </row>
        <row r="1575">
          <cell r="A1575">
            <v>5007</v>
          </cell>
        </row>
        <row r="1576">
          <cell r="A1576">
            <v>5008</v>
          </cell>
        </row>
        <row r="1577">
          <cell r="A1577">
            <v>6001</v>
          </cell>
        </row>
        <row r="1578">
          <cell r="A1578">
            <v>6002</v>
          </cell>
        </row>
        <row r="1579">
          <cell r="A1579">
            <v>6003</v>
          </cell>
        </row>
        <row r="1580">
          <cell r="A1580">
            <v>6004</v>
          </cell>
        </row>
        <row r="1581">
          <cell r="A1581">
            <v>6005</v>
          </cell>
        </row>
        <row r="1582">
          <cell r="A1582">
            <v>6006</v>
          </cell>
        </row>
        <row r="1583">
          <cell r="A1583">
            <v>6007</v>
          </cell>
        </row>
        <row r="1584">
          <cell r="A1584">
            <v>6008</v>
          </cell>
        </row>
        <row r="1585">
          <cell r="A1585">
            <v>6009</v>
          </cell>
        </row>
        <row r="1586">
          <cell r="A1586">
            <v>6010</v>
          </cell>
        </row>
        <row r="1587">
          <cell r="A1587">
            <v>6011</v>
          </cell>
        </row>
        <row r="1588">
          <cell r="A1588">
            <v>6012</v>
          </cell>
        </row>
        <row r="1589">
          <cell r="A1589">
            <v>6013</v>
          </cell>
        </row>
        <row r="1590">
          <cell r="A1590">
            <v>6014</v>
          </cell>
        </row>
        <row r="1591">
          <cell r="A1591">
            <v>6015</v>
          </cell>
        </row>
        <row r="1592">
          <cell r="A1592">
            <v>6016</v>
          </cell>
        </row>
        <row r="1593">
          <cell r="A1593">
            <v>6017</v>
          </cell>
        </row>
        <row r="1594">
          <cell r="A1594">
            <v>6018</v>
          </cell>
        </row>
        <row r="1595">
          <cell r="A1595">
            <v>6019</v>
          </cell>
        </row>
        <row r="1596">
          <cell r="A1596">
            <v>6020</v>
          </cell>
        </row>
        <row r="1597">
          <cell r="A1597">
            <v>8001</v>
          </cell>
        </row>
        <row r="1598">
          <cell r="A1598">
            <v>8002</v>
          </cell>
        </row>
        <row r="1599">
          <cell r="A1599">
            <v>8003</v>
          </cell>
        </row>
        <row r="1600">
          <cell r="A1600">
            <v>8004</v>
          </cell>
        </row>
        <row r="1601">
          <cell r="A1601">
            <v>8005</v>
          </cell>
        </row>
        <row r="1602">
          <cell r="A1602">
            <v>8006</v>
          </cell>
        </row>
        <row r="1603">
          <cell r="A1603">
            <v>8007</v>
          </cell>
        </row>
        <row r="1604">
          <cell r="A1604">
            <v>8008</v>
          </cell>
        </row>
        <row r="1605">
          <cell r="A1605">
            <v>8009</v>
          </cell>
        </row>
        <row r="1606">
          <cell r="A1606">
            <v>8010</v>
          </cell>
        </row>
        <row r="1607">
          <cell r="A1607">
            <v>8011</v>
          </cell>
        </row>
        <row r="1608">
          <cell r="A1608">
            <v>8012</v>
          </cell>
        </row>
        <row r="1609">
          <cell r="A1609">
            <v>8013</v>
          </cell>
        </row>
        <row r="1610">
          <cell r="A1610">
            <v>8014</v>
          </cell>
        </row>
        <row r="1611">
          <cell r="A1611">
            <v>8015</v>
          </cell>
        </row>
        <row r="1612">
          <cell r="A1612">
            <v>8016</v>
          </cell>
        </row>
        <row r="1613">
          <cell r="A1613">
            <v>8017</v>
          </cell>
        </row>
        <row r="1614">
          <cell r="A1614">
            <v>8018</v>
          </cell>
        </row>
        <row r="1615">
          <cell r="A1615">
            <v>8019</v>
          </cell>
        </row>
        <row r="1616">
          <cell r="A1616">
            <v>8020</v>
          </cell>
        </row>
        <row r="1617">
          <cell r="A1617">
            <v>8021</v>
          </cell>
        </row>
        <row r="1618">
          <cell r="A1618">
            <v>8022</v>
          </cell>
        </row>
        <row r="1619">
          <cell r="A1619">
            <v>8023</v>
          </cell>
        </row>
        <row r="1620">
          <cell r="A1620">
            <v>8024</v>
          </cell>
        </row>
        <row r="1621">
          <cell r="A1621">
            <v>8025</v>
          </cell>
        </row>
        <row r="1622">
          <cell r="A1622">
            <v>8026</v>
          </cell>
        </row>
        <row r="1623">
          <cell r="A1623">
            <v>8027</v>
          </cell>
        </row>
        <row r="1624">
          <cell r="A1624">
            <v>8028</v>
          </cell>
        </row>
        <row r="1625">
          <cell r="A1625">
            <v>8029</v>
          </cell>
        </row>
        <row r="1626">
          <cell r="A1626">
            <v>8030</v>
          </cell>
        </row>
        <row r="1627">
          <cell r="A1627">
            <v>8031</v>
          </cell>
        </row>
        <row r="1628">
          <cell r="A1628">
            <v>8032</v>
          </cell>
        </row>
        <row r="1629">
          <cell r="A1629">
            <v>8033</v>
          </cell>
        </row>
        <row r="1630">
          <cell r="A1630">
            <v>8034</v>
          </cell>
        </row>
        <row r="1631">
          <cell r="A1631">
            <v>8035</v>
          </cell>
        </row>
        <row r="1632">
          <cell r="A1632">
            <v>8036</v>
          </cell>
        </row>
        <row r="1633">
          <cell r="A1633">
            <v>8037</v>
          </cell>
        </row>
        <row r="1634">
          <cell r="A1634">
            <v>8038</v>
          </cell>
        </row>
        <row r="1635">
          <cell r="A1635">
            <v>8039</v>
          </cell>
        </row>
        <row r="1636">
          <cell r="A1636">
            <v>8040</v>
          </cell>
        </row>
        <row r="1637">
          <cell r="A1637">
            <v>8041</v>
          </cell>
        </row>
        <row r="1638">
          <cell r="A1638">
            <v>8042</v>
          </cell>
        </row>
        <row r="1639">
          <cell r="A1639">
            <v>8043</v>
          </cell>
        </row>
        <row r="1640">
          <cell r="A1640">
            <v>8044</v>
          </cell>
        </row>
        <row r="1641">
          <cell r="A1641">
            <v>8045</v>
          </cell>
        </row>
        <row r="1642">
          <cell r="A1642">
            <v>8046</v>
          </cell>
        </row>
        <row r="1643">
          <cell r="A1643">
            <v>8047</v>
          </cell>
        </row>
        <row r="1644">
          <cell r="A1644">
            <v>8048</v>
          </cell>
        </row>
        <row r="1645">
          <cell r="A1645">
            <v>8049</v>
          </cell>
        </row>
        <row r="1646">
          <cell r="A1646">
            <v>8050</v>
          </cell>
        </row>
        <row r="1647">
          <cell r="A1647">
            <v>8051</v>
          </cell>
        </row>
        <row r="1648">
          <cell r="A1648">
            <v>8052</v>
          </cell>
        </row>
        <row r="1649">
          <cell r="A1649">
            <v>8053</v>
          </cell>
        </row>
        <row r="1650">
          <cell r="A1650">
            <v>8054</v>
          </cell>
        </row>
        <row r="1651">
          <cell r="A1651">
            <v>8055</v>
          </cell>
        </row>
        <row r="1652">
          <cell r="A1652">
            <v>8056</v>
          </cell>
        </row>
        <row r="1653">
          <cell r="A1653">
            <v>8057</v>
          </cell>
        </row>
        <row r="1654">
          <cell r="A1654">
            <v>8058</v>
          </cell>
        </row>
        <row r="1655">
          <cell r="A1655">
            <v>8059</v>
          </cell>
        </row>
        <row r="1656">
          <cell r="A1656">
            <v>8060</v>
          </cell>
        </row>
        <row r="1657">
          <cell r="A1657">
            <v>8061</v>
          </cell>
        </row>
        <row r="1658">
          <cell r="A1658">
            <v>8062</v>
          </cell>
        </row>
        <row r="1659">
          <cell r="A1659">
            <v>8063</v>
          </cell>
        </row>
        <row r="1660">
          <cell r="A1660">
            <v>8064</v>
          </cell>
        </row>
        <row r="1661">
          <cell r="A1661">
            <v>8065</v>
          </cell>
        </row>
        <row r="1662">
          <cell r="A1662">
            <v>8066</v>
          </cell>
        </row>
        <row r="1663">
          <cell r="A1663">
            <v>8067</v>
          </cell>
        </row>
        <row r="1664">
          <cell r="A1664">
            <v>8068</v>
          </cell>
        </row>
        <row r="1665">
          <cell r="A1665">
            <v>8069</v>
          </cell>
        </row>
        <row r="1666">
          <cell r="A1666">
            <v>8070</v>
          </cell>
        </row>
        <row r="1667">
          <cell r="A1667">
            <v>8071</v>
          </cell>
        </row>
        <row r="1668">
          <cell r="A1668">
            <v>8072</v>
          </cell>
        </row>
        <row r="1669">
          <cell r="A1669">
            <v>8073</v>
          </cell>
        </row>
        <row r="1670">
          <cell r="A1670">
            <v>8074</v>
          </cell>
        </row>
        <row r="1671">
          <cell r="A1671">
            <v>8075</v>
          </cell>
        </row>
        <row r="1672">
          <cell r="A1672">
            <v>8076</v>
          </cell>
        </row>
        <row r="1673">
          <cell r="A1673">
            <v>8077</v>
          </cell>
        </row>
        <row r="1674">
          <cell r="A1674">
            <v>8078</v>
          </cell>
        </row>
        <row r="1675">
          <cell r="A1675">
            <v>8079</v>
          </cell>
        </row>
        <row r="1676">
          <cell r="A1676">
            <v>8080</v>
          </cell>
        </row>
        <row r="1677">
          <cell r="A1677">
            <v>8081</v>
          </cell>
        </row>
        <row r="1678">
          <cell r="A1678">
            <v>8082</v>
          </cell>
        </row>
        <row r="1679">
          <cell r="A1679">
            <v>8083</v>
          </cell>
        </row>
        <row r="1680">
          <cell r="A1680">
            <v>8084</v>
          </cell>
        </row>
        <row r="1681">
          <cell r="A1681">
            <v>8085</v>
          </cell>
        </row>
        <row r="1682">
          <cell r="A1682">
            <v>8086</v>
          </cell>
        </row>
        <row r="1683">
          <cell r="A1683">
            <v>8087</v>
          </cell>
        </row>
        <row r="1684">
          <cell r="A1684">
            <v>8088</v>
          </cell>
        </row>
        <row r="1685">
          <cell r="A1685">
            <v>8089</v>
          </cell>
        </row>
        <row r="1686">
          <cell r="A1686">
            <v>8090</v>
          </cell>
        </row>
        <row r="1687">
          <cell r="A1687">
            <v>8095</v>
          </cell>
        </row>
        <row r="1688">
          <cell r="A1688">
            <v>8096</v>
          </cell>
        </row>
        <row r="1689">
          <cell r="A1689">
            <v>8097</v>
          </cell>
        </row>
        <row r="1690">
          <cell r="A1690">
            <v>8098</v>
          </cell>
        </row>
        <row r="1691">
          <cell r="A1691">
            <v>8099</v>
          </cell>
        </row>
        <row r="1692">
          <cell r="A1692">
            <v>8100</v>
          </cell>
        </row>
        <row r="1693">
          <cell r="A1693">
            <v>8101</v>
          </cell>
        </row>
        <row r="1694">
          <cell r="A1694">
            <v>8102</v>
          </cell>
        </row>
        <row r="1695">
          <cell r="A1695">
            <v>8103</v>
          </cell>
        </row>
        <row r="1696">
          <cell r="A1696">
            <v>8104</v>
          </cell>
        </row>
        <row r="1697">
          <cell r="A1697">
            <v>8105</v>
          </cell>
        </row>
        <row r="1698">
          <cell r="A1698">
            <v>8106</v>
          </cell>
        </row>
        <row r="1699">
          <cell r="A1699">
            <v>8111</v>
          </cell>
        </row>
        <row r="1700">
          <cell r="A1700">
            <v>8112</v>
          </cell>
        </row>
        <row r="1701">
          <cell r="A1701">
            <v>8113</v>
          </cell>
        </row>
        <row r="1702">
          <cell r="A1702">
            <v>8114</v>
          </cell>
        </row>
        <row r="1703">
          <cell r="A1703">
            <v>8115</v>
          </cell>
        </row>
        <row r="1704">
          <cell r="A1704">
            <v>8116</v>
          </cell>
        </row>
        <row r="1705">
          <cell r="A1705">
            <v>8117</v>
          </cell>
        </row>
        <row r="1706">
          <cell r="A1706">
            <v>8118</v>
          </cell>
        </row>
        <row r="1707">
          <cell r="A1707">
            <v>8119</v>
          </cell>
        </row>
        <row r="1708">
          <cell r="A1708">
            <v>8120</v>
          </cell>
        </row>
        <row r="1709">
          <cell r="A1709">
            <v>8121</v>
          </cell>
        </row>
        <row r="1710">
          <cell r="A1710">
            <v>8122</v>
          </cell>
        </row>
        <row r="1711">
          <cell r="A1711">
            <v>8123</v>
          </cell>
        </row>
        <row r="1712">
          <cell r="A1712">
            <v>8124</v>
          </cell>
        </row>
        <row r="1713">
          <cell r="A1713">
            <v>8125</v>
          </cell>
        </row>
        <row r="1714">
          <cell r="A1714">
            <v>8126</v>
          </cell>
        </row>
        <row r="1715">
          <cell r="A1715">
            <v>8127</v>
          </cell>
        </row>
        <row r="1716">
          <cell r="A1716">
            <v>8128</v>
          </cell>
        </row>
        <row r="1717">
          <cell r="A1717">
            <v>8129</v>
          </cell>
        </row>
        <row r="1718">
          <cell r="A1718">
            <v>8130</v>
          </cell>
        </row>
        <row r="1719">
          <cell r="A1719">
            <v>8131</v>
          </cell>
        </row>
        <row r="1720">
          <cell r="A1720">
            <v>8132</v>
          </cell>
        </row>
        <row r="1721">
          <cell r="A1721">
            <v>8133</v>
          </cell>
        </row>
        <row r="1722">
          <cell r="A1722">
            <v>8134</v>
          </cell>
        </row>
        <row r="1723">
          <cell r="A1723">
            <v>8135</v>
          </cell>
        </row>
        <row r="1724">
          <cell r="A1724">
            <v>8136</v>
          </cell>
        </row>
        <row r="1725">
          <cell r="A1725">
            <v>8137</v>
          </cell>
        </row>
        <row r="1726">
          <cell r="A1726">
            <v>8138</v>
          </cell>
        </row>
        <row r="1727">
          <cell r="A1727">
            <v>9001</v>
          </cell>
        </row>
        <row r="1728">
          <cell r="A1728">
            <v>9002</v>
          </cell>
        </row>
        <row r="1729">
          <cell r="A1729">
            <v>9003</v>
          </cell>
        </row>
        <row r="1730">
          <cell r="A1730">
            <v>9004</v>
          </cell>
        </row>
        <row r="1731">
          <cell r="A1731">
            <v>9005</v>
          </cell>
        </row>
        <row r="1732">
          <cell r="A1732">
            <v>9006</v>
          </cell>
        </row>
        <row r="1733">
          <cell r="A1733">
            <v>9007</v>
          </cell>
        </row>
        <row r="1734">
          <cell r="A1734">
            <v>9008</v>
          </cell>
        </row>
        <row r="1735">
          <cell r="A1735">
            <v>10001</v>
          </cell>
        </row>
        <row r="1736">
          <cell r="A1736">
            <v>10002</v>
          </cell>
        </row>
        <row r="1737">
          <cell r="A1737">
            <v>10003</v>
          </cell>
        </row>
        <row r="1738">
          <cell r="A1738">
            <v>10004</v>
          </cell>
        </row>
        <row r="1739">
          <cell r="A1739">
            <v>10005</v>
          </cell>
        </row>
        <row r="1740">
          <cell r="A1740">
            <v>10006</v>
          </cell>
        </row>
        <row r="1741">
          <cell r="A1741">
            <v>10007</v>
          </cell>
        </row>
        <row r="1742">
          <cell r="A1742">
            <v>10008</v>
          </cell>
        </row>
        <row r="1743">
          <cell r="A1743">
            <v>10009</v>
          </cell>
        </row>
        <row r="1744">
          <cell r="A1744">
            <v>10010</v>
          </cell>
        </row>
        <row r="1745">
          <cell r="A1745">
            <v>10011</v>
          </cell>
        </row>
        <row r="1746">
          <cell r="A1746">
            <v>10012</v>
          </cell>
        </row>
        <row r="1747">
          <cell r="A1747">
            <v>10013</v>
          </cell>
        </row>
        <row r="1748">
          <cell r="A1748">
            <v>10014</v>
          </cell>
        </row>
        <row r="1749">
          <cell r="A1749">
            <v>10015</v>
          </cell>
        </row>
        <row r="1750">
          <cell r="A1750">
            <v>10016</v>
          </cell>
        </row>
        <row r="1751">
          <cell r="A1751">
            <v>10017</v>
          </cell>
        </row>
        <row r="1752">
          <cell r="A1752">
            <v>10018</v>
          </cell>
        </row>
        <row r="1753">
          <cell r="A1753">
            <v>10019</v>
          </cell>
        </row>
        <row r="1754">
          <cell r="A1754">
            <v>10020</v>
          </cell>
        </row>
        <row r="1755">
          <cell r="A1755">
            <v>10021</v>
          </cell>
        </row>
        <row r="1756">
          <cell r="A1756">
            <v>10022</v>
          </cell>
        </row>
        <row r="1757">
          <cell r="A1757">
            <v>10023</v>
          </cell>
        </row>
        <row r="1758">
          <cell r="A1758">
            <v>10024</v>
          </cell>
        </row>
        <row r="1759">
          <cell r="A1759">
            <v>10025</v>
          </cell>
        </row>
        <row r="1760">
          <cell r="A1760">
            <v>10026</v>
          </cell>
        </row>
        <row r="1761">
          <cell r="A1761">
            <v>10027</v>
          </cell>
        </row>
        <row r="1762">
          <cell r="A1762">
            <v>10028</v>
          </cell>
        </row>
        <row r="1763">
          <cell r="A1763">
            <v>10029</v>
          </cell>
        </row>
        <row r="1764">
          <cell r="A1764">
            <v>10030</v>
          </cell>
        </row>
        <row r="1765">
          <cell r="A1765">
            <v>10031</v>
          </cell>
        </row>
        <row r="1766">
          <cell r="A1766">
            <v>10032</v>
          </cell>
        </row>
        <row r="1767">
          <cell r="A1767">
            <v>10033</v>
          </cell>
        </row>
        <row r="1768">
          <cell r="A1768">
            <v>10034</v>
          </cell>
        </row>
        <row r="1769">
          <cell r="A1769">
            <v>10035</v>
          </cell>
        </row>
        <row r="1770">
          <cell r="A1770">
            <v>10036</v>
          </cell>
        </row>
        <row r="1771">
          <cell r="A1771">
            <v>10037</v>
          </cell>
        </row>
        <row r="1772">
          <cell r="A1772">
            <v>10038</v>
          </cell>
        </row>
        <row r="1773">
          <cell r="A1773">
            <v>10039</v>
          </cell>
        </row>
        <row r="1774">
          <cell r="A1774">
            <v>10040</v>
          </cell>
        </row>
        <row r="1775">
          <cell r="A1775">
            <v>10041</v>
          </cell>
        </row>
        <row r="1776">
          <cell r="A1776">
            <v>10042</v>
          </cell>
        </row>
        <row r="1777">
          <cell r="A1777">
            <v>10043</v>
          </cell>
        </row>
        <row r="1778">
          <cell r="A1778">
            <v>10044</v>
          </cell>
        </row>
        <row r="1779">
          <cell r="A1779">
            <v>10045</v>
          </cell>
        </row>
        <row r="1780">
          <cell r="A1780">
            <v>10046</v>
          </cell>
        </row>
        <row r="1781">
          <cell r="A1781">
            <v>10047</v>
          </cell>
        </row>
        <row r="1782">
          <cell r="A1782">
            <v>10048</v>
          </cell>
        </row>
        <row r="1783">
          <cell r="A1783">
            <v>10049</v>
          </cell>
        </row>
        <row r="1784">
          <cell r="A1784">
            <v>10050</v>
          </cell>
        </row>
        <row r="1785">
          <cell r="A1785">
            <v>10051</v>
          </cell>
        </row>
        <row r="1786">
          <cell r="A1786">
            <v>10052</v>
          </cell>
        </row>
        <row r="1787">
          <cell r="A1787">
            <v>10053</v>
          </cell>
        </row>
        <row r="1788">
          <cell r="A1788">
            <v>10054</v>
          </cell>
        </row>
        <row r="1789">
          <cell r="A1789">
            <v>10055</v>
          </cell>
        </row>
        <row r="1790">
          <cell r="A1790">
            <v>10056</v>
          </cell>
        </row>
        <row r="1791">
          <cell r="A1791">
            <v>10057</v>
          </cell>
        </row>
        <row r="1792">
          <cell r="A1792">
            <v>10058</v>
          </cell>
        </row>
        <row r="1793">
          <cell r="A1793">
            <v>10059</v>
          </cell>
        </row>
        <row r="1794">
          <cell r="A1794">
            <v>10060</v>
          </cell>
        </row>
        <row r="1795">
          <cell r="A1795">
            <v>10061</v>
          </cell>
        </row>
        <row r="1796">
          <cell r="A1796">
            <v>10062</v>
          </cell>
        </row>
        <row r="1797">
          <cell r="A1797">
            <v>10063</v>
          </cell>
        </row>
        <row r="1798">
          <cell r="A1798">
            <v>10064</v>
          </cell>
        </row>
        <row r="1799">
          <cell r="A1799">
            <v>10065</v>
          </cell>
        </row>
        <row r="1800">
          <cell r="A1800">
            <v>10066</v>
          </cell>
        </row>
        <row r="1801">
          <cell r="A1801">
            <v>10067</v>
          </cell>
        </row>
        <row r="1802">
          <cell r="A1802">
            <v>10068</v>
          </cell>
        </row>
        <row r="1803">
          <cell r="A1803">
            <v>10069</v>
          </cell>
        </row>
        <row r="1804">
          <cell r="A1804">
            <v>10070</v>
          </cell>
        </row>
        <row r="1805">
          <cell r="A1805">
            <v>10071</v>
          </cell>
        </row>
        <row r="1806">
          <cell r="A1806">
            <v>10072</v>
          </cell>
        </row>
        <row r="1807">
          <cell r="A1807">
            <v>10073</v>
          </cell>
        </row>
        <row r="1808">
          <cell r="A1808">
            <v>10074</v>
          </cell>
        </row>
        <row r="1809">
          <cell r="A1809">
            <v>10075</v>
          </cell>
        </row>
        <row r="1810">
          <cell r="A1810">
            <v>10076</v>
          </cell>
        </row>
        <row r="1811">
          <cell r="A1811">
            <v>10077</v>
          </cell>
        </row>
        <row r="1812">
          <cell r="A1812">
            <v>10078</v>
          </cell>
        </row>
        <row r="1813">
          <cell r="A1813">
            <v>10079</v>
          </cell>
        </row>
        <row r="1814">
          <cell r="A1814">
            <v>10080</v>
          </cell>
        </row>
        <row r="1815">
          <cell r="A1815">
            <v>10081</v>
          </cell>
        </row>
        <row r="1816">
          <cell r="A1816">
            <v>10082</v>
          </cell>
        </row>
        <row r="1817">
          <cell r="A1817">
            <v>10083</v>
          </cell>
        </row>
        <row r="1818">
          <cell r="A1818">
            <v>10084</v>
          </cell>
        </row>
        <row r="1819">
          <cell r="A1819">
            <v>10085</v>
          </cell>
        </row>
        <row r="1820">
          <cell r="A1820">
            <v>10086</v>
          </cell>
        </row>
        <row r="1821">
          <cell r="A1821">
            <v>10087</v>
          </cell>
        </row>
        <row r="1822">
          <cell r="A1822">
            <v>10088</v>
          </cell>
        </row>
        <row r="1823">
          <cell r="A1823">
            <v>10089</v>
          </cell>
        </row>
        <row r="1824">
          <cell r="A1824">
            <v>10090</v>
          </cell>
        </row>
        <row r="1825">
          <cell r="A1825">
            <v>10101</v>
          </cell>
        </row>
        <row r="1826">
          <cell r="A1826">
            <v>10102</v>
          </cell>
        </row>
        <row r="1827">
          <cell r="A1827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 refreshError="1"/>
      <sheetData sheetId="1" refreshError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9" sqref="A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258</v>
      </c>
      <c r="B2" s="57" t="s">
        <v>105</v>
      </c>
      <c r="C2" s="62">
        <v>39014</v>
      </c>
      <c r="D2" s="57" t="s">
        <v>106</v>
      </c>
      <c r="E2" s="56" t="str">
        <f>B2&amp;C2&amp;D2</f>
        <v>floors_39014.tmp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258</v>
      </c>
      <c r="B3" s="57" t="s">
        <v>108</v>
      </c>
      <c r="C3" s="62">
        <v>39014</v>
      </c>
      <c r="D3" s="57" t="s">
        <v>106</v>
      </c>
      <c r="E3" s="56" t="str">
        <f>B3&amp;C3&amp;D3</f>
        <v>enemy_habitats_39014.tmp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258</v>
      </c>
      <c r="B4" s="57" t="s">
        <v>110</v>
      </c>
      <c r="C4" s="62">
        <v>39014</v>
      </c>
      <c r="D4" s="57" t="s">
        <v>106</v>
      </c>
      <c r="E4" s="56" t="str">
        <f>B4&amp;C4&amp;D4</f>
        <v>enemy_habitat_S_39014.tmp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258</v>
      </c>
      <c r="B5" s="57" t="s">
        <v>112</v>
      </c>
      <c r="C5" s="62">
        <v>39014</v>
      </c>
      <c r="D5" s="57" t="s">
        <v>106</v>
      </c>
      <c r="E5" s="56" t="str">
        <f>B5&amp;C5&amp;D5</f>
        <v>enemy_skill_sets_39014.tmp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258</v>
      </c>
      <c r="B6" s="57" t="s">
        <v>114</v>
      </c>
      <c r="C6" s="62">
        <v>39014</v>
      </c>
      <c r="D6" s="57" t="s">
        <v>115</v>
      </c>
      <c r="E6" s="56" t="str">
        <f t="shared" ref="E6:E10" si="0">B6&amp;C6&amp;D6</f>
        <v>enemy_skills_tmp_39014.tmp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258</v>
      </c>
      <c r="B7" s="57" t="s">
        <v>116</v>
      </c>
      <c r="C7" s="62">
        <v>39014</v>
      </c>
      <c r="D7" s="57" t="s">
        <v>106</v>
      </c>
      <c r="E7" s="56" t="str">
        <f>B7&amp;C7&amp;D7</f>
        <v>enemy_skills_i18n_39014.tmp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258</v>
      </c>
      <c r="B8" s="57" t="s">
        <v>118</v>
      </c>
      <c r="C8" s="62">
        <v>39014</v>
      </c>
      <c r="D8" s="57" t="s">
        <v>119</v>
      </c>
      <c r="E8" s="56" t="str">
        <f t="shared" si="0"/>
        <v>enemy_skill_triggers_39014.tmp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322</v>
      </c>
      <c r="B9" s="67" t="s">
        <v>177</v>
      </c>
      <c r="C9" s="62">
        <v>39014</v>
      </c>
      <c r="D9" s="67" t="s">
        <v>171</v>
      </c>
      <c r="E9" s="68" t="str">
        <f t="shared" si="0"/>
        <v>stage_bug_bonuses_39014.tmp</v>
      </c>
      <c r="F9" s="67" t="s">
        <v>172</v>
      </c>
      <c r="G9" s="64" t="s">
        <v>149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155</v>
      </c>
      <c r="M9" s="64" t="s">
        <v>156</v>
      </c>
      <c r="N9" s="64" t="s">
        <v>157</v>
      </c>
      <c r="O9" s="64" t="s">
        <v>158</v>
      </c>
      <c r="P9" s="64" t="s">
        <v>159</v>
      </c>
      <c r="Q9" s="64" t="s">
        <v>160</v>
      </c>
      <c r="R9" s="64" t="s">
        <v>161</v>
      </c>
      <c r="S9" s="64" t="s">
        <v>162</v>
      </c>
      <c r="T9" s="64" t="s">
        <v>163</v>
      </c>
      <c r="U9" s="64" t="s">
        <v>164</v>
      </c>
      <c r="V9" s="64" t="s">
        <v>165</v>
      </c>
      <c r="W9" s="64" t="s">
        <v>166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322</v>
      </c>
      <c r="B10" s="67" t="s">
        <v>200</v>
      </c>
      <c r="C10" s="62">
        <v>39014</v>
      </c>
      <c r="D10" s="67" t="s">
        <v>180</v>
      </c>
      <c r="E10" s="68" t="str">
        <f t="shared" si="0"/>
        <v>stage_hints_data_c_39014.tmp</v>
      </c>
      <c r="F10" s="67" t="s">
        <v>208</v>
      </c>
      <c r="G10" s="73" t="s">
        <v>181</v>
      </c>
      <c r="H10" s="73" t="s">
        <v>173</v>
      </c>
      <c r="I10" s="74" t="s">
        <v>182</v>
      </c>
      <c r="J10" s="66" t="s">
        <v>183</v>
      </c>
      <c r="K10" s="66" t="s">
        <v>184</v>
      </c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</row>
    <row r="11" spans="1:30" s="75" customFormat="1" x14ac:dyDescent="0.15">
      <c r="A11" s="61" t="s">
        <v>322</v>
      </c>
      <c r="B11" s="67" t="s">
        <v>201</v>
      </c>
      <c r="C11" s="62">
        <v>39014</v>
      </c>
      <c r="D11" s="67" t="s">
        <v>171</v>
      </c>
      <c r="E11" s="68" t="str">
        <f t="shared" ref="E11:E13" si="1">B11&amp;C11&amp;D11</f>
        <v>stage_hints_data_f_39014.tmp</v>
      </c>
      <c r="F11" s="67" t="s">
        <v>210</v>
      </c>
      <c r="G11" s="73" t="s">
        <v>181</v>
      </c>
      <c r="H11" s="73" t="s">
        <v>173</v>
      </c>
      <c r="I11" s="74" t="s">
        <v>182</v>
      </c>
      <c r="J11" s="66" t="s">
        <v>183</v>
      </c>
      <c r="K11" s="66" t="s">
        <v>184</v>
      </c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</row>
    <row r="12" spans="1:30" s="75" customFormat="1" x14ac:dyDescent="0.15">
      <c r="A12" s="61" t="s">
        <v>322</v>
      </c>
      <c r="B12" s="67" t="s">
        <v>202</v>
      </c>
      <c r="C12" s="62">
        <v>39014</v>
      </c>
      <c r="D12" s="67" t="s">
        <v>171</v>
      </c>
      <c r="E12" s="68" t="str">
        <f t="shared" si="1"/>
        <v>stage_hints_i18n_39014.tmp</v>
      </c>
      <c r="F12" s="67" t="s">
        <v>211</v>
      </c>
      <c r="G12" s="74" t="s">
        <v>203</v>
      </c>
      <c r="H12" s="95" t="s">
        <v>204</v>
      </c>
      <c r="I12" s="73" t="s">
        <v>205</v>
      </c>
      <c r="J12" s="103" t="s">
        <v>206</v>
      </c>
      <c r="K12" s="66" t="s">
        <v>207</v>
      </c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</row>
    <row r="13" spans="1:30" s="75" customFormat="1" x14ac:dyDescent="0.15">
      <c r="A13" s="67" t="s">
        <v>253</v>
      </c>
      <c r="B13" s="67" t="s">
        <v>252</v>
      </c>
      <c r="C13" s="62">
        <v>39014</v>
      </c>
      <c r="D13" s="67" t="s">
        <v>233</v>
      </c>
      <c r="E13" s="68" t="str">
        <f t="shared" si="1"/>
        <v>stage_bonuses_39014.tmp</v>
      </c>
      <c r="F13" s="67" t="s">
        <v>232</v>
      </c>
      <c r="G13" s="73" t="s">
        <v>234</v>
      </c>
      <c r="H13" s="73" t="s">
        <v>235</v>
      </c>
      <c r="I13" s="73" t="s">
        <v>236</v>
      </c>
      <c r="J13" s="73" t="s">
        <v>237</v>
      </c>
      <c r="K13" s="73" t="s">
        <v>238</v>
      </c>
      <c r="L13" s="73" t="s">
        <v>239</v>
      </c>
      <c r="M13" s="73" t="s">
        <v>240</v>
      </c>
      <c r="N13" s="73" t="s">
        <v>241</v>
      </c>
      <c r="O13" s="73" t="s">
        <v>242</v>
      </c>
      <c r="P13" s="73" t="s">
        <v>243</v>
      </c>
      <c r="Q13" s="73" t="s">
        <v>244</v>
      </c>
      <c r="R13" s="73" t="s">
        <v>245</v>
      </c>
      <c r="S13" s="73" t="s">
        <v>246</v>
      </c>
      <c r="T13" s="73" t="s">
        <v>247</v>
      </c>
      <c r="U13" s="73" t="s">
        <v>248</v>
      </c>
      <c r="V13" s="73" t="s">
        <v>249</v>
      </c>
      <c r="W13" s="73" t="s">
        <v>250</v>
      </c>
      <c r="X13" s="73" t="s">
        <v>251</v>
      </c>
      <c r="Y13" s="102"/>
      <c r="Z13" s="102"/>
      <c r="AA13" s="102"/>
      <c r="AB13" s="102"/>
      <c r="AC13" s="102"/>
      <c r="AD13" s="102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39014_1-1</v>
      </c>
      <c r="B2" s="16" t="str">
        <f>IF(COUNTIF(enemy_habitats!$H:$H,A2),"OK","NG")</f>
        <v>OK</v>
      </c>
      <c r="C2" s="7">
        <v>39014</v>
      </c>
      <c r="D2" s="11" t="str">
        <f ca="1">VLOOKUP($C2,OFFSET([2]quests!$A$1,0,0,COUNTA([2]quests!$A:$A),MATCH(D$1,[2]quests!$1:$1,0)-MATCH($C$1,[2]quests!$1:$1,0)+1),MATCH(D$1,[2]quests!$1:$1,0)-MATCH($C$1,[2]quests!$1:$1,0)+1,FALSE)</f>
        <v>金券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21">
        <v>1</v>
      </c>
      <c r="G2" s="23" t="str">
        <f>C2&amp;"_"&amp;F2</f>
        <v>39014_1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【超級】金券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39014_1-2</v>
      </c>
      <c r="B3" s="16" t="str">
        <f>IF(COUNTIF(enemy_habitats!$H:$H,A3),"OK","NG")</f>
        <v>OK</v>
      </c>
      <c r="C3" s="7">
        <v>39014</v>
      </c>
      <c r="D3" s="11" t="str">
        <f ca="1">VLOOKUP($C3,OFFSET([2]quests!$A$1,0,0,COUNTA([2]quests!$A:$A),MATCH(D$1,[2]quests!$1:$1,0)-MATCH($C$1,[2]quests!$1:$1,0)+1),MATCH(D$1,[2]quests!$1:$1,0)-MATCH($C$1,[2]quests!$1:$1,0)+1,FALSE)</f>
        <v>金券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21">
        <v>1</v>
      </c>
      <c r="G3" s="23" t="str">
        <f>C3&amp;"_"&amp;F3</f>
        <v>39014_1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【超級】金券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39014_1-3</v>
      </c>
      <c r="B4" s="16" t="str">
        <f>IF(COUNTIF(enemy_habitats!$H:$H,A4),"OK","NG")</f>
        <v>OK</v>
      </c>
      <c r="C4" s="7">
        <v>39014</v>
      </c>
      <c r="D4" s="11" t="str">
        <f ca="1">VLOOKUP($C4,OFFSET([2]quests!$A$1,0,0,COUNTA([2]quests!$A:$A),MATCH(D$1,[2]quests!$1:$1,0)-MATCH($C$1,[2]quests!$1:$1,0)+1),MATCH(D$1,[2]quests!$1:$1,0)-MATCH($C$1,[2]quests!$1:$1,0)+1,FALSE)</f>
        <v>金券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21">
        <v>1</v>
      </c>
      <c r="G4" s="23" t="str">
        <f>C4&amp;"_"&amp;F4</f>
        <v>39014_1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【超級】金券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9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5" sqref="L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6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4" t="s">
        <v>254</v>
      </c>
      <c r="U1" s="26" t="s">
        <v>50</v>
      </c>
      <c r="V1" s="104" t="s">
        <v>255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>B2&amp;"_"&amp;C2&amp;"-"&amp;G2&amp;"/"&amp;L2&amp;"&lt;lv"&amp;R2&amp;"&gt;s"&amp;AC2</f>
        <v>39014_1-1/1578&lt;lv79&gt;s3</v>
      </c>
      <c r="B2" s="22">
        <v>39014</v>
      </c>
      <c r="C2" s="21">
        <v>1</v>
      </c>
      <c r="D2" s="2" t="str">
        <f>B2&amp;"_"&amp;C2</f>
        <v>39014_1</v>
      </c>
      <c r="E2" s="4" t="str">
        <f ca="1">VLOOKUP($B2,OFFSET([2]quests!$A$1,0,0,COUNTA([2]quests!$A:$A),MATCH(E$1,[2]quests!$1:$1,0)-MATCH($B$1,[2]quests!$1:$1,0)+1),MATCH(E$1,[2]quests!$1:$1,0)-MATCH($B$1,[2]quests!$1:$1,0)+1,FALSE)</f>
        <v>金券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【超級】金券</v>
      </c>
      <c r="G2" s="21">
        <v>1</v>
      </c>
      <c r="H2" s="15" t="str">
        <f>B2&amp;"_"&amp;C2&amp;"-"&amp;G2</f>
        <v>39014_1-1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1578</v>
      </c>
      <c r="M2" s="17" t="str">
        <f ca="1">VLOOKUP($L2,OFFSET([3]enemies!$A$1,0,0,COUNTA([3]enemies!$A:$A),MATCH(M$1,[3]enemies!$1:$1,0)-MATCH($L$1,[3]enemies!$1:$1,0)+1),MATCH(M$1,[3]enemies!$1:$1,0)-MATCH($L$1,[3]enemies!$1:$1,0)+1,FALSE)</f>
        <v>Hydra01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79</v>
      </c>
      <c r="S2" s="25">
        <f>80000/186527</f>
        <v>0.42889233194122028</v>
      </c>
      <c r="T2" s="105">
        <f>186527*S2</f>
        <v>80000</v>
      </c>
      <c r="U2" s="25">
        <f>3000/7546</f>
        <v>0.39756162205141798</v>
      </c>
      <c r="V2" s="105">
        <f>7546*U2</f>
        <v>3000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2" s="4">
        <v>39014001</v>
      </c>
      <c r="Z2" s="6">
        <v>1</v>
      </c>
      <c r="AA2" s="6">
        <v>100</v>
      </c>
      <c r="AB2" s="6">
        <v>0</v>
      </c>
      <c r="AC2" s="17">
        <v>3</v>
      </c>
      <c r="AD2" s="24">
        <f>L2</f>
        <v>1578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Hydra01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4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>B3&amp;"_"&amp;C3&amp;"-"&amp;G3&amp;"/"&amp;L3&amp;"&lt;lv"&amp;R3&amp;"&gt;s"&amp;AC3</f>
        <v>39014_1-1/1577&lt;lv80&gt;s1</v>
      </c>
      <c r="B3" s="22">
        <v>39014</v>
      </c>
      <c r="C3" s="21">
        <v>1</v>
      </c>
      <c r="D3" s="2" t="str">
        <f>B3&amp;"_"&amp;C3</f>
        <v>39014_1</v>
      </c>
      <c r="E3" s="4" t="str">
        <f ca="1">VLOOKUP($B3,OFFSET([2]quests!$A$1,0,0,COUNTA([2]quests!$A:$A),MATCH(E$1,[2]quests!$1:$1,0)-MATCH($B$1,[2]quests!$1:$1,0)+1),MATCH(E$1,[2]quests!$1:$1,0)-MATCH($B$1,[2]quests!$1:$1,0)+1,FALSE)</f>
        <v>金券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【超級】金券</v>
      </c>
      <c r="G3" s="21">
        <v>1</v>
      </c>
      <c r="H3" s="15" t="str">
        <f>B3&amp;"_"&amp;C3&amp;"-"&amp;G3</f>
        <v>39014_1-1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1577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Perseus01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5">
        <v>0.5</v>
      </c>
      <c r="T3" s="105">
        <f>127633*S3</f>
        <v>63816.5</v>
      </c>
      <c r="U3" s="25">
        <f>3000/11836</f>
        <v>0.25346400811084824</v>
      </c>
      <c r="V3" s="105">
        <f>11836*U3</f>
        <v>2999.9999999999995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3" s="4">
        <v>39014002</v>
      </c>
      <c r="Z3" s="6">
        <v>1</v>
      </c>
      <c r="AA3" s="6">
        <v>100</v>
      </c>
      <c r="AB3" s="6">
        <v>0</v>
      </c>
      <c r="AC3" s="17">
        <v>1</v>
      </c>
      <c r="AD3" s="24">
        <f>L3</f>
        <v>1577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Perseus01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ca="1">AF3</f>
        <v>5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>B4&amp;"_"&amp;C4&amp;"-"&amp;G4&amp;"/"&amp;L4&amp;"&lt;lv"&amp;R4&amp;"&gt;s"&amp;AC4</f>
        <v>39014_1-2/1575&lt;lv80&gt;s1</v>
      </c>
      <c r="B4" s="22">
        <v>39014</v>
      </c>
      <c r="C4" s="21">
        <v>1</v>
      </c>
      <c r="D4" s="2" t="str">
        <f>B4&amp;"_"&amp;C4</f>
        <v>39014_1</v>
      </c>
      <c r="E4" s="4" t="str">
        <f ca="1">VLOOKUP($B4,OFFSET([2]quests!$A$1,0,0,COUNTA([2]quests!$A:$A),MATCH(E$1,[2]quests!$1:$1,0)-MATCH($B$1,[2]quests!$1:$1,0)+1),MATCH(E$1,[2]quests!$1:$1,0)-MATCH($B$1,[2]quests!$1:$1,0)+1,FALSE)</f>
        <v>金券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【超級】金券</v>
      </c>
      <c r="G4" s="21">
        <v>2</v>
      </c>
      <c r="H4" s="15" t="str">
        <f>B4&amp;"_"&amp;C4&amp;"-"&amp;G4</f>
        <v>39014_1-2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1575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Aquarius01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5">
        <f>150000/130237</f>
        <v>1.1517464315056398</v>
      </c>
      <c r="T4" s="105">
        <f>130237*S4</f>
        <v>150000</v>
      </c>
      <c r="U4" s="25">
        <f>5000/11484</f>
        <v>0.43538836642284917</v>
      </c>
      <c r="V4" s="105">
        <f>11484*U4</f>
        <v>5000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4" s="4">
        <v>39014003</v>
      </c>
      <c r="Z4" s="6">
        <v>1</v>
      </c>
      <c r="AA4" s="6">
        <v>100</v>
      </c>
      <c r="AB4" s="6">
        <v>0</v>
      </c>
      <c r="AC4" s="17">
        <v>1</v>
      </c>
      <c r="AD4" s="24">
        <f>L4</f>
        <v>1575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Aquarius01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ca="1">AF4</f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>B5&amp;"_"&amp;C5&amp;"-"&amp;G5&amp;"/"&amp;L5&amp;"&lt;lv"&amp;R5&amp;"&gt;s"&amp;AC5</f>
        <v>39014_1-3/1575&lt;lv81&gt;s1</v>
      </c>
      <c r="B5" s="22">
        <v>39014</v>
      </c>
      <c r="C5" s="21">
        <v>1</v>
      </c>
      <c r="D5" s="2" t="str">
        <f>B5&amp;"_"&amp;C5</f>
        <v>39014_1</v>
      </c>
      <c r="E5" s="4" t="str">
        <f ca="1">VLOOKUP($B5,OFFSET([2]quests!$A$1,0,0,COUNTA([2]quests!$A:$A),MATCH(E$1,[2]quests!$1:$1,0)-MATCH($B$1,[2]quests!$1:$1,0)+1),MATCH(E$1,[2]quests!$1:$1,0)-MATCH($B$1,[2]quests!$1:$1,0)+1,FALSE)</f>
        <v>金券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【超級】金券</v>
      </c>
      <c r="G5" s="21">
        <v>3</v>
      </c>
      <c r="H5" s="15" t="str">
        <f>B5&amp;"_"&amp;C5&amp;"-"&amp;G5</f>
        <v>39014_1-3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0">
        <v>1575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Aquarius01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81</v>
      </c>
      <c r="S5" s="25">
        <f>170000/131835</f>
        <v>1.2894906511927788</v>
      </c>
      <c r="T5" s="105">
        <f>131835*S5</f>
        <v>170000</v>
      </c>
      <c r="U5" s="25">
        <f>6000/11625</f>
        <v>0.5161290322580645</v>
      </c>
      <c r="V5" s="105">
        <f>11625*U5</f>
        <v>6000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5" s="4">
        <v>39014004</v>
      </c>
      <c r="Z5" s="6">
        <v>1</v>
      </c>
      <c r="AA5" s="6">
        <v>100</v>
      </c>
      <c r="AB5" s="6">
        <v>1</v>
      </c>
      <c r="AC5" s="17">
        <v>1</v>
      </c>
      <c r="AD5" s="24">
        <f>L5</f>
        <v>1575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Aquarius01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7">
        <v>1</v>
      </c>
      <c r="AI5" s="24">
        <f ca="1">AF5</f>
        <v>5</v>
      </c>
      <c r="AJ5" s="8">
        <v>100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9" spans="1:42" ht="21" customHeight="1" x14ac:dyDescent="0.15">
      <c r="Y9" s="47">
        <v>39014001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T2" sqref="T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4" t="s">
        <v>254</v>
      </c>
      <c r="V1" s="26" t="s">
        <v>50</v>
      </c>
      <c r="W1" s="104" t="s">
        <v>255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39014_1-3/1576&lt;lv80&gt;sq1st2</v>
      </c>
      <c r="B2" s="22">
        <v>39014</v>
      </c>
      <c r="C2" s="21">
        <v>1</v>
      </c>
      <c r="D2" s="2" t="str">
        <f>B2&amp;"_"&amp;C2</f>
        <v>39014_1</v>
      </c>
      <c r="E2" s="4" t="str">
        <f ca="1">VLOOKUP($B2,OFFSET([2]quests!$A$1,0,0,COUNTA([2]quests!$A:$A),MATCH(E$1,[2]quests!$1:$1,0)-MATCH($B$1,[2]quests!$1:$1,0)+1),MATCH(E$1,[2]quests!$1:$1,0)-MATCH($B$1,[2]quests!$1:$1,0)+1,FALSE)</f>
        <v>金券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【超級】金券</v>
      </c>
      <c r="G2" s="21">
        <v>3</v>
      </c>
      <c r="H2" s="15" t="str">
        <f>B2&amp;"_"&amp;C2&amp;"-"&amp;G2</f>
        <v>39014_1-3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1576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Aquarius02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1.7</v>
      </c>
      <c r="U2" s="105">
        <f>130237*T2</f>
        <v>221402.9</v>
      </c>
      <c r="V2" s="25">
        <f>6000/11484</f>
        <v>0.52246603970741901</v>
      </c>
      <c r="W2" s="105">
        <f>11484*V2</f>
        <v>6000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2" s="4">
        <v>39014005</v>
      </c>
      <c r="AA2" s="70">
        <v>1</v>
      </c>
    </row>
    <row r="4" spans="1:27" ht="21" customHeight="1" x14ac:dyDescent="0.15">
      <c r="Z4" s="113">
        <v>39014001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9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C94" sqref="C94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39014001_39014001</v>
      </c>
      <c r="B2" s="47">
        <v>39014001</v>
      </c>
      <c r="C2" s="107">
        <v>39014001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チョイと顔を見合わせ_x000D_笑っている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107">
        <v>39014001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" si="1">B3&amp;"_"&amp;C3</f>
        <v>39014001_39014002</v>
      </c>
      <c r="B3" s="47">
        <v>39014001</v>
      </c>
      <c r="C3" s="107">
        <v>39014002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コーハン行くッス！！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特定エリアを赤パネルに変換+_x000D_単体攻撃</v>
      </c>
      <c r="F3" s="107">
        <v>39014002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39014001_39014003</v>
      </c>
      <c r="B4" s="47">
        <v>39014001</v>
      </c>
      <c r="C4" s="107">
        <v>39014003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いっくどー！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クリティカル！！</v>
      </c>
      <c r="F4" s="107">
        <v>39014003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39014002_39014004</v>
      </c>
      <c r="B5" s="47">
        <v>39014002</v>
      </c>
      <c r="C5" s="108">
        <v>39014004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チャンと顔を見合わせ_x000D_笑っている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" s="108">
        <v>39014004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:A16" si="2">B6&amp;"_"&amp;C6</f>
        <v>39014002_39014005</v>
      </c>
      <c r="B6" s="47">
        <v>39014002</v>
      </c>
      <c r="C6" s="108">
        <v>39014005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斬るでヤンス！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特定エリアを黄パネルに変換+_x000D_単体攻撃</v>
      </c>
      <c r="F6" s="108">
        <v>39014005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39014002_39014006</v>
      </c>
      <c r="B7" s="47">
        <v>39014002</v>
      </c>
      <c r="C7" s="108">
        <v>39014006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キリキリまいまーい！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7" s="108">
        <v>39014006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39014003_39014007</v>
      </c>
      <c r="B8" s="47">
        <v>39014003</v>
      </c>
      <c r="C8" s="107">
        <v>39014007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ゆくぞっ！！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" s="107">
        <v>39014007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39014003_39014008</v>
      </c>
      <c r="B9" s="47">
        <v>39014003</v>
      </c>
      <c r="C9" s="107">
        <v>39014008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ハッハッハ！_x000D_私に追いついてみなさい！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状態異常耐性　</v>
      </c>
      <c r="F9" s="107">
        <v>39014008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503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2"/>
        <v>39014003_39014009</v>
      </c>
      <c r="B10" s="47">
        <v>39014003</v>
      </c>
      <c r="C10" s="107">
        <v>39014009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ハッハッハ！_x000D_私に追いついてみなさい！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" s="107">
        <v>39014009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39014003_39014010</v>
      </c>
      <c r="B11" s="47">
        <v>39014003</v>
      </c>
      <c r="C11" s="107">
        <v>39014010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誰であろうと手加減しませんよ！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" s="107">
        <v>39014010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2"/>
        <v>39014003_39014011</v>
      </c>
      <c r="B12" s="47">
        <v>39014003</v>
      </c>
      <c r="C12" s="107">
        <v>39014011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誰であろうと手加減しませんよ！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" s="107">
        <v>39014011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39014003_39014012</v>
      </c>
      <c r="B13" s="47">
        <v>39014003</v>
      </c>
      <c r="C13" s="107">
        <v>39014012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テコンドーの足技！_x000D_お見せしましょう！！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3" s="107">
        <v>39014012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39014003_39014013</v>
      </c>
      <c r="B14" s="47">
        <v>39014003</v>
      </c>
      <c r="C14" s="107">
        <v>39014013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テコンドーの足技！_x000D_お見せしましょう！！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4" s="107">
        <v>39014013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39014003_39014014</v>
      </c>
      <c r="B15" s="47">
        <v>39014003</v>
      </c>
      <c r="C15" s="107">
        <v>39014014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自分のことばかり考えていると_x000D_大事なものを失うぞ！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5" s="107">
        <v>39014014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39014003_39014015</v>
      </c>
      <c r="B16" s="47">
        <v>39014003</v>
      </c>
      <c r="C16" s="107">
        <v>39014015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自分のことばかり考えていると_x000D_大事なものを失うぞ！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6" s="107">
        <v>39014015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:A19" si="3">B17&amp;"_"&amp;C17</f>
        <v>39014003_39014016</v>
      </c>
      <c r="B17" s="47">
        <v>39014003</v>
      </c>
      <c r="C17" s="107">
        <v>39014016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悪は許さん！！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7" s="107">
        <v>39014016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3"/>
        <v>39014003_39014017</v>
      </c>
      <c r="B18" s="47">
        <v>39014003</v>
      </c>
      <c r="C18" s="107">
        <v>39014017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悪は許さん！！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8" s="107">
        <v>39014017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3"/>
        <v>39014003_39014018</v>
      </c>
      <c r="B19" s="47">
        <v>39014003</v>
      </c>
      <c r="C19" s="107">
        <v>39014018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悪は許さん！！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9" s="107">
        <v>39014018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" si="4">B20&amp;"_"&amp;C20</f>
        <v>39014003_39014019</v>
      </c>
      <c r="B20" s="47">
        <v>39014003</v>
      </c>
      <c r="C20" s="107">
        <v>39014019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ハッハッハ！_x000D_私に追いついてみなさい！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0" s="107">
        <v>39014019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:A24" si="5">B21&amp;"_"&amp;C21</f>
        <v>39014003_39014020</v>
      </c>
      <c r="B21" s="47">
        <v>39014003</v>
      </c>
      <c r="C21" s="107">
        <v>39014020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ハッハッハ！_x000D_私に追いついてみなさい！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1" s="107">
        <v>39014020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5"/>
        <v>39014003_39014021</v>
      </c>
      <c r="B22" s="47">
        <v>39014003</v>
      </c>
      <c r="C22" s="107">
        <v>39014021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ここだっ！！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ランダムで、全パネルをお邪魔パネルに(最大5個)変換+_x000D_単体攻撃</v>
      </c>
      <c r="F22" s="107">
        <v>39014021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5"/>
        <v>39014003_39014022</v>
      </c>
      <c r="B23" s="47">
        <v>39014003</v>
      </c>
      <c r="C23" s="107">
        <v>39014022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見切った！！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お邪魔パネルを全て吸収して攻撃</v>
      </c>
      <c r="F23" s="107">
        <v>39014022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5"/>
        <v>39014003_39014023</v>
      </c>
      <c r="B24" s="47">
        <v>39014003</v>
      </c>
      <c r="C24" s="107">
        <v>39014023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飛燕斬！！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２回連続攻撃</v>
      </c>
      <c r="F24" s="107">
        <v>39014023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ref="A25:A33" si="6">B25&amp;"_"&amp;C25</f>
        <v>39014003_39014024</v>
      </c>
      <c r="B25" s="47">
        <v>39014003</v>
      </c>
      <c r="C25" s="107">
        <v>39014024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半月斬！！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5" s="107">
        <v>39014024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6"/>
        <v>39014003_39014025</v>
      </c>
      <c r="B26" s="47">
        <v>39014003</v>
      </c>
      <c r="C26" s="107">
        <v>39014025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飛翔脚！！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6" s="107">
        <v>39014025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6"/>
        <v>39014003_39014026</v>
      </c>
      <c r="B27" s="47">
        <v>39014003</v>
      </c>
      <c r="C27" s="107">
        <v>39014026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「はあぁ！！」_x000D_キムは構えている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表示なし</v>
      </c>
      <c r="F27" s="107">
        <v>39014026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6"/>
        <v>39014003_39014027</v>
      </c>
      <c r="B28" s="47">
        <v>39014003</v>
      </c>
      <c r="C28" s="107">
        <v>39014027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「鳳凰脚！！」_x000D_あたたた…あたぁ！！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１２回連続攻撃</v>
      </c>
      <c r="F28" s="107">
        <v>39014027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6"/>
        <v>39014003_39014028</v>
      </c>
      <c r="B29" s="47">
        <v>39014003</v>
      </c>
      <c r="C29" s="107">
        <v>39014028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「はあぁ！！」_x000D_キムは構えている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表示なし</v>
      </c>
      <c r="F29" s="107">
        <v>39014028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6"/>
        <v>39014003_39014029</v>
      </c>
      <c r="B30" s="47">
        <v>39014003</v>
      </c>
      <c r="C30" s="107">
        <v>39014029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「鳳凰脚！！」_x000D_あたたた…あたぁ！！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１２回連続攻撃</v>
      </c>
      <c r="F30" s="107">
        <v>39014029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6"/>
        <v>39014003_39014030</v>
      </c>
      <c r="B31" s="47">
        <v>39014003</v>
      </c>
      <c r="C31" s="107">
        <v>39014030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「はあぁ！！」_x000D_キムは構えている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表示なし</v>
      </c>
      <c r="F31" s="107">
        <v>39014030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14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6"/>
        <v>39014003_39014031</v>
      </c>
      <c r="B32" s="47">
        <v>39014003</v>
      </c>
      <c r="C32" s="107">
        <v>39014031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「鳳凰脚！！」_x000D_あたたた…あたぁ！！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１２回連続攻撃</v>
      </c>
      <c r="F32" s="107">
        <v>39014031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15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6"/>
        <v>39014003_39014032</v>
      </c>
      <c r="B33" s="47">
        <v>39014003</v>
      </c>
      <c r="C33" s="107">
        <v>39014032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「はあぁ！！」_x000D_キムは構えている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表示なし</v>
      </c>
      <c r="F33" s="107">
        <v>39014032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19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:A39" si="7">B34&amp;"_"&amp;C34</f>
        <v>39014003_39014033</v>
      </c>
      <c r="B34" s="47">
        <v>39014003</v>
      </c>
      <c r="C34" s="107">
        <v>39014033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「鳳凰脚！！」_x000D_あたたた…あたぁ！！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１２回連続攻撃</v>
      </c>
      <c r="F34" s="107">
        <v>39014033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20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7"/>
        <v>39014004_39014034</v>
      </c>
      <c r="B35" s="47">
        <v>39014004</v>
      </c>
      <c r="C35" s="109">
        <v>39014034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まだまだ…これからですよ！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5" s="109">
        <v>39014034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7"/>
        <v>39014004_39014035</v>
      </c>
      <c r="B36" s="47">
        <v>39014004</v>
      </c>
      <c r="C36" s="109">
        <v>39014035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6" s="109">
        <v>39014035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503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7"/>
        <v>39014004_39014036</v>
      </c>
      <c r="B37" s="47">
        <v>39014004</v>
      </c>
      <c r="C37" s="109">
        <v>39014036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7" s="109">
        <v>39014036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7"/>
        <v>39014004_39014037</v>
      </c>
      <c r="B38" s="47">
        <v>39014004</v>
      </c>
      <c r="C38" s="109">
        <v>39014037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8" s="109">
        <v>39014037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7"/>
        <v>39014004_39014038</v>
      </c>
      <c r="B39" s="47">
        <v>39014004</v>
      </c>
      <c r="C39" s="109">
        <v>39014038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9" s="109">
        <v>39014038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ref="A40:A43" si="8">B40&amp;"_"&amp;C40</f>
        <v>39014004_39014039</v>
      </c>
      <c r="B40" s="47">
        <v>39014004</v>
      </c>
      <c r="C40" s="109">
        <v>39014039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0" s="109">
        <v>39014039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8"/>
        <v>39014004_39014040</v>
      </c>
      <c r="B41" s="47">
        <v>39014004</v>
      </c>
      <c r="C41" s="109">
        <v>39014040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1" s="109">
        <v>39014040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8"/>
        <v>39014004_39014041</v>
      </c>
      <c r="B42" s="47">
        <v>39014004</v>
      </c>
      <c r="C42" s="109">
        <v>39014041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2" s="109">
        <v>39014041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8"/>
        <v>39014004_39014042</v>
      </c>
      <c r="B43" s="47">
        <v>39014004</v>
      </c>
      <c r="C43" s="109">
        <v>39014042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3" s="109">
        <v>39014042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ref="A44:A46" si="9">B44&amp;"_"&amp;C44</f>
        <v>39014004_39014043</v>
      </c>
      <c r="B44" s="47">
        <v>39014004</v>
      </c>
      <c r="C44" s="109">
        <v>39014043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4" s="109">
        <v>39014043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9"/>
        <v>39014004_39014044</v>
      </c>
      <c r="B45" s="47">
        <v>39014004</v>
      </c>
      <c r="C45" s="109">
        <v>39014044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5" s="109">
        <v>39014044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9"/>
        <v>39014004_39014045</v>
      </c>
      <c r="B46" s="47">
        <v>39014004</v>
      </c>
      <c r="C46" s="109">
        <v>39014045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6" s="109">
        <v>39014045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ref="A47:A48" si="10">B47&amp;"_"&amp;C47</f>
        <v>39014004_39014046</v>
      </c>
      <c r="B47" s="47">
        <v>39014004</v>
      </c>
      <c r="C47" s="109">
        <v>39014046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7" s="109">
        <v>39014046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0"/>
        <v>39014004_39014047</v>
      </c>
      <c r="B48" s="47">
        <v>39014004</v>
      </c>
      <c r="C48" s="109">
        <v>39014047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8" s="109">
        <v>39014047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ref="A49" si="11">B49&amp;"_"&amp;C49</f>
        <v>39014004_39014048</v>
      </c>
      <c r="B49" s="47">
        <v>39014004</v>
      </c>
      <c r="C49" s="109">
        <v>39014048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飛燕斬！！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２回連続攻撃</v>
      </c>
      <c r="F49" s="109">
        <v>39014048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ref="A50:A61" si="12">B50&amp;"_"&amp;C50</f>
        <v>39014004_39014049</v>
      </c>
      <c r="B50" s="47">
        <v>39014004</v>
      </c>
      <c r="C50" s="109">
        <v>39014049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半月斬！！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50" s="109">
        <v>39014049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2"/>
        <v>39014004_39014050</v>
      </c>
      <c r="B51" s="47">
        <v>39014004</v>
      </c>
      <c r="C51" s="109">
        <v>39014050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飛翔脚！！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51" s="109">
        <v>39014050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2"/>
        <v>39014004_39014051</v>
      </c>
      <c r="B52" s="47">
        <v>39014004</v>
      </c>
      <c r="C52" s="109">
        <v>39014051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隙ありっ！！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黄パネルをプロテクト(最大2個)</v>
      </c>
      <c r="F52" s="109">
        <v>39014051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2"/>
        <v>39014004_39014052</v>
      </c>
      <c r="B53" s="47">
        <v>39014004</v>
      </c>
      <c r="C53" s="109">
        <v>39014052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「鳳凰脚！！」_x000D_あたたた…あたぁ！！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12回連続攻撃</v>
      </c>
      <c r="F53" s="109">
        <v>39014052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2"/>
        <v>39014005_39014053</v>
      </c>
      <c r="B54" s="47">
        <v>39014005</v>
      </c>
      <c r="C54" s="110">
        <v>39014053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いいだろう！_x000D_全力でかかってきたまえ！！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4" s="110">
        <v>39014053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2"/>
        <v>39014005_39014054</v>
      </c>
      <c r="B55" s="47">
        <v>39014005</v>
      </c>
      <c r="C55" s="110">
        <v>39014054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5" s="110">
        <v>39014054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503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2"/>
        <v>39014005_39014055</v>
      </c>
      <c r="B56" s="47">
        <v>39014005</v>
      </c>
      <c r="C56" s="110">
        <v>39014055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6" s="110">
        <v>39014055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2"/>
        <v>39014005_39014056</v>
      </c>
      <c r="B57" s="47">
        <v>39014005</v>
      </c>
      <c r="C57" s="110">
        <v>39014056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7" s="110">
        <v>39014056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2"/>
        <v>39014005_39014057</v>
      </c>
      <c r="B58" s="47">
        <v>39014005</v>
      </c>
      <c r="C58" s="110">
        <v>39014057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8" s="110">
        <v>39014057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2"/>
        <v>39014005_39014058</v>
      </c>
      <c r="B59" s="47">
        <v>39014005</v>
      </c>
      <c r="C59" s="110">
        <v>39014058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9" s="110">
        <v>39014058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2"/>
        <v>39014005_39014059</v>
      </c>
      <c r="B60" s="47">
        <v>39014005</v>
      </c>
      <c r="C60" s="110">
        <v>39014059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0" s="110">
        <v>39014059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2"/>
        <v>39014005_39014060</v>
      </c>
      <c r="B61" s="47">
        <v>39014005</v>
      </c>
      <c r="C61" s="110">
        <v>39014060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1" s="110">
        <v>39014060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ref="A62:A94" si="13">B62&amp;"_"&amp;C62</f>
        <v>39014005_39014061</v>
      </c>
      <c r="B62" s="47">
        <v>39014005</v>
      </c>
      <c r="C62" s="110">
        <v>39014061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2" s="110">
        <v>39014061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3"/>
        <v>39014005_39014062</v>
      </c>
      <c r="B63" s="47">
        <v>39014005</v>
      </c>
      <c r="C63" s="110">
        <v>39014062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3" s="110">
        <v>39014062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3"/>
        <v>39014005_39014063</v>
      </c>
      <c r="B64" s="47">
        <v>39014005</v>
      </c>
      <c r="C64" s="110">
        <v>39014063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4" s="110">
        <v>39014063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3"/>
        <v>39014005_39014064</v>
      </c>
      <c r="B65" s="47">
        <v>39014005</v>
      </c>
      <c r="C65" s="110">
        <v>39014064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5" s="110">
        <v>39014064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3"/>
        <v>39014005_39014065</v>
      </c>
      <c r="B66" s="47">
        <v>39014005</v>
      </c>
      <c r="C66" s="110">
        <v>39014065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6" s="110">
        <v>39014065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3"/>
        <v>39014005_39014066</v>
      </c>
      <c r="B67" s="47">
        <v>39014005</v>
      </c>
      <c r="C67" s="110">
        <v>39014066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なかなかのお手前で！_x000D_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7" s="110">
        <v>39014066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3"/>
        <v>39014005_39014067</v>
      </c>
      <c r="B68" s="47">
        <v>39014005</v>
      </c>
      <c r="C68" s="110">
        <v>39014067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ここだっ！！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ランダムで、全パネルをお邪魔パネルに(最大5個)変換+_x000D_単体攻撃</v>
      </c>
      <c r="F68" s="110">
        <v>39014067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3"/>
        <v>39014005_39014068</v>
      </c>
      <c r="B69" s="47">
        <v>39014005</v>
      </c>
      <c r="C69" s="110">
        <v>39014068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見切った！！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お邪魔パネルを全て吸収して攻撃</v>
      </c>
      <c r="F69" s="110">
        <v>39014068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3"/>
        <v>39014005_39014069</v>
      </c>
      <c r="B70" s="47">
        <v>39014005</v>
      </c>
      <c r="C70" s="110">
        <v>39014069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飛燕斬！！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70" s="110">
        <v>39014069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3"/>
        <v>39014005_39014070</v>
      </c>
      <c r="B71" s="47">
        <v>39014005</v>
      </c>
      <c r="C71" s="110">
        <v>39014070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半月斬！！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1" s="110">
        <v>39014070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3"/>
        <v>39014005_39014071</v>
      </c>
      <c r="B72" s="47">
        <v>39014005</v>
      </c>
      <c r="C72" s="110">
        <v>39014071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飛翔脚！！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72" s="110">
        <v>39014071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3"/>
        <v>39014005_39014072</v>
      </c>
      <c r="B73" s="47">
        <v>39014005</v>
      </c>
      <c r="C73" s="110">
        <v>39014072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「はあぁ！！」_x000D_キムは構えている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表示なし</v>
      </c>
      <c r="F73" s="110">
        <v>39014072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3"/>
        <v>39014005_39014073</v>
      </c>
      <c r="B74" s="47">
        <v>39014005</v>
      </c>
      <c r="C74" s="110">
        <v>39014073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「鳳凰脚！！」_x000D_あたたた…あたぁ！！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21回連続攻撃</v>
      </c>
      <c r="F74" s="110">
        <v>39014073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13"/>
        <v>39014005_39014074</v>
      </c>
      <c r="B75" s="47">
        <v>39014005</v>
      </c>
      <c r="C75" s="110">
        <v>39014074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「はあぁ！！」_x000D_キムは構えている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表示なし</v>
      </c>
      <c r="F75" s="110">
        <v>39014074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3"/>
        <v>39014005_39014075</v>
      </c>
      <c r="B76" s="47">
        <v>39014005</v>
      </c>
      <c r="C76" s="110">
        <v>39014075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「鳳凰脚！！」_x000D_あたたた…あたぁ！！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21回連続攻撃</v>
      </c>
      <c r="F76" s="110">
        <v>39014075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3"/>
        <v>39014005_39014076</v>
      </c>
      <c r="B77" s="47">
        <v>39014005</v>
      </c>
      <c r="C77" s="110">
        <v>39014076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「はあぁ！！」_x000D_キムは構えている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表示なし</v>
      </c>
      <c r="F77" s="110">
        <v>39014076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14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3"/>
        <v>39014005_39014077</v>
      </c>
      <c r="B78" s="47">
        <v>39014005</v>
      </c>
      <c r="C78" s="110">
        <v>39014077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「鳳凰脚！！」_x000D_あたたた…あたぁ！！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21回連続攻撃</v>
      </c>
      <c r="F78" s="110">
        <v>39014077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15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3"/>
        <v>39014005_39014078</v>
      </c>
      <c r="B79" s="47">
        <v>39014005</v>
      </c>
      <c r="C79" s="110">
        <v>39014078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「はあぁ！！」_x000D_キムは構えている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表示なし</v>
      </c>
      <c r="F79" s="110">
        <v>39014078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19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3"/>
        <v>39014005_39014079</v>
      </c>
      <c r="B80" s="47">
        <v>39014005</v>
      </c>
      <c r="C80" s="110">
        <v>39014079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「鳳凰脚！！」_x000D_あたたた…あたぁ！！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21回連続攻撃</v>
      </c>
      <c r="F80" s="110">
        <v>39014079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20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3"/>
        <v>39014005_39014080</v>
      </c>
      <c r="B81" s="47">
        <v>39014005</v>
      </c>
      <c r="C81" s="110">
        <v>39014080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くっ…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ウああああああぁぁぁぁーーっ！！</v>
      </c>
      <c r="F81" s="110">
        <v>39014080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 t="str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3"/>
        <v>39014005_39014081</v>
      </c>
      <c r="B82" s="47">
        <v>39014005</v>
      </c>
      <c r="C82" s="110">
        <v>39014081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無念！</v>
      </c>
      <c r="F82" s="110">
        <v>39014081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503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13"/>
        <v>39014005_39014082</v>
      </c>
      <c r="B83" s="47">
        <v>39014005</v>
      </c>
      <c r="C83" s="110">
        <v>39014082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無念！</v>
      </c>
      <c r="F83" s="110">
        <v>39014082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3"/>
        <v>39014005_39014083</v>
      </c>
      <c r="B84" s="47">
        <v>39014005</v>
      </c>
      <c r="C84" s="110">
        <v>39014083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無念！</v>
      </c>
      <c r="F84" s="110">
        <v>39014083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3"/>
        <v>39014005_39014084</v>
      </c>
      <c r="B85" s="47">
        <v>39014005</v>
      </c>
      <c r="C85" s="110">
        <v>39014084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無念！</v>
      </c>
      <c r="F85" s="110">
        <v>39014084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3"/>
        <v>39014005_39014085</v>
      </c>
      <c r="B86" s="47">
        <v>39014005</v>
      </c>
      <c r="C86" s="110">
        <v>39014085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無念！</v>
      </c>
      <c r="F86" s="110">
        <v>39014085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3"/>
        <v>39014005_39014086</v>
      </c>
      <c r="B87" s="47">
        <v>39014005</v>
      </c>
      <c r="C87" s="110">
        <v>39014086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無念！</v>
      </c>
      <c r="F87" s="110">
        <v>39014086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3"/>
        <v>39014005_39014087</v>
      </c>
      <c r="B88" s="47">
        <v>39014005</v>
      </c>
      <c r="C88" s="110">
        <v>39014087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無念！</v>
      </c>
      <c r="F88" s="110">
        <v>39014087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13"/>
        <v>39014005_39014088</v>
      </c>
      <c r="B89" s="47">
        <v>39014005</v>
      </c>
      <c r="C89" s="110">
        <v>39014088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無念！</v>
      </c>
      <c r="F89" s="110">
        <v>39014088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3"/>
        <v>39014005_39014089</v>
      </c>
      <c r="B90" s="47">
        <v>39014005</v>
      </c>
      <c r="C90" s="110">
        <v>39014089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無念！</v>
      </c>
      <c r="F90" s="110">
        <v>39014089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13"/>
        <v>39014005_39014090</v>
      </c>
      <c r="B91" s="47">
        <v>39014005</v>
      </c>
      <c r="C91" s="110">
        <v>39014090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無念！</v>
      </c>
      <c r="F91" s="110">
        <v>39014090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3"/>
        <v>39014005_39014091</v>
      </c>
      <c r="B92" s="47">
        <v>39014005</v>
      </c>
      <c r="C92" s="110">
        <v>39014091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無念！</v>
      </c>
      <c r="F92" s="110">
        <v>39014091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13"/>
        <v>39014005_39014092</v>
      </c>
      <c r="B93" s="47">
        <v>39014005</v>
      </c>
      <c r="C93" s="110">
        <v>39014092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無念！</v>
      </c>
      <c r="F93" s="110">
        <v>39014092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13"/>
        <v>39014005_39014093</v>
      </c>
      <c r="B94" s="47">
        <v>39014005</v>
      </c>
      <c r="C94" s="110">
        <v>39014093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無念！</v>
      </c>
      <c r="F94" s="110">
        <v>39014093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94"/>
  <sheetViews>
    <sheetView showGridLines="0" tabSelected="1" workbookViewId="0">
      <pane ySplit="1" topLeftCell="A42" activePane="bottomLeft" state="frozenSplit"/>
      <selection pane="bottomLeft" activeCell="B45" sqref="B45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32.1640625" style="49" customWidth="1"/>
    <col min="3" max="4" width="7.33203125" style="49" customWidth="1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63</v>
      </c>
      <c r="F1" s="40" t="s">
        <v>82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31" customHeight="1" x14ac:dyDescent="0.15">
      <c r="A2" s="107">
        <v>39014001</v>
      </c>
      <c r="B2" s="111" t="s">
        <v>278</v>
      </c>
      <c r="C2" s="50">
        <v>1</v>
      </c>
      <c r="D2" s="50" t="s">
        <v>126</v>
      </c>
      <c r="E2" s="51" t="s">
        <v>334</v>
      </c>
      <c r="F2" s="51" t="s">
        <v>260</v>
      </c>
      <c r="G2" s="63" t="str">
        <f t="shared" ref="G2:G82" si="0">IFERROR(LEFT(B2,FIND("],",B2)),B2)</f>
        <v>[effect:enemy_message, val1:1.5, val2:1.2]</v>
      </c>
      <c r="H2" s="63">
        <f t="shared" ref="H2:H82" si="1">FIND("effect:",G2)+7</f>
        <v>9</v>
      </c>
      <c r="I2" s="63">
        <f t="shared" ref="I2:I82" si="2">IFERROR(FIND(",",G2),LEN(G2))</f>
        <v>22</v>
      </c>
      <c r="J2" s="63" t="e">
        <f t="shared" ref="J2:J82" si="3">FIND("target:",G2)+7</f>
        <v>#VALUE!</v>
      </c>
      <c r="K2" s="63">
        <f t="shared" ref="K2:K82" si="4"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 t="shared" ref="M2:M82" si="5">IFERROR(RIGHT(B2,LEN(B2)-FIND("],",B2)-1),"none")</f>
        <v xml:space="preserve">[effect:tolerance, target:myself, turn:-1, count:-1, tolerance_effect:all, animation:enemy_tolerance]    </v>
      </c>
      <c r="N2" s="48" t="str">
        <f>IFERROR(LEFT(M2,FIND("],",M2)+S28),M2)</f>
        <v xml:space="preserve">[effect:tolerance, target:myself, turn:-1, count:-1, tolerance_effect:all, animation:enemy_tolerance]    </v>
      </c>
      <c r="O2" s="63">
        <f t="shared" ref="O2:O82" si="6">FIND("effect:",N2)+7</f>
        <v>9</v>
      </c>
      <c r="P2" s="63">
        <f t="shared" ref="P2:P82" si="7">IFERROR(FIND(",",N2),LEN(N2))</f>
        <v>18</v>
      </c>
      <c r="Q2" s="63">
        <f t="shared" ref="Q2:Q82" si="8">FIND("target:",N2)+7</f>
        <v>27</v>
      </c>
      <c r="R2" s="63">
        <f t="shared" ref="R2:R82" si="9">FIND(",",N2,P2+1)</f>
        <v>33</v>
      </c>
      <c r="S2" s="63" t="str">
        <f>IFERROR(VLOOKUP(MID(N2,Q2,R2-Q2),[6]skilldef!$C:$D,2,FALSE),"-") &amp; " / " &amp; IFERROR(VLOOKUP(MID(N2,O2,P2-O2),[6]skilldef!$A:$B,2,FALSE),"-")</f>
        <v>自分自身に / 状態異常耐性</v>
      </c>
      <c r="T2" s="48" t="str">
        <f t="shared" ref="T2:T82" si="10">IFERROR(RIGHT(M2,LEN(M2)-FIND("],",M2)-1),"none")</f>
        <v>none</v>
      </c>
      <c r="U2" s="63" t="e">
        <f t="shared" ref="U2:U82" si="11">FIND("effect:",T2)+7</f>
        <v>#VALUE!</v>
      </c>
      <c r="V2" s="63">
        <f t="shared" ref="V2:V82" si="12">IFERROR(FIND(",",T2),LEN(T2))</f>
        <v>4</v>
      </c>
      <c r="W2" s="63" t="e">
        <f t="shared" ref="W2:W82" si="13">FIND("target:",T2)+7</f>
        <v>#VALUE!</v>
      </c>
      <c r="X2" s="63" t="e">
        <f t="shared" ref="X2:X82" si="14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107">
        <v>39014002</v>
      </c>
      <c r="B3" s="111" t="s">
        <v>321</v>
      </c>
      <c r="C3" s="50">
        <v>1</v>
      </c>
      <c r="D3" s="50" t="s">
        <v>126</v>
      </c>
      <c r="E3" s="51" t="s">
        <v>267</v>
      </c>
      <c r="F3" s="51" t="s">
        <v>275</v>
      </c>
      <c r="G3" s="63" t="str">
        <f t="shared" si="0"/>
        <v>[effect:enemy_message, val1:1.2, val2:1.8]</v>
      </c>
      <c r="H3" s="63">
        <f t="shared" si="1"/>
        <v>9</v>
      </c>
      <c r="I3" s="63">
        <f t="shared" si="2"/>
        <v>22</v>
      </c>
      <c r="J3" s="63" t="e">
        <f t="shared" si="3"/>
        <v>#VALUE!</v>
      </c>
      <c r="K3" s="63">
        <f t="shared" si="4"/>
        <v>32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si="5"/>
        <v>[effect:change_range_block,block_change:1, base_type:0, square_count:6, position01:8, value_h01:4, value_w01:2, position02:13, value_h02:2, value_w02:4,new_block:block_red, target:normal, count:0, val:0, animation:change_range_block],[effect:rush, count:1, val:0.5]</v>
      </c>
      <c r="N3" s="48" t="str">
        <f>IFERROR(LEFT(M3,FIND("],",M3)+S35),M3)</f>
        <v>[effect:change_range_block,block_change:1, base_type:0, square_count:6, position01:8, value_h01:4, value_w01:2, position02:13, value_h02:2, value_w02:4,new_block:block_red, target:normal, count:0, val:0, animation:change_range_block],[effect:rush, count:1, val:0.5]</v>
      </c>
      <c r="O3" s="63">
        <f t="shared" si="6"/>
        <v>9</v>
      </c>
      <c r="P3" s="63">
        <f t="shared" si="7"/>
        <v>27</v>
      </c>
      <c r="Q3" s="63">
        <f t="shared" si="8"/>
        <v>181</v>
      </c>
      <c r="R3" s="63">
        <f t="shared" si="9"/>
        <v>42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[effect:rush, count:1, val:0.5]</v>
      </c>
      <c r="U3" s="63">
        <f t="shared" si="11"/>
        <v>9</v>
      </c>
      <c r="V3" s="63">
        <f t="shared" si="12"/>
        <v>13</v>
      </c>
      <c r="W3" s="63" t="e">
        <f t="shared" si="13"/>
        <v>#VALUE!</v>
      </c>
      <c r="X3" s="63">
        <f t="shared" si="14"/>
        <v>22</v>
      </c>
      <c r="Y3" s="63" t="str">
        <f>IFERROR(VLOOKUP(MID(T3,W3,X3-W3),[6]skilldef!$C:$D,2,FALSE),"-") &amp; " / " &amp; IFERROR(VLOOKUP(MID(T3,U3,V3-U3),[6]skilldef!$A:$B,2,FALSE),"-")</f>
        <v>- / 連続攻撃</v>
      </c>
      <c r="Z3" s="50"/>
      <c r="AA3" s="52"/>
      <c r="AB3" s="50"/>
    </row>
    <row r="4" spans="1:28" ht="21" customHeight="1" x14ac:dyDescent="0.15">
      <c r="A4" s="107">
        <v>39014003</v>
      </c>
      <c r="B4" s="111" t="s">
        <v>300</v>
      </c>
      <c r="C4" s="50">
        <v>1</v>
      </c>
      <c r="D4" s="50" t="s">
        <v>126</v>
      </c>
      <c r="E4" s="51" t="s">
        <v>268</v>
      </c>
      <c r="F4" s="51" t="s">
        <v>265</v>
      </c>
      <c r="G4" s="63" t="str">
        <f t="shared" si="0"/>
        <v>[effect:enemy_message, val1:1.2, val2:1.2]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 xml:space="preserve">[effect:critical, val:1.0, animation:enemy_critical]    </v>
      </c>
      <c r="N4" s="48" t="str">
        <f>IFERROR(LEFT(M4,FIND("],",M4)+S68),M4)</f>
        <v xml:space="preserve">[effect:critical, val:1.0, animation:enemy_critical]    </v>
      </c>
      <c r="O4" s="63">
        <f t="shared" si="6"/>
        <v>9</v>
      </c>
      <c r="P4" s="63">
        <f t="shared" si="7"/>
        <v>17</v>
      </c>
      <c r="Q4" s="63" t="e">
        <f t="shared" si="8"/>
        <v>#VALUE!</v>
      </c>
      <c r="R4" s="63">
        <f t="shared" si="9"/>
        <v>26</v>
      </c>
      <c r="S4" s="63" t="str">
        <f>IFERROR(VLOOKUP(MID(N4,Q4,R4-Q4),[6]skilldef!$C:$D,2,FALSE),"-") &amp; " / " &amp; IFERROR(VLOOKUP(MID(N4,O4,P4-O4),[6]skilldef!$A:$B,2,FALSE),"-")</f>
        <v>- / 大攻撃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32" customHeight="1" x14ac:dyDescent="0.15">
      <c r="A5" s="108">
        <v>39014004</v>
      </c>
      <c r="B5" s="111" t="s">
        <v>278</v>
      </c>
      <c r="C5" s="50">
        <v>1</v>
      </c>
      <c r="D5" s="50" t="s">
        <v>126</v>
      </c>
      <c r="E5" s="51" t="s">
        <v>335</v>
      </c>
      <c r="F5" s="51" t="s">
        <v>266</v>
      </c>
      <c r="G5" s="63" t="str">
        <f t="shared" si="0"/>
        <v>[effect:enemy_message, val1:1.5, val2:1.2]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5"/>
        <v xml:space="preserve">[effect:tolerance, target:myself, turn:-1, count:-1, tolerance_effect:all, animation:enemy_tolerance]    </v>
      </c>
      <c r="N5" s="48" t="str">
        <f>IFERROR(LEFT(M5,FIND("],",M5)+S69),M5)</f>
        <v xml:space="preserve">[effect:tolerance, target:myself, turn:-1, count:-1, tolerance_effect:all, animation:enemy_tolerance]    </v>
      </c>
      <c r="O5" s="63">
        <f t="shared" si="6"/>
        <v>9</v>
      </c>
      <c r="P5" s="63">
        <f t="shared" si="7"/>
        <v>18</v>
      </c>
      <c r="Q5" s="63">
        <f t="shared" si="8"/>
        <v>27</v>
      </c>
      <c r="R5" s="63">
        <f t="shared" si="9"/>
        <v>33</v>
      </c>
      <c r="S5" s="63" t="str">
        <f>IFERROR(VLOOKUP(MID(N5,Q5,R5-Q5),[6]skilldef!$C:$D,2,FALSE),"-") &amp; " / " &amp; IFERROR(VLOOKUP(MID(N5,O5,P5-O5),[6]skilldef!$A:$B,2,FALSE),"-")</f>
        <v>自分自身に / 状態異常耐性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108">
        <v>39014005</v>
      </c>
      <c r="B6" s="111" t="s">
        <v>308</v>
      </c>
      <c r="C6" s="50">
        <v>1</v>
      </c>
      <c r="D6" s="50" t="s">
        <v>126</v>
      </c>
      <c r="E6" s="51" t="s">
        <v>270</v>
      </c>
      <c r="F6" s="51" t="s">
        <v>296</v>
      </c>
      <c r="G6" s="63" t="str">
        <f t="shared" si="0"/>
        <v>[effect:enemy_message, val1:1.2, val2:1.8]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32</v>
      </c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si="5"/>
        <v>[effect:change_range_block,block_change:1,base_type:0, square_count:7, position01:0, position02:3, position03:6, value_h01:7, value_h02:7, value_h03:7,  value_w01:1, value_w02:1, value_w03:1, new_block:block_yellow,  target:normal, count:0, val:0, animation:change_range_block],[effect:rush, count:1, val:0.4]</v>
      </c>
      <c r="N6" s="48" t="str">
        <f>IFERROR(LEFT(M6,FIND("],",M6)+S73),M6)</f>
        <v>[effect:change_range_block,block_change:1,base_type:0, square_count:7, position01:0, position02:3, position03:6, value_h01:7, value_h02:7, value_h03:7,  value_w01:1, value_w02:1, value_w03:1, new_block:block_yellow,  target:normal, count:0, val:0, animation:change_range_block],[effect:rush, count:1, val:0.4]</v>
      </c>
      <c r="O6" s="63">
        <f t="shared" si="6"/>
        <v>9</v>
      </c>
      <c r="P6" s="63">
        <f t="shared" si="7"/>
        <v>27</v>
      </c>
      <c r="Q6" s="63">
        <f t="shared" si="8"/>
        <v>225</v>
      </c>
      <c r="R6" s="63">
        <f t="shared" si="9"/>
        <v>42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[effect:rush, count:1, val:0.4]</v>
      </c>
      <c r="U6" s="63">
        <f t="shared" si="11"/>
        <v>9</v>
      </c>
      <c r="V6" s="63">
        <f t="shared" si="12"/>
        <v>13</v>
      </c>
      <c r="W6" s="63" t="e">
        <f t="shared" si="13"/>
        <v>#VALUE!</v>
      </c>
      <c r="X6" s="63">
        <f t="shared" si="14"/>
        <v>22</v>
      </c>
      <c r="Y6" s="63" t="str">
        <f>IFERROR(VLOOKUP(MID(T6,W6,X6-W6),[6]skilldef!$C:$D,2,FALSE),"-") &amp; " / " &amp; IFERROR(VLOOKUP(MID(T6,U6,V6-U6),[6]skilldef!$A:$B,2,FALSE),"-")</f>
        <v>- / 連続攻撃</v>
      </c>
      <c r="Z6" s="50"/>
      <c r="AA6" s="52"/>
      <c r="AB6" s="50"/>
    </row>
    <row r="7" spans="1:28" ht="21" customHeight="1" x14ac:dyDescent="0.15">
      <c r="A7" s="108">
        <v>39014006</v>
      </c>
      <c r="B7" s="111" t="s">
        <v>298</v>
      </c>
      <c r="C7" s="50">
        <v>1</v>
      </c>
      <c r="D7" s="50" t="s">
        <v>126</v>
      </c>
      <c r="E7" s="51" t="s">
        <v>269</v>
      </c>
      <c r="F7" s="51" t="s">
        <v>261</v>
      </c>
      <c r="G7" s="63" t="str">
        <f t="shared" si="0"/>
        <v>[effect:enemy_message, val1:1.2, val2:1.2]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 xml:space="preserve">[effect:rush, count:4, val:0.1]    </v>
      </c>
      <c r="N7" s="48" t="str">
        <f>IFERROR(LEFT(M7,FIND("],",M7)+S74),M7)</f>
        <v xml:space="preserve">[effect:rush, count:4, val:0.1]    </v>
      </c>
      <c r="O7" s="63">
        <f t="shared" si="6"/>
        <v>9</v>
      </c>
      <c r="P7" s="63">
        <f t="shared" si="7"/>
        <v>13</v>
      </c>
      <c r="Q7" s="63" t="e">
        <f t="shared" si="8"/>
        <v>#VALUE!</v>
      </c>
      <c r="R7" s="63">
        <f t="shared" si="9"/>
        <v>22</v>
      </c>
      <c r="S7" s="63" t="str">
        <f>IFERROR(VLOOKUP(MID(N7,Q7,R7-Q7),[6]skilldef!$C:$D,2,FALSE),"-") &amp; " / " &amp; IFERROR(VLOOKUP(MID(N7,O7,P7-O7),[6]skilldef!$A:$B,2,FALSE),"-")</f>
        <v>- / 連続攻撃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107">
        <v>39014007</v>
      </c>
      <c r="B8" s="111" t="s">
        <v>259</v>
      </c>
      <c r="C8" s="50">
        <v>1</v>
      </c>
      <c r="D8" s="50" t="s">
        <v>126</v>
      </c>
      <c r="E8" s="51" t="s">
        <v>274</v>
      </c>
      <c r="F8" s="51" t="s">
        <v>266</v>
      </c>
      <c r="G8" s="63" t="str">
        <f t="shared" si="0"/>
        <v>[effect:enemy_message, val1:1.2, val2:1.2]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 xml:space="preserve">[effect:tolerance, target:myself, turn:-1, count:-1, tolerance_effect:all, animation:enemy_tolerance]    </v>
      </c>
      <c r="N8" s="48" t="str">
        <f t="shared" ref="N8:N18" si="15">IFERROR(LEFT(M8,FIND("],",M8)+S81),M8)</f>
        <v xml:space="preserve">[effect:tolerance, target:myself, turn:-1, count:-1, tolerance_effect:all, animation:enemy_tolerance]    </v>
      </c>
      <c r="O8" s="63">
        <f t="shared" si="6"/>
        <v>9</v>
      </c>
      <c r="P8" s="63">
        <f t="shared" si="7"/>
        <v>18</v>
      </c>
      <c r="Q8" s="63">
        <f t="shared" si="8"/>
        <v>27</v>
      </c>
      <c r="R8" s="63">
        <f t="shared" si="9"/>
        <v>33</v>
      </c>
      <c r="S8" s="63" t="str">
        <f>IFERROR(VLOOKUP(MID(N8,Q8,R8-Q8),[6]skilldef!$C:$D,2,FALSE),"-") &amp; " / " &amp; IFERROR(VLOOKUP(MID(N8,O8,P8-O8),[6]skilldef!$A:$B,2,FALSE),"-")</f>
        <v>自分自身に / 状態異常耐性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107">
        <v>39014008</v>
      </c>
      <c r="B9" s="111" t="s">
        <v>259</v>
      </c>
      <c r="C9" s="50">
        <v>1</v>
      </c>
      <c r="D9" s="50" t="s">
        <v>126</v>
      </c>
      <c r="E9" s="51" t="s">
        <v>326</v>
      </c>
      <c r="F9" s="51" t="s">
        <v>331</v>
      </c>
      <c r="G9" s="63" t="str">
        <f t="shared" ref="G9" si="16">IFERROR(LEFT(B9,FIND("],",B9)),B9)</f>
        <v>[effect:enemy_message, val1:1.2, val2:1.2]</v>
      </c>
      <c r="H9" s="63">
        <f t="shared" ref="H9" si="17">FIND("effect:",G9)+7</f>
        <v>9</v>
      </c>
      <c r="I9" s="63">
        <f t="shared" ref="I9" si="18">IFERROR(FIND(",",G9),LEN(G9))</f>
        <v>22</v>
      </c>
      <c r="J9" s="63" t="e">
        <f t="shared" ref="J9" si="19">FIND("target:",G9)+7</f>
        <v>#VALUE!</v>
      </c>
      <c r="K9" s="63">
        <f t="shared" ref="K9" si="20">FIND(",",G9,I9+1)</f>
        <v>32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ref="M9" si="21">IFERROR(RIGHT(B9,LEN(B9)-FIND("],",B9)-1),"none")</f>
        <v xml:space="preserve">[effect:tolerance, target:myself, turn:-1, count:-1, tolerance_effect:all, animation:enemy_tolerance]    </v>
      </c>
      <c r="N9" s="48" t="str">
        <f t="shared" si="15"/>
        <v xml:space="preserve">[effect:tolerance, target:myself, turn:-1, count:-1, tolerance_effect:all, animation:enemy_tolerance]    </v>
      </c>
      <c r="O9" s="63">
        <f t="shared" ref="O9" si="22">FIND("effect:",N9)+7</f>
        <v>9</v>
      </c>
      <c r="P9" s="63">
        <f t="shared" ref="P9" si="23">IFERROR(FIND(",",N9),LEN(N9))</f>
        <v>18</v>
      </c>
      <c r="Q9" s="63">
        <f t="shared" ref="Q9" si="24">FIND("target:",N9)+7</f>
        <v>27</v>
      </c>
      <c r="R9" s="63">
        <f t="shared" ref="R9" si="25">FIND(",",N9,P9+1)</f>
        <v>33</v>
      </c>
      <c r="S9" s="63" t="str">
        <f>IFERROR(VLOOKUP(MID(N9,Q9,R9-Q9),[6]skilldef!$C:$D,2,FALSE),"-") &amp; " / " &amp; IFERROR(VLOOKUP(MID(N9,O9,P9-O9),[6]skilldef!$A:$B,2,FALSE),"-")</f>
        <v>自分自身に / 状態異常耐性</v>
      </c>
      <c r="T9" s="48" t="str">
        <f t="shared" ref="T9" si="26">IFERROR(RIGHT(M9,LEN(M9)-FIND("],",M9)-1),"none")</f>
        <v>none</v>
      </c>
      <c r="U9" s="63" t="e">
        <f t="shared" ref="U9" si="27">FIND("effect:",T9)+7</f>
        <v>#VALUE!</v>
      </c>
      <c r="V9" s="63">
        <f t="shared" ref="V9" si="28">IFERROR(FIND(",",T9),LEN(T9))</f>
        <v>4</v>
      </c>
      <c r="W9" s="63" t="e">
        <f t="shared" ref="W9" si="29">FIND("target:",T9)+7</f>
        <v>#VALUE!</v>
      </c>
      <c r="X9" s="63" t="e">
        <f t="shared" ref="X9" si="30">FIND(",",T9,V9+1)</f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107">
        <v>39014009</v>
      </c>
      <c r="B10" s="111" t="s">
        <v>259</v>
      </c>
      <c r="C10" s="50">
        <v>1</v>
      </c>
      <c r="D10" s="50" t="s">
        <v>126</v>
      </c>
      <c r="E10" s="51" t="s">
        <v>326</v>
      </c>
      <c r="F10" s="51" t="s">
        <v>266</v>
      </c>
      <c r="G10" s="63" t="str">
        <f t="shared" ref="G10:G11" si="31">IFERROR(LEFT(B10,FIND("],",B10)),B10)</f>
        <v>[effect:enemy_message, val1:1.2, val2:1.2]</v>
      </c>
      <c r="H10" s="63">
        <f t="shared" ref="H10:H11" si="32">FIND("effect:",G10)+7</f>
        <v>9</v>
      </c>
      <c r="I10" s="63">
        <f t="shared" ref="I10:I11" si="33">IFERROR(FIND(",",G10),LEN(G10))</f>
        <v>22</v>
      </c>
      <c r="J10" s="63" t="e">
        <f t="shared" ref="J10:J11" si="34">FIND("target:",G10)+7</f>
        <v>#VALUE!</v>
      </c>
      <c r="K10" s="63">
        <f t="shared" ref="K10:K11" si="35">FIND(",",G10,I10+1)</f>
        <v>32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ref="M10:M11" si="36">IFERROR(RIGHT(B10,LEN(B10)-FIND("],",B10)-1),"none")</f>
        <v xml:space="preserve">[effect:tolerance, target:myself, turn:-1, count:-1, tolerance_effect:all, animation:enemy_tolerance]    </v>
      </c>
      <c r="N10" s="48" t="str">
        <f t="shared" si="15"/>
        <v xml:space="preserve">[effect:tolerance, target:myself, turn:-1, count:-1, tolerance_effect:all, animation:enemy_tolerance]    </v>
      </c>
      <c r="O10" s="63">
        <f t="shared" ref="O10:O11" si="37">FIND("effect:",N10)+7</f>
        <v>9</v>
      </c>
      <c r="P10" s="63">
        <f t="shared" ref="P10:P11" si="38">IFERROR(FIND(",",N10),LEN(N10))</f>
        <v>18</v>
      </c>
      <c r="Q10" s="63">
        <f t="shared" ref="Q10:Q11" si="39">FIND("target:",N10)+7</f>
        <v>27</v>
      </c>
      <c r="R10" s="63">
        <f t="shared" ref="R10:R11" si="40">FIND(",",N10,P10+1)</f>
        <v>33</v>
      </c>
      <c r="S10" s="63" t="str">
        <f>IFERROR(VLOOKUP(MID(N10,Q10,R10-Q10),[6]skilldef!$C:$D,2,FALSE),"-") &amp; " / " &amp; IFERROR(VLOOKUP(MID(N10,O10,P10-O10),[6]skilldef!$A:$B,2,FALSE),"-")</f>
        <v>自分自身に / 状態異常耐性</v>
      </c>
      <c r="T10" s="48" t="str">
        <f t="shared" ref="T10:T11" si="41">IFERROR(RIGHT(M10,LEN(M10)-FIND("],",M10)-1),"none")</f>
        <v>none</v>
      </c>
      <c r="U10" s="63" t="e">
        <f t="shared" ref="U10:U11" si="42">FIND("effect:",T10)+7</f>
        <v>#VALUE!</v>
      </c>
      <c r="V10" s="63">
        <f t="shared" ref="V10:V11" si="43">IFERROR(FIND(",",T10),LEN(T10))</f>
        <v>4</v>
      </c>
      <c r="W10" s="63" t="e">
        <f t="shared" ref="W10:W11" si="44">FIND("target:",T10)+7</f>
        <v>#VALUE!</v>
      </c>
      <c r="X10" s="63" t="e">
        <f t="shared" ref="X10:X11" si="45">FIND(",",T10,V10+1)</f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107">
        <v>39014010</v>
      </c>
      <c r="B11" s="111" t="s">
        <v>259</v>
      </c>
      <c r="C11" s="50">
        <v>1</v>
      </c>
      <c r="D11" s="50" t="s">
        <v>126</v>
      </c>
      <c r="E11" s="51" t="s">
        <v>327</v>
      </c>
      <c r="F11" s="51" t="s">
        <v>266</v>
      </c>
      <c r="G11" s="63" t="str">
        <f t="shared" si="31"/>
        <v>[effect:enemy_message, val1:1.2, val2:1.2]</v>
      </c>
      <c r="H11" s="63">
        <f t="shared" si="32"/>
        <v>9</v>
      </c>
      <c r="I11" s="63">
        <f t="shared" si="33"/>
        <v>22</v>
      </c>
      <c r="J11" s="63" t="e">
        <f t="shared" si="34"/>
        <v>#VALUE!</v>
      </c>
      <c r="K11" s="63">
        <f t="shared" si="35"/>
        <v>32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36"/>
        <v xml:space="preserve">[effect:tolerance, target:myself, turn:-1, count:-1, tolerance_effect:all, animation:enemy_tolerance]    </v>
      </c>
      <c r="N11" s="48" t="str">
        <f t="shared" si="15"/>
        <v xml:space="preserve">[effect:tolerance, target:myself, turn:-1, count:-1, tolerance_effect:all, animation:enemy_tolerance]    </v>
      </c>
      <c r="O11" s="63">
        <f t="shared" si="37"/>
        <v>9</v>
      </c>
      <c r="P11" s="63">
        <f t="shared" si="38"/>
        <v>18</v>
      </c>
      <c r="Q11" s="63">
        <f t="shared" si="39"/>
        <v>27</v>
      </c>
      <c r="R11" s="63">
        <f t="shared" si="40"/>
        <v>33</v>
      </c>
      <c r="S11" s="63" t="str">
        <f>IFERROR(VLOOKUP(MID(N11,Q11,R11-Q11),[6]skilldef!$C:$D,2,FALSE),"-") &amp; " / " &amp; IFERROR(VLOOKUP(MID(N11,O11,P11-O11),[6]skilldef!$A:$B,2,FALSE),"-")</f>
        <v>自分自身に / 状態異常耐性</v>
      </c>
      <c r="T11" s="48" t="str">
        <f t="shared" si="41"/>
        <v>none</v>
      </c>
      <c r="U11" s="63" t="e">
        <f t="shared" si="42"/>
        <v>#VALUE!</v>
      </c>
      <c r="V11" s="63">
        <f t="shared" si="43"/>
        <v>4</v>
      </c>
      <c r="W11" s="63" t="e">
        <f t="shared" si="44"/>
        <v>#VALUE!</v>
      </c>
      <c r="X11" s="63" t="e">
        <f t="shared" si="4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107">
        <v>39014011</v>
      </c>
      <c r="B12" s="111" t="s">
        <v>259</v>
      </c>
      <c r="C12" s="50">
        <v>1</v>
      </c>
      <c r="D12" s="50" t="s">
        <v>126</v>
      </c>
      <c r="E12" s="51" t="s">
        <v>327</v>
      </c>
      <c r="F12" s="51" t="s">
        <v>266</v>
      </c>
      <c r="G12" s="63" t="str">
        <f t="shared" ref="G12:G16" si="46">IFERROR(LEFT(B12,FIND("],",B12)),B12)</f>
        <v>[effect:enemy_message, val1:1.2, val2:1.2]</v>
      </c>
      <c r="H12" s="63">
        <f t="shared" ref="H12:H16" si="47">FIND("effect:",G12)+7</f>
        <v>9</v>
      </c>
      <c r="I12" s="63">
        <f t="shared" ref="I12:I16" si="48">IFERROR(FIND(",",G12),LEN(G12))</f>
        <v>22</v>
      </c>
      <c r="J12" s="63" t="e">
        <f t="shared" ref="J12:J16" si="49">FIND("target:",G12)+7</f>
        <v>#VALUE!</v>
      </c>
      <c r="K12" s="63">
        <f t="shared" ref="K12:K16" si="50">FIND(",",G12,I12+1)</f>
        <v>32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ref="M12:M16" si="51">IFERROR(RIGHT(B12,LEN(B12)-FIND("],",B12)-1),"none")</f>
        <v xml:space="preserve">[effect:tolerance, target:myself, turn:-1, count:-1, tolerance_effect:all, animation:enemy_tolerance]    </v>
      </c>
      <c r="N12" s="48" t="str">
        <f t="shared" si="15"/>
        <v xml:space="preserve">[effect:tolerance, target:myself, turn:-1, count:-1, tolerance_effect:all, animation:enemy_tolerance]    </v>
      </c>
      <c r="O12" s="63">
        <f t="shared" ref="O12:O16" si="52">FIND("effect:",N12)+7</f>
        <v>9</v>
      </c>
      <c r="P12" s="63">
        <f t="shared" ref="P12:P16" si="53">IFERROR(FIND(",",N12),LEN(N12))</f>
        <v>18</v>
      </c>
      <c r="Q12" s="63">
        <f t="shared" ref="Q12:Q16" si="54">FIND("target:",N12)+7</f>
        <v>27</v>
      </c>
      <c r="R12" s="63">
        <f t="shared" ref="R12:R16" si="55">FIND(",",N12,P12+1)</f>
        <v>33</v>
      </c>
      <c r="S12" s="63" t="str">
        <f>IFERROR(VLOOKUP(MID(N12,Q12,R12-Q12),[6]skilldef!$C:$D,2,FALSE),"-") &amp; " / " &amp; IFERROR(VLOOKUP(MID(N12,O12,P12-O12),[6]skilldef!$A:$B,2,FALSE),"-")</f>
        <v>自分自身に / 状態異常耐性</v>
      </c>
      <c r="T12" s="48" t="str">
        <f t="shared" ref="T12:T16" si="56">IFERROR(RIGHT(M12,LEN(M12)-FIND("],",M12)-1),"none")</f>
        <v>none</v>
      </c>
      <c r="U12" s="63" t="e">
        <f t="shared" ref="U12:U16" si="57">FIND("effect:",T12)+7</f>
        <v>#VALUE!</v>
      </c>
      <c r="V12" s="63">
        <f t="shared" ref="V12:V16" si="58">IFERROR(FIND(",",T12),LEN(T12))</f>
        <v>4</v>
      </c>
      <c r="W12" s="63" t="e">
        <f t="shared" ref="W12:W16" si="59">FIND("target:",T12)+7</f>
        <v>#VALUE!</v>
      </c>
      <c r="X12" s="63" t="e">
        <f t="shared" ref="X12:X16" si="60">FIND(",",T12,V12+1)</f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107">
        <v>39014012</v>
      </c>
      <c r="B13" s="111" t="s">
        <v>259</v>
      </c>
      <c r="C13" s="50">
        <v>1</v>
      </c>
      <c r="D13" s="50" t="s">
        <v>126</v>
      </c>
      <c r="E13" s="51" t="s">
        <v>281</v>
      </c>
      <c r="F13" s="51" t="s">
        <v>266</v>
      </c>
      <c r="G13" s="63" t="str">
        <f t="shared" si="46"/>
        <v>[effect:enemy_message, val1:1.2, val2:1.2]</v>
      </c>
      <c r="H13" s="63">
        <f t="shared" si="47"/>
        <v>9</v>
      </c>
      <c r="I13" s="63">
        <f t="shared" si="48"/>
        <v>22</v>
      </c>
      <c r="J13" s="63" t="e">
        <f t="shared" si="49"/>
        <v>#VALUE!</v>
      </c>
      <c r="K13" s="63">
        <f t="shared" si="50"/>
        <v>32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51"/>
        <v xml:space="preserve">[effect:tolerance, target:myself, turn:-1, count:-1, tolerance_effect:all, animation:enemy_tolerance]    </v>
      </c>
      <c r="N13" s="48" t="str">
        <f t="shared" si="15"/>
        <v xml:space="preserve">[effect:tolerance, target:myself, turn:-1, count:-1, tolerance_effect:all, animation:enemy_tolerance]    </v>
      </c>
      <c r="O13" s="63">
        <f t="shared" si="52"/>
        <v>9</v>
      </c>
      <c r="P13" s="63">
        <f t="shared" si="53"/>
        <v>18</v>
      </c>
      <c r="Q13" s="63">
        <f t="shared" si="54"/>
        <v>27</v>
      </c>
      <c r="R13" s="63">
        <f t="shared" si="55"/>
        <v>33</v>
      </c>
      <c r="S13" s="63" t="str">
        <f>IFERROR(VLOOKUP(MID(N13,Q13,R13-Q13),[6]skilldef!$C:$D,2,FALSE),"-") &amp; " / " &amp; IFERROR(VLOOKUP(MID(N13,O13,P13-O13),[6]skilldef!$A:$B,2,FALSE),"-")</f>
        <v>自分自身に / 状態異常耐性</v>
      </c>
      <c r="T13" s="48" t="str">
        <f t="shared" si="56"/>
        <v>none</v>
      </c>
      <c r="U13" s="63" t="e">
        <f t="shared" si="57"/>
        <v>#VALUE!</v>
      </c>
      <c r="V13" s="63">
        <f t="shared" si="58"/>
        <v>4</v>
      </c>
      <c r="W13" s="63" t="e">
        <f t="shared" si="59"/>
        <v>#VALUE!</v>
      </c>
      <c r="X13" s="63" t="e">
        <f t="shared" si="60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107">
        <v>39014013</v>
      </c>
      <c r="B14" s="111" t="s">
        <v>259</v>
      </c>
      <c r="C14" s="50">
        <v>1</v>
      </c>
      <c r="D14" s="50" t="s">
        <v>126</v>
      </c>
      <c r="E14" s="51" t="s">
        <v>281</v>
      </c>
      <c r="F14" s="51" t="s">
        <v>266</v>
      </c>
      <c r="G14" s="63" t="str">
        <f t="shared" si="46"/>
        <v>[effect:enemy_message, val1:1.2, val2:1.2]</v>
      </c>
      <c r="H14" s="63">
        <f t="shared" si="47"/>
        <v>9</v>
      </c>
      <c r="I14" s="63">
        <f t="shared" si="48"/>
        <v>22</v>
      </c>
      <c r="J14" s="63" t="e">
        <f t="shared" si="49"/>
        <v>#VALUE!</v>
      </c>
      <c r="K14" s="63">
        <f t="shared" si="50"/>
        <v>32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1"/>
        <v xml:space="preserve">[effect:tolerance, target:myself, turn:-1, count:-1, tolerance_effect:all, animation:enemy_tolerance]    </v>
      </c>
      <c r="N14" s="48" t="str">
        <f t="shared" si="15"/>
        <v xml:space="preserve">[effect:tolerance, target:myself, turn:-1, count:-1, tolerance_effect:all, animation:enemy_tolerance]    </v>
      </c>
      <c r="O14" s="63">
        <f t="shared" si="52"/>
        <v>9</v>
      </c>
      <c r="P14" s="63">
        <f t="shared" si="53"/>
        <v>18</v>
      </c>
      <c r="Q14" s="63">
        <f t="shared" si="54"/>
        <v>27</v>
      </c>
      <c r="R14" s="63">
        <f t="shared" si="55"/>
        <v>33</v>
      </c>
      <c r="S14" s="63" t="str">
        <f>IFERROR(VLOOKUP(MID(N14,Q14,R14-Q14),[6]skilldef!$C:$D,2,FALSE),"-") &amp; " / " &amp; IFERROR(VLOOKUP(MID(N14,O14,P14-O14),[6]skilldef!$A:$B,2,FALSE),"-")</f>
        <v>自分自身に / 状態異常耐性</v>
      </c>
      <c r="T14" s="48" t="str">
        <f t="shared" si="56"/>
        <v>none</v>
      </c>
      <c r="U14" s="63" t="e">
        <f t="shared" si="57"/>
        <v>#VALUE!</v>
      </c>
      <c r="V14" s="63">
        <f t="shared" si="58"/>
        <v>4</v>
      </c>
      <c r="W14" s="63" t="e">
        <f t="shared" si="59"/>
        <v>#VALUE!</v>
      </c>
      <c r="X14" s="63" t="e">
        <f t="shared" si="60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33" customHeight="1" x14ac:dyDescent="0.15">
      <c r="A15" s="107">
        <v>39014014</v>
      </c>
      <c r="B15" s="111" t="s">
        <v>259</v>
      </c>
      <c r="C15" s="50">
        <v>1</v>
      </c>
      <c r="D15" s="50" t="s">
        <v>126</v>
      </c>
      <c r="E15" s="51" t="s">
        <v>325</v>
      </c>
      <c r="F15" s="51" t="s">
        <v>266</v>
      </c>
      <c r="G15" s="63" t="str">
        <f t="shared" si="46"/>
        <v>[effect:enemy_message, val1:1.2, val2:1.2]</v>
      </c>
      <c r="H15" s="63">
        <f t="shared" si="47"/>
        <v>9</v>
      </c>
      <c r="I15" s="63">
        <f t="shared" si="48"/>
        <v>22</v>
      </c>
      <c r="J15" s="63" t="e">
        <f t="shared" si="49"/>
        <v>#VALUE!</v>
      </c>
      <c r="K15" s="63">
        <f t="shared" si="50"/>
        <v>32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1"/>
        <v xml:space="preserve">[effect:tolerance, target:myself, turn:-1, count:-1, tolerance_effect:all, animation:enemy_tolerance]    </v>
      </c>
      <c r="N15" s="48" t="str">
        <f t="shared" si="15"/>
        <v xml:space="preserve">[effect:tolerance, target:myself, turn:-1, count:-1, tolerance_effect:all, animation:enemy_tolerance]    </v>
      </c>
      <c r="O15" s="63">
        <f t="shared" si="52"/>
        <v>9</v>
      </c>
      <c r="P15" s="63">
        <f t="shared" si="53"/>
        <v>18</v>
      </c>
      <c r="Q15" s="63">
        <f t="shared" si="54"/>
        <v>27</v>
      </c>
      <c r="R15" s="63">
        <f t="shared" si="55"/>
        <v>33</v>
      </c>
      <c r="S15" s="63" t="str">
        <f>IFERROR(VLOOKUP(MID(N15,Q15,R15-Q15),[6]skilldef!$C:$D,2,FALSE),"-") &amp; " / " &amp; IFERROR(VLOOKUP(MID(N15,O15,P15-O15),[6]skilldef!$A:$B,2,FALSE),"-")</f>
        <v>自分自身に / 状態異常耐性</v>
      </c>
      <c r="T15" s="48" t="str">
        <f t="shared" si="56"/>
        <v>none</v>
      </c>
      <c r="U15" s="63" t="e">
        <f t="shared" si="57"/>
        <v>#VALUE!</v>
      </c>
      <c r="V15" s="63">
        <f t="shared" si="58"/>
        <v>4</v>
      </c>
      <c r="W15" s="63" t="e">
        <f t="shared" si="59"/>
        <v>#VALUE!</v>
      </c>
      <c r="X15" s="63" t="e">
        <f t="shared" si="60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30" customHeight="1" x14ac:dyDescent="0.15">
      <c r="A16" s="107">
        <v>39014015</v>
      </c>
      <c r="B16" s="111" t="s">
        <v>259</v>
      </c>
      <c r="C16" s="50">
        <v>1</v>
      </c>
      <c r="D16" s="50" t="s">
        <v>126</v>
      </c>
      <c r="E16" s="51" t="s">
        <v>325</v>
      </c>
      <c r="F16" s="51" t="s">
        <v>266</v>
      </c>
      <c r="G16" s="63" t="str">
        <f t="shared" si="46"/>
        <v>[effect:enemy_message, val1:1.2, val2:1.2]</v>
      </c>
      <c r="H16" s="63">
        <f t="shared" si="47"/>
        <v>9</v>
      </c>
      <c r="I16" s="63">
        <f t="shared" si="48"/>
        <v>22</v>
      </c>
      <c r="J16" s="63" t="e">
        <f t="shared" si="49"/>
        <v>#VALUE!</v>
      </c>
      <c r="K16" s="63">
        <f t="shared" si="50"/>
        <v>32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1"/>
        <v xml:space="preserve">[effect:tolerance, target:myself, turn:-1, count:-1, tolerance_effect:all, animation:enemy_tolerance]    </v>
      </c>
      <c r="N16" s="48" t="str">
        <f t="shared" si="15"/>
        <v xml:space="preserve">[effect:tolerance, target:myself, turn:-1, count:-1, tolerance_effect:all, animation:enemy_tolerance]    </v>
      </c>
      <c r="O16" s="63">
        <f t="shared" si="52"/>
        <v>9</v>
      </c>
      <c r="P16" s="63">
        <f t="shared" si="53"/>
        <v>18</v>
      </c>
      <c r="Q16" s="63">
        <f t="shared" si="54"/>
        <v>27</v>
      </c>
      <c r="R16" s="63">
        <f t="shared" si="55"/>
        <v>33</v>
      </c>
      <c r="S16" s="63" t="str">
        <f>IFERROR(VLOOKUP(MID(N16,Q16,R16-Q16),[6]skilldef!$C:$D,2,FALSE),"-") &amp; " / " &amp; IFERROR(VLOOKUP(MID(N16,O16,P16-O16),[6]skilldef!$A:$B,2,FALSE),"-")</f>
        <v>自分自身に / 状態異常耐性</v>
      </c>
      <c r="T16" s="48" t="str">
        <f t="shared" si="56"/>
        <v>none</v>
      </c>
      <c r="U16" s="63" t="e">
        <f t="shared" si="57"/>
        <v>#VALUE!</v>
      </c>
      <c r="V16" s="63">
        <f t="shared" si="58"/>
        <v>4</v>
      </c>
      <c r="W16" s="63" t="e">
        <f t="shared" si="59"/>
        <v>#VALUE!</v>
      </c>
      <c r="X16" s="63" t="e">
        <f t="shared" si="60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107">
        <v>39014016</v>
      </c>
      <c r="B17" s="111" t="s">
        <v>259</v>
      </c>
      <c r="C17" s="50">
        <v>1</v>
      </c>
      <c r="D17" s="50" t="s">
        <v>126</v>
      </c>
      <c r="E17" s="51" t="s">
        <v>301</v>
      </c>
      <c r="F17" s="51" t="s">
        <v>266</v>
      </c>
      <c r="G17" s="63" t="str">
        <f t="shared" ref="G17:G23" si="61">IFERROR(LEFT(B17,FIND("],",B17)),B17)</f>
        <v>[effect:enemy_message, val1:1.2, val2:1.2]</v>
      </c>
      <c r="H17" s="63">
        <f t="shared" ref="H17:H23" si="62">FIND("effect:",G17)+7</f>
        <v>9</v>
      </c>
      <c r="I17" s="63">
        <f t="shared" ref="I17:I23" si="63">IFERROR(FIND(",",G17),LEN(G17))</f>
        <v>22</v>
      </c>
      <c r="J17" s="63" t="e">
        <f t="shared" ref="J17:J23" si="64">FIND("target:",G17)+7</f>
        <v>#VALUE!</v>
      </c>
      <c r="K17" s="63">
        <f t="shared" ref="K17:K23" si="65">FIND(",",G17,I17+1)</f>
        <v>32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ref="M17:M23" si="66">IFERROR(RIGHT(B17,LEN(B17)-FIND("],",B17)-1),"none")</f>
        <v xml:space="preserve">[effect:tolerance, target:myself, turn:-1, count:-1, tolerance_effect:all, animation:enemy_tolerance]    </v>
      </c>
      <c r="N17" s="48" t="str">
        <f t="shared" si="15"/>
        <v xml:space="preserve">[effect:tolerance, target:myself, turn:-1, count:-1, tolerance_effect:all, animation:enemy_tolerance]    </v>
      </c>
      <c r="O17" s="63">
        <f t="shared" ref="O17:O23" si="67">FIND("effect:",N17)+7</f>
        <v>9</v>
      </c>
      <c r="P17" s="63">
        <f t="shared" ref="P17:P23" si="68">IFERROR(FIND(",",N17),LEN(N17))</f>
        <v>18</v>
      </c>
      <c r="Q17" s="63">
        <f t="shared" ref="Q17:Q23" si="69">FIND("target:",N17)+7</f>
        <v>27</v>
      </c>
      <c r="R17" s="63">
        <f t="shared" ref="R17:R23" si="70">FIND(",",N17,P17+1)</f>
        <v>33</v>
      </c>
      <c r="S17" s="63" t="str">
        <f>IFERROR(VLOOKUP(MID(N17,Q17,R17-Q17),[6]skilldef!$C:$D,2,FALSE),"-") &amp; " / " &amp; IFERROR(VLOOKUP(MID(N17,O17,P17-O17),[6]skilldef!$A:$B,2,FALSE),"-")</f>
        <v>自分自身に / 状態異常耐性</v>
      </c>
      <c r="T17" s="48" t="str">
        <f t="shared" ref="T17:T23" si="71">IFERROR(RIGHT(M17,LEN(M17)-FIND("],",M17)-1),"none")</f>
        <v>none</v>
      </c>
      <c r="U17" s="63" t="e">
        <f t="shared" ref="U17:U23" si="72">FIND("effect:",T17)+7</f>
        <v>#VALUE!</v>
      </c>
      <c r="V17" s="63">
        <f t="shared" ref="V17:V23" si="73">IFERROR(FIND(",",T17),LEN(T17))</f>
        <v>4</v>
      </c>
      <c r="W17" s="63" t="e">
        <f t="shared" ref="W17:W23" si="74">FIND("target:",T17)+7</f>
        <v>#VALUE!</v>
      </c>
      <c r="X17" s="63" t="e">
        <f t="shared" ref="X17:X23" si="75">FIND(",",T17,V17+1)</f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107">
        <v>39014017</v>
      </c>
      <c r="B18" s="111" t="s">
        <v>259</v>
      </c>
      <c r="C18" s="50">
        <v>1</v>
      </c>
      <c r="D18" s="50" t="s">
        <v>126</v>
      </c>
      <c r="E18" s="51" t="s">
        <v>301</v>
      </c>
      <c r="F18" s="51" t="s">
        <v>266</v>
      </c>
      <c r="G18" s="63" t="str">
        <f t="shared" si="61"/>
        <v>[effect:enemy_message, val1:1.2, val2:1.2]</v>
      </c>
      <c r="H18" s="63">
        <f t="shared" si="62"/>
        <v>9</v>
      </c>
      <c r="I18" s="63">
        <f t="shared" si="63"/>
        <v>22</v>
      </c>
      <c r="J18" s="63" t="e">
        <f t="shared" si="64"/>
        <v>#VALUE!</v>
      </c>
      <c r="K18" s="63">
        <f t="shared" si="65"/>
        <v>32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66"/>
        <v xml:space="preserve">[effect:tolerance, target:myself, turn:-1, count:-1, tolerance_effect:all, animation:enemy_tolerance]    </v>
      </c>
      <c r="N18" s="48" t="str">
        <f t="shared" si="15"/>
        <v xml:space="preserve">[effect:tolerance, target:myself, turn:-1, count:-1, tolerance_effect:all, animation:enemy_tolerance]    </v>
      </c>
      <c r="O18" s="63">
        <f t="shared" si="67"/>
        <v>9</v>
      </c>
      <c r="P18" s="63">
        <f t="shared" si="68"/>
        <v>18</v>
      </c>
      <c r="Q18" s="63">
        <f t="shared" si="69"/>
        <v>27</v>
      </c>
      <c r="R18" s="63">
        <f t="shared" si="70"/>
        <v>33</v>
      </c>
      <c r="S18" s="63" t="str">
        <f>IFERROR(VLOOKUP(MID(N18,Q18,R18-Q18),[6]skilldef!$C:$D,2,FALSE),"-") &amp; " / " &amp; IFERROR(VLOOKUP(MID(N18,O18,P18-O18),[6]skilldef!$A:$B,2,FALSE),"-")</f>
        <v>自分自身に / 状態異常耐性</v>
      </c>
      <c r="T18" s="48" t="str">
        <f t="shared" si="71"/>
        <v>none</v>
      </c>
      <c r="U18" s="63" t="e">
        <f t="shared" si="72"/>
        <v>#VALUE!</v>
      </c>
      <c r="V18" s="63">
        <f t="shared" si="73"/>
        <v>4</v>
      </c>
      <c r="W18" s="63" t="e">
        <f t="shared" si="74"/>
        <v>#VALUE!</v>
      </c>
      <c r="X18" s="63" t="e">
        <f t="shared" si="7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107">
        <v>39014018</v>
      </c>
      <c r="B19" s="111" t="s">
        <v>259</v>
      </c>
      <c r="C19" s="50">
        <v>1</v>
      </c>
      <c r="D19" s="50" t="s">
        <v>126</v>
      </c>
      <c r="E19" s="51" t="s">
        <v>301</v>
      </c>
      <c r="F19" s="51" t="s">
        <v>266</v>
      </c>
      <c r="G19" s="63" t="str">
        <f t="shared" ref="G19" si="76">IFERROR(LEFT(B19,FIND("],",B19)),B19)</f>
        <v>[effect:enemy_message, val1:1.2, val2:1.2]</v>
      </c>
      <c r="H19" s="63">
        <f t="shared" ref="H19" si="77">FIND("effect:",G19)+7</f>
        <v>9</v>
      </c>
      <c r="I19" s="63">
        <f t="shared" ref="I19" si="78">IFERROR(FIND(",",G19),LEN(G19))</f>
        <v>22</v>
      </c>
      <c r="J19" s="63" t="e">
        <f t="shared" ref="J19" si="79">FIND("target:",G19)+7</f>
        <v>#VALUE!</v>
      </c>
      <c r="K19" s="63">
        <f t="shared" ref="K19" si="80">FIND(",",G19,I19+1)</f>
        <v>32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ref="M19" si="81">IFERROR(RIGHT(B19,LEN(B19)-FIND("],",B19)-1),"none")</f>
        <v xml:space="preserve">[effect:tolerance, target:myself, turn:-1, count:-1, tolerance_effect:all, animation:enemy_tolerance]    </v>
      </c>
      <c r="N19" s="48" t="str">
        <f>IFERROR(LEFT(M19,FIND("],",M19)+S93),M19)</f>
        <v xml:space="preserve">[effect:tolerance, target:myself, turn:-1, count:-1, tolerance_effect:all, animation:enemy_tolerance]    </v>
      </c>
      <c r="O19" s="63">
        <f t="shared" ref="O19" si="82">FIND("effect:",N19)+7</f>
        <v>9</v>
      </c>
      <c r="P19" s="63">
        <f t="shared" ref="P19" si="83">IFERROR(FIND(",",N19),LEN(N19))</f>
        <v>18</v>
      </c>
      <c r="Q19" s="63">
        <f t="shared" ref="Q19" si="84">FIND("target:",N19)+7</f>
        <v>27</v>
      </c>
      <c r="R19" s="63">
        <f t="shared" ref="R19" si="85">FIND(",",N19,P19+1)</f>
        <v>33</v>
      </c>
      <c r="S19" s="63" t="str">
        <f>IFERROR(VLOOKUP(MID(N19,Q19,R19-Q19),[6]skilldef!$C:$D,2,FALSE),"-") &amp; " / " &amp; IFERROR(VLOOKUP(MID(N19,O19,P19-O19),[6]skilldef!$A:$B,2,FALSE),"-")</f>
        <v>自分自身に / 状態異常耐性</v>
      </c>
      <c r="T19" s="48" t="str">
        <f t="shared" ref="T19" si="86">IFERROR(RIGHT(M19,LEN(M19)-FIND("],",M19)-1),"none")</f>
        <v>none</v>
      </c>
      <c r="U19" s="63" t="e">
        <f t="shared" ref="U19" si="87">FIND("effect:",T19)+7</f>
        <v>#VALUE!</v>
      </c>
      <c r="V19" s="63">
        <f t="shared" ref="V19" si="88">IFERROR(FIND(",",T19),LEN(T19))</f>
        <v>4</v>
      </c>
      <c r="W19" s="63" t="e">
        <f t="shared" ref="W19" si="89">FIND("target:",T19)+7</f>
        <v>#VALUE!</v>
      </c>
      <c r="X19" s="63" t="e">
        <f t="shared" ref="X19" si="90">FIND(",",T19,V19+1)</f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107">
        <v>39014019</v>
      </c>
      <c r="B20" s="111" t="s">
        <v>259</v>
      </c>
      <c r="C20" s="50">
        <v>1</v>
      </c>
      <c r="D20" s="50" t="s">
        <v>126</v>
      </c>
      <c r="E20" s="51" t="s">
        <v>326</v>
      </c>
      <c r="F20" s="51" t="s">
        <v>266</v>
      </c>
      <c r="G20" s="63" t="str">
        <f t="shared" si="61"/>
        <v>[effect:enemy_message, val1:1.2, val2:1.2]</v>
      </c>
      <c r="H20" s="63">
        <f t="shared" si="62"/>
        <v>9</v>
      </c>
      <c r="I20" s="63">
        <f t="shared" si="63"/>
        <v>22</v>
      </c>
      <c r="J20" s="63" t="e">
        <f t="shared" si="64"/>
        <v>#VALUE!</v>
      </c>
      <c r="K20" s="63">
        <f t="shared" si="65"/>
        <v>32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66"/>
        <v xml:space="preserve">[effect:tolerance, target:myself, turn:-1, count:-1, tolerance_effect:all, animation:enemy_tolerance]    </v>
      </c>
      <c r="N20" s="48" t="str">
        <f>IFERROR(LEFT(M20,FIND("],",M20)+S93),M20)</f>
        <v xml:space="preserve">[effect:tolerance, target:myself, turn:-1, count:-1, tolerance_effect:all, animation:enemy_tolerance]    </v>
      </c>
      <c r="O20" s="63">
        <f t="shared" si="67"/>
        <v>9</v>
      </c>
      <c r="P20" s="63">
        <f t="shared" si="68"/>
        <v>18</v>
      </c>
      <c r="Q20" s="63">
        <f t="shared" si="69"/>
        <v>27</v>
      </c>
      <c r="R20" s="63">
        <f t="shared" si="70"/>
        <v>33</v>
      </c>
      <c r="S20" s="63" t="str">
        <f>IFERROR(VLOOKUP(MID(N20,Q20,R20-Q20),[6]skilldef!$C:$D,2,FALSE),"-") &amp; " / " &amp; IFERROR(VLOOKUP(MID(N20,O20,P20-O20),[6]skilldef!$A:$B,2,FALSE),"-")</f>
        <v>自分自身に / 状態異常耐性</v>
      </c>
      <c r="T20" s="48" t="str">
        <f t="shared" si="71"/>
        <v>none</v>
      </c>
      <c r="U20" s="63" t="e">
        <f t="shared" si="72"/>
        <v>#VALUE!</v>
      </c>
      <c r="V20" s="63">
        <f t="shared" si="73"/>
        <v>4</v>
      </c>
      <c r="W20" s="63" t="e">
        <f t="shared" si="74"/>
        <v>#VALUE!</v>
      </c>
      <c r="X20" s="63" t="e">
        <f t="shared" si="7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107">
        <v>39014020</v>
      </c>
      <c r="B21" s="111" t="s">
        <v>259</v>
      </c>
      <c r="C21" s="50">
        <v>1</v>
      </c>
      <c r="D21" s="50" t="s">
        <v>126</v>
      </c>
      <c r="E21" s="51" t="s">
        <v>326</v>
      </c>
      <c r="F21" s="51" t="s">
        <v>266</v>
      </c>
      <c r="G21" s="63" t="str">
        <f t="shared" ref="G21" si="91">IFERROR(LEFT(B21,FIND("],",B21)),B21)</f>
        <v>[effect:enemy_message, val1:1.2, val2:1.2]</v>
      </c>
      <c r="H21" s="63">
        <f t="shared" ref="H21" si="92">FIND("effect:",G21)+7</f>
        <v>9</v>
      </c>
      <c r="I21" s="63">
        <f t="shared" ref="I21" si="93">IFERROR(FIND(",",G21),LEN(G21))</f>
        <v>22</v>
      </c>
      <c r="J21" s="63" t="e">
        <f t="shared" ref="J21" si="94">FIND("target:",G21)+7</f>
        <v>#VALUE!</v>
      </c>
      <c r="K21" s="63">
        <f t="shared" ref="K21" si="95">FIND(",",G21,I21+1)</f>
        <v>32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ref="M21" si="96">IFERROR(RIGHT(B21,LEN(B21)-FIND("],",B21)-1),"none")</f>
        <v xml:space="preserve">[effect:tolerance, target:myself, turn:-1, count:-1, tolerance_effect:all, animation:enemy_tolerance]    </v>
      </c>
      <c r="N21" s="48" t="str">
        <f>IFERROR(LEFT(M21,FIND("],",M21)+S94),M21)</f>
        <v xml:space="preserve">[effect:tolerance, target:myself, turn:-1, count:-1, tolerance_effect:all, animation:enemy_tolerance]    </v>
      </c>
      <c r="O21" s="63">
        <f t="shared" ref="O21" si="97">FIND("effect:",N21)+7</f>
        <v>9</v>
      </c>
      <c r="P21" s="63">
        <f t="shared" ref="P21" si="98">IFERROR(FIND(",",N21),LEN(N21))</f>
        <v>18</v>
      </c>
      <c r="Q21" s="63">
        <f t="shared" ref="Q21" si="99">FIND("target:",N21)+7</f>
        <v>27</v>
      </c>
      <c r="R21" s="63">
        <f t="shared" ref="R21" si="100">FIND(",",N21,P21+1)</f>
        <v>33</v>
      </c>
      <c r="S21" s="63" t="str">
        <f>IFERROR(VLOOKUP(MID(N21,Q21,R21-Q21),[6]skilldef!$C:$D,2,FALSE),"-") &amp; " / " &amp; IFERROR(VLOOKUP(MID(N21,O21,P21-O21),[6]skilldef!$A:$B,2,FALSE),"-")</f>
        <v>自分自身に / 状態異常耐性</v>
      </c>
      <c r="T21" s="48" t="str">
        <f t="shared" ref="T21" si="101">IFERROR(RIGHT(M21,LEN(M21)-FIND("],",M21)-1),"none")</f>
        <v>none</v>
      </c>
      <c r="U21" s="63" t="e">
        <f t="shared" ref="U21" si="102">FIND("effect:",T21)+7</f>
        <v>#VALUE!</v>
      </c>
      <c r="V21" s="63">
        <f t="shared" ref="V21" si="103">IFERROR(FIND(",",T21),LEN(T21))</f>
        <v>4</v>
      </c>
      <c r="W21" s="63" t="e">
        <f t="shared" ref="W21" si="104">FIND("target:",T21)+7</f>
        <v>#VALUE!</v>
      </c>
      <c r="X21" s="63" t="e">
        <f t="shared" ref="X21" si="105">FIND(",",T21,V21+1)</f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07">
        <v>39014021</v>
      </c>
      <c r="B22" s="111" t="s">
        <v>318</v>
      </c>
      <c r="C22" s="50">
        <v>1</v>
      </c>
      <c r="D22" s="50" t="s">
        <v>126</v>
      </c>
      <c r="E22" s="51" t="s">
        <v>271</v>
      </c>
      <c r="F22" s="51" t="s">
        <v>277</v>
      </c>
      <c r="G22" s="63" t="str">
        <f t="shared" si="61"/>
        <v>[effect:enemy_message, val1:1.2, val2:3.1]</v>
      </c>
      <c r="H22" s="63">
        <f t="shared" si="62"/>
        <v>9</v>
      </c>
      <c r="I22" s="63">
        <f t="shared" si="63"/>
        <v>22</v>
      </c>
      <c r="J22" s="63" t="e">
        <f t="shared" si="64"/>
        <v>#VALUE!</v>
      </c>
      <c r="K22" s="63">
        <f t="shared" si="65"/>
        <v>32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66"/>
        <v>[effect:force_change_block, new_block:jammer, target:normal, ignore01:jammer, count:5, val:0, animation:change_block] ,[effect:rush, count:1, val:0.2]</v>
      </c>
      <c r="N22" s="48" t="str">
        <f>IFERROR(LEFT(M22,FIND("],",M22)+S40),M22)</f>
        <v>[effect:force_change_block, new_block:jammer, target:normal, ignore01:jammer, count:5, val:0, animation:change_block] ,[effect:rush, count:1, val:0.2]</v>
      </c>
      <c r="O22" s="63">
        <f t="shared" si="67"/>
        <v>9</v>
      </c>
      <c r="P22" s="63">
        <f t="shared" si="68"/>
        <v>27</v>
      </c>
      <c r="Q22" s="63">
        <f t="shared" si="69"/>
        <v>54</v>
      </c>
      <c r="R22" s="63">
        <f t="shared" si="70"/>
        <v>45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71"/>
        <v>none</v>
      </c>
      <c r="U22" s="63" t="e">
        <f t="shared" si="72"/>
        <v>#VALUE!</v>
      </c>
      <c r="V22" s="63">
        <f t="shared" si="73"/>
        <v>4</v>
      </c>
      <c r="W22" s="63" t="e">
        <f t="shared" si="74"/>
        <v>#VALUE!</v>
      </c>
      <c r="X22" s="63" t="e">
        <f t="shared" si="7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107">
        <v>39014022</v>
      </c>
      <c r="B23" s="111" t="s">
        <v>310</v>
      </c>
      <c r="C23" s="50">
        <v>1</v>
      </c>
      <c r="D23" s="50" t="s">
        <v>126</v>
      </c>
      <c r="E23" s="51" t="s">
        <v>280</v>
      </c>
      <c r="F23" s="51" t="s">
        <v>294</v>
      </c>
      <c r="G23" s="63" t="str">
        <f t="shared" si="61"/>
        <v>[effect:enemy_message, val1:1.2, val2:1.4]</v>
      </c>
      <c r="H23" s="63">
        <f t="shared" si="62"/>
        <v>9</v>
      </c>
      <c r="I23" s="63">
        <f t="shared" si="63"/>
        <v>22</v>
      </c>
      <c r="J23" s="63" t="e">
        <f t="shared" si="64"/>
        <v>#VALUE!</v>
      </c>
      <c r="K23" s="63">
        <f t="shared" si="65"/>
        <v>32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66"/>
        <v xml:space="preserve">[effect:break_attack,_fix,target:unit_one, val:0.03, lowest_val:2000, count:-1, color:blue, block01:jammer]    </v>
      </c>
      <c r="N23" s="48" t="str">
        <f>IFERROR(LEFT(M23,FIND("],",M23)+S41),M23)</f>
        <v xml:space="preserve">[effect:break_attack,_fix,target:unit_one, val:0.03, lowest_val:2000, count:-1, color:blue, block01:jammer]    </v>
      </c>
      <c r="O23" s="63">
        <f t="shared" si="67"/>
        <v>9</v>
      </c>
      <c r="P23" s="63">
        <f t="shared" si="68"/>
        <v>21</v>
      </c>
      <c r="Q23" s="63">
        <f t="shared" si="69"/>
        <v>34</v>
      </c>
      <c r="R23" s="63">
        <f t="shared" si="70"/>
        <v>26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71"/>
        <v>none</v>
      </c>
      <c r="U23" s="63" t="e">
        <f t="shared" si="72"/>
        <v>#VALUE!</v>
      </c>
      <c r="V23" s="63">
        <f t="shared" si="73"/>
        <v>4</v>
      </c>
      <c r="W23" s="63" t="e">
        <f t="shared" si="74"/>
        <v>#VALUE!</v>
      </c>
      <c r="X23" s="63" t="e">
        <f t="shared" si="7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107">
        <v>39014023</v>
      </c>
      <c r="B24" s="111" t="s">
        <v>307</v>
      </c>
      <c r="C24" s="50">
        <v>1</v>
      </c>
      <c r="D24" s="50" t="s">
        <v>126</v>
      </c>
      <c r="E24" s="51" t="s">
        <v>288</v>
      </c>
      <c r="F24" s="51" t="s">
        <v>291</v>
      </c>
      <c r="G24" s="63" t="str">
        <f t="shared" ref="G24:G25" si="106">IFERROR(LEFT(B24,FIND("],",B24)),B24)</f>
        <v>[effect:enemy_message, val1:1.6, val2:1.2]</v>
      </c>
      <c r="H24" s="63">
        <f t="shared" ref="H24:H25" si="107">FIND("effect:",G24)+7</f>
        <v>9</v>
      </c>
      <c r="I24" s="63">
        <f t="shared" ref="I24:I25" si="108">IFERROR(FIND(",",G24),LEN(G24))</f>
        <v>22</v>
      </c>
      <c r="J24" s="63" t="e">
        <f t="shared" ref="J24:J25" si="109">FIND("target:",G24)+7</f>
        <v>#VALUE!</v>
      </c>
      <c r="K24" s="63">
        <f t="shared" ref="K24:K25" si="110">FIND(",",G24,I24+1)</f>
        <v>32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ref="M24:M25" si="111">IFERROR(RIGHT(B24,LEN(B24)-FIND("],",B24)-1),"none")</f>
        <v xml:space="preserve">[effect:rush, count:2, val:0.23]    </v>
      </c>
      <c r="N24" s="48" t="str">
        <f>IFERROR(LEFT(M24,FIND("],",M24)+S82),M24)</f>
        <v xml:space="preserve">[effect:rush, count:2, val:0.23]    </v>
      </c>
      <c r="O24" s="63">
        <f t="shared" ref="O24:O25" si="112">FIND("effect:",N24)+7</f>
        <v>9</v>
      </c>
      <c r="P24" s="63">
        <f t="shared" ref="P24:P25" si="113">IFERROR(FIND(",",N24),LEN(N24))</f>
        <v>13</v>
      </c>
      <c r="Q24" s="63" t="e">
        <f t="shared" ref="Q24:Q25" si="114">FIND("target:",N24)+7</f>
        <v>#VALUE!</v>
      </c>
      <c r="R24" s="63">
        <f t="shared" ref="R24:R25" si="115">FIND(",",N24,P24+1)</f>
        <v>22</v>
      </c>
      <c r="S24" s="63" t="str">
        <f>IFERROR(VLOOKUP(MID(N24,Q24,R24-Q24),[6]skilldef!$C:$D,2,FALSE),"-") &amp; " / " &amp; IFERROR(VLOOKUP(MID(N24,O24,P24-O24),[6]skilldef!$A:$B,2,FALSE),"-")</f>
        <v>- / 連続攻撃</v>
      </c>
      <c r="T24" s="48" t="str">
        <f t="shared" ref="T24:T25" si="116">IFERROR(RIGHT(M24,LEN(M24)-FIND("],",M24)-1),"none")</f>
        <v>none</v>
      </c>
      <c r="U24" s="63" t="e">
        <f t="shared" ref="U24:U25" si="117">FIND("effect:",T24)+7</f>
        <v>#VALUE!</v>
      </c>
      <c r="V24" s="63">
        <f t="shared" ref="V24:V25" si="118">IFERROR(FIND(",",T24),LEN(T24))</f>
        <v>4</v>
      </c>
      <c r="W24" s="63" t="e">
        <f t="shared" ref="W24:W25" si="119">FIND("target:",T24)+7</f>
        <v>#VALUE!</v>
      </c>
      <c r="X24" s="63" t="e">
        <f t="shared" ref="X24:X25" si="120">FIND(",",T24,V24+1)</f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107">
        <v>39014024</v>
      </c>
      <c r="B25" s="111" t="s">
        <v>306</v>
      </c>
      <c r="C25" s="50">
        <v>1</v>
      </c>
      <c r="D25" s="50" t="s">
        <v>126</v>
      </c>
      <c r="E25" s="51" t="s">
        <v>289</v>
      </c>
      <c r="F25" s="51" t="s">
        <v>292</v>
      </c>
      <c r="G25" s="63" t="str">
        <f t="shared" si="106"/>
        <v>[effect:enemy_message, val1:1.6, val2:1.2]</v>
      </c>
      <c r="H25" s="63">
        <f t="shared" si="107"/>
        <v>9</v>
      </c>
      <c r="I25" s="63">
        <f t="shared" si="108"/>
        <v>22</v>
      </c>
      <c r="J25" s="63" t="e">
        <f t="shared" si="109"/>
        <v>#VALUE!</v>
      </c>
      <c r="K25" s="63">
        <f t="shared" si="110"/>
        <v>32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111"/>
        <v xml:space="preserve">[effect:rush, count:3, val:0.23]    </v>
      </c>
      <c r="N25" s="48" t="str">
        <f t="shared" ref="N25:N34" si="121">IFERROR(LEFT(M25,FIND("],",M25)+S82),M25)</f>
        <v xml:space="preserve">[effect:rush, count:3, val:0.23]    </v>
      </c>
      <c r="O25" s="63">
        <f t="shared" si="112"/>
        <v>9</v>
      </c>
      <c r="P25" s="63">
        <f t="shared" si="113"/>
        <v>13</v>
      </c>
      <c r="Q25" s="63" t="e">
        <f t="shared" si="114"/>
        <v>#VALUE!</v>
      </c>
      <c r="R25" s="63">
        <f t="shared" si="115"/>
        <v>22</v>
      </c>
      <c r="S25" s="63" t="str">
        <f>IFERROR(VLOOKUP(MID(N25,Q25,R25-Q25),[6]skilldef!$C:$D,2,FALSE),"-") &amp; " / " &amp; IFERROR(VLOOKUP(MID(N25,O25,P25-O25),[6]skilldef!$A:$B,2,FALSE),"-")</f>
        <v>- / 連続攻撃</v>
      </c>
      <c r="T25" s="48" t="str">
        <f t="shared" si="116"/>
        <v>none</v>
      </c>
      <c r="U25" s="63" t="e">
        <f t="shared" si="117"/>
        <v>#VALUE!</v>
      </c>
      <c r="V25" s="63">
        <f t="shared" si="118"/>
        <v>4</v>
      </c>
      <c r="W25" s="63" t="e">
        <f t="shared" si="119"/>
        <v>#VALUE!</v>
      </c>
      <c r="X25" s="63" t="e">
        <f t="shared" si="120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107">
        <v>39014025</v>
      </c>
      <c r="B26" s="111" t="s">
        <v>305</v>
      </c>
      <c r="C26" s="50">
        <v>1</v>
      </c>
      <c r="D26" s="50" t="s">
        <v>126</v>
      </c>
      <c r="E26" s="51" t="s">
        <v>290</v>
      </c>
      <c r="F26" s="51" t="s">
        <v>293</v>
      </c>
      <c r="G26" s="63" t="str">
        <f t="shared" si="0"/>
        <v>[effect:enemy_message, val1:1.6, val2:1.2]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si="5"/>
        <v xml:space="preserve">[effect:rush, count:4, val:0.23]    </v>
      </c>
      <c r="N26" s="48" t="str">
        <f t="shared" si="121"/>
        <v xml:space="preserve">[effect:rush, count:4, val:0.23]    </v>
      </c>
      <c r="O26" s="63">
        <f t="shared" si="6"/>
        <v>9</v>
      </c>
      <c r="P26" s="63">
        <f t="shared" si="7"/>
        <v>13</v>
      </c>
      <c r="Q26" s="63" t="e">
        <f t="shared" si="8"/>
        <v>#VALUE!</v>
      </c>
      <c r="R26" s="63">
        <f t="shared" si="9"/>
        <v>22</v>
      </c>
      <c r="S26" s="63" t="str">
        <f>IFERROR(VLOOKUP(MID(N26,Q26,R26-Q26),[6]skilldef!$C:$D,2,FALSE),"-") &amp; " / " &amp; IFERROR(VLOOKUP(MID(N26,O26,P26-O26),[6]skilldef!$A:$B,2,FALSE),"-")</f>
        <v>- / 連続攻撃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41" customHeight="1" x14ac:dyDescent="0.15">
      <c r="A27" s="107">
        <v>39014026</v>
      </c>
      <c r="B27" s="111" t="s">
        <v>279</v>
      </c>
      <c r="C27" s="50">
        <v>1</v>
      </c>
      <c r="D27" s="50" t="s">
        <v>126</v>
      </c>
      <c r="E27" s="51" t="s">
        <v>273</v>
      </c>
      <c r="F27" s="51" t="s">
        <v>272</v>
      </c>
      <c r="G27" s="63" t="str">
        <f t="shared" si="0"/>
        <v>[effect:enemy_message, val1:1.5, val2:0]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>none</v>
      </c>
      <c r="N27" s="48" t="str">
        <f t="shared" si="121"/>
        <v>none</v>
      </c>
      <c r="O27" s="63" t="e">
        <f t="shared" si="6"/>
        <v>#VALUE!</v>
      </c>
      <c r="P27" s="63">
        <f t="shared" si="7"/>
        <v>4</v>
      </c>
      <c r="Q27" s="63" t="e">
        <f t="shared" si="8"/>
        <v>#VALUE!</v>
      </c>
      <c r="R27" s="63" t="e">
        <f t="shared" si="9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43" customHeight="1" x14ac:dyDescent="0.15">
      <c r="A28" s="107">
        <v>39014027</v>
      </c>
      <c r="B28" s="111" t="s">
        <v>304</v>
      </c>
      <c r="C28" s="50">
        <v>1</v>
      </c>
      <c r="D28" s="50" t="s">
        <v>126</v>
      </c>
      <c r="E28" s="51" t="s">
        <v>297</v>
      </c>
      <c r="F28" s="51" t="s">
        <v>262</v>
      </c>
      <c r="G28" s="63" t="str">
        <f t="shared" si="0"/>
        <v>[effect:enemy_message, val1:1.6, val2:1.2]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32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 t="shared" si="5"/>
        <v xml:space="preserve">[effect:rush, count:12, val:0.083]    </v>
      </c>
      <c r="N28" s="48" t="str">
        <f t="shared" si="121"/>
        <v xml:space="preserve">[effect:rush, count:12, val:0.083]    </v>
      </c>
      <c r="O28" s="63">
        <f t="shared" si="6"/>
        <v>9</v>
      </c>
      <c r="P28" s="63">
        <f t="shared" si="7"/>
        <v>13</v>
      </c>
      <c r="Q28" s="63" t="e">
        <f t="shared" si="8"/>
        <v>#VALUE!</v>
      </c>
      <c r="R28" s="63">
        <f t="shared" si="9"/>
        <v>23</v>
      </c>
      <c r="S28" s="63" t="str">
        <f>IFERROR(VLOOKUP(MID(N28,Q28,R28-Q28),[6]skilldef!$C:$D,2,FALSE),"-") &amp; " / " &amp; IFERROR(VLOOKUP(MID(N28,O28,P28-O28),[6]skilldef!$A:$B,2,FALSE),"-")</f>
        <v>- / 連続攻撃</v>
      </c>
      <c r="T28" s="48" t="str">
        <f t="shared" si="10"/>
        <v>none</v>
      </c>
      <c r="U28" s="63" t="e">
        <f t="shared" si="11"/>
        <v>#VALUE!</v>
      </c>
      <c r="V28" s="63">
        <f t="shared" si="12"/>
        <v>4</v>
      </c>
      <c r="W28" s="63" t="e">
        <f t="shared" si="13"/>
        <v>#VALUE!</v>
      </c>
      <c r="X28" s="63" t="e">
        <f t="shared" si="14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31" customHeight="1" x14ac:dyDescent="0.15">
      <c r="A29" s="107">
        <v>39014028</v>
      </c>
      <c r="B29" s="111" t="s">
        <v>279</v>
      </c>
      <c r="C29" s="50">
        <v>1</v>
      </c>
      <c r="D29" s="50" t="s">
        <v>126</v>
      </c>
      <c r="E29" s="51" t="s">
        <v>273</v>
      </c>
      <c r="F29" s="51" t="s">
        <v>272</v>
      </c>
      <c r="G29" s="63" t="str">
        <f t="shared" ref="G29:G32" si="122">IFERROR(LEFT(B29,FIND("],",B29)),B29)</f>
        <v>[effect:enemy_message, val1:1.5, val2:0]</v>
      </c>
      <c r="H29" s="63">
        <f t="shared" ref="H29:H32" si="123">FIND("effect:",G29)+7</f>
        <v>9</v>
      </c>
      <c r="I29" s="63">
        <f t="shared" ref="I29:I32" si="124">IFERROR(FIND(",",G29),LEN(G29))</f>
        <v>22</v>
      </c>
      <c r="J29" s="63" t="e">
        <f t="shared" ref="J29:J32" si="125">FIND("target:",G29)+7</f>
        <v>#VALUE!</v>
      </c>
      <c r="K29" s="63">
        <f t="shared" ref="K29:K32" si="126">FIND(",",G29,I29+1)</f>
        <v>32</v>
      </c>
      <c r="L29" s="63" t="str">
        <f>IFERROR(VLOOKUP(MID(G29,J29,K29-J29),[6]skilldef!$C:$D,2,FALSE),"-") &amp; " / " &amp; IFERROR(VLOOKUP(MID(G29,H29,I29-H29),[6]skilldef!$A:$B,2,FALSE),"-")</f>
        <v>- / -</v>
      </c>
      <c r="M29" s="63" t="str">
        <f t="shared" ref="M29:M32" si="127">IFERROR(RIGHT(B29,LEN(B29)-FIND("],",B29)-1),"none")</f>
        <v>none</v>
      </c>
      <c r="N29" s="48" t="str">
        <f t="shared" si="121"/>
        <v>none</v>
      </c>
      <c r="O29" s="63" t="e">
        <f t="shared" ref="O29:O32" si="128">FIND("effect:",N29)+7</f>
        <v>#VALUE!</v>
      </c>
      <c r="P29" s="63">
        <f t="shared" ref="P29:P32" si="129">IFERROR(FIND(",",N29),LEN(N29))</f>
        <v>4</v>
      </c>
      <c r="Q29" s="63" t="e">
        <f t="shared" ref="Q29:Q32" si="130">FIND("target:",N29)+7</f>
        <v>#VALUE!</v>
      </c>
      <c r="R29" s="63" t="e">
        <f t="shared" ref="R29:R32" si="131">FIND(",",N29,P29+1)</f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ref="T29:T32" si="132">IFERROR(RIGHT(M29,LEN(M29)-FIND("],",M29)-1),"none")</f>
        <v>none</v>
      </c>
      <c r="U29" s="63" t="e">
        <f t="shared" ref="U29:U32" si="133">FIND("effect:",T29)+7</f>
        <v>#VALUE!</v>
      </c>
      <c r="V29" s="63">
        <f t="shared" ref="V29:V32" si="134">IFERROR(FIND(",",T29),LEN(T29))</f>
        <v>4</v>
      </c>
      <c r="W29" s="63" t="e">
        <f t="shared" ref="W29:W32" si="135">FIND("target:",T29)+7</f>
        <v>#VALUE!</v>
      </c>
      <c r="X29" s="63" t="e">
        <f t="shared" ref="X29:X32" si="136">FIND(",",T29,V29+1)</f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33" customHeight="1" x14ac:dyDescent="0.15">
      <c r="A30" s="107">
        <v>39014029</v>
      </c>
      <c r="B30" s="111" t="s">
        <v>304</v>
      </c>
      <c r="C30" s="50">
        <v>1</v>
      </c>
      <c r="D30" s="50" t="s">
        <v>126</v>
      </c>
      <c r="E30" s="51" t="s">
        <v>297</v>
      </c>
      <c r="F30" s="51" t="s">
        <v>262</v>
      </c>
      <c r="G30" s="63" t="str">
        <f t="shared" si="122"/>
        <v>[effect:enemy_message, val1:1.6, val2:1.2]</v>
      </c>
      <c r="H30" s="63">
        <f t="shared" si="123"/>
        <v>9</v>
      </c>
      <c r="I30" s="63">
        <f t="shared" si="124"/>
        <v>22</v>
      </c>
      <c r="J30" s="63" t="e">
        <f t="shared" si="125"/>
        <v>#VALUE!</v>
      </c>
      <c r="K30" s="63">
        <f t="shared" si="126"/>
        <v>32</v>
      </c>
      <c r="L30" s="63" t="str">
        <f>IFERROR(VLOOKUP(MID(G30,J30,K30-J30),[6]skilldef!$C:$D,2,FALSE),"-") &amp; " / " &amp; IFERROR(VLOOKUP(MID(G30,H30,I30-H30),[6]skilldef!$A:$B,2,FALSE),"-")</f>
        <v>- / -</v>
      </c>
      <c r="M30" s="63" t="str">
        <f t="shared" si="127"/>
        <v xml:space="preserve">[effect:rush, count:12, val:0.083]    </v>
      </c>
      <c r="N30" s="48" t="str">
        <f t="shared" si="121"/>
        <v xml:space="preserve">[effect:rush, count:12, val:0.083]    </v>
      </c>
      <c r="O30" s="63">
        <f t="shared" si="128"/>
        <v>9</v>
      </c>
      <c r="P30" s="63">
        <f t="shared" si="129"/>
        <v>13</v>
      </c>
      <c r="Q30" s="63" t="e">
        <f t="shared" si="130"/>
        <v>#VALUE!</v>
      </c>
      <c r="R30" s="63">
        <f t="shared" si="131"/>
        <v>23</v>
      </c>
      <c r="S30" s="63" t="str">
        <f>IFERROR(VLOOKUP(MID(N30,Q30,R30-Q30),[6]skilldef!$C:$D,2,FALSE),"-") &amp; " / " &amp; IFERROR(VLOOKUP(MID(N30,O30,P30-O30),[6]skilldef!$A:$B,2,FALSE),"-")</f>
        <v>- / 連続攻撃</v>
      </c>
      <c r="T30" s="48" t="str">
        <f t="shared" si="132"/>
        <v>none</v>
      </c>
      <c r="U30" s="63" t="e">
        <f t="shared" si="133"/>
        <v>#VALUE!</v>
      </c>
      <c r="V30" s="63">
        <f t="shared" si="134"/>
        <v>4</v>
      </c>
      <c r="W30" s="63" t="e">
        <f t="shared" si="135"/>
        <v>#VALUE!</v>
      </c>
      <c r="X30" s="63" t="e">
        <f t="shared" si="136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35" customHeight="1" x14ac:dyDescent="0.15">
      <c r="A31" s="107">
        <v>39014030</v>
      </c>
      <c r="B31" s="111" t="s">
        <v>295</v>
      </c>
      <c r="C31" s="50">
        <v>1</v>
      </c>
      <c r="D31" s="50" t="s">
        <v>126</v>
      </c>
      <c r="E31" s="51" t="s">
        <v>273</v>
      </c>
      <c r="F31" s="51" t="s">
        <v>272</v>
      </c>
      <c r="G31" s="63" t="str">
        <f t="shared" si="122"/>
        <v>[effect:enemy_message, val1:1.5, val2:0]</v>
      </c>
      <c r="H31" s="63">
        <f t="shared" si="123"/>
        <v>9</v>
      </c>
      <c r="I31" s="63">
        <f t="shared" si="124"/>
        <v>22</v>
      </c>
      <c r="J31" s="63" t="e">
        <f t="shared" si="125"/>
        <v>#VALUE!</v>
      </c>
      <c r="K31" s="63">
        <f t="shared" si="126"/>
        <v>32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127"/>
        <v>none</v>
      </c>
      <c r="N31" s="48" t="str">
        <f t="shared" si="121"/>
        <v>none</v>
      </c>
      <c r="O31" s="63" t="e">
        <f t="shared" si="128"/>
        <v>#VALUE!</v>
      </c>
      <c r="P31" s="63">
        <f t="shared" si="129"/>
        <v>4</v>
      </c>
      <c r="Q31" s="63" t="e">
        <f t="shared" si="130"/>
        <v>#VALUE!</v>
      </c>
      <c r="R31" s="63" t="e">
        <f t="shared" si="131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32"/>
        <v>none</v>
      </c>
      <c r="U31" s="63" t="e">
        <f t="shared" si="133"/>
        <v>#VALUE!</v>
      </c>
      <c r="V31" s="63">
        <f t="shared" si="134"/>
        <v>4</v>
      </c>
      <c r="W31" s="63" t="e">
        <f t="shared" si="135"/>
        <v>#VALUE!</v>
      </c>
      <c r="X31" s="63" t="e">
        <f t="shared" si="136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44" customHeight="1" x14ac:dyDescent="0.15">
      <c r="A32" s="107">
        <v>39014031</v>
      </c>
      <c r="B32" s="111" t="s">
        <v>304</v>
      </c>
      <c r="C32" s="50">
        <v>1</v>
      </c>
      <c r="D32" s="50" t="s">
        <v>126</v>
      </c>
      <c r="E32" s="51" t="s">
        <v>297</v>
      </c>
      <c r="F32" s="51" t="s">
        <v>262</v>
      </c>
      <c r="G32" s="63" t="str">
        <f t="shared" si="122"/>
        <v>[effect:enemy_message, val1:1.6, val2:1.2]</v>
      </c>
      <c r="H32" s="63">
        <f t="shared" si="123"/>
        <v>9</v>
      </c>
      <c r="I32" s="63">
        <f t="shared" si="124"/>
        <v>22</v>
      </c>
      <c r="J32" s="63" t="e">
        <f t="shared" si="125"/>
        <v>#VALUE!</v>
      </c>
      <c r="K32" s="63">
        <f t="shared" si="126"/>
        <v>32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si="127"/>
        <v xml:space="preserve">[effect:rush, count:12, val:0.083]    </v>
      </c>
      <c r="N32" s="48" t="str">
        <f t="shared" si="121"/>
        <v xml:space="preserve">[effect:rush, count:12, val:0.083]    </v>
      </c>
      <c r="O32" s="63">
        <f t="shared" si="128"/>
        <v>9</v>
      </c>
      <c r="P32" s="63">
        <f t="shared" si="129"/>
        <v>13</v>
      </c>
      <c r="Q32" s="63" t="e">
        <f t="shared" si="130"/>
        <v>#VALUE!</v>
      </c>
      <c r="R32" s="63">
        <f t="shared" si="131"/>
        <v>23</v>
      </c>
      <c r="S32" s="63" t="str">
        <f>IFERROR(VLOOKUP(MID(N32,Q32,R32-Q32),[6]skilldef!$C:$D,2,FALSE),"-") &amp; " / " &amp; IFERROR(VLOOKUP(MID(N32,O32,P32-O32),[6]skilldef!$A:$B,2,FALSE),"-")</f>
        <v>- / 連続攻撃</v>
      </c>
      <c r="T32" s="48" t="str">
        <f t="shared" si="132"/>
        <v>none</v>
      </c>
      <c r="U32" s="63" t="e">
        <f t="shared" si="133"/>
        <v>#VALUE!</v>
      </c>
      <c r="V32" s="63">
        <f t="shared" si="134"/>
        <v>4</v>
      </c>
      <c r="W32" s="63" t="e">
        <f t="shared" si="135"/>
        <v>#VALUE!</v>
      </c>
      <c r="X32" s="63" t="e">
        <f t="shared" si="136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38" customHeight="1" x14ac:dyDescent="0.15">
      <c r="A33" s="107">
        <v>39014032</v>
      </c>
      <c r="B33" s="111" t="s">
        <v>279</v>
      </c>
      <c r="C33" s="50">
        <v>1</v>
      </c>
      <c r="D33" s="50" t="s">
        <v>126</v>
      </c>
      <c r="E33" s="51" t="s">
        <v>273</v>
      </c>
      <c r="F33" s="51" t="s">
        <v>272</v>
      </c>
      <c r="G33" s="63" t="str">
        <f t="shared" ref="G33:G34" si="137">IFERROR(LEFT(B33,FIND("],",B33)),B33)</f>
        <v>[effect:enemy_message, val1:1.5, val2:0]</v>
      </c>
      <c r="H33" s="63">
        <f t="shared" ref="H33:H34" si="138">FIND("effect:",G33)+7</f>
        <v>9</v>
      </c>
      <c r="I33" s="63">
        <f t="shared" ref="I33:I34" si="139">IFERROR(FIND(",",G33),LEN(G33))</f>
        <v>22</v>
      </c>
      <c r="J33" s="63" t="e">
        <f t="shared" ref="J33:J34" si="140">FIND("target:",G33)+7</f>
        <v>#VALUE!</v>
      </c>
      <c r="K33" s="63">
        <f t="shared" ref="K33:K34" si="141">FIND(",",G33,I33+1)</f>
        <v>32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ref="M33:M34" si="142">IFERROR(RIGHT(B33,LEN(B33)-FIND("],",B33)-1),"none")</f>
        <v>none</v>
      </c>
      <c r="N33" s="48" t="str">
        <f t="shared" si="121"/>
        <v>none</v>
      </c>
      <c r="O33" s="63" t="e">
        <f t="shared" ref="O33:O34" si="143">FIND("effect:",N33)+7</f>
        <v>#VALUE!</v>
      </c>
      <c r="P33" s="63">
        <f t="shared" ref="P33:P34" si="144">IFERROR(FIND(",",N33),LEN(N33))</f>
        <v>4</v>
      </c>
      <c r="Q33" s="63" t="e">
        <f t="shared" ref="Q33:Q34" si="145">FIND("target:",N33)+7</f>
        <v>#VALUE!</v>
      </c>
      <c r="R33" s="63" t="e">
        <f t="shared" ref="R33:R34" si="146">FIND(",",N33,P33+1)</f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ref="T33:T34" si="147">IFERROR(RIGHT(M33,LEN(M33)-FIND("],",M33)-1),"none")</f>
        <v>none</v>
      </c>
      <c r="U33" s="63" t="e">
        <f t="shared" ref="U33:U34" si="148">FIND("effect:",T33)+7</f>
        <v>#VALUE!</v>
      </c>
      <c r="V33" s="63">
        <f t="shared" ref="V33:V34" si="149">IFERROR(FIND(",",T33),LEN(T33))</f>
        <v>4</v>
      </c>
      <c r="W33" s="63" t="e">
        <f t="shared" ref="W33:W34" si="150">FIND("target:",T33)+7</f>
        <v>#VALUE!</v>
      </c>
      <c r="X33" s="63" t="e">
        <f t="shared" ref="X33:X34" si="151">FIND(",",T33,V33+1)</f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44" customHeight="1" x14ac:dyDescent="0.15">
      <c r="A34" s="107">
        <v>39014033</v>
      </c>
      <c r="B34" s="111" t="s">
        <v>302</v>
      </c>
      <c r="C34" s="50">
        <v>1</v>
      </c>
      <c r="D34" s="50" t="s">
        <v>126</v>
      </c>
      <c r="E34" s="51" t="s">
        <v>297</v>
      </c>
      <c r="F34" s="51" t="s">
        <v>262</v>
      </c>
      <c r="G34" s="63" t="str">
        <f t="shared" si="137"/>
        <v>[effect:enemy_message, val1:1.6, val2:1.2]</v>
      </c>
      <c r="H34" s="63">
        <f t="shared" si="138"/>
        <v>9</v>
      </c>
      <c r="I34" s="63">
        <f t="shared" si="139"/>
        <v>22</v>
      </c>
      <c r="J34" s="63" t="e">
        <f t="shared" si="140"/>
        <v>#VALUE!</v>
      </c>
      <c r="K34" s="63">
        <f t="shared" si="141"/>
        <v>32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si="142"/>
        <v xml:space="preserve">[effect:rush, count:12, val:20]    </v>
      </c>
      <c r="N34" s="48" t="str">
        <f t="shared" si="121"/>
        <v xml:space="preserve">[effect:rush, count:12, val:20]    </v>
      </c>
      <c r="O34" s="63">
        <f t="shared" si="143"/>
        <v>9</v>
      </c>
      <c r="P34" s="63">
        <f t="shared" si="144"/>
        <v>13</v>
      </c>
      <c r="Q34" s="63" t="e">
        <f t="shared" si="145"/>
        <v>#VALUE!</v>
      </c>
      <c r="R34" s="63">
        <f t="shared" si="146"/>
        <v>23</v>
      </c>
      <c r="S34" s="63" t="str">
        <f>IFERROR(VLOOKUP(MID(N34,Q34,R34-Q34),[6]skilldef!$C:$D,2,FALSE),"-") &amp; " / " &amp; IFERROR(VLOOKUP(MID(N34,O34,P34-O34),[6]skilldef!$A:$B,2,FALSE),"-")</f>
        <v>- / 連続攻撃</v>
      </c>
      <c r="T34" s="48" t="str">
        <f t="shared" si="147"/>
        <v>none</v>
      </c>
      <c r="U34" s="63" t="e">
        <f t="shared" si="148"/>
        <v>#VALUE!</v>
      </c>
      <c r="V34" s="63">
        <f t="shared" si="149"/>
        <v>4</v>
      </c>
      <c r="W34" s="63" t="e">
        <f t="shared" si="150"/>
        <v>#VALUE!</v>
      </c>
      <c r="X34" s="63" t="e">
        <f t="shared" si="151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38" customHeight="1" x14ac:dyDescent="0.15">
      <c r="A35" s="109">
        <v>39014034</v>
      </c>
      <c r="B35" s="111" t="s">
        <v>259</v>
      </c>
      <c r="C35" s="50">
        <v>1</v>
      </c>
      <c r="D35" s="50" t="s">
        <v>126</v>
      </c>
      <c r="E35" s="51" t="s">
        <v>328</v>
      </c>
      <c r="F35" s="51" t="s">
        <v>260</v>
      </c>
      <c r="G35" s="63" t="str">
        <f t="shared" si="0"/>
        <v>[effect:enemy_message, val1:1.2, val2:1.2]</v>
      </c>
      <c r="H35" s="63">
        <f t="shared" si="1"/>
        <v>9</v>
      </c>
      <c r="I35" s="63">
        <f t="shared" si="2"/>
        <v>22</v>
      </c>
      <c r="J35" s="63" t="e">
        <f t="shared" si="3"/>
        <v>#VALUE!</v>
      </c>
      <c r="K35" s="63">
        <f t="shared" si="4"/>
        <v>32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5"/>
        <v xml:space="preserve">[effect:tolerance, target:myself, turn:-1, count:-1, tolerance_effect:all, animation:enemy_tolerance]    </v>
      </c>
      <c r="N35" s="48" t="str">
        <f>IFERROR(LEFT(M35,FIND("],",M35)+S86),M35)</f>
        <v xml:space="preserve">[effect:tolerance, target:myself, turn:-1, count:-1, tolerance_effect:all, animation:enemy_tolerance]    </v>
      </c>
      <c r="O35" s="63">
        <f t="shared" si="6"/>
        <v>9</v>
      </c>
      <c r="P35" s="63">
        <f t="shared" si="7"/>
        <v>18</v>
      </c>
      <c r="Q35" s="63">
        <f t="shared" si="8"/>
        <v>27</v>
      </c>
      <c r="R35" s="63">
        <f t="shared" si="9"/>
        <v>33</v>
      </c>
      <c r="S35" s="63" t="str">
        <f>IFERROR(VLOOKUP(MID(N35,Q35,R35-Q35),[6]skilldef!$C:$D,2,FALSE),"-") &amp; " / " &amp; IFERROR(VLOOKUP(MID(N35,O35,P35-O35),[6]skilldef!$A:$B,2,FALSE),"-")</f>
        <v>自分自身に / 状態異常耐性</v>
      </c>
      <c r="T35" s="48" t="str">
        <f t="shared" si="10"/>
        <v>none</v>
      </c>
      <c r="U35" s="63" t="e">
        <f t="shared" si="11"/>
        <v>#VALUE!</v>
      </c>
      <c r="V35" s="63">
        <f t="shared" si="12"/>
        <v>4</v>
      </c>
      <c r="W35" s="63" t="e">
        <f t="shared" si="13"/>
        <v>#VALUE!</v>
      </c>
      <c r="X35" s="63" t="e">
        <f t="shared" si="14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31" customHeight="1" x14ac:dyDescent="0.15">
      <c r="A36" s="109">
        <v>39014035</v>
      </c>
      <c r="B36" s="111" t="s">
        <v>259</v>
      </c>
      <c r="C36" s="50">
        <v>1</v>
      </c>
      <c r="D36" s="50" t="s">
        <v>126</v>
      </c>
      <c r="E36" s="51" t="s">
        <v>339</v>
      </c>
      <c r="F36" s="51" t="s">
        <v>260</v>
      </c>
      <c r="G36" s="63" t="str">
        <f t="shared" si="0"/>
        <v>[effect:enemy_message, val1:1.2, val2:1.2]</v>
      </c>
      <c r="H36" s="63">
        <f t="shared" si="1"/>
        <v>9</v>
      </c>
      <c r="I36" s="63">
        <f t="shared" si="2"/>
        <v>22</v>
      </c>
      <c r="J36" s="63" t="e">
        <f t="shared" si="3"/>
        <v>#VALUE!</v>
      </c>
      <c r="K36" s="63">
        <f t="shared" si="4"/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si="5"/>
        <v xml:space="preserve">[effect:tolerance, target:myself, turn:-1, count:-1, tolerance_effect:all, animation:enemy_tolerance]    </v>
      </c>
      <c r="N36" s="48" t="str">
        <f t="shared" ref="N36:N46" si="152">IFERROR(LEFT(M36,FIND("],",M36)+S108),M36)</f>
        <v xml:space="preserve">[effect:tolerance, target:myself, turn:-1, count:-1, tolerance_effect:all, animation:enemy_tolerance]    </v>
      </c>
      <c r="O36" s="63">
        <f t="shared" si="6"/>
        <v>9</v>
      </c>
      <c r="P36" s="63">
        <f t="shared" si="7"/>
        <v>18</v>
      </c>
      <c r="Q36" s="63">
        <f t="shared" si="8"/>
        <v>27</v>
      </c>
      <c r="R36" s="63">
        <f t="shared" si="9"/>
        <v>33</v>
      </c>
      <c r="S36" s="63" t="str">
        <f>IFERROR(VLOOKUP(MID(N36,Q36,R36-Q36),[6]skilldef!$C:$D,2,FALSE),"-") &amp; " / " &amp; IFERROR(VLOOKUP(MID(N36,O36,P36-O36),[6]skilldef!$A:$B,2,FALSE),"-")</f>
        <v>自分自身に / 状態異常耐性</v>
      </c>
      <c r="T36" s="48" t="str">
        <f t="shared" si="10"/>
        <v>none</v>
      </c>
      <c r="U36" s="63" t="e">
        <f t="shared" si="11"/>
        <v>#VALUE!</v>
      </c>
      <c r="V36" s="63">
        <f t="shared" si="12"/>
        <v>4</v>
      </c>
      <c r="W36" s="63" t="e">
        <f t="shared" si="13"/>
        <v>#VALUE!</v>
      </c>
      <c r="X36" s="63" t="e">
        <f t="shared" si="14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31" customHeight="1" x14ac:dyDescent="0.15">
      <c r="A37" s="109">
        <v>39014036</v>
      </c>
      <c r="B37" s="111" t="s">
        <v>259</v>
      </c>
      <c r="C37" s="50">
        <v>1</v>
      </c>
      <c r="D37" s="50" t="s">
        <v>126</v>
      </c>
      <c r="E37" s="51" t="s">
        <v>339</v>
      </c>
      <c r="F37" s="51" t="s">
        <v>260</v>
      </c>
      <c r="G37" s="63" t="str">
        <f t="shared" si="0"/>
        <v>[effect:enemy_message, val1:1.2, val2:1.2]</v>
      </c>
      <c r="H37" s="63">
        <f t="shared" si="1"/>
        <v>9</v>
      </c>
      <c r="I37" s="63">
        <f t="shared" si="2"/>
        <v>22</v>
      </c>
      <c r="J37" s="63" t="e">
        <f t="shared" si="3"/>
        <v>#VALUE!</v>
      </c>
      <c r="K37" s="63">
        <f t="shared" si="4"/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5"/>
        <v xml:space="preserve">[effect:tolerance, target:myself, turn:-1, count:-1, tolerance_effect:all, animation:enemy_tolerance]    </v>
      </c>
      <c r="N37" s="48" t="str">
        <f t="shared" si="152"/>
        <v xml:space="preserve">[effect:tolerance, target:myself, turn:-1, count:-1, tolerance_effect:all, animation:enemy_tolerance]    </v>
      </c>
      <c r="O37" s="63">
        <f t="shared" si="6"/>
        <v>9</v>
      </c>
      <c r="P37" s="63">
        <f t="shared" si="7"/>
        <v>18</v>
      </c>
      <c r="Q37" s="63">
        <f t="shared" si="8"/>
        <v>27</v>
      </c>
      <c r="R37" s="63">
        <f t="shared" si="9"/>
        <v>33</v>
      </c>
      <c r="S37" s="63" t="str">
        <f>IFERROR(VLOOKUP(MID(N37,Q37,R37-Q37),[6]skilldef!$C:$D,2,FALSE),"-") &amp; " / " &amp; IFERROR(VLOOKUP(MID(N37,O37,P37-O37),[6]skilldef!$A:$B,2,FALSE),"-")</f>
        <v>自分自身に / 状態異常耐性</v>
      </c>
      <c r="T37" s="48" t="str">
        <f t="shared" si="10"/>
        <v>none</v>
      </c>
      <c r="U37" s="63" t="e">
        <f t="shared" si="11"/>
        <v>#VALUE!</v>
      </c>
      <c r="V37" s="63">
        <f t="shared" si="12"/>
        <v>4</v>
      </c>
      <c r="W37" s="63" t="e">
        <f t="shared" si="13"/>
        <v>#VALUE!</v>
      </c>
      <c r="X37" s="63" t="e">
        <f t="shared" si="14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31" customHeight="1" x14ac:dyDescent="0.15">
      <c r="A38" s="109">
        <v>39014037</v>
      </c>
      <c r="B38" s="111" t="s">
        <v>259</v>
      </c>
      <c r="C38" s="50">
        <v>1</v>
      </c>
      <c r="D38" s="50" t="s">
        <v>126</v>
      </c>
      <c r="E38" s="51" t="s">
        <v>339</v>
      </c>
      <c r="F38" s="51" t="s">
        <v>260</v>
      </c>
      <c r="G38" s="63" t="str">
        <f t="shared" si="0"/>
        <v>[effect:enemy_message, val1:1.2, val2:1.2]</v>
      </c>
      <c r="H38" s="63">
        <f t="shared" si="1"/>
        <v>9</v>
      </c>
      <c r="I38" s="63">
        <f t="shared" si="2"/>
        <v>22</v>
      </c>
      <c r="J38" s="63" t="e">
        <f t="shared" si="3"/>
        <v>#VALUE!</v>
      </c>
      <c r="K38" s="63">
        <f t="shared" si="4"/>
        <v>32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5"/>
        <v xml:space="preserve">[effect:tolerance, target:myself, turn:-1, count:-1, tolerance_effect:all, animation:enemy_tolerance]    </v>
      </c>
      <c r="N38" s="48" t="str">
        <f t="shared" si="152"/>
        <v xml:space="preserve">[effect:tolerance, target:myself, turn:-1, count:-1, tolerance_effect:all, animation:enemy_tolerance]    </v>
      </c>
      <c r="O38" s="63">
        <f t="shared" si="6"/>
        <v>9</v>
      </c>
      <c r="P38" s="63">
        <f t="shared" si="7"/>
        <v>18</v>
      </c>
      <c r="Q38" s="63">
        <f t="shared" si="8"/>
        <v>27</v>
      </c>
      <c r="R38" s="63">
        <f t="shared" si="9"/>
        <v>33</v>
      </c>
      <c r="S38" s="63" t="str">
        <f>IFERROR(VLOOKUP(MID(N38,Q38,R38-Q38),[6]skilldef!$C:$D,2,FALSE),"-") &amp; " / " &amp; IFERROR(VLOOKUP(MID(N38,O38,P38-O38),[6]skilldef!$A:$B,2,FALSE),"-")</f>
        <v>自分自身に / 状態異常耐性</v>
      </c>
      <c r="T38" s="48" t="str">
        <f t="shared" si="10"/>
        <v>none</v>
      </c>
      <c r="U38" s="63" t="e">
        <f t="shared" si="11"/>
        <v>#VALUE!</v>
      </c>
      <c r="V38" s="63">
        <f t="shared" si="12"/>
        <v>4</v>
      </c>
      <c r="W38" s="63" t="e">
        <f t="shared" si="13"/>
        <v>#VALUE!</v>
      </c>
      <c r="X38" s="63" t="e">
        <f t="shared" si="14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31" customHeight="1" x14ac:dyDescent="0.15">
      <c r="A39" s="109">
        <v>39014038</v>
      </c>
      <c r="B39" s="111" t="s">
        <v>259</v>
      </c>
      <c r="C39" s="50">
        <v>1</v>
      </c>
      <c r="D39" s="50" t="s">
        <v>126</v>
      </c>
      <c r="E39" s="51" t="s">
        <v>339</v>
      </c>
      <c r="F39" s="51" t="s">
        <v>260</v>
      </c>
      <c r="G39" s="63" t="str">
        <f t="shared" ref="G39" si="153">IFERROR(LEFT(B39,FIND("],",B39)),B39)</f>
        <v>[effect:enemy_message, val1:1.2, val2:1.2]</v>
      </c>
      <c r="H39" s="63">
        <f t="shared" ref="H39" si="154">FIND("effect:",G39)+7</f>
        <v>9</v>
      </c>
      <c r="I39" s="63">
        <f t="shared" ref="I39" si="155">IFERROR(FIND(",",G39),LEN(G39))</f>
        <v>22</v>
      </c>
      <c r="J39" s="63" t="e">
        <f t="shared" ref="J39" si="156">FIND("target:",G39)+7</f>
        <v>#VALUE!</v>
      </c>
      <c r="K39" s="63">
        <f t="shared" ref="K39" si="157">FIND(",",G39,I39+1)</f>
        <v>32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ref="M39" si="158">IFERROR(RIGHT(B39,LEN(B39)-FIND("],",B39)-1),"none")</f>
        <v xml:space="preserve">[effect:tolerance, target:myself, turn:-1, count:-1, tolerance_effect:all, animation:enemy_tolerance]    </v>
      </c>
      <c r="N39" s="48" t="str">
        <f t="shared" si="152"/>
        <v xml:space="preserve">[effect:tolerance, target:myself, turn:-1, count:-1, tolerance_effect:all, animation:enemy_tolerance]    </v>
      </c>
      <c r="O39" s="63">
        <f t="shared" ref="O39" si="159">FIND("effect:",N39)+7</f>
        <v>9</v>
      </c>
      <c r="P39" s="63">
        <f t="shared" ref="P39" si="160">IFERROR(FIND(",",N39),LEN(N39))</f>
        <v>18</v>
      </c>
      <c r="Q39" s="63">
        <f t="shared" ref="Q39" si="161">FIND("target:",N39)+7</f>
        <v>27</v>
      </c>
      <c r="R39" s="63">
        <f t="shared" ref="R39" si="162">FIND(",",N39,P39+1)</f>
        <v>33</v>
      </c>
      <c r="S39" s="63" t="str">
        <f>IFERROR(VLOOKUP(MID(N39,Q39,R39-Q39),[6]skilldef!$C:$D,2,FALSE),"-") &amp; " / " &amp; IFERROR(VLOOKUP(MID(N39,O39,P39-O39),[6]skilldef!$A:$B,2,FALSE),"-")</f>
        <v>自分自身に / 状態異常耐性</v>
      </c>
      <c r="T39" s="48" t="str">
        <f t="shared" ref="T39" si="163">IFERROR(RIGHT(M39,LEN(M39)-FIND("],",M39)-1),"none")</f>
        <v>none</v>
      </c>
      <c r="U39" s="63" t="e">
        <f t="shared" ref="U39" si="164">FIND("effect:",T39)+7</f>
        <v>#VALUE!</v>
      </c>
      <c r="V39" s="63">
        <f t="shared" ref="V39" si="165">IFERROR(FIND(",",T39),LEN(T39))</f>
        <v>4</v>
      </c>
      <c r="W39" s="63" t="e">
        <f t="shared" ref="W39" si="166">FIND("target:",T39)+7</f>
        <v>#VALUE!</v>
      </c>
      <c r="X39" s="63" t="e">
        <f t="shared" ref="X39" si="167">FIND(",",T39,V39+1)</f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31" customHeight="1" x14ac:dyDescent="0.15">
      <c r="A40" s="109">
        <v>39014039</v>
      </c>
      <c r="B40" s="111" t="s">
        <v>259</v>
      </c>
      <c r="C40" s="50">
        <v>1</v>
      </c>
      <c r="D40" s="50" t="s">
        <v>126</v>
      </c>
      <c r="E40" s="51" t="s">
        <v>339</v>
      </c>
      <c r="F40" s="51" t="s">
        <v>260</v>
      </c>
      <c r="G40" s="63" t="str">
        <f t="shared" si="0"/>
        <v>[effect:enemy_message, val1:1.2, val2:1.2]</v>
      </c>
      <c r="H40" s="63">
        <f t="shared" si="1"/>
        <v>9</v>
      </c>
      <c r="I40" s="63">
        <f t="shared" si="2"/>
        <v>22</v>
      </c>
      <c r="J40" s="63" t="e">
        <f t="shared" si="3"/>
        <v>#VALUE!</v>
      </c>
      <c r="K40" s="63">
        <f t="shared" si="4"/>
        <v>32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si="5"/>
        <v xml:space="preserve">[effect:tolerance, target:myself, turn:-1, count:-1, tolerance_effect:all, animation:enemy_tolerance]    </v>
      </c>
      <c r="N40" s="48" t="str">
        <f t="shared" si="152"/>
        <v xml:space="preserve">[effect:tolerance, target:myself, turn:-1, count:-1, tolerance_effect:all, animation:enemy_tolerance]    </v>
      </c>
      <c r="O40" s="63">
        <f t="shared" si="6"/>
        <v>9</v>
      </c>
      <c r="P40" s="63">
        <f t="shared" si="7"/>
        <v>18</v>
      </c>
      <c r="Q40" s="63">
        <f t="shared" si="8"/>
        <v>27</v>
      </c>
      <c r="R40" s="63">
        <f t="shared" si="9"/>
        <v>33</v>
      </c>
      <c r="S40" s="63" t="str">
        <f>IFERROR(VLOOKUP(MID(N40,Q40,R40-Q40),[6]skilldef!$C:$D,2,FALSE),"-") &amp; " / " &amp; IFERROR(VLOOKUP(MID(N40,O40,P40-O40),[6]skilldef!$A:$B,2,FALSE),"-")</f>
        <v>自分自身に / 状態異常耐性</v>
      </c>
      <c r="T40" s="48" t="str">
        <f t="shared" si="10"/>
        <v>none</v>
      </c>
      <c r="U40" s="63" t="e">
        <f t="shared" si="11"/>
        <v>#VALUE!</v>
      </c>
      <c r="V40" s="63">
        <f t="shared" si="12"/>
        <v>4</v>
      </c>
      <c r="W40" s="63" t="e">
        <f t="shared" si="13"/>
        <v>#VALUE!</v>
      </c>
      <c r="X40" s="63" t="e">
        <f t="shared" si="14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31" customHeight="1" x14ac:dyDescent="0.15">
      <c r="A41" s="109">
        <v>39014040</v>
      </c>
      <c r="B41" s="111" t="s">
        <v>259</v>
      </c>
      <c r="C41" s="50">
        <v>1</v>
      </c>
      <c r="D41" s="50" t="s">
        <v>126</v>
      </c>
      <c r="E41" s="51" t="s">
        <v>339</v>
      </c>
      <c r="F41" s="51" t="s">
        <v>260</v>
      </c>
      <c r="G41" s="63" t="str">
        <f t="shared" si="0"/>
        <v>[effect:enemy_message, val1:1.2, val2:1.2]</v>
      </c>
      <c r="H41" s="63">
        <f t="shared" si="1"/>
        <v>9</v>
      </c>
      <c r="I41" s="63">
        <f t="shared" si="2"/>
        <v>22</v>
      </c>
      <c r="J41" s="63" t="e">
        <f t="shared" si="3"/>
        <v>#VALUE!</v>
      </c>
      <c r="K41" s="63">
        <f t="shared" si="4"/>
        <v>32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si="5"/>
        <v xml:space="preserve">[effect:tolerance, target:myself, turn:-1, count:-1, tolerance_effect:all, animation:enemy_tolerance]    </v>
      </c>
      <c r="N41" s="48" t="str">
        <f t="shared" si="152"/>
        <v xml:space="preserve">[effect:tolerance, target:myself, turn:-1, count:-1, tolerance_effect:all, animation:enemy_tolerance]    </v>
      </c>
      <c r="O41" s="63">
        <f t="shared" si="6"/>
        <v>9</v>
      </c>
      <c r="P41" s="63">
        <f t="shared" si="7"/>
        <v>18</v>
      </c>
      <c r="Q41" s="63">
        <f t="shared" si="8"/>
        <v>27</v>
      </c>
      <c r="R41" s="63">
        <f t="shared" si="9"/>
        <v>33</v>
      </c>
      <c r="S41" s="63" t="str">
        <f>IFERROR(VLOOKUP(MID(N41,Q41,R41-Q41),[6]skilldef!$C:$D,2,FALSE),"-") &amp; " / " &amp; IFERROR(VLOOKUP(MID(N41,O41,P41-O41),[6]skilldef!$A:$B,2,FALSE),"-")</f>
        <v>自分自身に / 状態異常耐性</v>
      </c>
      <c r="T41" s="48" t="str">
        <f t="shared" si="10"/>
        <v>none</v>
      </c>
      <c r="U41" s="63" t="e">
        <f t="shared" si="11"/>
        <v>#VALUE!</v>
      </c>
      <c r="V41" s="63">
        <f t="shared" si="12"/>
        <v>4</v>
      </c>
      <c r="W41" s="63" t="e">
        <f t="shared" si="13"/>
        <v>#VALUE!</v>
      </c>
      <c r="X41" s="63" t="e">
        <f t="shared" si="14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32" customHeight="1" x14ac:dyDescent="0.15">
      <c r="A42" s="109">
        <v>39014041</v>
      </c>
      <c r="B42" s="111" t="s">
        <v>259</v>
      </c>
      <c r="C42" s="50">
        <v>1</v>
      </c>
      <c r="D42" s="50" t="s">
        <v>126</v>
      </c>
      <c r="E42" s="51" t="s">
        <v>339</v>
      </c>
      <c r="F42" s="51" t="s">
        <v>260</v>
      </c>
      <c r="G42" s="63" t="str">
        <f t="shared" si="0"/>
        <v>[effect:enemy_message, val1:1.2, val2:1.2]</v>
      </c>
      <c r="H42" s="63">
        <f t="shared" si="1"/>
        <v>9</v>
      </c>
      <c r="I42" s="63">
        <f t="shared" si="2"/>
        <v>22</v>
      </c>
      <c r="J42" s="63" t="e">
        <f t="shared" si="3"/>
        <v>#VALUE!</v>
      </c>
      <c r="K42" s="63">
        <f t="shared" si="4"/>
        <v>32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si="5"/>
        <v xml:space="preserve">[effect:tolerance, target:myself, turn:-1, count:-1, tolerance_effect:all, animation:enemy_tolerance]    </v>
      </c>
      <c r="N42" s="48" t="str">
        <f t="shared" si="152"/>
        <v xml:space="preserve">[effect:tolerance, target:myself, turn:-1, count:-1, tolerance_effect:all, animation:enemy_tolerance]    </v>
      </c>
      <c r="O42" s="63">
        <f t="shared" si="6"/>
        <v>9</v>
      </c>
      <c r="P42" s="63">
        <f t="shared" si="7"/>
        <v>18</v>
      </c>
      <c r="Q42" s="63">
        <f t="shared" si="8"/>
        <v>27</v>
      </c>
      <c r="R42" s="63">
        <f t="shared" si="9"/>
        <v>33</v>
      </c>
      <c r="S42" s="63" t="str">
        <f>IFERROR(VLOOKUP(MID(N42,Q42,R42-Q42),[6]skilldef!$C:$D,2,FALSE),"-") &amp; " / " &amp; IFERROR(VLOOKUP(MID(N42,O42,P42-O42),[6]skilldef!$A:$B,2,FALSE),"-")</f>
        <v>自分自身に / 状態異常耐性</v>
      </c>
      <c r="T42" s="48" t="str">
        <f t="shared" si="10"/>
        <v>none</v>
      </c>
      <c r="U42" s="63" t="e">
        <f t="shared" si="11"/>
        <v>#VALUE!</v>
      </c>
      <c r="V42" s="63">
        <f t="shared" si="12"/>
        <v>4</v>
      </c>
      <c r="W42" s="63" t="e">
        <f t="shared" si="13"/>
        <v>#VALUE!</v>
      </c>
      <c r="X42" s="63" t="e">
        <f t="shared" si="14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32" customHeight="1" x14ac:dyDescent="0.15">
      <c r="A43" s="109">
        <v>39014042</v>
      </c>
      <c r="B43" s="111" t="s">
        <v>259</v>
      </c>
      <c r="C43" s="50">
        <v>1</v>
      </c>
      <c r="D43" s="50" t="s">
        <v>126</v>
      </c>
      <c r="E43" s="51" t="s">
        <v>339</v>
      </c>
      <c r="F43" s="51" t="s">
        <v>260</v>
      </c>
      <c r="G43" s="63" t="str">
        <f t="shared" si="0"/>
        <v>[effect:enemy_message, val1:1.2, val2:1.2]</v>
      </c>
      <c r="H43" s="63">
        <f t="shared" si="1"/>
        <v>9</v>
      </c>
      <c r="I43" s="63">
        <f t="shared" si="2"/>
        <v>22</v>
      </c>
      <c r="J43" s="63" t="e">
        <f t="shared" si="3"/>
        <v>#VALUE!</v>
      </c>
      <c r="K43" s="63">
        <f t="shared" si="4"/>
        <v>32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5"/>
        <v xml:space="preserve">[effect:tolerance, target:myself, turn:-1, count:-1, tolerance_effect:all, animation:enemy_tolerance]    </v>
      </c>
      <c r="N43" s="48" t="str">
        <f t="shared" si="152"/>
        <v xml:space="preserve">[effect:tolerance, target:myself, turn:-1, count:-1, tolerance_effect:all, animation:enemy_tolerance]    </v>
      </c>
      <c r="O43" s="63">
        <f t="shared" si="6"/>
        <v>9</v>
      </c>
      <c r="P43" s="63">
        <f t="shared" si="7"/>
        <v>18</v>
      </c>
      <c r="Q43" s="63">
        <f t="shared" si="8"/>
        <v>27</v>
      </c>
      <c r="R43" s="63">
        <f t="shared" si="9"/>
        <v>33</v>
      </c>
      <c r="S43" s="63" t="str">
        <f>IFERROR(VLOOKUP(MID(N43,Q43,R43-Q43),[6]skilldef!$C:$D,2,FALSE),"-") &amp; " / " &amp; IFERROR(VLOOKUP(MID(N43,O43,P43-O43),[6]skilldef!$A:$B,2,FALSE),"-")</f>
        <v>自分自身に / 状態異常耐性</v>
      </c>
      <c r="T43" s="48" t="str">
        <f t="shared" si="10"/>
        <v>none</v>
      </c>
      <c r="U43" s="63" t="e">
        <f t="shared" si="11"/>
        <v>#VALUE!</v>
      </c>
      <c r="V43" s="63">
        <f t="shared" si="12"/>
        <v>4</v>
      </c>
      <c r="W43" s="63" t="e">
        <f t="shared" si="13"/>
        <v>#VALUE!</v>
      </c>
      <c r="X43" s="63" t="e">
        <f t="shared" si="14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30" customHeight="1" x14ac:dyDescent="0.15">
      <c r="A44" s="109">
        <v>39014043</v>
      </c>
      <c r="B44" s="111" t="s">
        <v>259</v>
      </c>
      <c r="C44" s="50">
        <v>1</v>
      </c>
      <c r="D44" s="50" t="s">
        <v>126</v>
      </c>
      <c r="E44" s="51" t="s">
        <v>339</v>
      </c>
      <c r="F44" s="51" t="s">
        <v>260</v>
      </c>
      <c r="G44" s="63" t="str">
        <f t="shared" si="0"/>
        <v>[effect:enemy_message, val1:1.2, val2:1.2]</v>
      </c>
      <c r="H44" s="63">
        <f t="shared" si="1"/>
        <v>9</v>
      </c>
      <c r="I44" s="63">
        <f t="shared" si="2"/>
        <v>22</v>
      </c>
      <c r="J44" s="63" t="e">
        <f t="shared" si="3"/>
        <v>#VALUE!</v>
      </c>
      <c r="K44" s="63">
        <f t="shared" si="4"/>
        <v>32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si="5"/>
        <v xml:space="preserve">[effect:tolerance, target:myself, turn:-1, count:-1, tolerance_effect:all, animation:enemy_tolerance]    </v>
      </c>
      <c r="N44" s="48" t="str">
        <f t="shared" si="152"/>
        <v xml:space="preserve">[effect:tolerance, target:myself, turn:-1, count:-1, tolerance_effect:all, animation:enemy_tolerance]    </v>
      </c>
      <c r="O44" s="63">
        <f t="shared" si="6"/>
        <v>9</v>
      </c>
      <c r="P44" s="63">
        <f t="shared" si="7"/>
        <v>18</v>
      </c>
      <c r="Q44" s="63">
        <f t="shared" si="8"/>
        <v>27</v>
      </c>
      <c r="R44" s="63">
        <f t="shared" si="9"/>
        <v>33</v>
      </c>
      <c r="S44" s="63" t="str">
        <f>IFERROR(VLOOKUP(MID(N44,Q44,R44-Q44),[6]skilldef!$C:$D,2,FALSE),"-") &amp; " / " &amp; IFERROR(VLOOKUP(MID(N44,O44,P44-O44),[6]skilldef!$A:$B,2,FALSE),"-")</f>
        <v>自分自身に / 状態異常耐性</v>
      </c>
      <c r="T44" s="48" t="str">
        <f t="shared" si="10"/>
        <v>none</v>
      </c>
      <c r="U44" s="63" t="e">
        <f t="shared" si="11"/>
        <v>#VALUE!</v>
      </c>
      <c r="V44" s="63">
        <f t="shared" si="12"/>
        <v>4</v>
      </c>
      <c r="W44" s="63" t="e">
        <f t="shared" si="13"/>
        <v>#VALUE!</v>
      </c>
      <c r="X44" s="63" t="e">
        <f t="shared" si="14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31" customHeight="1" x14ac:dyDescent="0.15">
      <c r="A45" s="109">
        <v>39014044</v>
      </c>
      <c r="B45" s="111" t="s">
        <v>259</v>
      </c>
      <c r="C45" s="50">
        <v>1</v>
      </c>
      <c r="D45" s="50" t="s">
        <v>126</v>
      </c>
      <c r="E45" s="51" t="s">
        <v>339</v>
      </c>
      <c r="F45" s="51" t="s">
        <v>260</v>
      </c>
      <c r="G45" s="63" t="str">
        <f t="shared" si="0"/>
        <v>[effect:enemy_message, val1:1.2, val2:1.2]</v>
      </c>
      <c r="H45" s="63">
        <f t="shared" si="1"/>
        <v>9</v>
      </c>
      <c r="I45" s="63">
        <f t="shared" si="2"/>
        <v>22</v>
      </c>
      <c r="J45" s="63" t="e">
        <f t="shared" si="3"/>
        <v>#VALUE!</v>
      </c>
      <c r="K45" s="63">
        <f t="shared" si="4"/>
        <v>32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5"/>
        <v xml:space="preserve">[effect:tolerance, target:myself, turn:-1, count:-1, tolerance_effect:all, animation:enemy_tolerance]    </v>
      </c>
      <c r="N45" s="48" t="str">
        <f t="shared" si="152"/>
        <v xml:space="preserve">[effect:tolerance, target:myself, turn:-1, count:-1, tolerance_effect:all, animation:enemy_tolerance]    </v>
      </c>
      <c r="O45" s="63">
        <f t="shared" si="6"/>
        <v>9</v>
      </c>
      <c r="P45" s="63">
        <f t="shared" si="7"/>
        <v>18</v>
      </c>
      <c r="Q45" s="63">
        <f t="shared" si="8"/>
        <v>27</v>
      </c>
      <c r="R45" s="63">
        <f t="shared" si="9"/>
        <v>33</v>
      </c>
      <c r="S45" s="63" t="str">
        <f>IFERROR(VLOOKUP(MID(N45,Q45,R45-Q45),[6]skilldef!$C:$D,2,FALSE),"-") &amp; " / " &amp; IFERROR(VLOOKUP(MID(N45,O45,P45-O45),[6]skilldef!$A:$B,2,FALSE),"-")</f>
        <v>自分自身に / 状態異常耐性</v>
      </c>
      <c r="T45" s="48" t="str">
        <f t="shared" si="10"/>
        <v>none</v>
      </c>
      <c r="U45" s="63" t="e">
        <f t="shared" si="11"/>
        <v>#VALUE!</v>
      </c>
      <c r="V45" s="63">
        <f t="shared" si="12"/>
        <v>4</v>
      </c>
      <c r="W45" s="63" t="e">
        <f t="shared" si="13"/>
        <v>#VALUE!</v>
      </c>
      <c r="X45" s="63" t="e">
        <f t="shared" si="14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32" customHeight="1" x14ac:dyDescent="0.15">
      <c r="A46" s="109">
        <v>39014045</v>
      </c>
      <c r="B46" s="111" t="s">
        <v>259</v>
      </c>
      <c r="C46" s="50">
        <v>1</v>
      </c>
      <c r="D46" s="50" t="s">
        <v>126</v>
      </c>
      <c r="E46" s="51" t="s">
        <v>339</v>
      </c>
      <c r="F46" s="51" t="s">
        <v>260</v>
      </c>
      <c r="G46" s="63" t="str">
        <f t="shared" si="0"/>
        <v>[effect:enemy_message, val1:1.2, val2:1.2]</v>
      </c>
      <c r="H46" s="63">
        <f t="shared" si="1"/>
        <v>9</v>
      </c>
      <c r="I46" s="63">
        <f t="shared" si="2"/>
        <v>22</v>
      </c>
      <c r="J46" s="63" t="e">
        <f t="shared" si="3"/>
        <v>#VALUE!</v>
      </c>
      <c r="K46" s="63">
        <f t="shared" si="4"/>
        <v>32</v>
      </c>
      <c r="L46" s="63" t="str">
        <f>IFERROR(VLOOKUP(MID(G46,J46,K46-J46),[6]skilldef!$C:$D,2,FALSE),"-") &amp; " / " &amp; IFERROR(VLOOKUP(MID(G46,H46,I46-H46),[6]skilldef!$A:$B,2,FALSE),"-")</f>
        <v>- / -</v>
      </c>
      <c r="M46" s="63" t="str">
        <f t="shared" si="5"/>
        <v xml:space="preserve">[effect:tolerance, target:myself, turn:-1, count:-1, tolerance_effect:all, animation:enemy_tolerance]    </v>
      </c>
      <c r="N46" s="48" t="str">
        <f t="shared" si="152"/>
        <v xml:space="preserve">[effect:tolerance, target:myself, turn:-1, count:-1, tolerance_effect:all, animation:enemy_tolerance]    </v>
      </c>
      <c r="O46" s="63">
        <f t="shared" si="6"/>
        <v>9</v>
      </c>
      <c r="P46" s="63">
        <f t="shared" si="7"/>
        <v>18</v>
      </c>
      <c r="Q46" s="63">
        <f t="shared" si="8"/>
        <v>27</v>
      </c>
      <c r="R46" s="63">
        <f t="shared" si="9"/>
        <v>33</v>
      </c>
      <c r="S46" s="63" t="str">
        <f>IFERROR(VLOOKUP(MID(N46,Q46,R46-Q46),[6]skilldef!$C:$D,2,FALSE),"-") &amp; " / " &amp; IFERROR(VLOOKUP(MID(N46,O46,P46-O46),[6]skilldef!$A:$B,2,FALSE),"-")</f>
        <v>自分自身に / 状態異常耐性</v>
      </c>
      <c r="T46" s="48" t="str">
        <f t="shared" si="10"/>
        <v>none</v>
      </c>
      <c r="U46" s="63" t="e">
        <f t="shared" si="11"/>
        <v>#VALUE!</v>
      </c>
      <c r="V46" s="63">
        <f t="shared" si="12"/>
        <v>4</v>
      </c>
      <c r="W46" s="63" t="e">
        <f t="shared" si="13"/>
        <v>#VALUE!</v>
      </c>
      <c r="X46" s="63" t="e">
        <f t="shared" si="14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30" customHeight="1" x14ac:dyDescent="0.15">
      <c r="A47" s="109">
        <v>39014046</v>
      </c>
      <c r="B47" s="111" t="s">
        <v>259</v>
      </c>
      <c r="C47" s="50">
        <v>1</v>
      </c>
      <c r="D47" s="50" t="s">
        <v>126</v>
      </c>
      <c r="E47" s="51" t="s">
        <v>339</v>
      </c>
      <c r="F47" s="51" t="s">
        <v>260</v>
      </c>
      <c r="G47" s="63" t="str">
        <f t="shared" si="0"/>
        <v>[effect:enemy_message, val1:1.2, val2:1.2]</v>
      </c>
      <c r="H47" s="63">
        <f t="shared" si="1"/>
        <v>9</v>
      </c>
      <c r="I47" s="63">
        <f t="shared" si="2"/>
        <v>22</v>
      </c>
      <c r="J47" s="63" t="e">
        <f t="shared" si="3"/>
        <v>#VALUE!</v>
      </c>
      <c r="K47" s="63">
        <f t="shared" si="4"/>
        <v>32</v>
      </c>
      <c r="L47" s="63" t="str">
        <f>IFERROR(VLOOKUP(MID(G47,J47,K47-J47),[6]skilldef!$C:$D,2,FALSE),"-") &amp; " / " &amp; IFERROR(VLOOKUP(MID(G47,H47,I47-H47),[6]skilldef!$A:$B,2,FALSE),"-")</f>
        <v>- / -</v>
      </c>
      <c r="M47" s="63" t="str">
        <f t="shared" si="5"/>
        <v xml:space="preserve">[effect:tolerance, target:myself, turn:-1, count:-1, tolerance_effect:all, animation:enemy_tolerance]    </v>
      </c>
      <c r="N47" s="48" t="str">
        <f>IFERROR(LEFT(M47,FIND("],",M47)+S118),M47)</f>
        <v xml:space="preserve">[effect:tolerance, target:myself, turn:-1, count:-1, tolerance_effect:all, animation:enemy_tolerance]    </v>
      </c>
      <c r="O47" s="63">
        <f t="shared" si="6"/>
        <v>9</v>
      </c>
      <c r="P47" s="63">
        <f t="shared" si="7"/>
        <v>18</v>
      </c>
      <c r="Q47" s="63">
        <f t="shared" si="8"/>
        <v>27</v>
      </c>
      <c r="R47" s="63">
        <f t="shared" si="9"/>
        <v>33</v>
      </c>
      <c r="S47" s="63" t="str">
        <f>IFERROR(VLOOKUP(MID(N47,Q47,R47-Q47),[6]skilldef!$C:$D,2,FALSE),"-") &amp; " / " &amp; IFERROR(VLOOKUP(MID(N47,O47,P47-O47),[6]skilldef!$A:$B,2,FALSE),"-")</f>
        <v>自分自身に / 状態異常耐性</v>
      </c>
      <c r="T47" s="48" t="str">
        <f t="shared" si="10"/>
        <v>none</v>
      </c>
      <c r="U47" s="63" t="e">
        <f t="shared" si="11"/>
        <v>#VALUE!</v>
      </c>
      <c r="V47" s="63">
        <f t="shared" si="12"/>
        <v>4</v>
      </c>
      <c r="W47" s="63" t="e">
        <f t="shared" si="13"/>
        <v>#VALUE!</v>
      </c>
      <c r="X47" s="63" t="e">
        <f t="shared" si="14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32" customHeight="1" x14ac:dyDescent="0.15">
      <c r="A48" s="109">
        <v>39014047</v>
      </c>
      <c r="B48" s="111" t="s">
        <v>259</v>
      </c>
      <c r="C48" s="50">
        <v>1</v>
      </c>
      <c r="D48" s="50" t="s">
        <v>126</v>
      </c>
      <c r="E48" s="51" t="s">
        <v>339</v>
      </c>
      <c r="F48" s="51" t="s">
        <v>260</v>
      </c>
      <c r="G48" s="63" t="str">
        <f t="shared" si="0"/>
        <v>[effect:enemy_message, val1:1.2, val2:1.2]</v>
      </c>
      <c r="H48" s="63">
        <f t="shared" si="1"/>
        <v>9</v>
      </c>
      <c r="I48" s="63">
        <f t="shared" si="2"/>
        <v>22</v>
      </c>
      <c r="J48" s="63" t="e">
        <f t="shared" si="3"/>
        <v>#VALUE!</v>
      </c>
      <c r="K48" s="63">
        <f t="shared" si="4"/>
        <v>32</v>
      </c>
      <c r="L48" s="63" t="str">
        <f>IFERROR(VLOOKUP(MID(G48,J48,K48-J48),[6]skilldef!$C:$D,2,FALSE),"-") &amp; " / " &amp; IFERROR(VLOOKUP(MID(G48,H48,I48-H48),[6]skilldef!$A:$B,2,FALSE),"-")</f>
        <v>- / -</v>
      </c>
      <c r="M48" s="63" t="str">
        <f t="shared" si="5"/>
        <v xml:space="preserve">[effect:tolerance, target:myself, turn:-1, count:-1, tolerance_effect:all, animation:enemy_tolerance]    </v>
      </c>
      <c r="N48" s="48" t="str">
        <f>IFERROR(LEFT(M48,FIND("],",M48)+S117),M48)</f>
        <v xml:space="preserve">[effect:tolerance, target:myself, turn:-1, count:-1, tolerance_effect:all, animation:enemy_tolerance]    </v>
      </c>
      <c r="O48" s="63">
        <f t="shared" si="6"/>
        <v>9</v>
      </c>
      <c r="P48" s="63">
        <f t="shared" si="7"/>
        <v>18</v>
      </c>
      <c r="Q48" s="63">
        <f t="shared" si="8"/>
        <v>27</v>
      </c>
      <c r="R48" s="63">
        <f t="shared" si="9"/>
        <v>33</v>
      </c>
      <c r="S48" s="63" t="str">
        <f>IFERROR(VLOOKUP(MID(N48,Q48,R48-Q48),[6]skilldef!$C:$D,2,FALSE),"-") &amp; " / " &amp; IFERROR(VLOOKUP(MID(N48,O48,P48-O48),[6]skilldef!$A:$B,2,FALSE),"-")</f>
        <v>自分自身に / 状態異常耐性</v>
      </c>
      <c r="T48" s="48" t="str">
        <f t="shared" si="10"/>
        <v>none</v>
      </c>
      <c r="U48" s="63" t="e">
        <f t="shared" si="11"/>
        <v>#VALUE!</v>
      </c>
      <c r="V48" s="63">
        <f t="shared" si="12"/>
        <v>4</v>
      </c>
      <c r="W48" s="63" t="e">
        <f t="shared" si="13"/>
        <v>#VALUE!</v>
      </c>
      <c r="X48" s="63" t="e">
        <f t="shared" si="14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42" customHeight="1" x14ac:dyDescent="0.15">
      <c r="A49" s="109">
        <v>39014048</v>
      </c>
      <c r="B49" s="111" t="s">
        <v>312</v>
      </c>
      <c r="C49" s="50">
        <v>1</v>
      </c>
      <c r="D49" s="50" t="s">
        <v>126</v>
      </c>
      <c r="E49" s="51" t="s">
        <v>288</v>
      </c>
      <c r="F49" s="51" t="s">
        <v>291</v>
      </c>
      <c r="G49" s="63" t="str">
        <f t="shared" si="0"/>
        <v>[effect:enemy_message, val1:1.6, val2:1.2]</v>
      </c>
      <c r="H49" s="63">
        <f t="shared" si="1"/>
        <v>9</v>
      </c>
      <c r="I49" s="63">
        <f t="shared" si="2"/>
        <v>22</v>
      </c>
      <c r="J49" s="63" t="e">
        <f t="shared" si="3"/>
        <v>#VALUE!</v>
      </c>
      <c r="K49" s="63">
        <f t="shared" si="4"/>
        <v>32</v>
      </c>
      <c r="L49" s="63" t="str">
        <f>IFERROR(VLOOKUP(MID(G49,J49,K49-J49),[6]skilldef!$C:$D,2,FALSE),"-") &amp; " / " &amp; IFERROR(VLOOKUP(MID(G49,H49,I49-H49),[6]skilldef!$A:$B,2,FALSE),"-")</f>
        <v>- / -</v>
      </c>
      <c r="M49" s="63" t="str">
        <f t="shared" si="5"/>
        <v xml:space="preserve">[effect:rush, count:2, val:0.2]    </v>
      </c>
      <c r="N49" s="48" t="str">
        <f>IFERROR(LEFT(M49,FIND("],",M49)+S88),M49)</f>
        <v xml:space="preserve">[effect:rush, count:2, val:0.2]    </v>
      </c>
      <c r="O49" s="63">
        <f t="shared" si="6"/>
        <v>9</v>
      </c>
      <c r="P49" s="63">
        <f t="shared" si="7"/>
        <v>13</v>
      </c>
      <c r="Q49" s="63" t="e">
        <f t="shared" si="8"/>
        <v>#VALUE!</v>
      </c>
      <c r="R49" s="63">
        <f t="shared" si="9"/>
        <v>22</v>
      </c>
      <c r="S49" s="63" t="str">
        <f>IFERROR(VLOOKUP(MID(N49,Q49,R49-Q49),[6]skilldef!$C:$D,2,FALSE),"-") &amp; " / " &amp; IFERROR(VLOOKUP(MID(N49,O49,P49-O49),[6]skilldef!$A:$B,2,FALSE),"-")</f>
        <v>- / 連続攻撃</v>
      </c>
      <c r="T49" s="48" t="str">
        <f t="shared" si="10"/>
        <v>none</v>
      </c>
      <c r="U49" s="63" t="e">
        <f t="shared" si="11"/>
        <v>#VALUE!</v>
      </c>
      <c r="V49" s="63">
        <f t="shared" si="12"/>
        <v>4</v>
      </c>
      <c r="W49" s="63" t="e">
        <f t="shared" si="13"/>
        <v>#VALUE!</v>
      </c>
      <c r="X49" s="63" t="e">
        <f t="shared" si="14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109">
        <v>39014049</v>
      </c>
      <c r="B50" s="111" t="s">
        <v>314</v>
      </c>
      <c r="C50" s="50">
        <v>1</v>
      </c>
      <c r="D50" s="50" t="s">
        <v>126</v>
      </c>
      <c r="E50" s="51" t="s">
        <v>289</v>
      </c>
      <c r="F50" s="51" t="s">
        <v>292</v>
      </c>
      <c r="G50" s="63" t="str">
        <f t="shared" si="0"/>
        <v>[effect:enemy_message, val1:1.6, val2:1.2]</v>
      </c>
      <c r="H50" s="63">
        <f t="shared" si="1"/>
        <v>9</v>
      </c>
      <c r="I50" s="63">
        <f t="shared" si="2"/>
        <v>22</v>
      </c>
      <c r="J50" s="63" t="e">
        <f t="shared" si="3"/>
        <v>#VALUE!</v>
      </c>
      <c r="K50" s="63">
        <f t="shared" si="4"/>
        <v>32</v>
      </c>
      <c r="L50" s="63" t="str">
        <f>IFERROR(VLOOKUP(MID(G50,J50,K50-J50),[6]skilldef!$C:$D,2,FALSE),"-") &amp; " / " &amp; IFERROR(VLOOKUP(MID(G50,H50,I50-H50),[6]skilldef!$A:$B,2,FALSE),"-")</f>
        <v>- / -</v>
      </c>
      <c r="M50" s="63" t="str">
        <f t="shared" si="5"/>
        <v xml:space="preserve">[effect:rush, count:3, val:0.18]    </v>
      </c>
      <c r="N50" s="48" t="str">
        <f>IFERROR(LEFT(M50,FIND("],",M50)+S88),M50)</f>
        <v xml:space="preserve">[effect:rush, count:3, val:0.18]    </v>
      </c>
      <c r="O50" s="63">
        <f t="shared" si="6"/>
        <v>9</v>
      </c>
      <c r="P50" s="63">
        <f t="shared" si="7"/>
        <v>13</v>
      </c>
      <c r="Q50" s="63" t="e">
        <f t="shared" si="8"/>
        <v>#VALUE!</v>
      </c>
      <c r="R50" s="63">
        <f t="shared" si="9"/>
        <v>22</v>
      </c>
      <c r="S50" s="63" t="str">
        <f>IFERROR(VLOOKUP(MID(N50,Q50,R50-Q50),[6]skilldef!$C:$D,2,FALSE),"-") &amp; " / " &amp; IFERROR(VLOOKUP(MID(N50,O50,P50-O50),[6]skilldef!$A:$B,2,FALSE),"-")</f>
        <v>- / 連続攻撃</v>
      </c>
      <c r="T50" s="48" t="str">
        <f t="shared" si="10"/>
        <v>none</v>
      </c>
      <c r="U50" s="63" t="e">
        <f t="shared" si="11"/>
        <v>#VALUE!</v>
      </c>
      <c r="V50" s="63">
        <f t="shared" si="12"/>
        <v>4</v>
      </c>
      <c r="W50" s="63" t="e">
        <f t="shared" si="13"/>
        <v>#VALUE!</v>
      </c>
      <c r="X50" s="63" t="e">
        <f t="shared" si="14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43" customHeight="1" x14ac:dyDescent="0.15">
      <c r="A51" s="109">
        <v>39014050</v>
      </c>
      <c r="B51" s="111" t="s">
        <v>313</v>
      </c>
      <c r="C51" s="50">
        <v>1</v>
      </c>
      <c r="D51" s="50" t="s">
        <v>126</v>
      </c>
      <c r="E51" s="51" t="s">
        <v>290</v>
      </c>
      <c r="F51" s="51" t="s">
        <v>293</v>
      </c>
      <c r="G51" s="63" t="str">
        <f t="shared" ref="G51" si="168">IFERROR(LEFT(B51,FIND("],",B51)),B51)</f>
        <v>[effect:enemy_message, val1:1.6, val2:1.2]</v>
      </c>
      <c r="H51" s="63">
        <f t="shared" ref="H51" si="169">FIND("effect:",G51)+7</f>
        <v>9</v>
      </c>
      <c r="I51" s="63">
        <f t="shared" ref="I51" si="170">IFERROR(FIND(",",G51),LEN(G51))</f>
        <v>22</v>
      </c>
      <c r="J51" s="63" t="e">
        <f t="shared" ref="J51" si="171">FIND("target:",G51)+7</f>
        <v>#VALUE!</v>
      </c>
      <c r="K51" s="63">
        <f t="shared" ref="K51" si="172">FIND(",",G51,I51+1)</f>
        <v>32</v>
      </c>
      <c r="L51" s="63" t="str">
        <f>IFERROR(VLOOKUP(MID(G51,J51,K51-J51),[6]skilldef!$C:$D,2,FALSE),"-") &amp; " / " &amp; IFERROR(VLOOKUP(MID(G51,H51,I51-H51),[6]skilldef!$A:$B,2,FALSE),"-")</f>
        <v>- / -</v>
      </c>
      <c r="M51" s="63" t="str">
        <f t="shared" ref="M51" si="173">IFERROR(RIGHT(B51,LEN(B51)-FIND("],",B51)-1),"none")</f>
        <v xml:space="preserve">[effect:rush, count:4, val:0.18]    </v>
      </c>
      <c r="N51" s="48" t="str">
        <f>IFERROR(LEFT(M51,FIND("],",M51)+S89),M51)</f>
        <v xml:space="preserve">[effect:rush, count:4, val:0.18]    </v>
      </c>
      <c r="O51" s="63">
        <f t="shared" ref="O51" si="174">FIND("effect:",N51)+7</f>
        <v>9</v>
      </c>
      <c r="P51" s="63">
        <f t="shared" ref="P51" si="175">IFERROR(FIND(",",N51),LEN(N51))</f>
        <v>13</v>
      </c>
      <c r="Q51" s="63" t="e">
        <f t="shared" ref="Q51" si="176">FIND("target:",N51)+7</f>
        <v>#VALUE!</v>
      </c>
      <c r="R51" s="63">
        <f t="shared" ref="R51" si="177">FIND(",",N51,P51+1)</f>
        <v>22</v>
      </c>
      <c r="S51" s="63" t="str">
        <f>IFERROR(VLOOKUP(MID(N51,Q51,R51-Q51),[6]skilldef!$C:$D,2,FALSE),"-") &amp; " / " &amp; IFERROR(VLOOKUP(MID(N51,O51,P51-O51),[6]skilldef!$A:$B,2,FALSE),"-")</f>
        <v>- / 連続攻撃</v>
      </c>
      <c r="T51" s="48" t="str">
        <f t="shared" ref="T51" si="178">IFERROR(RIGHT(M51,LEN(M51)-FIND("],",M51)-1),"none")</f>
        <v>none</v>
      </c>
      <c r="U51" s="63" t="e">
        <f t="shared" ref="U51" si="179">FIND("effect:",T51)+7</f>
        <v>#VALUE!</v>
      </c>
      <c r="V51" s="63">
        <f t="shared" ref="V51" si="180">IFERROR(FIND(",",T51),LEN(T51))</f>
        <v>4</v>
      </c>
      <c r="W51" s="63" t="e">
        <f t="shared" ref="W51" si="181">FIND("target:",T51)+7</f>
        <v>#VALUE!</v>
      </c>
      <c r="X51" s="63" t="e">
        <f t="shared" ref="X51" si="182">FIND(",",T51,V51+1)</f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39" customHeight="1" x14ac:dyDescent="0.15">
      <c r="A52" s="109">
        <v>39014051</v>
      </c>
      <c r="B52" s="111" t="s">
        <v>311</v>
      </c>
      <c r="C52" s="50">
        <v>1</v>
      </c>
      <c r="D52" s="50" t="s">
        <v>126</v>
      </c>
      <c r="E52" s="51" t="s">
        <v>264</v>
      </c>
      <c r="F52" s="51" t="s">
        <v>320</v>
      </c>
      <c r="G52" s="63" t="str">
        <f t="shared" si="0"/>
        <v>[effect:enemy_message, val1:1.2, val2:2.2]</v>
      </c>
      <c r="H52" s="63">
        <f t="shared" si="1"/>
        <v>9</v>
      </c>
      <c r="I52" s="63">
        <f t="shared" si="2"/>
        <v>22</v>
      </c>
      <c r="J52" s="63" t="e">
        <f t="shared" si="3"/>
        <v>#VALUE!</v>
      </c>
      <c r="K52" s="63">
        <f t="shared" si="4"/>
        <v>32</v>
      </c>
      <c r="L52" s="63" t="str">
        <f>IFERROR(VLOOKUP(MID(G52,J52,K52-J52),[6]skilldef!$C:$D,2,FALSE),"-") &amp; " / " &amp; IFERROR(VLOOKUP(MID(G52,H52,I52-H52),[6]skilldef!$A:$B,2,FALSE),"-")</f>
        <v>- / -</v>
      </c>
      <c r="M52" s="63" t="str">
        <f t="shared" si="5"/>
        <v xml:space="preserve"> [effect:panel_freeze, target:normal,color:block_yellow, count:2]</v>
      </c>
      <c r="N52" s="48" t="str">
        <f>IFERROR(LEFT(M52,FIND("],",M52)+S86),M52)</f>
        <v xml:space="preserve"> [effect:panel_freeze, target:normal,color:block_yellow, count:2]</v>
      </c>
      <c r="O52" s="63">
        <f t="shared" si="6"/>
        <v>10</v>
      </c>
      <c r="P52" s="63">
        <f t="shared" si="7"/>
        <v>22</v>
      </c>
      <c r="Q52" s="63">
        <f t="shared" si="8"/>
        <v>31</v>
      </c>
      <c r="R52" s="63">
        <f t="shared" si="9"/>
        <v>37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si="10"/>
        <v>none</v>
      </c>
      <c r="U52" s="63" t="e">
        <f t="shared" si="11"/>
        <v>#VALUE!</v>
      </c>
      <c r="V52" s="63">
        <f t="shared" si="12"/>
        <v>4</v>
      </c>
      <c r="W52" s="63" t="e">
        <f t="shared" si="13"/>
        <v>#VALUE!</v>
      </c>
      <c r="X52" s="63" t="e">
        <f t="shared" si="14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55" customHeight="1" x14ac:dyDescent="0.15">
      <c r="A53" s="109">
        <v>39014052</v>
      </c>
      <c r="B53" s="111" t="s">
        <v>315</v>
      </c>
      <c r="C53" s="50">
        <v>1</v>
      </c>
      <c r="D53" s="50" t="s">
        <v>126</v>
      </c>
      <c r="E53" s="51" t="s">
        <v>297</v>
      </c>
      <c r="F53" s="51" t="s">
        <v>276</v>
      </c>
      <c r="G53" s="63" t="str">
        <f t="shared" si="0"/>
        <v>[effect:enemy_message, val1:1.4, val2:1.2]</v>
      </c>
      <c r="H53" s="63">
        <f t="shared" si="1"/>
        <v>9</v>
      </c>
      <c r="I53" s="63">
        <f t="shared" si="2"/>
        <v>22</v>
      </c>
      <c r="J53" s="63" t="e">
        <f t="shared" si="3"/>
        <v>#VALUE!</v>
      </c>
      <c r="K53" s="63">
        <f t="shared" si="4"/>
        <v>32</v>
      </c>
      <c r="L53" s="63" t="str">
        <f>IFERROR(VLOOKUP(MID(G53,J53,K53-J53),[6]skilldef!$C:$D,2,FALSE),"-") &amp; " / " &amp; IFERROR(VLOOKUP(MID(G53,H53,I53-H53),[6]skilldef!$A:$B,2,FALSE),"-")</f>
        <v>- / -</v>
      </c>
      <c r="M53" s="63" t="str">
        <f t="shared" si="5"/>
        <v xml:space="preserve">[effect:enemy_message, val1:1.2, val2:1.2],[effect:rush, count:12, val:0.057]    </v>
      </c>
      <c r="N53" s="48" t="str">
        <f t="shared" ref="N53:N67" si="183">IFERROR(LEFT(M53,FIND("],",M53)+S86),M53)</f>
        <v xml:space="preserve">[effect:enemy_message, val1:1.2, val2:1.2],[effect:rush, count:12, val:0.057]    </v>
      </c>
      <c r="O53" s="63">
        <f t="shared" si="6"/>
        <v>9</v>
      </c>
      <c r="P53" s="63">
        <f t="shared" si="7"/>
        <v>22</v>
      </c>
      <c r="Q53" s="63" t="e">
        <f t="shared" si="8"/>
        <v>#VALUE!</v>
      </c>
      <c r="R53" s="63">
        <f t="shared" si="9"/>
        <v>32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si="10"/>
        <v xml:space="preserve">[effect:rush, count:12, val:0.057]    </v>
      </c>
      <c r="U53" s="63">
        <f t="shared" si="11"/>
        <v>9</v>
      </c>
      <c r="V53" s="63">
        <f t="shared" si="12"/>
        <v>13</v>
      </c>
      <c r="W53" s="63" t="e">
        <f t="shared" si="13"/>
        <v>#VALUE!</v>
      </c>
      <c r="X53" s="63">
        <f t="shared" si="14"/>
        <v>23</v>
      </c>
      <c r="Y53" s="63" t="str">
        <f>IFERROR(VLOOKUP(MID(T53,W53,X53-W53),[6]skilldef!$C:$D,2,FALSE),"-") &amp; " / " &amp; IFERROR(VLOOKUP(MID(T53,U53,V53-U53),[6]skilldef!$A:$B,2,FALSE),"-")</f>
        <v>- / 連続攻撃</v>
      </c>
      <c r="Z53" s="50"/>
      <c r="AA53" s="52"/>
      <c r="AB53" s="50"/>
    </row>
    <row r="54" spans="1:28" ht="32" customHeight="1" x14ac:dyDescent="0.15">
      <c r="A54" s="110">
        <v>39014053</v>
      </c>
      <c r="B54" s="111" t="s">
        <v>330</v>
      </c>
      <c r="C54" s="50">
        <v>1</v>
      </c>
      <c r="D54" s="50" t="s">
        <v>126</v>
      </c>
      <c r="E54" s="51" t="s">
        <v>332</v>
      </c>
      <c r="F54" s="51" t="s">
        <v>260</v>
      </c>
      <c r="G54" s="63" t="str">
        <f t="shared" si="0"/>
        <v>[effect:enemy_message, val1:1.8, val2:1.2]</v>
      </c>
      <c r="H54" s="63">
        <f t="shared" si="1"/>
        <v>9</v>
      </c>
      <c r="I54" s="63">
        <f t="shared" si="2"/>
        <v>22</v>
      </c>
      <c r="J54" s="63" t="e">
        <f t="shared" si="3"/>
        <v>#VALUE!</v>
      </c>
      <c r="K54" s="63">
        <f t="shared" si="4"/>
        <v>32</v>
      </c>
      <c r="L54" s="63" t="str">
        <f>IFERROR(VLOOKUP(MID(G54,J54,K54-J54),[6]skilldef!$C:$D,2,FALSE),"-") &amp; " / " &amp; IFERROR(VLOOKUP(MID(G54,H54,I54-H54),[6]skilldef!$A:$B,2,FALSE),"-")</f>
        <v>- / -</v>
      </c>
      <c r="M54" s="63" t="str">
        <f t="shared" si="5"/>
        <v>[effect:tolerance, target:myself, turn:-1, count:-1, tolerance_effect:all, animation:enemy_tolerance]</v>
      </c>
      <c r="N54" s="48" t="str">
        <f t="shared" si="183"/>
        <v>[effect:tolerance, target:myself, turn:-1, count:-1, tolerance_effect:all, animation:enemy_tolerance]</v>
      </c>
      <c r="O54" s="63">
        <f t="shared" si="6"/>
        <v>9</v>
      </c>
      <c r="P54" s="63">
        <f t="shared" si="7"/>
        <v>18</v>
      </c>
      <c r="Q54" s="63">
        <f t="shared" si="8"/>
        <v>27</v>
      </c>
      <c r="R54" s="63">
        <f t="shared" si="9"/>
        <v>33</v>
      </c>
      <c r="S54" s="63" t="str">
        <f>IFERROR(VLOOKUP(MID(N54,Q54,R54-Q54),[6]skilldef!$C:$D,2,FALSE),"-") &amp; " / " &amp; IFERROR(VLOOKUP(MID(N54,O54,P54-O54),[6]skilldef!$A:$B,2,FALSE),"-")</f>
        <v>自分自身に / 状態異常耐性</v>
      </c>
      <c r="T54" s="48" t="str">
        <f t="shared" si="10"/>
        <v>none</v>
      </c>
      <c r="U54" s="63" t="e">
        <f t="shared" si="11"/>
        <v>#VALUE!</v>
      </c>
      <c r="V54" s="63">
        <f t="shared" si="12"/>
        <v>4</v>
      </c>
      <c r="W54" s="63" t="e">
        <f t="shared" si="13"/>
        <v>#VALUE!</v>
      </c>
      <c r="X54" s="63" t="e">
        <f t="shared" si="14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32" customHeight="1" x14ac:dyDescent="0.15">
      <c r="A55" s="110">
        <v>39014054</v>
      </c>
      <c r="B55" s="111" t="s">
        <v>330</v>
      </c>
      <c r="C55" s="50">
        <v>1</v>
      </c>
      <c r="D55" s="50" t="s">
        <v>126</v>
      </c>
      <c r="E55" s="51" t="s">
        <v>282</v>
      </c>
      <c r="F55" s="51" t="s">
        <v>260</v>
      </c>
      <c r="G55" s="63" t="str">
        <f t="shared" ref="G55" si="184">IFERROR(LEFT(B55,FIND("],",B55)),B55)</f>
        <v>[effect:enemy_message, val1:1.8, val2:1.2]</v>
      </c>
      <c r="H55" s="63">
        <f t="shared" ref="H55" si="185">FIND("effect:",G55)+7</f>
        <v>9</v>
      </c>
      <c r="I55" s="63">
        <f t="shared" ref="I55" si="186">IFERROR(FIND(",",G55),LEN(G55))</f>
        <v>22</v>
      </c>
      <c r="J55" s="63" t="e">
        <f t="shared" ref="J55" si="187">FIND("target:",G55)+7</f>
        <v>#VALUE!</v>
      </c>
      <c r="K55" s="63">
        <f t="shared" ref="K55" si="188">FIND(",",G55,I55+1)</f>
        <v>32</v>
      </c>
      <c r="L55" s="63" t="str">
        <f>IFERROR(VLOOKUP(MID(G55,J55,K55-J55),[6]skilldef!$C:$D,2,FALSE),"-") &amp; " / " &amp; IFERROR(VLOOKUP(MID(G55,H55,I55-H55),[6]skilldef!$A:$B,2,FALSE),"-")</f>
        <v>- / -</v>
      </c>
      <c r="M55" s="63" t="str">
        <f t="shared" ref="M55" si="189">IFERROR(RIGHT(B55,LEN(B55)-FIND("],",B55)-1),"none")</f>
        <v>[effect:tolerance, target:myself, turn:-1, count:-1, tolerance_effect:all, animation:enemy_tolerance]</v>
      </c>
      <c r="N55" s="48" t="str">
        <f t="shared" si="183"/>
        <v>[effect:tolerance, target:myself, turn:-1, count:-1, tolerance_effect:all, animation:enemy_tolerance]</v>
      </c>
      <c r="O55" s="63">
        <f t="shared" ref="O55" si="190">FIND("effect:",N55)+7</f>
        <v>9</v>
      </c>
      <c r="P55" s="63">
        <f t="shared" ref="P55" si="191">IFERROR(FIND(",",N55),LEN(N55))</f>
        <v>18</v>
      </c>
      <c r="Q55" s="63">
        <f t="shared" ref="Q55" si="192">FIND("target:",N55)+7</f>
        <v>27</v>
      </c>
      <c r="R55" s="63">
        <f t="shared" ref="R55" si="193">FIND(",",N55,P55+1)</f>
        <v>33</v>
      </c>
      <c r="S55" s="63" t="str">
        <f>IFERROR(VLOOKUP(MID(N55,Q55,R55-Q55),[6]skilldef!$C:$D,2,FALSE),"-") &amp; " / " &amp; IFERROR(VLOOKUP(MID(N55,O55,P55-O55),[6]skilldef!$A:$B,2,FALSE),"-")</f>
        <v>自分自身に / 状態異常耐性</v>
      </c>
      <c r="T55" s="48" t="str">
        <f t="shared" ref="T55" si="194">IFERROR(RIGHT(M55,LEN(M55)-FIND("],",M55)-1),"none")</f>
        <v>none</v>
      </c>
      <c r="U55" s="63" t="e">
        <f t="shared" ref="U55" si="195">FIND("effect:",T55)+7</f>
        <v>#VALUE!</v>
      </c>
      <c r="V55" s="63">
        <f t="shared" ref="V55" si="196">IFERROR(FIND(",",T55),LEN(T55))</f>
        <v>4</v>
      </c>
      <c r="W55" s="63" t="e">
        <f t="shared" ref="W55" si="197">FIND("target:",T55)+7</f>
        <v>#VALUE!</v>
      </c>
      <c r="X55" s="63" t="e">
        <f t="shared" ref="X55" si="198">FIND(",",T55,V55+1)</f>
        <v>#VALUE!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36" customHeight="1" x14ac:dyDescent="0.15">
      <c r="A56" s="110">
        <v>39014055</v>
      </c>
      <c r="B56" s="111" t="s">
        <v>330</v>
      </c>
      <c r="C56" s="50">
        <v>1</v>
      </c>
      <c r="D56" s="50" t="s">
        <v>126</v>
      </c>
      <c r="E56" s="51" t="s">
        <v>282</v>
      </c>
      <c r="F56" s="51" t="s">
        <v>260</v>
      </c>
      <c r="G56" s="63" t="str">
        <f t="shared" ref="G56:G57" si="199">IFERROR(LEFT(B56,FIND("],",B56)),B56)</f>
        <v>[effect:enemy_message, val1:1.8, val2:1.2]</v>
      </c>
      <c r="H56" s="63">
        <f t="shared" ref="H56:H57" si="200">FIND("effect:",G56)+7</f>
        <v>9</v>
      </c>
      <c r="I56" s="63">
        <f t="shared" ref="I56:I57" si="201">IFERROR(FIND(",",G56),LEN(G56))</f>
        <v>22</v>
      </c>
      <c r="J56" s="63" t="e">
        <f t="shared" ref="J56:J57" si="202">FIND("target:",G56)+7</f>
        <v>#VALUE!</v>
      </c>
      <c r="K56" s="63">
        <f t="shared" ref="K56:K57" si="203">FIND(",",G56,I56+1)</f>
        <v>32</v>
      </c>
      <c r="L56" s="63" t="str">
        <f>IFERROR(VLOOKUP(MID(G56,J56,K56-J56),[6]skilldef!$C:$D,2,FALSE),"-") &amp; " / " &amp; IFERROR(VLOOKUP(MID(G56,H56,I56-H56),[6]skilldef!$A:$B,2,FALSE),"-")</f>
        <v>- / -</v>
      </c>
      <c r="M56" s="63" t="str">
        <f t="shared" ref="M56:M57" si="204">IFERROR(RIGHT(B56,LEN(B56)-FIND("],",B56)-1),"none")</f>
        <v>[effect:tolerance, target:myself, turn:-1, count:-1, tolerance_effect:all, animation:enemy_tolerance]</v>
      </c>
      <c r="N56" s="48" t="str">
        <f t="shared" si="183"/>
        <v>[effect:tolerance, target:myself, turn:-1, count:-1, tolerance_effect:all, animation:enemy_tolerance]</v>
      </c>
      <c r="O56" s="63">
        <f t="shared" ref="O56:O57" si="205">FIND("effect:",N56)+7</f>
        <v>9</v>
      </c>
      <c r="P56" s="63">
        <f t="shared" ref="P56:P57" si="206">IFERROR(FIND(",",N56),LEN(N56))</f>
        <v>18</v>
      </c>
      <c r="Q56" s="63">
        <f t="shared" ref="Q56:Q57" si="207">FIND("target:",N56)+7</f>
        <v>27</v>
      </c>
      <c r="R56" s="63">
        <f t="shared" ref="R56:R57" si="208">FIND(",",N56,P56+1)</f>
        <v>33</v>
      </c>
      <c r="S56" s="63" t="str">
        <f>IFERROR(VLOOKUP(MID(N56,Q56,R56-Q56),[6]skilldef!$C:$D,2,FALSE),"-") &amp; " / " &amp; IFERROR(VLOOKUP(MID(N56,O56,P56-O56),[6]skilldef!$A:$B,2,FALSE),"-")</f>
        <v>自分自身に / 状態異常耐性</v>
      </c>
      <c r="T56" s="48" t="str">
        <f t="shared" ref="T56:T57" si="209">IFERROR(RIGHT(M56,LEN(M56)-FIND("],",M56)-1),"none")</f>
        <v>none</v>
      </c>
      <c r="U56" s="63" t="e">
        <f t="shared" ref="U56:U57" si="210">FIND("effect:",T56)+7</f>
        <v>#VALUE!</v>
      </c>
      <c r="V56" s="63">
        <f t="shared" ref="V56:V57" si="211">IFERROR(FIND(",",T56),LEN(T56))</f>
        <v>4</v>
      </c>
      <c r="W56" s="63" t="e">
        <f t="shared" ref="W56:W57" si="212">FIND("target:",T56)+7</f>
        <v>#VALUE!</v>
      </c>
      <c r="X56" s="63" t="e">
        <f t="shared" ref="X56:X57" si="213">FIND(",",T56,V56+1)</f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34" customHeight="1" x14ac:dyDescent="0.15">
      <c r="A57" s="110">
        <v>39014056</v>
      </c>
      <c r="B57" s="111" t="s">
        <v>330</v>
      </c>
      <c r="C57" s="50">
        <v>1</v>
      </c>
      <c r="D57" s="50" t="s">
        <v>126</v>
      </c>
      <c r="E57" s="51" t="s">
        <v>282</v>
      </c>
      <c r="F57" s="51" t="s">
        <v>260</v>
      </c>
      <c r="G57" s="63" t="str">
        <f t="shared" si="199"/>
        <v>[effect:enemy_message, val1:1.8, val2:1.2]</v>
      </c>
      <c r="H57" s="63">
        <f t="shared" si="200"/>
        <v>9</v>
      </c>
      <c r="I57" s="63">
        <f t="shared" si="201"/>
        <v>22</v>
      </c>
      <c r="J57" s="63" t="e">
        <f t="shared" si="202"/>
        <v>#VALUE!</v>
      </c>
      <c r="K57" s="63">
        <f t="shared" si="203"/>
        <v>32</v>
      </c>
      <c r="L57" s="63" t="str">
        <f>IFERROR(VLOOKUP(MID(G57,J57,K57-J57),[6]skilldef!$C:$D,2,FALSE),"-") &amp; " / " &amp; IFERROR(VLOOKUP(MID(G57,H57,I57-H57),[6]skilldef!$A:$B,2,FALSE),"-")</f>
        <v>- / -</v>
      </c>
      <c r="M57" s="63" t="str">
        <f t="shared" si="204"/>
        <v>[effect:tolerance, target:myself, turn:-1, count:-1, tolerance_effect:all, animation:enemy_tolerance]</v>
      </c>
      <c r="N57" s="48" t="str">
        <f t="shared" si="183"/>
        <v>[effect:tolerance, target:myself, turn:-1, count:-1, tolerance_effect:all, animation:enemy_tolerance]</v>
      </c>
      <c r="O57" s="63">
        <f t="shared" si="205"/>
        <v>9</v>
      </c>
      <c r="P57" s="63">
        <f t="shared" si="206"/>
        <v>18</v>
      </c>
      <c r="Q57" s="63">
        <f t="shared" si="207"/>
        <v>27</v>
      </c>
      <c r="R57" s="63">
        <f t="shared" si="208"/>
        <v>33</v>
      </c>
      <c r="S57" s="63" t="str">
        <f>IFERROR(VLOOKUP(MID(N57,Q57,R57-Q57),[6]skilldef!$C:$D,2,FALSE),"-") &amp; " / " &amp; IFERROR(VLOOKUP(MID(N57,O57,P57-O57),[6]skilldef!$A:$B,2,FALSE),"-")</f>
        <v>自分自身に / 状態異常耐性</v>
      </c>
      <c r="T57" s="48" t="str">
        <f t="shared" si="209"/>
        <v>none</v>
      </c>
      <c r="U57" s="63" t="e">
        <f t="shared" si="210"/>
        <v>#VALUE!</v>
      </c>
      <c r="V57" s="63">
        <f t="shared" si="211"/>
        <v>4</v>
      </c>
      <c r="W57" s="63" t="e">
        <f t="shared" si="212"/>
        <v>#VALUE!</v>
      </c>
      <c r="X57" s="63" t="e">
        <f t="shared" si="213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31" customHeight="1" x14ac:dyDescent="0.15">
      <c r="A58" s="110">
        <v>39014057</v>
      </c>
      <c r="B58" s="111" t="s">
        <v>330</v>
      </c>
      <c r="C58" s="50">
        <v>1</v>
      </c>
      <c r="D58" s="50" t="s">
        <v>126</v>
      </c>
      <c r="E58" s="51" t="s">
        <v>282</v>
      </c>
      <c r="F58" s="51" t="s">
        <v>260</v>
      </c>
      <c r="G58" s="63" t="str">
        <f t="shared" ref="G58:G59" si="214">IFERROR(LEFT(B58,FIND("],",B58)),B58)</f>
        <v>[effect:enemy_message, val1:1.8, val2:1.2]</v>
      </c>
      <c r="H58" s="63">
        <f t="shared" ref="H58:H59" si="215">FIND("effect:",G58)+7</f>
        <v>9</v>
      </c>
      <c r="I58" s="63">
        <f t="shared" ref="I58:I59" si="216">IFERROR(FIND(",",G58),LEN(G58))</f>
        <v>22</v>
      </c>
      <c r="J58" s="63" t="e">
        <f t="shared" ref="J58:J59" si="217">FIND("target:",G58)+7</f>
        <v>#VALUE!</v>
      </c>
      <c r="K58" s="63">
        <f t="shared" ref="K58:K59" si="218">FIND(",",G58,I58+1)</f>
        <v>32</v>
      </c>
      <c r="L58" s="63" t="str">
        <f>IFERROR(VLOOKUP(MID(G58,J58,K58-J58),[6]skilldef!$C:$D,2,FALSE),"-") &amp; " / " &amp; IFERROR(VLOOKUP(MID(G58,H58,I58-H58),[6]skilldef!$A:$B,2,FALSE),"-")</f>
        <v>- / -</v>
      </c>
      <c r="M58" s="63" t="str">
        <f t="shared" ref="M58:M59" si="219">IFERROR(RIGHT(B58,LEN(B58)-FIND("],",B58)-1),"none")</f>
        <v>[effect:tolerance, target:myself, turn:-1, count:-1, tolerance_effect:all, animation:enemy_tolerance]</v>
      </c>
      <c r="N58" s="48" t="str">
        <f t="shared" si="183"/>
        <v>[effect:tolerance, target:myself, turn:-1, count:-1, tolerance_effect:all, animation:enemy_tolerance]</v>
      </c>
      <c r="O58" s="63">
        <f t="shared" ref="O58:O59" si="220">FIND("effect:",N58)+7</f>
        <v>9</v>
      </c>
      <c r="P58" s="63">
        <f t="shared" ref="P58:P59" si="221">IFERROR(FIND(",",N58),LEN(N58))</f>
        <v>18</v>
      </c>
      <c r="Q58" s="63">
        <f t="shared" ref="Q58:Q59" si="222">FIND("target:",N58)+7</f>
        <v>27</v>
      </c>
      <c r="R58" s="63">
        <f t="shared" ref="R58:R59" si="223">FIND(",",N58,P58+1)</f>
        <v>33</v>
      </c>
      <c r="S58" s="63" t="str">
        <f>IFERROR(VLOOKUP(MID(N58,Q58,R58-Q58),[6]skilldef!$C:$D,2,FALSE),"-") &amp; " / " &amp; IFERROR(VLOOKUP(MID(N58,O58,P58-O58),[6]skilldef!$A:$B,2,FALSE),"-")</f>
        <v>自分自身に / 状態異常耐性</v>
      </c>
      <c r="T58" s="48" t="str">
        <f t="shared" ref="T58:T59" si="224">IFERROR(RIGHT(M58,LEN(M58)-FIND("],",M58)-1),"none")</f>
        <v>none</v>
      </c>
      <c r="U58" s="63" t="e">
        <f t="shared" ref="U58:U59" si="225">FIND("effect:",T58)+7</f>
        <v>#VALUE!</v>
      </c>
      <c r="V58" s="63">
        <f t="shared" ref="V58:V59" si="226">IFERROR(FIND(",",T58),LEN(T58))</f>
        <v>4</v>
      </c>
      <c r="W58" s="63" t="e">
        <f t="shared" ref="W58:W59" si="227">FIND("target:",T58)+7</f>
        <v>#VALUE!</v>
      </c>
      <c r="X58" s="63" t="e">
        <f t="shared" ref="X58:X59" si="228">FIND(",",T58,V58+1)</f>
        <v>#VALUE!</v>
      </c>
      <c r="Y58" s="63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32" customHeight="1" x14ac:dyDescent="0.15">
      <c r="A59" s="110">
        <v>39014058</v>
      </c>
      <c r="B59" s="111" t="s">
        <v>330</v>
      </c>
      <c r="C59" s="50">
        <v>1</v>
      </c>
      <c r="D59" s="50" t="s">
        <v>126</v>
      </c>
      <c r="E59" s="51" t="s">
        <v>282</v>
      </c>
      <c r="F59" s="51" t="s">
        <v>260</v>
      </c>
      <c r="G59" s="63" t="str">
        <f t="shared" si="214"/>
        <v>[effect:enemy_message, val1:1.8, val2:1.2]</v>
      </c>
      <c r="H59" s="63">
        <f t="shared" si="215"/>
        <v>9</v>
      </c>
      <c r="I59" s="63">
        <f t="shared" si="216"/>
        <v>22</v>
      </c>
      <c r="J59" s="63" t="e">
        <f t="shared" si="217"/>
        <v>#VALUE!</v>
      </c>
      <c r="K59" s="63">
        <f t="shared" si="218"/>
        <v>32</v>
      </c>
      <c r="L59" s="63" t="str">
        <f>IFERROR(VLOOKUP(MID(G59,J59,K59-J59),[6]skilldef!$C:$D,2,FALSE),"-") &amp; " / " &amp; IFERROR(VLOOKUP(MID(G59,H59,I59-H59),[6]skilldef!$A:$B,2,FALSE),"-")</f>
        <v>- / -</v>
      </c>
      <c r="M59" s="63" t="str">
        <f t="shared" si="219"/>
        <v>[effect:tolerance, target:myself, turn:-1, count:-1, tolerance_effect:all, animation:enemy_tolerance]</v>
      </c>
      <c r="N59" s="48" t="str">
        <f t="shared" si="183"/>
        <v>[effect:tolerance, target:myself, turn:-1, count:-1, tolerance_effect:all, animation:enemy_tolerance]</v>
      </c>
      <c r="O59" s="63">
        <f t="shared" si="220"/>
        <v>9</v>
      </c>
      <c r="P59" s="63">
        <f t="shared" si="221"/>
        <v>18</v>
      </c>
      <c r="Q59" s="63">
        <f t="shared" si="222"/>
        <v>27</v>
      </c>
      <c r="R59" s="63">
        <f t="shared" si="223"/>
        <v>33</v>
      </c>
      <c r="S59" s="63" t="str">
        <f>IFERROR(VLOOKUP(MID(N59,Q59,R59-Q59),[6]skilldef!$C:$D,2,FALSE),"-") &amp; " / " &amp; IFERROR(VLOOKUP(MID(N59,O59,P59-O59),[6]skilldef!$A:$B,2,FALSE),"-")</f>
        <v>自分自身に / 状態異常耐性</v>
      </c>
      <c r="T59" s="48" t="str">
        <f t="shared" si="224"/>
        <v>none</v>
      </c>
      <c r="U59" s="63" t="e">
        <f t="shared" si="225"/>
        <v>#VALUE!</v>
      </c>
      <c r="V59" s="63">
        <f t="shared" si="226"/>
        <v>4</v>
      </c>
      <c r="W59" s="63" t="e">
        <f t="shared" si="227"/>
        <v>#VALUE!</v>
      </c>
      <c r="X59" s="63" t="e">
        <f t="shared" si="228"/>
        <v>#VALUE!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34" customHeight="1" x14ac:dyDescent="0.15">
      <c r="A60" s="110">
        <v>39014059</v>
      </c>
      <c r="B60" s="111" t="s">
        <v>330</v>
      </c>
      <c r="C60" s="50">
        <v>1</v>
      </c>
      <c r="D60" s="50" t="s">
        <v>126</v>
      </c>
      <c r="E60" s="51" t="s">
        <v>282</v>
      </c>
      <c r="F60" s="51" t="s">
        <v>260</v>
      </c>
      <c r="G60" s="63" t="str">
        <f t="shared" ref="G60:G65" si="229">IFERROR(LEFT(B60,FIND("],",B60)),B60)</f>
        <v>[effect:enemy_message, val1:1.8, val2:1.2]</v>
      </c>
      <c r="H60" s="63">
        <f t="shared" ref="H60:H65" si="230">FIND("effect:",G60)+7</f>
        <v>9</v>
      </c>
      <c r="I60" s="63">
        <f t="shared" ref="I60:I65" si="231">IFERROR(FIND(",",G60),LEN(G60))</f>
        <v>22</v>
      </c>
      <c r="J60" s="63" t="e">
        <f t="shared" ref="J60:J65" si="232">FIND("target:",G60)+7</f>
        <v>#VALUE!</v>
      </c>
      <c r="K60" s="63">
        <f t="shared" ref="K60:K65" si="233">FIND(",",G60,I60+1)</f>
        <v>32</v>
      </c>
      <c r="L60" s="63" t="str">
        <f>IFERROR(VLOOKUP(MID(G60,J60,K60-J60),[6]skilldef!$C:$D,2,FALSE),"-") &amp; " / " &amp; IFERROR(VLOOKUP(MID(G60,H60,I60-H60),[6]skilldef!$A:$B,2,FALSE),"-")</f>
        <v>- / -</v>
      </c>
      <c r="M60" s="63" t="str">
        <f t="shared" ref="M60:M65" si="234">IFERROR(RIGHT(B60,LEN(B60)-FIND("],",B60)-1),"none")</f>
        <v>[effect:tolerance, target:myself, turn:-1, count:-1, tolerance_effect:all, animation:enemy_tolerance]</v>
      </c>
      <c r="N60" s="48" t="str">
        <f t="shared" si="183"/>
        <v>[effect:tolerance, target:myself, turn:-1, count:-1, tolerance_effect:all, animation:enemy_tolerance]</v>
      </c>
      <c r="O60" s="63">
        <f t="shared" ref="O60:O65" si="235">FIND("effect:",N60)+7</f>
        <v>9</v>
      </c>
      <c r="P60" s="63">
        <f t="shared" ref="P60:P65" si="236">IFERROR(FIND(",",N60),LEN(N60))</f>
        <v>18</v>
      </c>
      <c r="Q60" s="63">
        <f t="shared" ref="Q60:Q65" si="237">FIND("target:",N60)+7</f>
        <v>27</v>
      </c>
      <c r="R60" s="63">
        <f t="shared" ref="R60:R65" si="238">FIND(",",N60,P60+1)</f>
        <v>33</v>
      </c>
      <c r="S60" s="63" t="str">
        <f>IFERROR(VLOOKUP(MID(N60,Q60,R60-Q60),[6]skilldef!$C:$D,2,FALSE),"-") &amp; " / " &amp; IFERROR(VLOOKUP(MID(N60,O60,P60-O60),[6]skilldef!$A:$B,2,FALSE),"-")</f>
        <v>自分自身に / 状態異常耐性</v>
      </c>
      <c r="T60" s="48" t="str">
        <f t="shared" ref="T60:T65" si="239">IFERROR(RIGHT(M60,LEN(M60)-FIND("],",M60)-1),"none")</f>
        <v>none</v>
      </c>
      <c r="U60" s="63" t="e">
        <f t="shared" ref="U60:U65" si="240">FIND("effect:",T60)+7</f>
        <v>#VALUE!</v>
      </c>
      <c r="V60" s="63">
        <f t="shared" ref="V60:V65" si="241">IFERROR(FIND(",",T60),LEN(T60))</f>
        <v>4</v>
      </c>
      <c r="W60" s="63" t="e">
        <f t="shared" ref="W60:W65" si="242">FIND("target:",T60)+7</f>
        <v>#VALUE!</v>
      </c>
      <c r="X60" s="63" t="e">
        <f t="shared" ref="X60:X65" si="243">FIND(",",T60,V60+1)</f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31" customHeight="1" x14ac:dyDescent="0.15">
      <c r="A61" s="110">
        <v>39014060</v>
      </c>
      <c r="B61" s="111" t="s">
        <v>330</v>
      </c>
      <c r="C61" s="50">
        <v>1</v>
      </c>
      <c r="D61" s="50" t="s">
        <v>126</v>
      </c>
      <c r="E61" s="51" t="s">
        <v>282</v>
      </c>
      <c r="F61" s="51" t="s">
        <v>260</v>
      </c>
      <c r="G61" s="63" t="str">
        <f t="shared" si="229"/>
        <v>[effect:enemy_message, val1:1.8, val2:1.2]</v>
      </c>
      <c r="H61" s="63">
        <f t="shared" si="230"/>
        <v>9</v>
      </c>
      <c r="I61" s="63">
        <f t="shared" si="231"/>
        <v>22</v>
      </c>
      <c r="J61" s="63" t="e">
        <f t="shared" si="232"/>
        <v>#VALUE!</v>
      </c>
      <c r="K61" s="63">
        <f t="shared" si="233"/>
        <v>32</v>
      </c>
      <c r="L61" s="63" t="str">
        <f>IFERROR(VLOOKUP(MID(G61,J61,K61-J61),[6]skilldef!$C:$D,2,FALSE),"-") &amp; " / " &amp; IFERROR(VLOOKUP(MID(G61,H61,I61-H61),[6]skilldef!$A:$B,2,FALSE),"-")</f>
        <v>- / -</v>
      </c>
      <c r="M61" s="63" t="str">
        <f t="shared" si="234"/>
        <v>[effect:tolerance, target:myself, turn:-1, count:-1, tolerance_effect:all, animation:enemy_tolerance]</v>
      </c>
      <c r="N61" s="48" t="str">
        <f t="shared" si="183"/>
        <v>[effect:tolerance, target:myself, turn:-1, count:-1, tolerance_effect:all, animation:enemy_tolerance]</v>
      </c>
      <c r="O61" s="63">
        <f t="shared" si="235"/>
        <v>9</v>
      </c>
      <c r="P61" s="63">
        <f t="shared" si="236"/>
        <v>18</v>
      </c>
      <c r="Q61" s="63">
        <f t="shared" si="237"/>
        <v>27</v>
      </c>
      <c r="R61" s="63">
        <f t="shared" si="238"/>
        <v>33</v>
      </c>
      <c r="S61" s="63" t="str">
        <f>IFERROR(VLOOKUP(MID(N61,Q61,R61-Q61),[6]skilldef!$C:$D,2,FALSE),"-") &amp; " / " &amp; IFERROR(VLOOKUP(MID(N61,O61,P61-O61),[6]skilldef!$A:$B,2,FALSE),"-")</f>
        <v>自分自身に / 状態異常耐性</v>
      </c>
      <c r="T61" s="48" t="str">
        <f t="shared" si="239"/>
        <v>none</v>
      </c>
      <c r="U61" s="63" t="e">
        <f t="shared" si="240"/>
        <v>#VALUE!</v>
      </c>
      <c r="V61" s="63">
        <f t="shared" si="241"/>
        <v>4</v>
      </c>
      <c r="W61" s="63" t="e">
        <f t="shared" si="242"/>
        <v>#VALUE!</v>
      </c>
      <c r="X61" s="63" t="e">
        <f t="shared" si="243"/>
        <v>#VALUE!</v>
      </c>
      <c r="Y61" s="63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35" customHeight="1" x14ac:dyDescent="0.15">
      <c r="A62" s="110">
        <v>39014061</v>
      </c>
      <c r="B62" s="111" t="s">
        <v>330</v>
      </c>
      <c r="C62" s="50">
        <v>1</v>
      </c>
      <c r="D62" s="50" t="s">
        <v>126</v>
      </c>
      <c r="E62" s="51" t="s">
        <v>282</v>
      </c>
      <c r="F62" s="51" t="s">
        <v>260</v>
      </c>
      <c r="G62" s="63" t="str">
        <f t="shared" si="229"/>
        <v>[effect:enemy_message, val1:1.8, val2:1.2]</v>
      </c>
      <c r="H62" s="63">
        <f t="shared" si="230"/>
        <v>9</v>
      </c>
      <c r="I62" s="63">
        <f t="shared" si="231"/>
        <v>22</v>
      </c>
      <c r="J62" s="63" t="e">
        <f t="shared" si="232"/>
        <v>#VALUE!</v>
      </c>
      <c r="K62" s="63">
        <f t="shared" si="233"/>
        <v>32</v>
      </c>
      <c r="L62" s="63" t="str">
        <f>IFERROR(VLOOKUP(MID(G62,J62,K62-J62),[6]skilldef!$C:$D,2,FALSE),"-") &amp; " / " &amp; IFERROR(VLOOKUP(MID(G62,H62,I62-H62),[6]skilldef!$A:$B,2,FALSE),"-")</f>
        <v>- / -</v>
      </c>
      <c r="M62" s="63" t="str">
        <f t="shared" si="234"/>
        <v>[effect:tolerance, target:myself, turn:-1, count:-1, tolerance_effect:all, animation:enemy_tolerance]</v>
      </c>
      <c r="N62" s="48" t="str">
        <f t="shared" si="183"/>
        <v>[effect:tolerance, target:myself, turn:-1, count:-1, tolerance_effect:all, animation:enemy_tolerance]</v>
      </c>
      <c r="O62" s="63">
        <f t="shared" si="235"/>
        <v>9</v>
      </c>
      <c r="P62" s="63">
        <f t="shared" si="236"/>
        <v>18</v>
      </c>
      <c r="Q62" s="63">
        <f t="shared" si="237"/>
        <v>27</v>
      </c>
      <c r="R62" s="63">
        <f t="shared" si="238"/>
        <v>33</v>
      </c>
      <c r="S62" s="63" t="str">
        <f>IFERROR(VLOOKUP(MID(N62,Q62,R62-Q62),[6]skilldef!$C:$D,2,FALSE),"-") &amp; " / " &amp; IFERROR(VLOOKUP(MID(N62,O62,P62-O62),[6]skilldef!$A:$B,2,FALSE),"-")</f>
        <v>自分自身に / 状態異常耐性</v>
      </c>
      <c r="T62" s="48" t="str">
        <f t="shared" si="239"/>
        <v>none</v>
      </c>
      <c r="U62" s="63" t="e">
        <f t="shared" si="240"/>
        <v>#VALUE!</v>
      </c>
      <c r="V62" s="63">
        <f t="shared" si="241"/>
        <v>4</v>
      </c>
      <c r="W62" s="63" t="e">
        <f t="shared" si="242"/>
        <v>#VALUE!</v>
      </c>
      <c r="X62" s="63" t="e">
        <f t="shared" si="243"/>
        <v>#VALUE!</v>
      </c>
      <c r="Y62" s="63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32" customHeight="1" x14ac:dyDescent="0.15">
      <c r="A63" s="110">
        <v>39014062</v>
      </c>
      <c r="B63" s="111" t="s">
        <v>330</v>
      </c>
      <c r="C63" s="50">
        <v>1</v>
      </c>
      <c r="D63" s="50" t="s">
        <v>126</v>
      </c>
      <c r="E63" s="51" t="s">
        <v>282</v>
      </c>
      <c r="F63" s="51" t="s">
        <v>260</v>
      </c>
      <c r="G63" s="63" t="str">
        <f t="shared" si="229"/>
        <v>[effect:enemy_message, val1:1.8, val2:1.2]</v>
      </c>
      <c r="H63" s="63">
        <f t="shared" si="230"/>
        <v>9</v>
      </c>
      <c r="I63" s="63">
        <f t="shared" si="231"/>
        <v>22</v>
      </c>
      <c r="J63" s="63" t="e">
        <f t="shared" si="232"/>
        <v>#VALUE!</v>
      </c>
      <c r="K63" s="63">
        <f t="shared" si="233"/>
        <v>32</v>
      </c>
      <c r="L63" s="63" t="str">
        <f>IFERROR(VLOOKUP(MID(G63,J63,K63-J63),[6]skilldef!$C:$D,2,FALSE),"-") &amp; " / " &amp; IFERROR(VLOOKUP(MID(G63,H63,I63-H63),[6]skilldef!$A:$B,2,FALSE),"-")</f>
        <v>- / -</v>
      </c>
      <c r="M63" s="63" t="str">
        <f t="shared" si="234"/>
        <v>[effect:tolerance, target:myself, turn:-1, count:-1, tolerance_effect:all, animation:enemy_tolerance]</v>
      </c>
      <c r="N63" s="48" t="str">
        <f t="shared" si="183"/>
        <v>[effect:tolerance, target:myself, turn:-1, count:-1, tolerance_effect:all, animation:enemy_tolerance]</v>
      </c>
      <c r="O63" s="63">
        <f t="shared" si="235"/>
        <v>9</v>
      </c>
      <c r="P63" s="63">
        <f t="shared" si="236"/>
        <v>18</v>
      </c>
      <c r="Q63" s="63">
        <f t="shared" si="237"/>
        <v>27</v>
      </c>
      <c r="R63" s="63">
        <f t="shared" si="238"/>
        <v>33</v>
      </c>
      <c r="S63" s="63" t="str">
        <f>IFERROR(VLOOKUP(MID(N63,Q63,R63-Q63),[6]skilldef!$C:$D,2,FALSE),"-") &amp; " / " &amp; IFERROR(VLOOKUP(MID(N63,O63,P63-O63),[6]skilldef!$A:$B,2,FALSE),"-")</f>
        <v>自分自身に / 状態異常耐性</v>
      </c>
      <c r="T63" s="48" t="str">
        <f t="shared" si="239"/>
        <v>none</v>
      </c>
      <c r="U63" s="63" t="e">
        <f t="shared" si="240"/>
        <v>#VALUE!</v>
      </c>
      <c r="V63" s="63">
        <f t="shared" si="241"/>
        <v>4</v>
      </c>
      <c r="W63" s="63" t="e">
        <f t="shared" si="242"/>
        <v>#VALUE!</v>
      </c>
      <c r="X63" s="63" t="e">
        <f t="shared" si="243"/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31" customHeight="1" x14ac:dyDescent="0.15">
      <c r="A64" s="110">
        <v>39014063</v>
      </c>
      <c r="B64" s="111" t="s">
        <v>330</v>
      </c>
      <c r="C64" s="50">
        <v>1</v>
      </c>
      <c r="D64" s="50" t="s">
        <v>126</v>
      </c>
      <c r="E64" s="51" t="s">
        <v>282</v>
      </c>
      <c r="F64" s="51" t="s">
        <v>260</v>
      </c>
      <c r="G64" s="63" t="str">
        <f t="shared" si="229"/>
        <v>[effect:enemy_message, val1:1.8, val2:1.2]</v>
      </c>
      <c r="H64" s="63">
        <f t="shared" si="230"/>
        <v>9</v>
      </c>
      <c r="I64" s="63">
        <f t="shared" si="231"/>
        <v>22</v>
      </c>
      <c r="J64" s="63" t="e">
        <f t="shared" si="232"/>
        <v>#VALUE!</v>
      </c>
      <c r="K64" s="63">
        <f t="shared" si="233"/>
        <v>32</v>
      </c>
      <c r="L64" s="63" t="str">
        <f>IFERROR(VLOOKUP(MID(G64,J64,K64-J64),[6]skilldef!$C:$D,2,FALSE),"-") &amp; " / " &amp; IFERROR(VLOOKUP(MID(G64,H64,I64-H64),[6]skilldef!$A:$B,2,FALSE),"-")</f>
        <v>- / -</v>
      </c>
      <c r="M64" s="63" t="str">
        <f t="shared" si="234"/>
        <v>[effect:tolerance, target:myself, turn:-1, count:-1, tolerance_effect:all, animation:enemy_tolerance]</v>
      </c>
      <c r="N64" s="48" t="str">
        <f t="shared" si="183"/>
        <v>[effect:tolerance, target:myself, turn:-1, count:-1, tolerance_effect:all, animation:enemy_tolerance]</v>
      </c>
      <c r="O64" s="63">
        <f t="shared" si="235"/>
        <v>9</v>
      </c>
      <c r="P64" s="63">
        <f t="shared" si="236"/>
        <v>18</v>
      </c>
      <c r="Q64" s="63">
        <f t="shared" si="237"/>
        <v>27</v>
      </c>
      <c r="R64" s="63">
        <f t="shared" si="238"/>
        <v>33</v>
      </c>
      <c r="S64" s="63" t="str">
        <f>IFERROR(VLOOKUP(MID(N64,Q64,R64-Q64),[6]skilldef!$C:$D,2,FALSE),"-") &amp; " / " &amp; IFERROR(VLOOKUP(MID(N64,O64,P64-O64),[6]skilldef!$A:$B,2,FALSE),"-")</f>
        <v>自分自身に / 状態異常耐性</v>
      </c>
      <c r="T64" s="48" t="str">
        <f t="shared" si="239"/>
        <v>none</v>
      </c>
      <c r="U64" s="63" t="e">
        <f t="shared" si="240"/>
        <v>#VALUE!</v>
      </c>
      <c r="V64" s="63">
        <f t="shared" si="241"/>
        <v>4</v>
      </c>
      <c r="W64" s="63" t="e">
        <f t="shared" si="242"/>
        <v>#VALUE!</v>
      </c>
      <c r="X64" s="63" t="e">
        <f t="shared" si="243"/>
        <v>#VALUE!</v>
      </c>
      <c r="Y64" s="63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31" customHeight="1" x14ac:dyDescent="0.15">
      <c r="A65" s="110">
        <v>39014064</v>
      </c>
      <c r="B65" s="111" t="s">
        <v>330</v>
      </c>
      <c r="C65" s="50">
        <v>1</v>
      </c>
      <c r="D65" s="50" t="s">
        <v>126</v>
      </c>
      <c r="E65" s="51" t="s">
        <v>282</v>
      </c>
      <c r="F65" s="51" t="s">
        <v>260</v>
      </c>
      <c r="G65" s="63" t="str">
        <f t="shared" si="229"/>
        <v>[effect:enemy_message, val1:1.8, val2:1.2]</v>
      </c>
      <c r="H65" s="63">
        <f t="shared" si="230"/>
        <v>9</v>
      </c>
      <c r="I65" s="63">
        <f t="shared" si="231"/>
        <v>22</v>
      </c>
      <c r="J65" s="63" t="e">
        <f t="shared" si="232"/>
        <v>#VALUE!</v>
      </c>
      <c r="K65" s="63">
        <f t="shared" si="233"/>
        <v>32</v>
      </c>
      <c r="L65" s="63" t="str">
        <f>IFERROR(VLOOKUP(MID(G65,J65,K65-J65),[6]skilldef!$C:$D,2,FALSE),"-") &amp; " / " &amp; IFERROR(VLOOKUP(MID(G65,H65,I65-H65),[6]skilldef!$A:$B,2,FALSE),"-")</f>
        <v>- / -</v>
      </c>
      <c r="M65" s="63" t="str">
        <f t="shared" si="234"/>
        <v>[effect:tolerance, target:myself, turn:-1, count:-1, tolerance_effect:all, animation:enemy_tolerance]</v>
      </c>
      <c r="N65" s="48" t="str">
        <f t="shared" si="183"/>
        <v>[effect:tolerance, target:myself, turn:-1, count:-1, tolerance_effect:all, animation:enemy_tolerance]</v>
      </c>
      <c r="O65" s="63">
        <f t="shared" si="235"/>
        <v>9</v>
      </c>
      <c r="P65" s="63">
        <f t="shared" si="236"/>
        <v>18</v>
      </c>
      <c r="Q65" s="63">
        <f t="shared" si="237"/>
        <v>27</v>
      </c>
      <c r="R65" s="63">
        <f t="shared" si="238"/>
        <v>33</v>
      </c>
      <c r="S65" s="63" t="str">
        <f>IFERROR(VLOOKUP(MID(N65,Q65,R65-Q65),[6]skilldef!$C:$D,2,FALSE),"-") &amp; " / " &amp; IFERROR(VLOOKUP(MID(N65,O65,P65-O65),[6]skilldef!$A:$B,2,FALSE),"-")</f>
        <v>自分自身に / 状態異常耐性</v>
      </c>
      <c r="T65" s="48" t="str">
        <f t="shared" si="239"/>
        <v>none</v>
      </c>
      <c r="U65" s="63" t="e">
        <f t="shared" si="240"/>
        <v>#VALUE!</v>
      </c>
      <c r="V65" s="63">
        <f t="shared" si="241"/>
        <v>4</v>
      </c>
      <c r="W65" s="63" t="e">
        <f t="shared" si="242"/>
        <v>#VALUE!</v>
      </c>
      <c r="X65" s="63" t="e">
        <f t="shared" si="243"/>
        <v>#VALUE!</v>
      </c>
      <c r="Y65" s="63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32" customHeight="1" x14ac:dyDescent="0.15">
      <c r="A66" s="110">
        <v>39014065</v>
      </c>
      <c r="B66" s="111" t="s">
        <v>330</v>
      </c>
      <c r="C66" s="50">
        <v>1</v>
      </c>
      <c r="D66" s="50" t="s">
        <v>126</v>
      </c>
      <c r="E66" s="51" t="s">
        <v>282</v>
      </c>
      <c r="F66" s="51" t="s">
        <v>260</v>
      </c>
      <c r="G66" s="63" t="str">
        <f t="shared" ref="G66:G67" si="244">IFERROR(LEFT(B66,FIND("],",B66)),B66)</f>
        <v>[effect:enemy_message, val1:1.8, val2:1.2]</v>
      </c>
      <c r="H66" s="63">
        <f t="shared" ref="H66:H67" si="245">FIND("effect:",G66)+7</f>
        <v>9</v>
      </c>
      <c r="I66" s="63">
        <f t="shared" ref="I66:I67" si="246">IFERROR(FIND(",",G66),LEN(G66))</f>
        <v>22</v>
      </c>
      <c r="J66" s="63" t="e">
        <f t="shared" ref="J66:J67" si="247">FIND("target:",G66)+7</f>
        <v>#VALUE!</v>
      </c>
      <c r="K66" s="63">
        <f t="shared" ref="K66:K67" si="248">FIND(",",G66,I66+1)</f>
        <v>32</v>
      </c>
      <c r="L66" s="63" t="str">
        <f>IFERROR(VLOOKUP(MID(G66,J66,K66-J66),[6]skilldef!$C:$D,2,FALSE),"-") &amp; " / " &amp; IFERROR(VLOOKUP(MID(G66,H66,I66-H66),[6]skilldef!$A:$B,2,FALSE),"-")</f>
        <v>- / -</v>
      </c>
      <c r="M66" s="63" t="str">
        <f t="shared" ref="M66:M67" si="249">IFERROR(RIGHT(B66,LEN(B66)-FIND("],",B66)-1),"none")</f>
        <v>[effect:tolerance, target:myself, turn:-1, count:-1, tolerance_effect:all, animation:enemy_tolerance]</v>
      </c>
      <c r="N66" s="48" t="str">
        <f t="shared" si="183"/>
        <v>[effect:tolerance, target:myself, turn:-1, count:-1, tolerance_effect:all, animation:enemy_tolerance]</v>
      </c>
      <c r="O66" s="63">
        <f t="shared" ref="O66:O67" si="250">FIND("effect:",N66)+7</f>
        <v>9</v>
      </c>
      <c r="P66" s="63">
        <f t="shared" ref="P66:P67" si="251">IFERROR(FIND(",",N66),LEN(N66))</f>
        <v>18</v>
      </c>
      <c r="Q66" s="63">
        <f t="shared" ref="Q66:Q67" si="252">FIND("target:",N66)+7</f>
        <v>27</v>
      </c>
      <c r="R66" s="63">
        <f t="shared" ref="R66:R67" si="253">FIND(",",N66,P66+1)</f>
        <v>33</v>
      </c>
      <c r="S66" s="63" t="str">
        <f>IFERROR(VLOOKUP(MID(N66,Q66,R66-Q66),[6]skilldef!$C:$D,2,FALSE),"-") &amp; " / " &amp; IFERROR(VLOOKUP(MID(N66,O66,P66-O66),[6]skilldef!$A:$B,2,FALSE),"-")</f>
        <v>自分自身に / 状態異常耐性</v>
      </c>
      <c r="T66" s="48" t="str">
        <f t="shared" ref="T66:T67" si="254">IFERROR(RIGHT(M66,LEN(M66)-FIND("],",M66)-1),"none")</f>
        <v>none</v>
      </c>
      <c r="U66" s="63" t="e">
        <f t="shared" ref="U66:U67" si="255">FIND("effect:",T66)+7</f>
        <v>#VALUE!</v>
      </c>
      <c r="V66" s="63">
        <f t="shared" ref="V66:V67" si="256">IFERROR(FIND(",",T66),LEN(T66))</f>
        <v>4</v>
      </c>
      <c r="W66" s="63" t="e">
        <f t="shared" ref="W66:W67" si="257">FIND("target:",T66)+7</f>
        <v>#VALUE!</v>
      </c>
      <c r="X66" s="63" t="e">
        <f t="shared" ref="X66:X67" si="258">FIND(",",T66,V66+1)</f>
        <v>#VALUE!</v>
      </c>
      <c r="Y66" s="63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  <row r="67" spans="1:28" ht="32" customHeight="1" x14ac:dyDescent="0.15">
      <c r="A67" s="110">
        <v>39014066</v>
      </c>
      <c r="B67" s="111" t="s">
        <v>330</v>
      </c>
      <c r="C67" s="50">
        <v>1</v>
      </c>
      <c r="D67" s="50" t="s">
        <v>126</v>
      </c>
      <c r="E67" s="51" t="s">
        <v>282</v>
      </c>
      <c r="F67" s="51" t="s">
        <v>260</v>
      </c>
      <c r="G67" s="63" t="str">
        <f t="shared" si="244"/>
        <v>[effect:enemy_message, val1:1.8, val2:1.2]</v>
      </c>
      <c r="H67" s="63">
        <f t="shared" si="245"/>
        <v>9</v>
      </c>
      <c r="I67" s="63">
        <f t="shared" si="246"/>
        <v>22</v>
      </c>
      <c r="J67" s="63" t="e">
        <f t="shared" si="247"/>
        <v>#VALUE!</v>
      </c>
      <c r="K67" s="63">
        <f t="shared" si="248"/>
        <v>32</v>
      </c>
      <c r="L67" s="63" t="str">
        <f>IFERROR(VLOOKUP(MID(G67,J67,K67-J67),[6]skilldef!$C:$D,2,FALSE),"-") &amp; " / " &amp; IFERROR(VLOOKUP(MID(G67,H67,I67-H67),[6]skilldef!$A:$B,2,FALSE),"-")</f>
        <v>- / -</v>
      </c>
      <c r="M67" s="63" t="str">
        <f t="shared" si="249"/>
        <v>[effect:tolerance, target:myself, turn:-1, count:-1, tolerance_effect:all, animation:enemy_tolerance]</v>
      </c>
      <c r="N67" s="48" t="str">
        <f t="shared" si="183"/>
        <v>[effect:tolerance, target:myself, turn:-1, count:-1, tolerance_effect:all, animation:enemy_tolerance]</v>
      </c>
      <c r="O67" s="63">
        <f t="shared" si="250"/>
        <v>9</v>
      </c>
      <c r="P67" s="63">
        <f t="shared" si="251"/>
        <v>18</v>
      </c>
      <c r="Q67" s="63">
        <f t="shared" si="252"/>
        <v>27</v>
      </c>
      <c r="R67" s="63">
        <f t="shared" si="253"/>
        <v>33</v>
      </c>
      <c r="S67" s="63" t="str">
        <f>IFERROR(VLOOKUP(MID(N67,Q67,R67-Q67),[6]skilldef!$C:$D,2,FALSE),"-") &amp; " / " &amp; IFERROR(VLOOKUP(MID(N67,O67,P67-O67),[6]skilldef!$A:$B,2,FALSE),"-")</f>
        <v>自分自身に / 状態異常耐性</v>
      </c>
      <c r="T67" s="48" t="str">
        <f t="shared" si="254"/>
        <v>none</v>
      </c>
      <c r="U67" s="63" t="e">
        <f t="shared" si="255"/>
        <v>#VALUE!</v>
      </c>
      <c r="V67" s="63">
        <f t="shared" si="256"/>
        <v>4</v>
      </c>
      <c r="W67" s="63" t="e">
        <f t="shared" si="257"/>
        <v>#VALUE!</v>
      </c>
      <c r="X67" s="63" t="e">
        <f t="shared" si="258"/>
        <v>#VALUE!</v>
      </c>
      <c r="Y67" s="63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9" customHeight="1" x14ac:dyDescent="0.15">
      <c r="A68" s="110">
        <v>39014067</v>
      </c>
      <c r="B68" s="111" t="s">
        <v>318</v>
      </c>
      <c r="C68" s="50">
        <v>1</v>
      </c>
      <c r="D68" s="50" t="s">
        <v>126</v>
      </c>
      <c r="E68" s="51" t="s">
        <v>271</v>
      </c>
      <c r="F68" s="51" t="s">
        <v>277</v>
      </c>
      <c r="G68" s="63" t="str">
        <f t="shared" si="0"/>
        <v>[effect:enemy_message, val1:1.2, val2:3.1]</v>
      </c>
      <c r="H68" s="63">
        <f t="shared" si="1"/>
        <v>9</v>
      </c>
      <c r="I68" s="63">
        <f t="shared" si="2"/>
        <v>22</v>
      </c>
      <c r="J68" s="63" t="e">
        <f t="shared" si="3"/>
        <v>#VALUE!</v>
      </c>
      <c r="K68" s="63">
        <f t="shared" si="4"/>
        <v>32</v>
      </c>
      <c r="L68" s="63" t="str">
        <f>IFERROR(VLOOKUP(MID(G68,J68,K68-J68),[6]skilldef!$C:$D,2,FALSE),"-") &amp; " / " &amp; IFERROR(VLOOKUP(MID(G68,H68,I68-H68),[6]skilldef!$A:$B,2,FALSE),"-")</f>
        <v>- / -</v>
      </c>
      <c r="M68" s="63" t="str">
        <f t="shared" si="5"/>
        <v>[effect:force_change_block, new_block:jammer, target:normal, ignore01:jammer, count:5, val:0, animation:change_block] ,[effect:rush, count:1, val:0.2]</v>
      </c>
      <c r="N68" s="48" t="str">
        <f>IFERROR(LEFT(M68,FIND("],",M68)+S87),M68)</f>
        <v>[effect:force_change_block, new_block:jammer, target:normal, ignore01:jammer, count:5, val:0, animation:change_block] ,[effect:rush, count:1, val:0.2]</v>
      </c>
      <c r="O68" s="63">
        <f t="shared" si="6"/>
        <v>9</v>
      </c>
      <c r="P68" s="63">
        <f t="shared" si="7"/>
        <v>27</v>
      </c>
      <c r="Q68" s="63">
        <f t="shared" si="8"/>
        <v>54</v>
      </c>
      <c r="R68" s="63">
        <f t="shared" si="9"/>
        <v>45</v>
      </c>
      <c r="S68" s="63" t="str">
        <f>IFERROR(VLOOKUP(MID(N68,Q68,R68-Q68),[6]skilldef!$C:$D,2,FALSE),"-") &amp; " / " &amp; IFERROR(VLOOKUP(MID(N68,O68,P68-O68),[6]skilldef!$A:$B,2,FALSE),"-")</f>
        <v>- / -</v>
      </c>
      <c r="T68" s="48" t="str">
        <f t="shared" si="10"/>
        <v>none</v>
      </c>
      <c r="U68" s="63" t="e">
        <f t="shared" si="11"/>
        <v>#VALUE!</v>
      </c>
      <c r="V68" s="63">
        <f t="shared" si="12"/>
        <v>4</v>
      </c>
      <c r="W68" s="63" t="e">
        <f t="shared" si="13"/>
        <v>#VALUE!</v>
      </c>
      <c r="X68" s="63" t="e">
        <f t="shared" si="14"/>
        <v>#VALUE!</v>
      </c>
      <c r="Y68" s="63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40" customHeight="1" x14ac:dyDescent="0.15">
      <c r="A69" s="110">
        <v>39014068</v>
      </c>
      <c r="B69" s="111" t="s">
        <v>310</v>
      </c>
      <c r="C69" s="50">
        <v>1</v>
      </c>
      <c r="D69" s="50" t="s">
        <v>126</v>
      </c>
      <c r="E69" s="51" t="s">
        <v>280</v>
      </c>
      <c r="F69" s="51" t="s">
        <v>294</v>
      </c>
      <c r="G69" s="63" t="str">
        <f t="shared" si="0"/>
        <v>[effect:enemy_message, val1:1.2, val2:1.4]</v>
      </c>
      <c r="H69" s="63">
        <f t="shared" si="1"/>
        <v>9</v>
      </c>
      <c r="I69" s="63">
        <f t="shared" si="2"/>
        <v>22</v>
      </c>
      <c r="J69" s="63" t="e">
        <f t="shared" si="3"/>
        <v>#VALUE!</v>
      </c>
      <c r="K69" s="63">
        <f t="shared" si="4"/>
        <v>32</v>
      </c>
      <c r="L69" s="63" t="str">
        <f>IFERROR(VLOOKUP(MID(G69,J69,K69-J69),[6]skilldef!$C:$D,2,FALSE),"-") &amp; " / " &amp; IFERROR(VLOOKUP(MID(G69,H69,I69-H69),[6]skilldef!$A:$B,2,FALSE),"-")</f>
        <v>- / -</v>
      </c>
      <c r="M69" s="63" t="str">
        <f t="shared" si="5"/>
        <v xml:space="preserve">[effect:break_attack,_fix,target:unit_one, val:0.03, lowest_val:2000, count:-1, color:blue, block01:jammer]    </v>
      </c>
      <c r="N69" s="48" t="str">
        <f>IFERROR(LEFT(M69,FIND("],",M69)+S88),M69)</f>
        <v xml:space="preserve">[effect:break_attack,_fix,target:unit_one, val:0.03, lowest_val:2000, count:-1, color:blue, block01:jammer]    </v>
      </c>
      <c r="O69" s="63">
        <f t="shared" si="6"/>
        <v>9</v>
      </c>
      <c r="P69" s="63">
        <f t="shared" si="7"/>
        <v>21</v>
      </c>
      <c r="Q69" s="63">
        <f t="shared" si="8"/>
        <v>34</v>
      </c>
      <c r="R69" s="63">
        <f t="shared" si="9"/>
        <v>26</v>
      </c>
      <c r="S69" s="63" t="str">
        <f>IFERROR(VLOOKUP(MID(N69,Q69,R69-Q69),[6]skilldef!$C:$D,2,FALSE),"-") &amp; " / " &amp; IFERROR(VLOOKUP(MID(N69,O69,P69-O69),[6]skilldef!$A:$B,2,FALSE),"-")</f>
        <v>- / -</v>
      </c>
      <c r="T69" s="48" t="str">
        <f t="shared" si="10"/>
        <v>none</v>
      </c>
      <c r="U69" s="63" t="e">
        <f t="shared" si="11"/>
        <v>#VALUE!</v>
      </c>
      <c r="V69" s="63">
        <f t="shared" si="12"/>
        <v>4</v>
      </c>
      <c r="W69" s="63" t="e">
        <f t="shared" si="13"/>
        <v>#VALUE!</v>
      </c>
      <c r="X69" s="63" t="e">
        <f t="shared" si="14"/>
        <v>#VALUE!</v>
      </c>
      <c r="Y69" s="63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  <row r="70" spans="1:28" ht="21" customHeight="1" x14ac:dyDescent="0.15">
      <c r="A70" s="110">
        <v>39014069</v>
      </c>
      <c r="B70" s="111" t="s">
        <v>319</v>
      </c>
      <c r="C70" s="50">
        <v>1</v>
      </c>
      <c r="D70" s="50" t="s">
        <v>126</v>
      </c>
      <c r="E70" s="51" t="s">
        <v>288</v>
      </c>
      <c r="F70" s="51" t="s">
        <v>309</v>
      </c>
      <c r="G70" s="63" t="str">
        <f t="shared" si="0"/>
        <v>[effect:enemy_message, val1:1.6, val2:1.2]</v>
      </c>
      <c r="H70" s="63">
        <f t="shared" si="1"/>
        <v>9</v>
      </c>
      <c r="I70" s="63">
        <f t="shared" si="2"/>
        <v>22</v>
      </c>
      <c r="J70" s="63" t="e">
        <f t="shared" si="3"/>
        <v>#VALUE!</v>
      </c>
      <c r="K70" s="63">
        <f t="shared" si="4"/>
        <v>32</v>
      </c>
      <c r="L70" s="63" t="str">
        <f>IFERROR(VLOOKUP(MID(G70,J70,K70-J70),[6]skilldef!$C:$D,2,FALSE),"-") &amp; " / " &amp; IFERROR(VLOOKUP(MID(G70,H70,I70-H70),[6]skilldef!$A:$B,2,FALSE),"-")</f>
        <v>- / -</v>
      </c>
      <c r="M70" s="63" t="str">
        <f t="shared" si="5"/>
        <v xml:space="preserve">[effect:rush, count:2, val:0.25]    </v>
      </c>
      <c r="N70" s="48" t="str">
        <f>IFERROR(LEFT(M70,FIND("],",M70)+S98),M70)</f>
        <v xml:space="preserve">[effect:rush, count:2, val:0.25]    </v>
      </c>
      <c r="O70" s="63">
        <f t="shared" si="6"/>
        <v>9</v>
      </c>
      <c r="P70" s="63">
        <f t="shared" si="7"/>
        <v>13</v>
      </c>
      <c r="Q70" s="63" t="e">
        <f t="shared" si="8"/>
        <v>#VALUE!</v>
      </c>
      <c r="R70" s="63">
        <f t="shared" si="9"/>
        <v>22</v>
      </c>
      <c r="S70" s="63" t="str">
        <f>IFERROR(VLOOKUP(MID(N70,Q70,R70-Q70),[6]skilldef!$C:$D,2,FALSE),"-") &amp; " / " &amp; IFERROR(VLOOKUP(MID(N70,O70,P70-O70),[6]skilldef!$A:$B,2,FALSE),"-")</f>
        <v>- / 連続攻撃</v>
      </c>
      <c r="T70" s="48" t="str">
        <f t="shared" si="10"/>
        <v>none</v>
      </c>
      <c r="U70" s="63" t="e">
        <f t="shared" si="11"/>
        <v>#VALUE!</v>
      </c>
      <c r="V70" s="63">
        <f t="shared" si="12"/>
        <v>4</v>
      </c>
      <c r="W70" s="63" t="e">
        <f t="shared" si="13"/>
        <v>#VALUE!</v>
      </c>
      <c r="X70" s="63" t="e">
        <f t="shared" si="14"/>
        <v>#VALUE!</v>
      </c>
      <c r="Y70" s="63" t="str">
        <f>IFERROR(VLOOKUP(MID(T70,W70,X70-W70),[6]skilldef!$C:$D,2,FALSE),"-") &amp; " / " &amp; IFERROR(VLOOKUP(MID(T70,U70,V70-U70),[6]skilldef!$A:$B,2,FALSE),"-")</f>
        <v>- / -</v>
      </c>
      <c r="Z70" s="50"/>
      <c r="AA70" s="52"/>
      <c r="AB70" s="50"/>
    </row>
    <row r="71" spans="1:28" ht="21" customHeight="1" x14ac:dyDescent="0.15">
      <c r="A71" s="110">
        <v>39014070</v>
      </c>
      <c r="B71" s="111" t="s">
        <v>316</v>
      </c>
      <c r="C71" s="50">
        <v>1</v>
      </c>
      <c r="D71" s="50" t="s">
        <v>126</v>
      </c>
      <c r="E71" s="51" t="s">
        <v>289</v>
      </c>
      <c r="F71" s="51" t="s">
        <v>292</v>
      </c>
      <c r="G71" s="63" t="str">
        <f t="shared" si="0"/>
        <v>[effect:enemy_message, val1:1.6, val2:1.2]</v>
      </c>
      <c r="H71" s="63">
        <f t="shared" si="1"/>
        <v>9</v>
      </c>
      <c r="I71" s="63">
        <f t="shared" si="2"/>
        <v>22</v>
      </c>
      <c r="J71" s="63" t="e">
        <f t="shared" si="3"/>
        <v>#VALUE!</v>
      </c>
      <c r="K71" s="63">
        <f t="shared" si="4"/>
        <v>32</v>
      </c>
      <c r="L71" s="63" t="str">
        <f>IFERROR(VLOOKUP(MID(G71,J71,K71-J71),[6]skilldef!$C:$D,2,FALSE),"-") &amp; " / " &amp; IFERROR(VLOOKUP(MID(G71,H71,I71-H71),[6]skilldef!$A:$B,2,FALSE),"-")</f>
        <v>- / -</v>
      </c>
      <c r="M71" s="63" t="str">
        <f t="shared" si="5"/>
        <v xml:space="preserve">[effect:rush, count:3, val:0.25]    </v>
      </c>
      <c r="N71" s="48" t="str">
        <f>IFERROR(LEFT(M71,FIND("],",M71)+S98),M71)</f>
        <v xml:space="preserve">[effect:rush, count:3, val:0.25]    </v>
      </c>
      <c r="O71" s="63">
        <f t="shared" si="6"/>
        <v>9</v>
      </c>
      <c r="P71" s="63">
        <f t="shared" si="7"/>
        <v>13</v>
      </c>
      <c r="Q71" s="63" t="e">
        <f t="shared" si="8"/>
        <v>#VALUE!</v>
      </c>
      <c r="R71" s="63">
        <f t="shared" si="9"/>
        <v>22</v>
      </c>
      <c r="S71" s="63" t="str">
        <f>IFERROR(VLOOKUP(MID(N71,Q71,R71-Q71),[6]skilldef!$C:$D,2,FALSE),"-") &amp; " / " &amp; IFERROR(VLOOKUP(MID(N71,O71,P71-O71),[6]skilldef!$A:$B,2,FALSE),"-")</f>
        <v>- / 連続攻撃</v>
      </c>
      <c r="T71" s="48" t="str">
        <f t="shared" si="10"/>
        <v>none</v>
      </c>
      <c r="U71" s="63" t="e">
        <f t="shared" si="11"/>
        <v>#VALUE!</v>
      </c>
      <c r="V71" s="63">
        <f t="shared" si="12"/>
        <v>4</v>
      </c>
      <c r="W71" s="63" t="e">
        <f t="shared" si="13"/>
        <v>#VALUE!</v>
      </c>
      <c r="X71" s="63" t="e">
        <f t="shared" si="14"/>
        <v>#VALUE!</v>
      </c>
      <c r="Y71" s="63" t="str">
        <f>IFERROR(VLOOKUP(MID(T71,W71,X71-W71),[6]skilldef!$C:$D,2,FALSE),"-") &amp; " / " &amp; IFERROR(VLOOKUP(MID(T71,U71,V71-U71),[6]skilldef!$A:$B,2,FALSE),"-")</f>
        <v>- / -</v>
      </c>
      <c r="Z71" s="50"/>
      <c r="AA71" s="52"/>
      <c r="AB71" s="50"/>
    </row>
    <row r="72" spans="1:28" ht="21" customHeight="1" x14ac:dyDescent="0.15">
      <c r="A72" s="110">
        <v>39014071</v>
      </c>
      <c r="B72" s="111" t="s">
        <v>299</v>
      </c>
      <c r="C72" s="50">
        <v>1</v>
      </c>
      <c r="D72" s="50" t="s">
        <v>126</v>
      </c>
      <c r="E72" s="51" t="s">
        <v>290</v>
      </c>
      <c r="F72" s="51" t="s">
        <v>293</v>
      </c>
      <c r="G72" s="63" t="str">
        <f t="shared" ref="G72" si="259">IFERROR(LEFT(B72,FIND("],",B72)),B72)</f>
        <v>[effect:enemy_message, val1:1.6, val2:1.2]</v>
      </c>
      <c r="H72" s="63">
        <f t="shared" ref="H72" si="260">FIND("effect:",G72)+7</f>
        <v>9</v>
      </c>
      <c r="I72" s="63">
        <f t="shared" ref="I72" si="261">IFERROR(FIND(",",G72),LEN(G72))</f>
        <v>22</v>
      </c>
      <c r="J72" s="63" t="e">
        <f t="shared" ref="J72" si="262">FIND("target:",G72)+7</f>
        <v>#VALUE!</v>
      </c>
      <c r="K72" s="63">
        <f t="shared" ref="K72" si="263">FIND(",",G72,I72+1)</f>
        <v>32</v>
      </c>
      <c r="L72" s="63" t="str">
        <f>IFERROR(VLOOKUP(MID(G72,J72,K72-J72),[6]skilldef!$C:$D,2,FALSE),"-") &amp; " / " &amp; IFERROR(VLOOKUP(MID(G72,H72,I72-H72),[6]skilldef!$A:$B,2,FALSE),"-")</f>
        <v>- / -</v>
      </c>
      <c r="M72" s="63" t="str">
        <f t="shared" ref="M72" si="264">IFERROR(RIGHT(B72,LEN(B72)-FIND("],",B72)-1),"none")</f>
        <v xml:space="preserve">[effect:rush, count:4, val:0.2]    </v>
      </c>
      <c r="N72" s="48" t="str">
        <f>IFERROR(LEFT(M72,FIND("],",M72)+S99),M72)</f>
        <v xml:space="preserve">[effect:rush, count:4, val:0.2]    </v>
      </c>
      <c r="O72" s="63">
        <f t="shared" ref="O72" si="265">FIND("effect:",N72)+7</f>
        <v>9</v>
      </c>
      <c r="P72" s="63">
        <f t="shared" ref="P72" si="266">IFERROR(FIND(",",N72),LEN(N72))</f>
        <v>13</v>
      </c>
      <c r="Q72" s="63" t="e">
        <f t="shared" ref="Q72" si="267">FIND("target:",N72)+7</f>
        <v>#VALUE!</v>
      </c>
      <c r="R72" s="63">
        <f t="shared" ref="R72" si="268">FIND(",",N72,P72+1)</f>
        <v>22</v>
      </c>
      <c r="S72" s="63" t="str">
        <f>IFERROR(VLOOKUP(MID(N72,Q72,R72-Q72),[6]skilldef!$C:$D,2,FALSE),"-") &amp; " / " &amp; IFERROR(VLOOKUP(MID(N72,O72,P72-O72),[6]skilldef!$A:$B,2,FALSE),"-")</f>
        <v>- / 連続攻撃</v>
      </c>
      <c r="T72" s="48" t="str">
        <f t="shared" ref="T72" si="269">IFERROR(RIGHT(M72,LEN(M72)-FIND("],",M72)-1),"none")</f>
        <v>none</v>
      </c>
      <c r="U72" s="63" t="e">
        <f t="shared" ref="U72" si="270">FIND("effect:",T72)+7</f>
        <v>#VALUE!</v>
      </c>
      <c r="V72" s="63">
        <f t="shared" ref="V72" si="271">IFERROR(FIND(",",T72),LEN(T72))</f>
        <v>4</v>
      </c>
      <c r="W72" s="63" t="e">
        <f t="shared" ref="W72" si="272">FIND("target:",T72)+7</f>
        <v>#VALUE!</v>
      </c>
      <c r="X72" s="63" t="e">
        <f t="shared" ref="X72" si="273">FIND(",",T72,V72+1)</f>
        <v>#VALUE!</v>
      </c>
      <c r="Y72" s="63" t="str">
        <f>IFERROR(VLOOKUP(MID(T72,W72,X72-W72),[6]skilldef!$C:$D,2,FALSE),"-") &amp; " / " &amp; IFERROR(VLOOKUP(MID(T72,U72,V72-U72),[6]skilldef!$A:$B,2,FALSE),"-")</f>
        <v>- / -</v>
      </c>
      <c r="Z72" s="50"/>
      <c r="AA72" s="52"/>
      <c r="AB72" s="50"/>
    </row>
    <row r="73" spans="1:28" ht="32" customHeight="1" x14ac:dyDescent="0.15">
      <c r="A73" s="110">
        <v>39014072</v>
      </c>
      <c r="B73" s="111" t="s">
        <v>279</v>
      </c>
      <c r="C73" s="50">
        <v>1</v>
      </c>
      <c r="D73" s="50" t="s">
        <v>126</v>
      </c>
      <c r="E73" s="51" t="s">
        <v>273</v>
      </c>
      <c r="F73" s="51" t="s">
        <v>272</v>
      </c>
      <c r="G73" s="63" t="str">
        <f t="shared" si="0"/>
        <v>[effect:enemy_message, val1:1.5, val2:0]</v>
      </c>
      <c r="H73" s="63">
        <f t="shared" si="1"/>
        <v>9</v>
      </c>
      <c r="I73" s="63">
        <f t="shared" si="2"/>
        <v>22</v>
      </c>
      <c r="J73" s="63" t="e">
        <f t="shared" si="3"/>
        <v>#VALUE!</v>
      </c>
      <c r="K73" s="63">
        <f t="shared" si="4"/>
        <v>32</v>
      </c>
      <c r="L73" s="63" t="str">
        <f>IFERROR(VLOOKUP(MID(G73,J73,K73-J73),[6]skilldef!$C:$D,2,FALSE),"-") &amp; " / " &amp; IFERROR(VLOOKUP(MID(G73,H73,I73-H73),[6]skilldef!$A:$B,2,FALSE),"-")</f>
        <v>- / -</v>
      </c>
      <c r="M73" s="63" t="str">
        <f t="shared" si="5"/>
        <v>none</v>
      </c>
      <c r="N73" s="48" t="str">
        <f>IFERROR(LEFT(M73,FIND("],",M73)+S89),M73)</f>
        <v>none</v>
      </c>
      <c r="O73" s="63" t="e">
        <f t="shared" si="6"/>
        <v>#VALUE!</v>
      </c>
      <c r="P73" s="63">
        <f t="shared" si="7"/>
        <v>4</v>
      </c>
      <c r="Q73" s="63" t="e">
        <f t="shared" si="8"/>
        <v>#VALUE!</v>
      </c>
      <c r="R73" s="63" t="e">
        <f t="shared" si="9"/>
        <v>#VALUE!</v>
      </c>
      <c r="S73" s="63" t="str">
        <f>IFERROR(VLOOKUP(MID(N73,Q73,R73-Q73),[6]skilldef!$C:$D,2,FALSE),"-") &amp; " / " &amp; IFERROR(VLOOKUP(MID(N73,O73,P73-O73),[6]skilldef!$A:$B,2,FALSE),"-")</f>
        <v>- / -</v>
      </c>
      <c r="T73" s="48" t="str">
        <f t="shared" si="10"/>
        <v>none</v>
      </c>
      <c r="U73" s="63" t="e">
        <f t="shared" si="11"/>
        <v>#VALUE!</v>
      </c>
      <c r="V73" s="63">
        <f t="shared" si="12"/>
        <v>4</v>
      </c>
      <c r="W73" s="63" t="e">
        <f t="shared" si="13"/>
        <v>#VALUE!</v>
      </c>
      <c r="X73" s="63" t="e">
        <f t="shared" si="14"/>
        <v>#VALUE!</v>
      </c>
      <c r="Y73" s="63" t="str">
        <f>IFERROR(VLOOKUP(MID(T73,W73,X73-W73),[6]skilldef!$C:$D,2,FALSE),"-") &amp; " / " &amp; IFERROR(VLOOKUP(MID(T73,U73,V73-U73),[6]skilldef!$A:$B,2,FALSE),"-")</f>
        <v>- / -</v>
      </c>
      <c r="Z73" s="50"/>
      <c r="AA73" s="52"/>
      <c r="AB73" s="50"/>
    </row>
    <row r="74" spans="1:28" ht="33" customHeight="1" x14ac:dyDescent="0.15">
      <c r="A74" s="110">
        <v>39014073</v>
      </c>
      <c r="B74" s="111" t="s">
        <v>317</v>
      </c>
      <c r="C74" s="50">
        <v>1</v>
      </c>
      <c r="D74" s="50" t="s">
        <v>126</v>
      </c>
      <c r="E74" s="51" t="s">
        <v>297</v>
      </c>
      <c r="F74" s="51" t="s">
        <v>263</v>
      </c>
      <c r="G74" s="63" t="str">
        <f t="shared" si="0"/>
        <v>[effect:enemy_message, val1:1.4, val2:1.2]</v>
      </c>
      <c r="H74" s="63">
        <f t="shared" si="1"/>
        <v>9</v>
      </c>
      <c r="I74" s="63">
        <f t="shared" si="2"/>
        <v>22</v>
      </c>
      <c r="J74" s="63" t="e">
        <f t="shared" si="3"/>
        <v>#VALUE!</v>
      </c>
      <c r="K74" s="63">
        <f t="shared" si="4"/>
        <v>32</v>
      </c>
      <c r="L74" s="63" t="str">
        <f>IFERROR(VLOOKUP(MID(G74,J74,K74-J74),[6]skilldef!$C:$D,2,FALSE),"-") &amp; " / " &amp; IFERROR(VLOOKUP(MID(G74,H74,I74-H74),[6]skilldef!$A:$B,2,FALSE),"-")</f>
        <v>- / -</v>
      </c>
      <c r="M74" s="63" t="str">
        <f t="shared" si="5"/>
        <v xml:space="preserve">[effect:rush, count:21, val:0.055]    </v>
      </c>
      <c r="N74" s="48" t="str">
        <f>IFERROR(LEFT(M74,FIND("],",M74)+S90),M74)</f>
        <v xml:space="preserve">[effect:rush, count:21, val:0.055]    </v>
      </c>
      <c r="O74" s="63">
        <f t="shared" si="6"/>
        <v>9</v>
      </c>
      <c r="P74" s="63">
        <f t="shared" si="7"/>
        <v>13</v>
      </c>
      <c r="Q74" s="63" t="e">
        <f t="shared" si="8"/>
        <v>#VALUE!</v>
      </c>
      <c r="R74" s="63">
        <f t="shared" si="9"/>
        <v>23</v>
      </c>
      <c r="S74" s="63" t="str">
        <f>IFERROR(VLOOKUP(MID(N74,Q74,R74-Q74),[6]skilldef!$C:$D,2,FALSE),"-") &amp; " / " &amp; IFERROR(VLOOKUP(MID(N74,O74,P74-O74),[6]skilldef!$A:$B,2,FALSE),"-")</f>
        <v>- / 連続攻撃</v>
      </c>
      <c r="T74" s="48" t="str">
        <f t="shared" si="10"/>
        <v>none</v>
      </c>
      <c r="U74" s="63" t="e">
        <f t="shared" si="11"/>
        <v>#VALUE!</v>
      </c>
      <c r="V74" s="63">
        <f t="shared" si="12"/>
        <v>4</v>
      </c>
      <c r="W74" s="63" t="e">
        <f t="shared" si="13"/>
        <v>#VALUE!</v>
      </c>
      <c r="X74" s="63" t="e">
        <f t="shared" si="14"/>
        <v>#VALUE!</v>
      </c>
      <c r="Y74" s="63" t="str">
        <f>IFERROR(VLOOKUP(MID(T74,W74,X74-W74),[6]skilldef!$C:$D,2,FALSE),"-") &amp; " / " &amp; IFERROR(VLOOKUP(MID(T74,U74,V74-U74),[6]skilldef!$A:$B,2,FALSE),"-")</f>
        <v>- / -</v>
      </c>
      <c r="Z74" s="50"/>
      <c r="AA74" s="52"/>
      <c r="AB74" s="50"/>
    </row>
    <row r="75" spans="1:28" ht="34" customHeight="1" x14ac:dyDescent="0.15">
      <c r="A75" s="110">
        <v>39014074</v>
      </c>
      <c r="B75" s="111" t="s">
        <v>279</v>
      </c>
      <c r="C75" s="50">
        <v>1</v>
      </c>
      <c r="D75" s="50" t="s">
        <v>126</v>
      </c>
      <c r="E75" s="51" t="s">
        <v>273</v>
      </c>
      <c r="F75" s="51" t="s">
        <v>272</v>
      </c>
      <c r="G75" s="63" t="str">
        <f t="shared" si="0"/>
        <v>[effect:enemy_message, val1:1.5, val2:0]</v>
      </c>
      <c r="H75" s="63">
        <f t="shared" si="1"/>
        <v>9</v>
      </c>
      <c r="I75" s="63">
        <f t="shared" si="2"/>
        <v>22</v>
      </c>
      <c r="J75" s="63" t="e">
        <f t="shared" si="3"/>
        <v>#VALUE!</v>
      </c>
      <c r="K75" s="63">
        <f t="shared" si="4"/>
        <v>32</v>
      </c>
      <c r="L75" s="63" t="str">
        <f>IFERROR(VLOOKUP(MID(G75,J75,K75-J75),[6]skilldef!$C:$D,2,FALSE),"-") &amp; " / " &amp; IFERROR(VLOOKUP(MID(G75,H75,I75-H75),[6]skilldef!$A:$B,2,FALSE),"-")</f>
        <v>- / -</v>
      </c>
      <c r="M75" s="63" t="str">
        <f t="shared" si="5"/>
        <v>none</v>
      </c>
      <c r="N75" s="48" t="str">
        <f t="shared" ref="N75:N76" si="274">IFERROR(LEFT(M75,FIND("],",M75)+S89),M75)</f>
        <v>none</v>
      </c>
      <c r="O75" s="63" t="e">
        <f t="shared" si="6"/>
        <v>#VALUE!</v>
      </c>
      <c r="P75" s="63">
        <f t="shared" si="7"/>
        <v>4</v>
      </c>
      <c r="Q75" s="63" t="e">
        <f t="shared" si="8"/>
        <v>#VALUE!</v>
      </c>
      <c r="R75" s="63" t="e">
        <f t="shared" si="9"/>
        <v>#VALUE!</v>
      </c>
      <c r="S75" s="63" t="str">
        <f>IFERROR(VLOOKUP(MID(N75,Q75,R75-Q75),[6]skilldef!$C:$D,2,FALSE),"-") &amp; " / " &amp; IFERROR(VLOOKUP(MID(N75,O75,P75-O75),[6]skilldef!$A:$B,2,FALSE),"-")</f>
        <v>- / -</v>
      </c>
      <c r="T75" s="48" t="str">
        <f t="shared" si="10"/>
        <v>none</v>
      </c>
      <c r="U75" s="63" t="e">
        <f t="shared" si="11"/>
        <v>#VALUE!</v>
      </c>
      <c r="V75" s="63">
        <f t="shared" si="12"/>
        <v>4</v>
      </c>
      <c r="W75" s="63" t="e">
        <f t="shared" si="13"/>
        <v>#VALUE!</v>
      </c>
      <c r="X75" s="63" t="e">
        <f t="shared" si="14"/>
        <v>#VALUE!</v>
      </c>
      <c r="Y75" s="63" t="str">
        <f>IFERROR(VLOOKUP(MID(T75,W75,X75-W75),[6]skilldef!$C:$D,2,FALSE),"-") &amp; " / " &amp; IFERROR(VLOOKUP(MID(T75,U75,V75-U75),[6]skilldef!$A:$B,2,FALSE),"-")</f>
        <v>- / -</v>
      </c>
      <c r="Z75" s="50"/>
      <c r="AA75" s="52"/>
      <c r="AB75" s="50"/>
    </row>
    <row r="76" spans="1:28" ht="38" customHeight="1" x14ac:dyDescent="0.15">
      <c r="A76" s="110">
        <v>39014075</v>
      </c>
      <c r="B76" s="111" t="s">
        <v>317</v>
      </c>
      <c r="C76" s="50">
        <v>1</v>
      </c>
      <c r="D76" s="50" t="s">
        <v>126</v>
      </c>
      <c r="E76" s="51" t="s">
        <v>297</v>
      </c>
      <c r="F76" s="51" t="s">
        <v>263</v>
      </c>
      <c r="G76" s="63" t="str">
        <f t="shared" si="0"/>
        <v>[effect:enemy_message, val1:1.4, val2:1.2]</v>
      </c>
      <c r="H76" s="63">
        <f t="shared" si="1"/>
        <v>9</v>
      </c>
      <c r="I76" s="63">
        <f t="shared" si="2"/>
        <v>22</v>
      </c>
      <c r="J76" s="63" t="e">
        <f t="shared" si="3"/>
        <v>#VALUE!</v>
      </c>
      <c r="K76" s="63">
        <f t="shared" si="4"/>
        <v>32</v>
      </c>
      <c r="L76" s="63" t="str">
        <f>IFERROR(VLOOKUP(MID(G76,J76,K76-J76),[6]skilldef!$C:$D,2,FALSE),"-") &amp; " / " &amp; IFERROR(VLOOKUP(MID(G76,H76,I76-H76),[6]skilldef!$A:$B,2,FALSE),"-")</f>
        <v>- / -</v>
      </c>
      <c r="M76" s="63" t="str">
        <f t="shared" si="5"/>
        <v xml:space="preserve">[effect:rush, count:21, val:0.055]    </v>
      </c>
      <c r="N76" s="48" t="str">
        <f t="shared" si="274"/>
        <v xml:space="preserve">[effect:rush, count:21, val:0.055]    </v>
      </c>
      <c r="O76" s="63">
        <f t="shared" si="6"/>
        <v>9</v>
      </c>
      <c r="P76" s="63">
        <f t="shared" si="7"/>
        <v>13</v>
      </c>
      <c r="Q76" s="63" t="e">
        <f t="shared" si="8"/>
        <v>#VALUE!</v>
      </c>
      <c r="R76" s="63">
        <f t="shared" si="9"/>
        <v>23</v>
      </c>
      <c r="S76" s="63" t="str">
        <f>IFERROR(VLOOKUP(MID(N76,Q76,R76-Q76),[6]skilldef!$C:$D,2,FALSE),"-") &amp; " / " &amp; IFERROR(VLOOKUP(MID(N76,O76,P76-O76),[6]skilldef!$A:$B,2,FALSE),"-")</f>
        <v>- / 連続攻撃</v>
      </c>
      <c r="T76" s="48" t="str">
        <f t="shared" si="10"/>
        <v>none</v>
      </c>
      <c r="U76" s="63" t="e">
        <f t="shared" si="11"/>
        <v>#VALUE!</v>
      </c>
      <c r="V76" s="63">
        <f t="shared" si="12"/>
        <v>4</v>
      </c>
      <c r="W76" s="63" t="e">
        <f t="shared" si="13"/>
        <v>#VALUE!</v>
      </c>
      <c r="X76" s="63" t="e">
        <f t="shared" si="14"/>
        <v>#VALUE!</v>
      </c>
      <c r="Y76" s="63" t="str">
        <f>IFERROR(VLOOKUP(MID(T76,W76,X76-W76),[6]skilldef!$C:$D,2,FALSE),"-") &amp; " / " &amp; IFERROR(VLOOKUP(MID(T76,U76,V76-U76),[6]skilldef!$A:$B,2,FALSE),"-")</f>
        <v>- / -</v>
      </c>
      <c r="Z76" s="50"/>
      <c r="AA76" s="52"/>
      <c r="AB76" s="50"/>
    </row>
    <row r="77" spans="1:28" ht="34" customHeight="1" x14ac:dyDescent="0.15">
      <c r="A77" s="110">
        <v>39014076</v>
      </c>
      <c r="B77" s="111" t="s">
        <v>279</v>
      </c>
      <c r="C77" s="50">
        <v>1</v>
      </c>
      <c r="D77" s="50" t="s">
        <v>126</v>
      </c>
      <c r="E77" s="51" t="s">
        <v>273</v>
      </c>
      <c r="F77" s="51" t="s">
        <v>272</v>
      </c>
      <c r="G77" s="63" t="str">
        <f t="shared" ref="G77:G80" si="275">IFERROR(LEFT(B77,FIND("],",B77)),B77)</f>
        <v>[effect:enemy_message, val1:1.5, val2:0]</v>
      </c>
      <c r="H77" s="63">
        <f t="shared" ref="H77:H80" si="276">FIND("effect:",G77)+7</f>
        <v>9</v>
      </c>
      <c r="I77" s="63">
        <f t="shared" ref="I77:I80" si="277">IFERROR(FIND(",",G77),LEN(G77))</f>
        <v>22</v>
      </c>
      <c r="J77" s="63" t="e">
        <f t="shared" ref="J77:J80" si="278">FIND("target:",G77)+7</f>
        <v>#VALUE!</v>
      </c>
      <c r="K77" s="63">
        <f t="shared" ref="K77:K80" si="279">FIND(",",G77,I77+1)</f>
        <v>32</v>
      </c>
      <c r="L77" s="63" t="str">
        <f>IFERROR(VLOOKUP(MID(G77,J77,K77-J77),[6]skilldef!$C:$D,2,FALSE),"-") &amp; " / " &amp; IFERROR(VLOOKUP(MID(G77,H77,I77-H77),[6]skilldef!$A:$B,2,FALSE),"-")</f>
        <v>- / -</v>
      </c>
      <c r="M77" s="63" t="str">
        <f t="shared" ref="M77:M80" si="280">IFERROR(RIGHT(B77,LEN(B77)-FIND("],",B77)-1),"none")</f>
        <v>none</v>
      </c>
      <c r="N77" s="48" t="str">
        <f t="shared" ref="N77" si="281">IFERROR(LEFT(M77,FIND("],",M77)+S91),M77)</f>
        <v>none</v>
      </c>
      <c r="O77" s="63" t="e">
        <f t="shared" ref="O77:O80" si="282">FIND("effect:",N77)+7</f>
        <v>#VALUE!</v>
      </c>
      <c r="P77" s="63">
        <f t="shared" ref="P77:P80" si="283">IFERROR(FIND(",",N77),LEN(N77))</f>
        <v>4</v>
      </c>
      <c r="Q77" s="63" t="e">
        <f t="shared" ref="Q77:Q80" si="284">FIND("target:",N77)+7</f>
        <v>#VALUE!</v>
      </c>
      <c r="R77" s="63" t="e">
        <f t="shared" ref="R77:R80" si="285">FIND(",",N77,P77+1)</f>
        <v>#VALUE!</v>
      </c>
      <c r="S77" s="63" t="str">
        <f>IFERROR(VLOOKUP(MID(N77,Q77,R77-Q77),[6]skilldef!$C:$D,2,FALSE),"-") &amp; " / " &amp; IFERROR(VLOOKUP(MID(N77,O77,P77-O77),[6]skilldef!$A:$B,2,FALSE),"-")</f>
        <v>- / -</v>
      </c>
      <c r="T77" s="48" t="str">
        <f t="shared" ref="T77:T80" si="286">IFERROR(RIGHT(M77,LEN(M77)-FIND("],",M77)-1),"none")</f>
        <v>none</v>
      </c>
      <c r="U77" s="63" t="e">
        <f t="shared" ref="U77:U80" si="287">FIND("effect:",T77)+7</f>
        <v>#VALUE!</v>
      </c>
      <c r="V77" s="63">
        <f t="shared" ref="V77:V80" si="288">IFERROR(FIND(",",T77),LEN(T77))</f>
        <v>4</v>
      </c>
      <c r="W77" s="63" t="e">
        <f t="shared" ref="W77:W80" si="289">FIND("target:",T77)+7</f>
        <v>#VALUE!</v>
      </c>
      <c r="X77" s="63" t="e">
        <f t="shared" ref="X77:X80" si="290">FIND(",",T77,V77+1)</f>
        <v>#VALUE!</v>
      </c>
      <c r="Y77" s="63" t="str">
        <f>IFERROR(VLOOKUP(MID(T77,W77,X77-W77),[6]skilldef!$C:$D,2,FALSE),"-") &amp; " / " &amp; IFERROR(VLOOKUP(MID(T77,U77,V77-U77),[6]skilldef!$A:$B,2,FALSE),"-")</f>
        <v>- / -</v>
      </c>
      <c r="Z77" s="50"/>
      <c r="AA77" s="52"/>
      <c r="AB77" s="50"/>
    </row>
    <row r="78" spans="1:28" ht="33" customHeight="1" x14ac:dyDescent="0.15">
      <c r="A78" s="110">
        <v>39014077</v>
      </c>
      <c r="B78" s="111" t="s">
        <v>317</v>
      </c>
      <c r="C78" s="50">
        <v>1</v>
      </c>
      <c r="D78" s="50" t="s">
        <v>126</v>
      </c>
      <c r="E78" s="51" t="s">
        <v>297</v>
      </c>
      <c r="F78" s="51" t="s">
        <v>263</v>
      </c>
      <c r="G78" s="63" t="str">
        <f t="shared" si="275"/>
        <v>[effect:enemy_message, val1:1.4, val2:1.2]</v>
      </c>
      <c r="H78" s="63">
        <f t="shared" si="276"/>
        <v>9</v>
      </c>
      <c r="I78" s="63">
        <f t="shared" si="277"/>
        <v>22</v>
      </c>
      <c r="J78" s="63" t="e">
        <f t="shared" si="278"/>
        <v>#VALUE!</v>
      </c>
      <c r="K78" s="63">
        <f t="shared" si="279"/>
        <v>32</v>
      </c>
      <c r="L78" s="63" t="str">
        <f>IFERROR(VLOOKUP(MID(G78,J78,K78-J78),[6]skilldef!$C:$D,2,FALSE),"-") &amp; " / " &amp; IFERROR(VLOOKUP(MID(G78,H78,I78-H78),[6]skilldef!$A:$B,2,FALSE),"-")</f>
        <v>- / -</v>
      </c>
      <c r="M78" s="63" t="str">
        <f t="shared" si="280"/>
        <v xml:space="preserve">[effect:rush, count:21, val:0.055]    </v>
      </c>
      <c r="N78" s="48" t="str">
        <f>IFERROR(LEFT(M78,FIND("],",M78)+S93),M78)</f>
        <v xml:space="preserve">[effect:rush, count:21, val:0.055]    </v>
      </c>
      <c r="O78" s="63">
        <f t="shared" si="282"/>
        <v>9</v>
      </c>
      <c r="P78" s="63">
        <f t="shared" si="283"/>
        <v>13</v>
      </c>
      <c r="Q78" s="63" t="e">
        <f t="shared" si="284"/>
        <v>#VALUE!</v>
      </c>
      <c r="R78" s="63">
        <f t="shared" si="285"/>
        <v>23</v>
      </c>
      <c r="S78" s="63" t="str">
        <f>IFERROR(VLOOKUP(MID(N78,Q78,R78-Q78),[6]skilldef!$C:$D,2,FALSE),"-") &amp; " / " &amp; IFERROR(VLOOKUP(MID(N78,O78,P78-O78),[6]skilldef!$A:$B,2,FALSE),"-")</f>
        <v>- / 連続攻撃</v>
      </c>
      <c r="T78" s="48" t="str">
        <f t="shared" si="286"/>
        <v>none</v>
      </c>
      <c r="U78" s="63" t="e">
        <f t="shared" si="287"/>
        <v>#VALUE!</v>
      </c>
      <c r="V78" s="63">
        <f t="shared" si="288"/>
        <v>4</v>
      </c>
      <c r="W78" s="63" t="e">
        <f t="shared" si="289"/>
        <v>#VALUE!</v>
      </c>
      <c r="X78" s="63" t="e">
        <f t="shared" si="290"/>
        <v>#VALUE!</v>
      </c>
      <c r="Y78" s="63" t="str">
        <f>IFERROR(VLOOKUP(MID(T78,W78,X78-W78),[6]skilldef!$C:$D,2,FALSE),"-") &amp; " / " &amp; IFERROR(VLOOKUP(MID(T78,U78,V78-U78),[6]skilldef!$A:$B,2,FALSE),"-")</f>
        <v>- / -</v>
      </c>
      <c r="Z78" s="50"/>
      <c r="AA78" s="52"/>
      <c r="AB78" s="50"/>
    </row>
    <row r="79" spans="1:28" ht="36" customHeight="1" x14ac:dyDescent="0.15">
      <c r="A79" s="110">
        <v>39014078</v>
      </c>
      <c r="B79" s="111" t="s">
        <v>279</v>
      </c>
      <c r="C79" s="50">
        <v>1</v>
      </c>
      <c r="D79" s="50" t="s">
        <v>126</v>
      </c>
      <c r="E79" s="51" t="s">
        <v>273</v>
      </c>
      <c r="F79" s="51" t="s">
        <v>272</v>
      </c>
      <c r="G79" s="63" t="str">
        <f t="shared" si="275"/>
        <v>[effect:enemy_message, val1:1.5, val2:0]</v>
      </c>
      <c r="H79" s="63">
        <f t="shared" si="276"/>
        <v>9</v>
      </c>
      <c r="I79" s="63">
        <f t="shared" si="277"/>
        <v>22</v>
      </c>
      <c r="J79" s="63" t="e">
        <f t="shared" si="278"/>
        <v>#VALUE!</v>
      </c>
      <c r="K79" s="63">
        <f t="shared" si="279"/>
        <v>32</v>
      </c>
      <c r="L79" s="63" t="str">
        <f>IFERROR(VLOOKUP(MID(G79,J79,K79-J79),[6]skilldef!$C:$D,2,FALSE),"-") &amp; " / " &amp; IFERROR(VLOOKUP(MID(G79,H79,I79-H79),[6]skilldef!$A:$B,2,FALSE),"-")</f>
        <v>- / -</v>
      </c>
      <c r="M79" s="63" t="str">
        <f t="shared" si="280"/>
        <v>none</v>
      </c>
      <c r="N79" s="48" t="str">
        <f>IFERROR(LEFT(M79,FIND("],",M79)+S94),M79)</f>
        <v>none</v>
      </c>
      <c r="O79" s="63" t="e">
        <f t="shared" si="282"/>
        <v>#VALUE!</v>
      </c>
      <c r="P79" s="63">
        <f t="shared" si="283"/>
        <v>4</v>
      </c>
      <c r="Q79" s="63" t="e">
        <f t="shared" si="284"/>
        <v>#VALUE!</v>
      </c>
      <c r="R79" s="63" t="e">
        <f t="shared" si="285"/>
        <v>#VALUE!</v>
      </c>
      <c r="S79" s="63" t="str">
        <f>IFERROR(VLOOKUP(MID(N79,Q79,R79-Q79),[6]skilldef!$C:$D,2,FALSE),"-") &amp; " / " &amp; IFERROR(VLOOKUP(MID(N79,O79,P79-O79),[6]skilldef!$A:$B,2,FALSE),"-")</f>
        <v>- / -</v>
      </c>
      <c r="T79" s="48" t="str">
        <f t="shared" si="286"/>
        <v>none</v>
      </c>
      <c r="U79" s="63" t="e">
        <f t="shared" si="287"/>
        <v>#VALUE!</v>
      </c>
      <c r="V79" s="63">
        <f t="shared" si="288"/>
        <v>4</v>
      </c>
      <c r="W79" s="63" t="e">
        <f t="shared" si="289"/>
        <v>#VALUE!</v>
      </c>
      <c r="X79" s="63" t="e">
        <f t="shared" si="290"/>
        <v>#VALUE!</v>
      </c>
      <c r="Y79" s="63" t="str">
        <f>IFERROR(VLOOKUP(MID(T79,W79,X79-W79),[6]skilldef!$C:$D,2,FALSE),"-") &amp; " / " &amp; IFERROR(VLOOKUP(MID(T79,U79,V79-U79),[6]skilldef!$A:$B,2,FALSE),"-")</f>
        <v>- / -</v>
      </c>
      <c r="Z79" s="50"/>
      <c r="AA79" s="52"/>
      <c r="AB79" s="50"/>
    </row>
    <row r="80" spans="1:28" ht="36" customHeight="1" x14ac:dyDescent="0.15">
      <c r="A80" s="110">
        <v>39014079</v>
      </c>
      <c r="B80" s="111" t="s">
        <v>303</v>
      </c>
      <c r="C80" s="50">
        <v>1</v>
      </c>
      <c r="D80" s="50" t="s">
        <v>126</v>
      </c>
      <c r="E80" s="51" t="s">
        <v>297</v>
      </c>
      <c r="F80" s="51" t="s">
        <v>263</v>
      </c>
      <c r="G80" s="63" t="str">
        <f t="shared" si="275"/>
        <v>[effect:enemy_message, val1:1.4, val2:1.2]</v>
      </c>
      <c r="H80" s="63">
        <f t="shared" si="276"/>
        <v>9</v>
      </c>
      <c r="I80" s="63">
        <f t="shared" si="277"/>
        <v>22</v>
      </c>
      <c r="J80" s="63" t="e">
        <f t="shared" si="278"/>
        <v>#VALUE!</v>
      </c>
      <c r="K80" s="63">
        <f t="shared" si="279"/>
        <v>32</v>
      </c>
      <c r="L80" s="63" t="str">
        <f>IFERROR(VLOOKUP(MID(G80,J80,K80-J80),[6]skilldef!$C:$D,2,FALSE),"-") &amp; " / " &amp; IFERROR(VLOOKUP(MID(G80,H80,I80-H80),[6]skilldef!$A:$B,2,FALSE),"-")</f>
        <v>- / -</v>
      </c>
      <c r="M80" s="63" t="str">
        <f t="shared" si="280"/>
        <v xml:space="preserve">[effect:rush, count:21, val:20]    </v>
      </c>
      <c r="N80" s="48" t="str">
        <f>IFERROR(LEFT(M80,FIND("],",M80)+S95),M80)</f>
        <v xml:space="preserve">[effect:rush, count:21, val:20]    </v>
      </c>
      <c r="O80" s="63">
        <f t="shared" si="282"/>
        <v>9</v>
      </c>
      <c r="P80" s="63">
        <f t="shared" si="283"/>
        <v>13</v>
      </c>
      <c r="Q80" s="63" t="e">
        <f t="shared" si="284"/>
        <v>#VALUE!</v>
      </c>
      <c r="R80" s="63">
        <f t="shared" si="285"/>
        <v>23</v>
      </c>
      <c r="S80" s="63" t="str">
        <f>IFERROR(VLOOKUP(MID(N80,Q80,R80-Q80),[6]skilldef!$C:$D,2,FALSE),"-") &amp; " / " &amp; IFERROR(VLOOKUP(MID(N80,O80,P80-O80),[6]skilldef!$A:$B,2,FALSE),"-")</f>
        <v>- / 連続攻撃</v>
      </c>
      <c r="T80" s="48" t="str">
        <f t="shared" si="286"/>
        <v>none</v>
      </c>
      <c r="U80" s="63" t="e">
        <f t="shared" si="287"/>
        <v>#VALUE!</v>
      </c>
      <c r="V80" s="63">
        <f t="shared" si="288"/>
        <v>4</v>
      </c>
      <c r="W80" s="63" t="e">
        <f t="shared" si="289"/>
        <v>#VALUE!</v>
      </c>
      <c r="X80" s="63" t="e">
        <f t="shared" si="290"/>
        <v>#VALUE!</v>
      </c>
      <c r="Y80" s="63" t="str">
        <f>IFERROR(VLOOKUP(MID(T80,W80,X80-W80),[6]skilldef!$C:$D,2,FALSE),"-") &amp; " / " &amp; IFERROR(VLOOKUP(MID(T80,U80,V80-U80),[6]skilldef!$A:$B,2,FALSE),"-")</f>
        <v>- / -</v>
      </c>
      <c r="Z80" s="50"/>
      <c r="AA80" s="52"/>
      <c r="AB80" s="50"/>
    </row>
    <row r="81" spans="1:28" ht="21" customHeight="1" x14ac:dyDescent="0.15">
      <c r="A81" s="110">
        <v>39014080</v>
      </c>
      <c r="B81" s="47" t="s">
        <v>283</v>
      </c>
      <c r="C81" s="50">
        <v>1</v>
      </c>
      <c r="D81" s="50" t="s">
        <v>126</v>
      </c>
      <c r="E81" s="51" t="s">
        <v>284</v>
      </c>
      <c r="F81" s="112" t="s">
        <v>285</v>
      </c>
      <c r="G81" s="63" t="str">
        <f t="shared" si="0"/>
        <v>[effect:enemy_message, val1:1.2, val2:1.2, dead_type:suicide]</v>
      </c>
      <c r="H81" s="63">
        <f t="shared" si="1"/>
        <v>9</v>
      </c>
      <c r="I81" s="63">
        <f t="shared" si="2"/>
        <v>22</v>
      </c>
      <c r="J81" s="63" t="e">
        <f t="shared" si="3"/>
        <v>#VALUE!</v>
      </c>
      <c r="K81" s="63">
        <f t="shared" si="4"/>
        <v>32</v>
      </c>
      <c r="L81" s="63" t="str">
        <f>IFERROR(VLOOKUP(MID(G81,J81,K81-J81),[7]skilldef!$C:$D,2,FALSE),"-") &amp; " / " &amp; IFERROR(VLOOKUP(MID(G81,H81,I81-H81),[7]skilldef!$A:$B,2,FALSE),"-")</f>
        <v>- / -</v>
      </c>
      <c r="M81" s="63" t="str">
        <f t="shared" si="5"/>
        <v>none</v>
      </c>
      <c r="N81" s="48" t="str">
        <f t="shared" ref="N81:N92" si="291">IFERROR(LEFT(M81,FIND("],",M81)+S99),M81)</f>
        <v>none</v>
      </c>
      <c r="O81" s="63" t="e">
        <f t="shared" si="6"/>
        <v>#VALUE!</v>
      </c>
      <c r="P81" s="63">
        <f t="shared" si="7"/>
        <v>4</v>
      </c>
      <c r="Q81" s="63" t="e">
        <f t="shared" si="8"/>
        <v>#VALUE!</v>
      </c>
      <c r="R81" s="63" t="e">
        <f t="shared" si="9"/>
        <v>#VALUE!</v>
      </c>
      <c r="S81" s="63" t="str">
        <f>IFERROR(VLOOKUP(MID(N81,Q81,R81-Q81),[7]skilldef!$C:$D,2,FALSE),"-") &amp; " / " &amp; IFERROR(VLOOKUP(MID(N81,O81,P81-O81),[7]skilldef!$A:$B,2,FALSE),"-")</f>
        <v>- / -</v>
      </c>
      <c r="T81" s="48" t="str">
        <f t="shared" si="10"/>
        <v>none</v>
      </c>
      <c r="U81" s="63" t="e">
        <f t="shared" si="11"/>
        <v>#VALUE!</v>
      </c>
      <c r="V81" s="63">
        <f t="shared" si="12"/>
        <v>4</v>
      </c>
      <c r="W81" s="63" t="e">
        <f t="shared" si="13"/>
        <v>#VALUE!</v>
      </c>
      <c r="X81" s="63" t="e">
        <f t="shared" si="14"/>
        <v>#VALUE!</v>
      </c>
      <c r="Y81" s="63" t="str">
        <f>IFERROR(VLOOKUP(MID(T81,W81,X81-W81),[7]skilldef!$C:$D,2,FALSE),"-") &amp; " / " &amp; IFERROR(VLOOKUP(MID(T81,U81,V81-U81),[7]skilldef!$A:$B,2,FALSE),"-")</f>
        <v>- / -</v>
      </c>
      <c r="Z81" s="50"/>
      <c r="AA81" s="52"/>
      <c r="AB81" s="50"/>
    </row>
    <row r="82" spans="1:28" ht="21" customHeight="1" x14ac:dyDescent="0.15">
      <c r="A82" s="110">
        <v>39014081</v>
      </c>
      <c r="B82" s="47" t="s">
        <v>283</v>
      </c>
      <c r="C82" s="50">
        <v>1</v>
      </c>
      <c r="D82" s="50" t="s">
        <v>126</v>
      </c>
      <c r="E82" s="51" t="s">
        <v>286</v>
      </c>
      <c r="F82" s="51" t="s">
        <v>287</v>
      </c>
      <c r="G82" s="63" t="str">
        <f t="shared" si="0"/>
        <v>[effect:enemy_message, val1:1.2, val2:1.2, dead_type:suicide]</v>
      </c>
      <c r="H82" s="63">
        <f t="shared" si="1"/>
        <v>9</v>
      </c>
      <c r="I82" s="63">
        <f t="shared" si="2"/>
        <v>22</v>
      </c>
      <c r="J82" s="63" t="e">
        <f t="shared" si="3"/>
        <v>#VALUE!</v>
      </c>
      <c r="K82" s="63">
        <f t="shared" si="4"/>
        <v>32</v>
      </c>
      <c r="L82" s="63" t="str">
        <f>IFERROR(VLOOKUP(MID(G82,J82,K82-J82),[7]skilldef!$C:$D,2,FALSE),"-") &amp; " / " &amp; IFERROR(VLOOKUP(MID(G82,H82,I82-H82),[7]skilldef!$A:$B,2,FALSE),"-")</f>
        <v>- / -</v>
      </c>
      <c r="M82" s="63" t="str">
        <f t="shared" si="5"/>
        <v>none</v>
      </c>
      <c r="N82" s="48" t="str">
        <f t="shared" si="291"/>
        <v>none</v>
      </c>
      <c r="O82" s="63" t="e">
        <f t="shared" si="6"/>
        <v>#VALUE!</v>
      </c>
      <c r="P82" s="63">
        <f t="shared" si="7"/>
        <v>4</v>
      </c>
      <c r="Q82" s="63" t="e">
        <f t="shared" si="8"/>
        <v>#VALUE!</v>
      </c>
      <c r="R82" s="63" t="e">
        <f t="shared" si="9"/>
        <v>#VALUE!</v>
      </c>
      <c r="S82" s="63" t="str">
        <f>IFERROR(VLOOKUP(MID(N82,Q82,R82-Q82),[7]skilldef!$C:$D,2,FALSE),"-") &amp; " / " &amp; IFERROR(VLOOKUP(MID(N82,O82,P82-O82),[7]skilldef!$A:$B,2,FALSE),"-")</f>
        <v>- / -</v>
      </c>
      <c r="T82" s="48" t="str">
        <f t="shared" si="10"/>
        <v>none</v>
      </c>
      <c r="U82" s="63" t="e">
        <f t="shared" si="11"/>
        <v>#VALUE!</v>
      </c>
      <c r="V82" s="63">
        <f t="shared" si="12"/>
        <v>4</v>
      </c>
      <c r="W82" s="63" t="e">
        <f t="shared" si="13"/>
        <v>#VALUE!</v>
      </c>
      <c r="X82" s="63" t="e">
        <f t="shared" si="14"/>
        <v>#VALUE!</v>
      </c>
      <c r="Y82" s="63" t="str">
        <f>IFERROR(VLOOKUP(MID(T82,W82,X82-W82),[7]skilldef!$C:$D,2,FALSE),"-") &amp; " / " &amp; IFERROR(VLOOKUP(MID(T82,U82,V82-U82),[7]skilldef!$A:$B,2,FALSE),"-")</f>
        <v>- / -</v>
      </c>
      <c r="Z82" s="50"/>
      <c r="AA82" s="52"/>
      <c r="AB82" s="50"/>
    </row>
    <row r="83" spans="1:28" ht="21" customHeight="1" x14ac:dyDescent="0.15">
      <c r="A83" s="110">
        <v>39014082</v>
      </c>
      <c r="B83" s="47" t="s">
        <v>283</v>
      </c>
      <c r="C83" s="50">
        <v>1</v>
      </c>
      <c r="D83" s="50" t="s">
        <v>126</v>
      </c>
      <c r="E83" s="51" t="s">
        <v>286</v>
      </c>
      <c r="F83" s="51" t="s">
        <v>287</v>
      </c>
      <c r="G83" s="63" t="str">
        <f t="shared" ref="G83:G84" si="292">IFERROR(LEFT(B83,FIND("],",B83)),B83)</f>
        <v>[effect:enemy_message, val1:1.2, val2:1.2, dead_type:suicide]</v>
      </c>
      <c r="H83" s="63">
        <f t="shared" ref="H83:H84" si="293">FIND("effect:",G83)+7</f>
        <v>9</v>
      </c>
      <c r="I83" s="63">
        <f t="shared" ref="I83:I84" si="294">IFERROR(FIND(",",G83),LEN(G83))</f>
        <v>22</v>
      </c>
      <c r="J83" s="63" t="e">
        <f t="shared" ref="J83:J84" si="295">FIND("target:",G83)+7</f>
        <v>#VALUE!</v>
      </c>
      <c r="K83" s="63">
        <f t="shared" ref="K83:K84" si="296">FIND(",",G83,I83+1)</f>
        <v>32</v>
      </c>
      <c r="L83" s="63" t="str">
        <f>IFERROR(VLOOKUP(MID(G83,J83,K83-J83),[7]skilldef!$C:$D,2,FALSE),"-") &amp; " / " &amp; IFERROR(VLOOKUP(MID(G83,H83,I83-H83),[7]skilldef!$A:$B,2,FALSE),"-")</f>
        <v>- / -</v>
      </c>
      <c r="M83" s="63" t="str">
        <f t="shared" ref="M83:M84" si="297">IFERROR(RIGHT(B83,LEN(B83)-FIND("],",B83)-1),"none")</f>
        <v>none</v>
      </c>
      <c r="N83" s="48" t="str">
        <f t="shared" si="291"/>
        <v>none</v>
      </c>
      <c r="O83" s="63" t="e">
        <f t="shared" ref="O83:O84" si="298">FIND("effect:",N83)+7</f>
        <v>#VALUE!</v>
      </c>
      <c r="P83" s="63">
        <f t="shared" ref="P83:P84" si="299">IFERROR(FIND(",",N83),LEN(N83))</f>
        <v>4</v>
      </c>
      <c r="Q83" s="63" t="e">
        <f t="shared" ref="Q83:Q84" si="300">FIND("target:",N83)+7</f>
        <v>#VALUE!</v>
      </c>
      <c r="R83" s="63" t="e">
        <f t="shared" ref="R83:R84" si="301">FIND(",",N83,P83+1)</f>
        <v>#VALUE!</v>
      </c>
      <c r="S83" s="63" t="str">
        <f>IFERROR(VLOOKUP(MID(N83,Q83,R83-Q83),[7]skilldef!$C:$D,2,FALSE),"-") &amp; " / " &amp; IFERROR(VLOOKUP(MID(N83,O83,P83-O83),[7]skilldef!$A:$B,2,FALSE),"-")</f>
        <v>- / -</v>
      </c>
      <c r="T83" s="48" t="str">
        <f t="shared" ref="T83:T84" si="302">IFERROR(RIGHT(M83,LEN(M83)-FIND("],",M83)-1),"none")</f>
        <v>none</v>
      </c>
      <c r="U83" s="63" t="e">
        <f t="shared" ref="U83:U84" si="303">FIND("effect:",T83)+7</f>
        <v>#VALUE!</v>
      </c>
      <c r="V83" s="63">
        <f t="shared" ref="V83:V84" si="304">IFERROR(FIND(",",T83),LEN(T83))</f>
        <v>4</v>
      </c>
      <c r="W83" s="63" t="e">
        <f t="shared" ref="W83:W84" si="305">FIND("target:",T83)+7</f>
        <v>#VALUE!</v>
      </c>
      <c r="X83" s="63" t="e">
        <f t="shared" ref="X83:X84" si="306">FIND(",",T83,V83+1)</f>
        <v>#VALUE!</v>
      </c>
      <c r="Y83" s="63" t="str">
        <f>IFERROR(VLOOKUP(MID(T83,W83,X83-W83),[7]skilldef!$C:$D,2,FALSE),"-") &amp; " / " &amp; IFERROR(VLOOKUP(MID(T83,U83,V83-U83),[7]skilldef!$A:$B,2,FALSE),"-")</f>
        <v>- / -</v>
      </c>
      <c r="Z83" s="50"/>
      <c r="AA83" s="52"/>
      <c r="AB83" s="50"/>
    </row>
    <row r="84" spans="1:28" ht="21" customHeight="1" x14ac:dyDescent="0.15">
      <c r="A84" s="110">
        <v>39014083</v>
      </c>
      <c r="B84" s="47" t="s">
        <v>283</v>
      </c>
      <c r="C84" s="50">
        <v>1</v>
      </c>
      <c r="D84" s="50" t="s">
        <v>126</v>
      </c>
      <c r="E84" s="51" t="s">
        <v>286</v>
      </c>
      <c r="F84" s="51" t="s">
        <v>287</v>
      </c>
      <c r="G84" s="63" t="str">
        <f t="shared" si="292"/>
        <v>[effect:enemy_message, val1:1.2, val2:1.2, dead_type:suicide]</v>
      </c>
      <c r="H84" s="63">
        <f t="shared" si="293"/>
        <v>9</v>
      </c>
      <c r="I84" s="63">
        <f t="shared" si="294"/>
        <v>22</v>
      </c>
      <c r="J84" s="63" t="e">
        <f t="shared" si="295"/>
        <v>#VALUE!</v>
      </c>
      <c r="K84" s="63">
        <f t="shared" si="296"/>
        <v>32</v>
      </c>
      <c r="L84" s="63" t="str">
        <f>IFERROR(VLOOKUP(MID(G84,J84,K84-J84),[7]skilldef!$C:$D,2,FALSE),"-") &amp; " / " &amp; IFERROR(VLOOKUP(MID(G84,H84,I84-H84),[7]skilldef!$A:$B,2,FALSE),"-")</f>
        <v>- / -</v>
      </c>
      <c r="M84" s="63" t="str">
        <f t="shared" si="297"/>
        <v>none</v>
      </c>
      <c r="N84" s="48" t="str">
        <f t="shared" si="291"/>
        <v>none</v>
      </c>
      <c r="O84" s="63" t="e">
        <f t="shared" si="298"/>
        <v>#VALUE!</v>
      </c>
      <c r="P84" s="63">
        <f t="shared" si="299"/>
        <v>4</v>
      </c>
      <c r="Q84" s="63" t="e">
        <f t="shared" si="300"/>
        <v>#VALUE!</v>
      </c>
      <c r="R84" s="63" t="e">
        <f t="shared" si="301"/>
        <v>#VALUE!</v>
      </c>
      <c r="S84" s="63" t="str">
        <f>IFERROR(VLOOKUP(MID(N84,Q84,R84-Q84),[7]skilldef!$C:$D,2,FALSE),"-") &amp; " / " &amp; IFERROR(VLOOKUP(MID(N84,O84,P84-O84),[7]skilldef!$A:$B,2,FALSE),"-")</f>
        <v>- / -</v>
      </c>
      <c r="T84" s="48" t="str">
        <f t="shared" si="302"/>
        <v>none</v>
      </c>
      <c r="U84" s="63" t="e">
        <f t="shared" si="303"/>
        <v>#VALUE!</v>
      </c>
      <c r="V84" s="63">
        <f t="shared" si="304"/>
        <v>4</v>
      </c>
      <c r="W84" s="63" t="e">
        <f t="shared" si="305"/>
        <v>#VALUE!</v>
      </c>
      <c r="X84" s="63" t="e">
        <f t="shared" si="306"/>
        <v>#VALUE!</v>
      </c>
      <c r="Y84" s="63" t="str">
        <f>IFERROR(VLOOKUP(MID(T84,W84,X84-W84),[7]skilldef!$C:$D,2,FALSE),"-") &amp; " / " &amp; IFERROR(VLOOKUP(MID(T84,U84,V84-U84),[7]skilldef!$A:$B,2,FALSE),"-")</f>
        <v>- / -</v>
      </c>
      <c r="Z84" s="50"/>
      <c r="AA84" s="52"/>
      <c r="AB84" s="50"/>
    </row>
    <row r="85" spans="1:28" ht="21" customHeight="1" x14ac:dyDescent="0.15">
      <c r="A85" s="110">
        <v>39014084</v>
      </c>
      <c r="B85" s="47" t="s">
        <v>283</v>
      </c>
      <c r="C85" s="50">
        <v>1</v>
      </c>
      <c r="D85" s="50" t="s">
        <v>126</v>
      </c>
      <c r="E85" s="51" t="s">
        <v>286</v>
      </c>
      <c r="F85" s="51" t="s">
        <v>287</v>
      </c>
      <c r="G85" s="63" t="str">
        <f t="shared" ref="G85:G94" si="307">IFERROR(LEFT(B85,FIND("],",B85)),B85)</f>
        <v>[effect:enemy_message, val1:1.2, val2:1.2, dead_type:suicide]</v>
      </c>
      <c r="H85" s="63">
        <f t="shared" ref="H85:H94" si="308">FIND("effect:",G85)+7</f>
        <v>9</v>
      </c>
      <c r="I85" s="63">
        <f t="shared" ref="I85:I94" si="309">IFERROR(FIND(",",G85),LEN(G85))</f>
        <v>22</v>
      </c>
      <c r="J85" s="63" t="e">
        <f t="shared" ref="J85:J94" si="310">FIND("target:",G85)+7</f>
        <v>#VALUE!</v>
      </c>
      <c r="K85" s="63">
        <f t="shared" ref="K85:K94" si="311">FIND(",",G85,I85+1)</f>
        <v>32</v>
      </c>
      <c r="L85" s="63" t="str">
        <f>IFERROR(VLOOKUP(MID(G85,J85,K85-J85),[7]skilldef!$C:$D,2,FALSE),"-") &amp; " / " &amp; IFERROR(VLOOKUP(MID(G85,H85,I85-H85),[7]skilldef!$A:$B,2,FALSE),"-")</f>
        <v>- / -</v>
      </c>
      <c r="M85" s="63" t="str">
        <f t="shared" ref="M85:M94" si="312">IFERROR(RIGHT(B85,LEN(B85)-FIND("],",B85)-1),"none")</f>
        <v>none</v>
      </c>
      <c r="N85" s="48" t="str">
        <f t="shared" si="291"/>
        <v>none</v>
      </c>
      <c r="O85" s="63" t="e">
        <f t="shared" ref="O85:O94" si="313">FIND("effect:",N85)+7</f>
        <v>#VALUE!</v>
      </c>
      <c r="P85" s="63">
        <f t="shared" ref="P85:P94" si="314">IFERROR(FIND(",",N85),LEN(N85))</f>
        <v>4</v>
      </c>
      <c r="Q85" s="63" t="e">
        <f t="shared" ref="Q85:Q94" si="315">FIND("target:",N85)+7</f>
        <v>#VALUE!</v>
      </c>
      <c r="R85" s="63" t="e">
        <f t="shared" ref="R85:R94" si="316">FIND(",",N85,P85+1)</f>
        <v>#VALUE!</v>
      </c>
      <c r="S85" s="63" t="str">
        <f>IFERROR(VLOOKUP(MID(N85,Q85,R85-Q85),[7]skilldef!$C:$D,2,FALSE),"-") &amp; " / " &amp; IFERROR(VLOOKUP(MID(N85,O85,P85-O85),[7]skilldef!$A:$B,2,FALSE),"-")</f>
        <v>- / -</v>
      </c>
      <c r="T85" s="48" t="str">
        <f t="shared" ref="T85:T94" si="317">IFERROR(RIGHT(M85,LEN(M85)-FIND("],",M85)-1),"none")</f>
        <v>none</v>
      </c>
      <c r="U85" s="63" t="e">
        <f t="shared" ref="U85:U94" si="318">FIND("effect:",T85)+7</f>
        <v>#VALUE!</v>
      </c>
      <c r="V85" s="63">
        <f t="shared" ref="V85:V94" si="319">IFERROR(FIND(",",T85),LEN(T85))</f>
        <v>4</v>
      </c>
      <c r="W85" s="63" t="e">
        <f t="shared" ref="W85:W94" si="320">FIND("target:",T85)+7</f>
        <v>#VALUE!</v>
      </c>
      <c r="X85" s="63" t="e">
        <f t="shared" ref="X85:X94" si="321">FIND(",",T85,V85+1)</f>
        <v>#VALUE!</v>
      </c>
      <c r="Y85" s="63" t="str">
        <f>IFERROR(VLOOKUP(MID(T85,W85,X85-W85),[7]skilldef!$C:$D,2,FALSE),"-") &amp; " / " &amp; IFERROR(VLOOKUP(MID(T85,U85,V85-U85),[7]skilldef!$A:$B,2,FALSE),"-")</f>
        <v>- / -</v>
      </c>
      <c r="Z85" s="50"/>
      <c r="AA85" s="52"/>
      <c r="AB85" s="50"/>
    </row>
    <row r="86" spans="1:28" ht="21" customHeight="1" x14ac:dyDescent="0.15">
      <c r="A86" s="110">
        <v>39014085</v>
      </c>
      <c r="B86" s="47" t="s">
        <v>283</v>
      </c>
      <c r="C86" s="50">
        <v>1</v>
      </c>
      <c r="D86" s="50" t="s">
        <v>126</v>
      </c>
      <c r="E86" s="51" t="s">
        <v>286</v>
      </c>
      <c r="F86" s="51" t="s">
        <v>287</v>
      </c>
      <c r="G86" s="63" t="str">
        <f t="shared" si="307"/>
        <v>[effect:enemy_message, val1:1.2, val2:1.2, dead_type:suicide]</v>
      </c>
      <c r="H86" s="63">
        <f t="shared" si="308"/>
        <v>9</v>
      </c>
      <c r="I86" s="63">
        <f t="shared" si="309"/>
        <v>22</v>
      </c>
      <c r="J86" s="63" t="e">
        <f t="shared" si="310"/>
        <v>#VALUE!</v>
      </c>
      <c r="K86" s="63">
        <f t="shared" si="311"/>
        <v>32</v>
      </c>
      <c r="L86" s="63" t="str">
        <f>IFERROR(VLOOKUP(MID(G86,J86,K86-J86),[7]skilldef!$C:$D,2,FALSE),"-") &amp; " / " &amp; IFERROR(VLOOKUP(MID(G86,H86,I86-H86),[7]skilldef!$A:$B,2,FALSE),"-")</f>
        <v>- / -</v>
      </c>
      <c r="M86" s="63" t="str">
        <f t="shared" si="312"/>
        <v>none</v>
      </c>
      <c r="N86" s="48" t="str">
        <f t="shared" si="291"/>
        <v>none</v>
      </c>
      <c r="O86" s="63" t="e">
        <f t="shared" si="313"/>
        <v>#VALUE!</v>
      </c>
      <c r="P86" s="63">
        <f t="shared" si="314"/>
        <v>4</v>
      </c>
      <c r="Q86" s="63" t="e">
        <f t="shared" si="315"/>
        <v>#VALUE!</v>
      </c>
      <c r="R86" s="63" t="e">
        <f t="shared" si="316"/>
        <v>#VALUE!</v>
      </c>
      <c r="S86" s="63" t="str">
        <f>IFERROR(VLOOKUP(MID(N86,Q86,R86-Q86),[7]skilldef!$C:$D,2,FALSE),"-") &amp; " / " &amp; IFERROR(VLOOKUP(MID(N86,O86,P86-O86),[7]skilldef!$A:$B,2,FALSE),"-")</f>
        <v>- / -</v>
      </c>
      <c r="T86" s="48" t="str">
        <f t="shared" si="317"/>
        <v>none</v>
      </c>
      <c r="U86" s="63" t="e">
        <f t="shared" si="318"/>
        <v>#VALUE!</v>
      </c>
      <c r="V86" s="63">
        <f t="shared" si="319"/>
        <v>4</v>
      </c>
      <c r="W86" s="63" t="e">
        <f t="shared" si="320"/>
        <v>#VALUE!</v>
      </c>
      <c r="X86" s="63" t="e">
        <f t="shared" si="321"/>
        <v>#VALUE!</v>
      </c>
      <c r="Y86" s="63" t="str">
        <f>IFERROR(VLOOKUP(MID(T86,W86,X86-W86),[7]skilldef!$C:$D,2,FALSE),"-") &amp; " / " &amp; IFERROR(VLOOKUP(MID(T86,U86,V86-U86),[7]skilldef!$A:$B,2,FALSE),"-")</f>
        <v>- / -</v>
      </c>
      <c r="Z86" s="50"/>
      <c r="AA86" s="52"/>
      <c r="AB86" s="50"/>
    </row>
    <row r="87" spans="1:28" ht="21" customHeight="1" x14ac:dyDescent="0.15">
      <c r="A87" s="110">
        <v>39014086</v>
      </c>
      <c r="B87" s="47" t="s">
        <v>283</v>
      </c>
      <c r="C87" s="50">
        <v>1</v>
      </c>
      <c r="D87" s="50" t="s">
        <v>126</v>
      </c>
      <c r="E87" s="51" t="s">
        <v>286</v>
      </c>
      <c r="F87" s="51" t="s">
        <v>287</v>
      </c>
      <c r="G87" s="63" t="str">
        <f t="shared" si="307"/>
        <v>[effect:enemy_message, val1:1.2, val2:1.2, dead_type:suicide]</v>
      </c>
      <c r="H87" s="63">
        <f t="shared" si="308"/>
        <v>9</v>
      </c>
      <c r="I87" s="63">
        <f t="shared" si="309"/>
        <v>22</v>
      </c>
      <c r="J87" s="63" t="e">
        <f t="shared" si="310"/>
        <v>#VALUE!</v>
      </c>
      <c r="K87" s="63">
        <f t="shared" si="311"/>
        <v>32</v>
      </c>
      <c r="L87" s="63" t="str">
        <f>IFERROR(VLOOKUP(MID(G87,J87,K87-J87),[7]skilldef!$C:$D,2,FALSE),"-") &amp; " / " &amp; IFERROR(VLOOKUP(MID(G87,H87,I87-H87),[7]skilldef!$A:$B,2,FALSE),"-")</f>
        <v>- / -</v>
      </c>
      <c r="M87" s="63" t="str">
        <f t="shared" si="312"/>
        <v>none</v>
      </c>
      <c r="N87" s="48" t="str">
        <f t="shared" si="291"/>
        <v>none</v>
      </c>
      <c r="O87" s="63" t="e">
        <f t="shared" si="313"/>
        <v>#VALUE!</v>
      </c>
      <c r="P87" s="63">
        <f t="shared" si="314"/>
        <v>4</v>
      </c>
      <c r="Q87" s="63" t="e">
        <f t="shared" si="315"/>
        <v>#VALUE!</v>
      </c>
      <c r="R87" s="63" t="e">
        <f t="shared" si="316"/>
        <v>#VALUE!</v>
      </c>
      <c r="S87" s="63" t="str">
        <f>IFERROR(VLOOKUP(MID(N87,Q87,R87-Q87),[7]skilldef!$C:$D,2,FALSE),"-") &amp; " / " &amp; IFERROR(VLOOKUP(MID(N87,O87,P87-O87),[7]skilldef!$A:$B,2,FALSE),"-")</f>
        <v>- / -</v>
      </c>
      <c r="T87" s="48" t="str">
        <f t="shared" si="317"/>
        <v>none</v>
      </c>
      <c r="U87" s="63" t="e">
        <f t="shared" si="318"/>
        <v>#VALUE!</v>
      </c>
      <c r="V87" s="63">
        <f t="shared" si="319"/>
        <v>4</v>
      </c>
      <c r="W87" s="63" t="e">
        <f t="shared" si="320"/>
        <v>#VALUE!</v>
      </c>
      <c r="X87" s="63" t="e">
        <f t="shared" si="321"/>
        <v>#VALUE!</v>
      </c>
      <c r="Y87" s="63" t="str">
        <f>IFERROR(VLOOKUP(MID(T87,W87,X87-W87),[7]skilldef!$C:$D,2,FALSE),"-") &amp; " / " &amp; IFERROR(VLOOKUP(MID(T87,U87,V87-U87),[7]skilldef!$A:$B,2,FALSE),"-")</f>
        <v>- / -</v>
      </c>
      <c r="Z87" s="50"/>
      <c r="AA87" s="52"/>
      <c r="AB87" s="50"/>
    </row>
    <row r="88" spans="1:28" ht="21" customHeight="1" x14ac:dyDescent="0.15">
      <c r="A88" s="110">
        <v>39014087</v>
      </c>
      <c r="B88" s="47" t="s">
        <v>283</v>
      </c>
      <c r="C88" s="50">
        <v>1</v>
      </c>
      <c r="D88" s="50" t="s">
        <v>126</v>
      </c>
      <c r="E88" s="51" t="s">
        <v>286</v>
      </c>
      <c r="F88" s="51" t="s">
        <v>287</v>
      </c>
      <c r="G88" s="63" t="str">
        <f t="shared" si="307"/>
        <v>[effect:enemy_message, val1:1.2, val2:1.2, dead_type:suicide]</v>
      </c>
      <c r="H88" s="63">
        <f t="shared" si="308"/>
        <v>9</v>
      </c>
      <c r="I88" s="63">
        <f t="shared" si="309"/>
        <v>22</v>
      </c>
      <c r="J88" s="63" t="e">
        <f t="shared" si="310"/>
        <v>#VALUE!</v>
      </c>
      <c r="K88" s="63">
        <f t="shared" si="311"/>
        <v>32</v>
      </c>
      <c r="L88" s="63" t="str">
        <f>IFERROR(VLOOKUP(MID(G88,J88,K88-J88),[7]skilldef!$C:$D,2,FALSE),"-") &amp; " / " &amp; IFERROR(VLOOKUP(MID(G88,H88,I88-H88),[7]skilldef!$A:$B,2,FALSE),"-")</f>
        <v>- / -</v>
      </c>
      <c r="M88" s="63" t="str">
        <f t="shared" si="312"/>
        <v>none</v>
      </c>
      <c r="N88" s="48" t="str">
        <f t="shared" si="291"/>
        <v>none</v>
      </c>
      <c r="O88" s="63" t="e">
        <f t="shared" si="313"/>
        <v>#VALUE!</v>
      </c>
      <c r="P88" s="63">
        <f t="shared" si="314"/>
        <v>4</v>
      </c>
      <c r="Q88" s="63" t="e">
        <f t="shared" si="315"/>
        <v>#VALUE!</v>
      </c>
      <c r="R88" s="63" t="e">
        <f t="shared" si="316"/>
        <v>#VALUE!</v>
      </c>
      <c r="S88" s="63" t="str">
        <f>IFERROR(VLOOKUP(MID(N88,Q88,R88-Q88),[7]skilldef!$C:$D,2,FALSE),"-") &amp; " / " &amp; IFERROR(VLOOKUP(MID(N88,O88,P88-O88),[7]skilldef!$A:$B,2,FALSE),"-")</f>
        <v>- / -</v>
      </c>
      <c r="T88" s="48" t="str">
        <f t="shared" si="317"/>
        <v>none</v>
      </c>
      <c r="U88" s="63" t="e">
        <f t="shared" si="318"/>
        <v>#VALUE!</v>
      </c>
      <c r="V88" s="63">
        <f t="shared" si="319"/>
        <v>4</v>
      </c>
      <c r="W88" s="63" t="e">
        <f t="shared" si="320"/>
        <v>#VALUE!</v>
      </c>
      <c r="X88" s="63" t="e">
        <f t="shared" si="321"/>
        <v>#VALUE!</v>
      </c>
      <c r="Y88" s="63" t="str">
        <f>IFERROR(VLOOKUP(MID(T88,W88,X88-W88),[7]skilldef!$C:$D,2,FALSE),"-") &amp; " / " &amp; IFERROR(VLOOKUP(MID(T88,U88,V88-U88),[7]skilldef!$A:$B,2,FALSE),"-")</f>
        <v>- / -</v>
      </c>
      <c r="Z88" s="50"/>
      <c r="AA88" s="52"/>
      <c r="AB88" s="50"/>
    </row>
    <row r="89" spans="1:28" ht="21" customHeight="1" x14ac:dyDescent="0.15">
      <c r="A89" s="110">
        <v>39014088</v>
      </c>
      <c r="B89" s="47" t="s">
        <v>283</v>
      </c>
      <c r="C89" s="50">
        <v>1</v>
      </c>
      <c r="D89" s="50" t="s">
        <v>126</v>
      </c>
      <c r="E89" s="51" t="s">
        <v>286</v>
      </c>
      <c r="F89" s="51" t="s">
        <v>287</v>
      </c>
      <c r="G89" s="63" t="str">
        <f t="shared" si="307"/>
        <v>[effect:enemy_message, val1:1.2, val2:1.2, dead_type:suicide]</v>
      </c>
      <c r="H89" s="63">
        <f t="shared" si="308"/>
        <v>9</v>
      </c>
      <c r="I89" s="63">
        <f t="shared" si="309"/>
        <v>22</v>
      </c>
      <c r="J89" s="63" t="e">
        <f t="shared" si="310"/>
        <v>#VALUE!</v>
      </c>
      <c r="K89" s="63">
        <f t="shared" si="311"/>
        <v>32</v>
      </c>
      <c r="L89" s="63" t="str">
        <f>IFERROR(VLOOKUP(MID(G89,J89,K89-J89),[7]skilldef!$C:$D,2,FALSE),"-") &amp; " / " &amp; IFERROR(VLOOKUP(MID(G89,H89,I89-H89),[7]skilldef!$A:$B,2,FALSE),"-")</f>
        <v>- / -</v>
      </c>
      <c r="M89" s="63" t="str">
        <f t="shared" si="312"/>
        <v>none</v>
      </c>
      <c r="N89" s="48" t="str">
        <f t="shared" si="291"/>
        <v>none</v>
      </c>
      <c r="O89" s="63" t="e">
        <f t="shared" si="313"/>
        <v>#VALUE!</v>
      </c>
      <c r="P89" s="63">
        <f t="shared" si="314"/>
        <v>4</v>
      </c>
      <c r="Q89" s="63" t="e">
        <f t="shared" si="315"/>
        <v>#VALUE!</v>
      </c>
      <c r="R89" s="63" t="e">
        <f t="shared" si="316"/>
        <v>#VALUE!</v>
      </c>
      <c r="S89" s="63" t="str">
        <f>IFERROR(VLOOKUP(MID(N89,Q89,R89-Q89),[7]skilldef!$C:$D,2,FALSE),"-") &amp; " / " &amp; IFERROR(VLOOKUP(MID(N89,O89,P89-O89),[7]skilldef!$A:$B,2,FALSE),"-")</f>
        <v>- / -</v>
      </c>
      <c r="T89" s="48" t="str">
        <f t="shared" si="317"/>
        <v>none</v>
      </c>
      <c r="U89" s="63" t="e">
        <f t="shared" si="318"/>
        <v>#VALUE!</v>
      </c>
      <c r="V89" s="63">
        <f t="shared" si="319"/>
        <v>4</v>
      </c>
      <c r="W89" s="63" t="e">
        <f t="shared" si="320"/>
        <v>#VALUE!</v>
      </c>
      <c r="X89" s="63" t="e">
        <f t="shared" si="321"/>
        <v>#VALUE!</v>
      </c>
      <c r="Y89" s="63" t="str">
        <f>IFERROR(VLOOKUP(MID(T89,W89,X89-W89),[7]skilldef!$C:$D,2,FALSE),"-") &amp; " / " &amp; IFERROR(VLOOKUP(MID(T89,U89,V89-U89),[7]skilldef!$A:$B,2,FALSE),"-")</f>
        <v>- / -</v>
      </c>
      <c r="Z89" s="50"/>
      <c r="AA89" s="52"/>
      <c r="AB89" s="50"/>
    </row>
    <row r="90" spans="1:28" ht="21" customHeight="1" x14ac:dyDescent="0.15">
      <c r="A90" s="110">
        <v>39014089</v>
      </c>
      <c r="B90" s="47" t="s">
        <v>283</v>
      </c>
      <c r="C90" s="50">
        <v>1</v>
      </c>
      <c r="D90" s="50" t="s">
        <v>126</v>
      </c>
      <c r="E90" s="51" t="s">
        <v>286</v>
      </c>
      <c r="F90" s="51" t="s">
        <v>287</v>
      </c>
      <c r="G90" s="63" t="str">
        <f t="shared" si="307"/>
        <v>[effect:enemy_message, val1:1.2, val2:1.2, dead_type:suicide]</v>
      </c>
      <c r="H90" s="63">
        <f t="shared" si="308"/>
        <v>9</v>
      </c>
      <c r="I90" s="63">
        <f t="shared" si="309"/>
        <v>22</v>
      </c>
      <c r="J90" s="63" t="e">
        <f t="shared" si="310"/>
        <v>#VALUE!</v>
      </c>
      <c r="K90" s="63">
        <f t="shared" si="311"/>
        <v>32</v>
      </c>
      <c r="L90" s="63" t="str">
        <f>IFERROR(VLOOKUP(MID(G90,J90,K90-J90),[7]skilldef!$C:$D,2,FALSE),"-") &amp; " / " &amp; IFERROR(VLOOKUP(MID(G90,H90,I90-H90),[7]skilldef!$A:$B,2,FALSE),"-")</f>
        <v>- / -</v>
      </c>
      <c r="M90" s="63" t="str">
        <f t="shared" si="312"/>
        <v>none</v>
      </c>
      <c r="N90" s="48" t="str">
        <f t="shared" si="291"/>
        <v>none</v>
      </c>
      <c r="O90" s="63" t="e">
        <f t="shared" si="313"/>
        <v>#VALUE!</v>
      </c>
      <c r="P90" s="63">
        <f t="shared" si="314"/>
        <v>4</v>
      </c>
      <c r="Q90" s="63" t="e">
        <f t="shared" si="315"/>
        <v>#VALUE!</v>
      </c>
      <c r="R90" s="63" t="e">
        <f t="shared" si="316"/>
        <v>#VALUE!</v>
      </c>
      <c r="S90" s="63" t="str">
        <f>IFERROR(VLOOKUP(MID(N90,Q90,R90-Q90),[7]skilldef!$C:$D,2,FALSE),"-") &amp; " / " &amp; IFERROR(VLOOKUP(MID(N90,O90,P90-O90),[7]skilldef!$A:$B,2,FALSE),"-")</f>
        <v>- / -</v>
      </c>
      <c r="T90" s="48" t="str">
        <f t="shared" si="317"/>
        <v>none</v>
      </c>
      <c r="U90" s="63" t="e">
        <f t="shared" si="318"/>
        <v>#VALUE!</v>
      </c>
      <c r="V90" s="63">
        <f t="shared" si="319"/>
        <v>4</v>
      </c>
      <c r="W90" s="63" t="e">
        <f t="shared" si="320"/>
        <v>#VALUE!</v>
      </c>
      <c r="X90" s="63" t="e">
        <f t="shared" si="321"/>
        <v>#VALUE!</v>
      </c>
      <c r="Y90" s="63" t="str">
        <f>IFERROR(VLOOKUP(MID(T90,W90,X90-W90),[7]skilldef!$C:$D,2,FALSE),"-") &amp; " / " &amp; IFERROR(VLOOKUP(MID(T90,U90,V90-U90),[7]skilldef!$A:$B,2,FALSE),"-")</f>
        <v>- / -</v>
      </c>
      <c r="Z90" s="50"/>
      <c r="AA90" s="52"/>
      <c r="AB90" s="50"/>
    </row>
    <row r="91" spans="1:28" ht="21" customHeight="1" x14ac:dyDescent="0.15">
      <c r="A91" s="110">
        <v>39014090</v>
      </c>
      <c r="B91" s="47" t="s">
        <v>283</v>
      </c>
      <c r="C91" s="50">
        <v>1</v>
      </c>
      <c r="D91" s="50" t="s">
        <v>126</v>
      </c>
      <c r="E91" s="51" t="s">
        <v>286</v>
      </c>
      <c r="F91" s="51" t="s">
        <v>287</v>
      </c>
      <c r="G91" s="63" t="str">
        <f t="shared" si="307"/>
        <v>[effect:enemy_message, val1:1.2, val2:1.2, dead_type:suicide]</v>
      </c>
      <c r="H91" s="63">
        <f t="shared" si="308"/>
        <v>9</v>
      </c>
      <c r="I91" s="63">
        <f t="shared" si="309"/>
        <v>22</v>
      </c>
      <c r="J91" s="63" t="e">
        <f t="shared" si="310"/>
        <v>#VALUE!</v>
      </c>
      <c r="K91" s="63">
        <f t="shared" si="311"/>
        <v>32</v>
      </c>
      <c r="L91" s="63" t="str">
        <f>IFERROR(VLOOKUP(MID(G91,J91,K91-J91),[7]skilldef!$C:$D,2,FALSE),"-") &amp; " / " &amp; IFERROR(VLOOKUP(MID(G91,H91,I91-H91),[7]skilldef!$A:$B,2,FALSE),"-")</f>
        <v>- / -</v>
      </c>
      <c r="M91" s="63" t="str">
        <f t="shared" si="312"/>
        <v>none</v>
      </c>
      <c r="N91" s="48" t="str">
        <f t="shared" si="291"/>
        <v>none</v>
      </c>
      <c r="O91" s="63" t="e">
        <f t="shared" si="313"/>
        <v>#VALUE!</v>
      </c>
      <c r="P91" s="63">
        <f t="shared" si="314"/>
        <v>4</v>
      </c>
      <c r="Q91" s="63" t="e">
        <f t="shared" si="315"/>
        <v>#VALUE!</v>
      </c>
      <c r="R91" s="63" t="e">
        <f t="shared" si="316"/>
        <v>#VALUE!</v>
      </c>
      <c r="S91" s="63" t="str">
        <f>IFERROR(VLOOKUP(MID(N91,Q91,R91-Q91),[7]skilldef!$C:$D,2,FALSE),"-") &amp; " / " &amp; IFERROR(VLOOKUP(MID(N91,O91,P91-O91),[7]skilldef!$A:$B,2,FALSE),"-")</f>
        <v>- / -</v>
      </c>
      <c r="T91" s="48" t="str">
        <f t="shared" si="317"/>
        <v>none</v>
      </c>
      <c r="U91" s="63" t="e">
        <f t="shared" si="318"/>
        <v>#VALUE!</v>
      </c>
      <c r="V91" s="63">
        <f t="shared" si="319"/>
        <v>4</v>
      </c>
      <c r="W91" s="63" t="e">
        <f t="shared" si="320"/>
        <v>#VALUE!</v>
      </c>
      <c r="X91" s="63" t="e">
        <f t="shared" si="321"/>
        <v>#VALUE!</v>
      </c>
      <c r="Y91" s="63" t="str">
        <f>IFERROR(VLOOKUP(MID(T91,W91,X91-W91),[7]skilldef!$C:$D,2,FALSE),"-") &amp; " / " &amp; IFERROR(VLOOKUP(MID(T91,U91,V91-U91),[7]skilldef!$A:$B,2,FALSE),"-")</f>
        <v>- / -</v>
      </c>
      <c r="Z91" s="50"/>
      <c r="AA91" s="52"/>
      <c r="AB91" s="50"/>
    </row>
    <row r="92" spans="1:28" ht="21" customHeight="1" x14ac:dyDescent="0.15">
      <c r="A92" s="110">
        <v>39014091</v>
      </c>
      <c r="B92" s="47" t="s">
        <v>283</v>
      </c>
      <c r="C92" s="50">
        <v>1</v>
      </c>
      <c r="D92" s="50" t="s">
        <v>126</v>
      </c>
      <c r="E92" s="51" t="s">
        <v>286</v>
      </c>
      <c r="F92" s="51" t="s">
        <v>287</v>
      </c>
      <c r="G92" s="63" t="str">
        <f t="shared" ref="G92" si="322">IFERROR(LEFT(B92,FIND("],",B92)),B92)</f>
        <v>[effect:enemy_message, val1:1.2, val2:1.2, dead_type:suicide]</v>
      </c>
      <c r="H92" s="63">
        <f t="shared" ref="H92" si="323">FIND("effect:",G92)+7</f>
        <v>9</v>
      </c>
      <c r="I92" s="63">
        <f t="shared" ref="I92" si="324">IFERROR(FIND(",",G92),LEN(G92))</f>
        <v>22</v>
      </c>
      <c r="J92" s="63" t="e">
        <f t="shared" ref="J92" si="325">FIND("target:",G92)+7</f>
        <v>#VALUE!</v>
      </c>
      <c r="K92" s="63">
        <f t="shared" ref="K92" si="326">FIND(",",G92,I92+1)</f>
        <v>32</v>
      </c>
      <c r="L92" s="63" t="str">
        <f>IFERROR(VLOOKUP(MID(G92,J92,K92-J92),[7]skilldef!$C:$D,2,FALSE),"-") &amp; " / " &amp; IFERROR(VLOOKUP(MID(G92,H92,I92-H92),[7]skilldef!$A:$B,2,FALSE),"-")</f>
        <v>- / -</v>
      </c>
      <c r="M92" s="63" t="str">
        <f t="shared" ref="M92" si="327">IFERROR(RIGHT(B92,LEN(B92)-FIND("],",B92)-1),"none")</f>
        <v>none</v>
      </c>
      <c r="N92" s="48" t="str">
        <f t="shared" si="291"/>
        <v>none</v>
      </c>
      <c r="O92" s="63" t="e">
        <f t="shared" ref="O92" si="328">FIND("effect:",N92)+7</f>
        <v>#VALUE!</v>
      </c>
      <c r="P92" s="63">
        <f t="shared" ref="P92" si="329">IFERROR(FIND(",",N92),LEN(N92))</f>
        <v>4</v>
      </c>
      <c r="Q92" s="63" t="e">
        <f t="shared" ref="Q92" si="330">FIND("target:",N92)+7</f>
        <v>#VALUE!</v>
      </c>
      <c r="R92" s="63" t="e">
        <f t="shared" ref="R92" si="331">FIND(",",N92,P92+1)</f>
        <v>#VALUE!</v>
      </c>
      <c r="S92" s="63" t="str">
        <f>IFERROR(VLOOKUP(MID(N92,Q92,R92-Q92),[7]skilldef!$C:$D,2,FALSE),"-") &amp; " / " &amp; IFERROR(VLOOKUP(MID(N92,O92,P92-O92),[7]skilldef!$A:$B,2,FALSE),"-")</f>
        <v>- / -</v>
      </c>
      <c r="T92" s="48" t="str">
        <f t="shared" ref="T92" si="332">IFERROR(RIGHT(M92,LEN(M92)-FIND("],",M92)-1),"none")</f>
        <v>none</v>
      </c>
      <c r="U92" s="63" t="e">
        <f t="shared" ref="U92" si="333">FIND("effect:",T92)+7</f>
        <v>#VALUE!</v>
      </c>
      <c r="V92" s="63">
        <f t="shared" ref="V92" si="334">IFERROR(FIND(",",T92),LEN(T92))</f>
        <v>4</v>
      </c>
      <c r="W92" s="63" t="e">
        <f t="shared" ref="W92" si="335">FIND("target:",T92)+7</f>
        <v>#VALUE!</v>
      </c>
      <c r="X92" s="63" t="e">
        <f t="shared" ref="X92" si="336">FIND(",",T92,V92+1)</f>
        <v>#VALUE!</v>
      </c>
      <c r="Y92" s="63" t="str">
        <f>IFERROR(VLOOKUP(MID(T92,W92,X92-W92),[7]skilldef!$C:$D,2,FALSE),"-") &amp; " / " &amp; IFERROR(VLOOKUP(MID(T92,U92,V92-U92),[7]skilldef!$A:$B,2,FALSE),"-")</f>
        <v>- / -</v>
      </c>
      <c r="Z92" s="50"/>
      <c r="AA92" s="52"/>
      <c r="AB92" s="50"/>
    </row>
    <row r="93" spans="1:28" ht="21" customHeight="1" x14ac:dyDescent="0.15">
      <c r="A93" s="110">
        <v>39014092</v>
      </c>
      <c r="B93" s="47" t="s">
        <v>283</v>
      </c>
      <c r="C93" s="50">
        <v>1</v>
      </c>
      <c r="D93" s="50" t="s">
        <v>126</v>
      </c>
      <c r="E93" s="51" t="s">
        <v>286</v>
      </c>
      <c r="F93" s="51" t="s">
        <v>287</v>
      </c>
      <c r="G93" s="63" t="str">
        <f t="shared" si="307"/>
        <v>[effect:enemy_message, val1:1.2, val2:1.2, dead_type:suicide]</v>
      </c>
      <c r="H93" s="63">
        <f t="shared" si="308"/>
        <v>9</v>
      </c>
      <c r="I93" s="63">
        <f t="shared" si="309"/>
        <v>22</v>
      </c>
      <c r="J93" s="63" t="e">
        <f t="shared" si="310"/>
        <v>#VALUE!</v>
      </c>
      <c r="K93" s="63">
        <f t="shared" si="311"/>
        <v>32</v>
      </c>
      <c r="L93" s="63" t="str">
        <f>IFERROR(VLOOKUP(MID(G93,J93,K93-J93),[7]skilldef!$C:$D,2,FALSE),"-") &amp; " / " &amp; IFERROR(VLOOKUP(MID(G93,H93,I93-H93),[7]skilldef!$A:$B,2,FALSE),"-")</f>
        <v>- / -</v>
      </c>
      <c r="M93" s="63" t="str">
        <f t="shared" si="312"/>
        <v>none</v>
      </c>
      <c r="N93" s="48" t="str">
        <f t="shared" ref="N93:N94" si="337">IFERROR(LEFT(M93,FIND("],",M93)+S110),M93)</f>
        <v>none</v>
      </c>
      <c r="O93" s="63" t="e">
        <f t="shared" si="313"/>
        <v>#VALUE!</v>
      </c>
      <c r="P93" s="63">
        <f t="shared" si="314"/>
        <v>4</v>
      </c>
      <c r="Q93" s="63" t="e">
        <f t="shared" si="315"/>
        <v>#VALUE!</v>
      </c>
      <c r="R93" s="63" t="e">
        <f t="shared" si="316"/>
        <v>#VALUE!</v>
      </c>
      <c r="S93" s="63" t="str">
        <f>IFERROR(VLOOKUP(MID(N93,Q93,R93-Q93),[7]skilldef!$C:$D,2,FALSE),"-") &amp; " / " &amp; IFERROR(VLOOKUP(MID(N93,O93,P93-O93),[7]skilldef!$A:$B,2,FALSE),"-")</f>
        <v>- / -</v>
      </c>
      <c r="T93" s="48" t="str">
        <f t="shared" si="317"/>
        <v>none</v>
      </c>
      <c r="U93" s="63" t="e">
        <f t="shared" si="318"/>
        <v>#VALUE!</v>
      </c>
      <c r="V93" s="63">
        <f t="shared" si="319"/>
        <v>4</v>
      </c>
      <c r="W93" s="63" t="e">
        <f t="shared" si="320"/>
        <v>#VALUE!</v>
      </c>
      <c r="X93" s="63" t="e">
        <f t="shared" si="321"/>
        <v>#VALUE!</v>
      </c>
      <c r="Y93" s="63" t="str">
        <f>IFERROR(VLOOKUP(MID(T93,W93,X93-W93),[7]skilldef!$C:$D,2,FALSE),"-") &amp; " / " &amp; IFERROR(VLOOKUP(MID(T93,U93,V93-U93),[7]skilldef!$A:$B,2,FALSE),"-")</f>
        <v>- / -</v>
      </c>
      <c r="Z93" s="50"/>
      <c r="AA93" s="52"/>
      <c r="AB93" s="50"/>
    </row>
    <row r="94" spans="1:28" ht="21" customHeight="1" x14ac:dyDescent="0.15">
      <c r="A94" s="110">
        <v>39014093</v>
      </c>
      <c r="B94" s="47" t="s">
        <v>283</v>
      </c>
      <c r="C94" s="50">
        <v>1</v>
      </c>
      <c r="D94" s="50" t="s">
        <v>126</v>
      </c>
      <c r="E94" s="51" t="s">
        <v>286</v>
      </c>
      <c r="F94" s="51" t="s">
        <v>287</v>
      </c>
      <c r="G94" s="63" t="str">
        <f t="shared" si="307"/>
        <v>[effect:enemy_message, val1:1.2, val2:1.2, dead_type:suicide]</v>
      </c>
      <c r="H94" s="63">
        <f t="shared" si="308"/>
        <v>9</v>
      </c>
      <c r="I94" s="63">
        <f t="shared" si="309"/>
        <v>22</v>
      </c>
      <c r="J94" s="63" t="e">
        <f t="shared" si="310"/>
        <v>#VALUE!</v>
      </c>
      <c r="K94" s="63">
        <f t="shared" si="311"/>
        <v>32</v>
      </c>
      <c r="L94" s="63" t="str">
        <f>IFERROR(VLOOKUP(MID(G94,J94,K94-J94),[7]skilldef!$C:$D,2,FALSE),"-") &amp; " / " &amp; IFERROR(VLOOKUP(MID(G94,H94,I94-H94),[7]skilldef!$A:$B,2,FALSE),"-")</f>
        <v>- / -</v>
      </c>
      <c r="M94" s="63" t="str">
        <f t="shared" si="312"/>
        <v>none</v>
      </c>
      <c r="N94" s="48" t="str">
        <f t="shared" si="337"/>
        <v>none</v>
      </c>
      <c r="O94" s="63" t="e">
        <f t="shared" si="313"/>
        <v>#VALUE!</v>
      </c>
      <c r="P94" s="63">
        <f t="shared" si="314"/>
        <v>4</v>
      </c>
      <c r="Q94" s="63" t="e">
        <f t="shared" si="315"/>
        <v>#VALUE!</v>
      </c>
      <c r="R94" s="63" t="e">
        <f t="shared" si="316"/>
        <v>#VALUE!</v>
      </c>
      <c r="S94" s="63" t="str">
        <f>IFERROR(VLOOKUP(MID(N94,Q94,R94-Q94),[7]skilldef!$C:$D,2,FALSE),"-") &amp; " / " &amp; IFERROR(VLOOKUP(MID(N94,O94,P94-O94),[7]skilldef!$A:$B,2,FALSE),"-")</f>
        <v>- / -</v>
      </c>
      <c r="T94" s="48" t="str">
        <f t="shared" si="317"/>
        <v>none</v>
      </c>
      <c r="U94" s="63" t="e">
        <f t="shared" si="318"/>
        <v>#VALUE!</v>
      </c>
      <c r="V94" s="63">
        <f t="shared" si="319"/>
        <v>4</v>
      </c>
      <c r="W94" s="63" t="e">
        <f t="shared" si="320"/>
        <v>#VALUE!</v>
      </c>
      <c r="X94" s="63" t="e">
        <f t="shared" si="321"/>
        <v>#VALUE!</v>
      </c>
      <c r="Y94" s="63" t="str">
        <f>IFERROR(VLOOKUP(MID(T94,W94,X94-W94),[7]skilldef!$C:$D,2,FALSE),"-") &amp; " / " &amp; IFERROR(VLOOKUP(MID(T94,U94,V94-U94),[7]skilldef!$A:$B,2,FALSE),"-")</f>
        <v>- / -</v>
      </c>
      <c r="Z94" s="50"/>
      <c r="AA94" s="52"/>
      <c r="AB9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94"/>
  <sheetViews>
    <sheetView showGridLines="0" workbookViewId="0">
      <pane ySplit="1" topLeftCell="A2" activePane="bottomLeft" state="frozenSplit"/>
      <selection pane="bottomLeft" activeCell="F3" sqref="F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87</v>
      </c>
    </row>
    <row r="2" spans="1:11" ht="21" customHeight="1" x14ac:dyDescent="0.15">
      <c r="A2" s="107">
        <v>39014001</v>
      </c>
      <c r="B2" s="47">
        <v>1</v>
      </c>
      <c r="C2" s="47" t="s">
        <v>88</v>
      </c>
      <c r="D2" s="47">
        <v>100</v>
      </c>
      <c r="E2" s="47" t="s">
        <v>257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" si="0">D2</f>
        <v>100</v>
      </c>
    </row>
    <row r="3" spans="1:11" ht="21" customHeight="1" x14ac:dyDescent="0.15">
      <c r="A3" s="107">
        <v>39014002</v>
      </c>
      <c r="B3" s="47">
        <v>0</v>
      </c>
      <c r="C3" s="47">
        <v>100</v>
      </c>
      <c r="D3" s="47">
        <v>100</v>
      </c>
      <c r="E3" s="47" t="s">
        <v>53</v>
      </c>
      <c r="F3" s="47" t="s">
        <v>53</v>
      </c>
      <c r="G3" s="47" t="s">
        <v>53</v>
      </c>
      <c r="H3" s="47">
        <v>1</v>
      </c>
      <c r="I3" s="47" t="s">
        <v>53</v>
      </c>
      <c r="J3" s="48">
        <f t="shared" ref="J3:J16" si="1">D3</f>
        <v>100</v>
      </c>
    </row>
    <row r="4" spans="1:11" ht="21" customHeight="1" x14ac:dyDescent="0.15">
      <c r="A4" s="107">
        <v>39014003</v>
      </c>
      <c r="B4" s="47">
        <v>0</v>
      </c>
      <c r="C4" s="47">
        <v>110</v>
      </c>
      <c r="D4" s="47">
        <v>100</v>
      </c>
      <c r="E4" s="47" t="s">
        <v>53</v>
      </c>
      <c r="F4" s="47" t="s">
        <v>53</v>
      </c>
      <c r="G4" s="47" t="s">
        <v>53</v>
      </c>
      <c r="H4" s="47">
        <v>2</v>
      </c>
      <c r="I4" s="47" t="s">
        <v>53</v>
      </c>
      <c r="J4" s="48">
        <f t="shared" si="1"/>
        <v>100</v>
      </c>
    </row>
    <row r="5" spans="1:11" ht="21" customHeight="1" x14ac:dyDescent="0.15">
      <c r="A5" s="108">
        <v>39014004</v>
      </c>
      <c r="B5" s="47">
        <v>1</v>
      </c>
      <c r="C5" s="47" t="s">
        <v>53</v>
      </c>
      <c r="D5" s="47">
        <v>100</v>
      </c>
      <c r="E5" s="47" t="s">
        <v>53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1"/>
        <v>100</v>
      </c>
    </row>
    <row r="6" spans="1:11" ht="21" customHeight="1" x14ac:dyDescent="0.15">
      <c r="A6" s="108">
        <v>39014005</v>
      </c>
      <c r="B6" s="47">
        <v>0</v>
      </c>
      <c r="C6" s="47">
        <v>100</v>
      </c>
      <c r="D6" s="47">
        <v>100</v>
      </c>
      <c r="E6" s="47" t="s">
        <v>53</v>
      </c>
      <c r="F6" s="47" t="s">
        <v>53</v>
      </c>
      <c r="G6" s="47" t="s">
        <v>53</v>
      </c>
      <c r="H6" s="47">
        <v>1</v>
      </c>
      <c r="I6" s="47" t="s">
        <v>53</v>
      </c>
      <c r="J6" s="48">
        <f t="shared" si="1"/>
        <v>100</v>
      </c>
    </row>
    <row r="7" spans="1:11" ht="21" customHeight="1" x14ac:dyDescent="0.15">
      <c r="A7" s="108">
        <v>39014006</v>
      </c>
      <c r="B7" s="47">
        <v>0</v>
      </c>
      <c r="C7" s="47">
        <v>110</v>
      </c>
      <c r="D7" s="47">
        <v>100</v>
      </c>
      <c r="E7" s="47" t="s">
        <v>53</v>
      </c>
      <c r="F7" s="47" t="s">
        <v>53</v>
      </c>
      <c r="G7" s="47" t="s">
        <v>53</v>
      </c>
      <c r="H7" s="47">
        <v>2</v>
      </c>
      <c r="I7" s="47" t="s">
        <v>53</v>
      </c>
      <c r="J7" s="48">
        <f t="shared" si="1"/>
        <v>100</v>
      </c>
    </row>
    <row r="8" spans="1:11" ht="21" customHeight="1" x14ac:dyDescent="0.15">
      <c r="A8" s="107">
        <v>39014007</v>
      </c>
      <c r="B8" s="47">
        <v>1</v>
      </c>
      <c r="C8" s="47" t="s">
        <v>53</v>
      </c>
      <c r="D8" s="47">
        <v>100</v>
      </c>
      <c r="E8" s="47" t="s">
        <v>53</v>
      </c>
      <c r="F8" s="47" t="s">
        <v>53</v>
      </c>
      <c r="G8" s="47">
        <v>1</v>
      </c>
      <c r="H8" s="47" t="s">
        <v>53</v>
      </c>
      <c r="I8" s="47">
        <v>0</v>
      </c>
      <c r="J8" s="48">
        <f t="shared" si="1"/>
        <v>100</v>
      </c>
    </row>
    <row r="9" spans="1:11" ht="21" customHeight="1" x14ac:dyDescent="0.15">
      <c r="A9" s="107">
        <v>39014008</v>
      </c>
      <c r="B9" s="47">
        <v>1</v>
      </c>
      <c r="C9" s="47">
        <v>503</v>
      </c>
      <c r="D9" s="47">
        <v>100</v>
      </c>
      <c r="E9" s="47" t="s">
        <v>53</v>
      </c>
      <c r="F9" s="47" t="s">
        <v>53</v>
      </c>
      <c r="G9" s="47">
        <v>1</v>
      </c>
      <c r="H9" s="47" t="s">
        <v>53</v>
      </c>
      <c r="I9" s="47">
        <v>1551</v>
      </c>
      <c r="J9" s="48">
        <f t="shared" si="1"/>
        <v>100</v>
      </c>
    </row>
    <row r="10" spans="1:11" ht="21" customHeight="1" x14ac:dyDescent="0.15">
      <c r="A10" s="107">
        <v>39014009</v>
      </c>
      <c r="B10" s="47">
        <v>1</v>
      </c>
      <c r="C10" s="47">
        <v>502</v>
      </c>
      <c r="D10" s="47">
        <v>100</v>
      </c>
      <c r="E10" s="47" t="s">
        <v>53</v>
      </c>
      <c r="F10" s="47" t="s">
        <v>53</v>
      </c>
      <c r="G10" s="47">
        <v>1</v>
      </c>
      <c r="H10" s="47" t="s">
        <v>53</v>
      </c>
      <c r="I10" s="47">
        <v>1552</v>
      </c>
      <c r="J10" s="48">
        <f t="shared" ref="J10" si="2">D10</f>
        <v>100</v>
      </c>
    </row>
    <row r="11" spans="1:11" ht="21" customHeight="1" x14ac:dyDescent="0.15">
      <c r="A11" s="107">
        <v>39014010</v>
      </c>
      <c r="B11" s="47">
        <v>1</v>
      </c>
      <c r="C11" s="47">
        <v>501</v>
      </c>
      <c r="D11" s="47">
        <v>100</v>
      </c>
      <c r="E11" s="47" t="s">
        <v>53</v>
      </c>
      <c r="F11" s="47" t="s">
        <v>53</v>
      </c>
      <c r="G11" s="47">
        <v>1</v>
      </c>
      <c r="H11" s="47" t="s">
        <v>53</v>
      </c>
      <c r="I11" s="47">
        <v>1566</v>
      </c>
      <c r="J11" s="48">
        <f t="shared" si="1"/>
        <v>100</v>
      </c>
    </row>
    <row r="12" spans="1:11" ht="21" customHeight="1" x14ac:dyDescent="0.15">
      <c r="A12" s="107">
        <v>39014011</v>
      </c>
      <c r="B12" s="47">
        <v>1</v>
      </c>
      <c r="C12" s="47">
        <v>500</v>
      </c>
      <c r="D12" s="47">
        <v>100</v>
      </c>
      <c r="E12" s="47" t="s">
        <v>53</v>
      </c>
      <c r="F12" s="47" t="s">
        <v>53</v>
      </c>
      <c r="G12" s="47">
        <v>1</v>
      </c>
      <c r="H12" s="47" t="s">
        <v>53</v>
      </c>
      <c r="I12" s="47">
        <v>1567</v>
      </c>
      <c r="J12" s="48">
        <f t="shared" si="1"/>
        <v>100</v>
      </c>
    </row>
    <row r="13" spans="1:11" ht="21" customHeight="1" x14ac:dyDescent="0.15">
      <c r="A13" s="107">
        <v>39014012</v>
      </c>
      <c r="B13" s="47">
        <v>1</v>
      </c>
      <c r="C13" s="47">
        <v>403</v>
      </c>
      <c r="D13" s="47">
        <v>100</v>
      </c>
      <c r="E13" s="47" t="s">
        <v>53</v>
      </c>
      <c r="F13" s="47" t="s">
        <v>53</v>
      </c>
      <c r="G13" s="47">
        <v>1</v>
      </c>
      <c r="H13" s="47" t="s">
        <v>53</v>
      </c>
      <c r="I13" s="47">
        <v>1561</v>
      </c>
      <c r="J13" s="48">
        <f t="shared" si="1"/>
        <v>100</v>
      </c>
    </row>
    <row r="14" spans="1:11" ht="21" customHeight="1" x14ac:dyDescent="0.15">
      <c r="A14" s="107">
        <v>39014013</v>
      </c>
      <c r="B14" s="47">
        <v>1</v>
      </c>
      <c r="C14" s="47">
        <v>402</v>
      </c>
      <c r="D14" s="47">
        <v>100</v>
      </c>
      <c r="E14" s="47" t="s">
        <v>53</v>
      </c>
      <c r="F14" s="47" t="s">
        <v>53</v>
      </c>
      <c r="G14" s="47">
        <v>1</v>
      </c>
      <c r="H14" s="47" t="s">
        <v>53</v>
      </c>
      <c r="I14" s="47">
        <v>1562</v>
      </c>
      <c r="J14" s="48">
        <f t="shared" si="1"/>
        <v>100</v>
      </c>
    </row>
    <row r="15" spans="1:11" ht="21" customHeight="1" x14ac:dyDescent="0.15">
      <c r="A15" s="107">
        <v>39014014</v>
      </c>
      <c r="B15" s="47">
        <v>1</v>
      </c>
      <c r="C15" s="47">
        <v>401</v>
      </c>
      <c r="D15" s="47">
        <v>100</v>
      </c>
      <c r="E15" s="47" t="s">
        <v>53</v>
      </c>
      <c r="F15" s="47" t="s">
        <v>53</v>
      </c>
      <c r="G15" s="47">
        <v>1</v>
      </c>
      <c r="H15" s="47" t="s">
        <v>53</v>
      </c>
      <c r="I15" s="47">
        <v>1553</v>
      </c>
      <c r="J15" s="48">
        <f t="shared" si="1"/>
        <v>100</v>
      </c>
    </row>
    <row r="16" spans="1:11" ht="21" customHeight="1" x14ac:dyDescent="0.15">
      <c r="A16" s="107">
        <v>39014015</v>
      </c>
      <c r="B16" s="47">
        <v>1</v>
      </c>
      <c r="C16" s="47">
        <v>400</v>
      </c>
      <c r="D16" s="47">
        <v>100</v>
      </c>
      <c r="E16" s="47" t="s">
        <v>53</v>
      </c>
      <c r="F16" s="47" t="s">
        <v>53</v>
      </c>
      <c r="G16" s="47">
        <v>1</v>
      </c>
      <c r="H16" s="47" t="s">
        <v>53</v>
      </c>
      <c r="I16" s="47">
        <v>1554</v>
      </c>
      <c r="J16" s="48">
        <f t="shared" si="1"/>
        <v>100</v>
      </c>
    </row>
    <row r="17" spans="1:10" ht="21" customHeight="1" x14ac:dyDescent="0.15">
      <c r="A17" s="107">
        <v>39014016</v>
      </c>
      <c r="B17" s="47">
        <v>1</v>
      </c>
      <c r="C17" s="47">
        <v>302</v>
      </c>
      <c r="D17" s="47">
        <v>100</v>
      </c>
      <c r="E17" s="47" t="s">
        <v>53</v>
      </c>
      <c r="F17" s="47" t="s">
        <v>53</v>
      </c>
      <c r="G17" s="47">
        <v>1</v>
      </c>
      <c r="H17" s="47" t="s">
        <v>53</v>
      </c>
      <c r="I17" s="47">
        <v>1584</v>
      </c>
      <c r="J17" s="48">
        <f t="shared" ref="J17:J19" si="3">D17</f>
        <v>100</v>
      </c>
    </row>
    <row r="18" spans="1:10" ht="21" customHeight="1" x14ac:dyDescent="0.15">
      <c r="A18" s="107">
        <v>39014017</v>
      </c>
      <c r="B18" s="47">
        <v>1</v>
      </c>
      <c r="C18" s="47">
        <v>301</v>
      </c>
      <c r="D18" s="47">
        <v>100</v>
      </c>
      <c r="E18" s="47" t="s">
        <v>53</v>
      </c>
      <c r="F18" s="47" t="s">
        <v>53</v>
      </c>
      <c r="G18" s="47">
        <v>1</v>
      </c>
      <c r="H18" s="47" t="s">
        <v>53</v>
      </c>
      <c r="I18" s="47">
        <v>1585</v>
      </c>
      <c r="J18" s="48">
        <f t="shared" si="3"/>
        <v>100</v>
      </c>
    </row>
    <row r="19" spans="1:10" ht="21" customHeight="1" x14ac:dyDescent="0.15">
      <c r="A19" s="107">
        <v>39014018</v>
      </c>
      <c r="B19" s="47">
        <v>1</v>
      </c>
      <c r="C19" s="47">
        <v>300</v>
      </c>
      <c r="D19" s="47">
        <v>100</v>
      </c>
      <c r="E19" s="47" t="s">
        <v>53</v>
      </c>
      <c r="F19" s="47" t="s">
        <v>53</v>
      </c>
      <c r="G19" s="47">
        <v>1</v>
      </c>
      <c r="H19" s="47" t="s">
        <v>53</v>
      </c>
      <c r="I19" s="47">
        <v>1586</v>
      </c>
      <c r="J19" s="48">
        <f t="shared" si="3"/>
        <v>100</v>
      </c>
    </row>
    <row r="20" spans="1:10" ht="21" customHeight="1" x14ac:dyDescent="0.15">
      <c r="A20" s="107">
        <v>39014019</v>
      </c>
      <c r="B20" s="47">
        <v>1</v>
      </c>
      <c r="C20" s="47">
        <v>201</v>
      </c>
      <c r="D20" s="47">
        <v>100</v>
      </c>
      <c r="E20" s="47" t="s">
        <v>53</v>
      </c>
      <c r="F20" s="47" t="s">
        <v>53</v>
      </c>
      <c r="G20" s="47">
        <v>1</v>
      </c>
      <c r="H20" s="47" t="s">
        <v>53</v>
      </c>
      <c r="I20" s="47">
        <v>1579</v>
      </c>
      <c r="J20" s="48">
        <f t="shared" ref="J20" si="4">D20</f>
        <v>100</v>
      </c>
    </row>
    <row r="21" spans="1:10" ht="21" customHeight="1" x14ac:dyDescent="0.15">
      <c r="A21" s="107">
        <v>39014020</v>
      </c>
      <c r="B21" s="113">
        <v>1</v>
      </c>
      <c r="C21" s="47">
        <v>200</v>
      </c>
      <c r="D21" s="132">
        <v>100</v>
      </c>
      <c r="E21" s="132" t="s">
        <v>329</v>
      </c>
      <c r="F21" s="132" t="s">
        <v>329</v>
      </c>
      <c r="G21" s="47">
        <v>1</v>
      </c>
      <c r="H21" s="132" t="s">
        <v>329</v>
      </c>
      <c r="I21" s="132">
        <v>1580</v>
      </c>
      <c r="J21" s="48">
        <f t="shared" ref="J21:J31" si="5">D21</f>
        <v>100</v>
      </c>
    </row>
    <row r="22" spans="1:10" ht="21" customHeight="1" x14ac:dyDescent="0.15">
      <c r="A22" s="107">
        <v>39014021</v>
      </c>
      <c r="B22" s="47">
        <v>0</v>
      </c>
      <c r="C22" s="47">
        <v>100</v>
      </c>
      <c r="D22" s="47">
        <v>100</v>
      </c>
      <c r="E22" s="47" t="s">
        <v>53</v>
      </c>
      <c r="F22" s="47" t="s">
        <v>53</v>
      </c>
      <c r="G22" s="47" t="s">
        <v>53</v>
      </c>
      <c r="H22" s="47">
        <v>1</v>
      </c>
      <c r="I22" s="47" t="s">
        <v>53</v>
      </c>
      <c r="J22" s="48">
        <f t="shared" si="5"/>
        <v>100</v>
      </c>
    </row>
    <row r="23" spans="1:10" ht="21" customHeight="1" x14ac:dyDescent="0.15">
      <c r="A23" s="107">
        <v>39014022</v>
      </c>
      <c r="B23" s="47">
        <v>0</v>
      </c>
      <c r="C23" s="47">
        <v>110</v>
      </c>
      <c r="D23" s="47">
        <v>100</v>
      </c>
      <c r="E23" s="47" t="s">
        <v>53</v>
      </c>
      <c r="F23" s="47" t="s">
        <v>53</v>
      </c>
      <c r="G23" s="47" t="s">
        <v>53</v>
      </c>
      <c r="H23" s="47">
        <v>2</v>
      </c>
      <c r="I23" s="47" t="s">
        <v>53</v>
      </c>
      <c r="J23" s="48">
        <f t="shared" si="5"/>
        <v>100</v>
      </c>
    </row>
    <row r="24" spans="1:10" ht="21" customHeight="1" x14ac:dyDescent="0.15">
      <c r="A24" s="107">
        <v>39014023</v>
      </c>
      <c r="B24" s="47">
        <v>0</v>
      </c>
      <c r="C24" s="47">
        <v>120</v>
      </c>
      <c r="D24" s="47">
        <v>100</v>
      </c>
      <c r="E24" s="47" t="s">
        <v>53</v>
      </c>
      <c r="F24" s="47" t="s">
        <v>53</v>
      </c>
      <c r="G24" s="47" t="s">
        <v>53</v>
      </c>
      <c r="H24" s="47">
        <v>3</v>
      </c>
      <c r="I24" s="47" t="s">
        <v>53</v>
      </c>
      <c r="J24" s="48">
        <f t="shared" si="5"/>
        <v>100</v>
      </c>
    </row>
    <row r="25" spans="1:10" ht="21" customHeight="1" x14ac:dyDescent="0.15">
      <c r="A25" s="107">
        <v>39014024</v>
      </c>
      <c r="B25" s="47">
        <v>0</v>
      </c>
      <c r="C25" s="47">
        <v>120</v>
      </c>
      <c r="D25" s="47">
        <v>100</v>
      </c>
      <c r="E25" s="47" t="s">
        <v>53</v>
      </c>
      <c r="F25" s="47" t="s">
        <v>53</v>
      </c>
      <c r="G25" s="47" t="s">
        <v>53</v>
      </c>
      <c r="H25" s="47">
        <v>3</v>
      </c>
      <c r="I25" s="47" t="s">
        <v>53</v>
      </c>
      <c r="J25" s="48">
        <f t="shared" si="5"/>
        <v>100</v>
      </c>
    </row>
    <row r="26" spans="1:10" ht="21" customHeight="1" x14ac:dyDescent="0.15">
      <c r="A26" s="107">
        <v>39014025</v>
      </c>
      <c r="B26" s="47">
        <v>0</v>
      </c>
      <c r="C26" s="47">
        <v>120</v>
      </c>
      <c r="D26" s="47">
        <v>100</v>
      </c>
      <c r="E26" s="47" t="s">
        <v>53</v>
      </c>
      <c r="F26" s="47" t="s">
        <v>53</v>
      </c>
      <c r="G26" s="47" t="s">
        <v>53</v>
      </c>
      <c r="H26" s="47">
        <v>3</v>
      </c>
      <c r="I26" s="47" t="s">
        <v>53</v>
      </c>
      <c r="J26" s="48">
        <f t="shared" ref="J26" si="6">D26</f>
        <v>100</v>
      </c>
    </row>
    <row r="27" spans="1:10" ht="21" customHeight="1" x14ac:dyDescent="0.15">
      <c r="A27" s="107">
        <v>39014026</v>
      </c>
      <c r="B27" s="47">
        <v>0</v>
      </c>
      <c r="C27" s="47">
        <v>150</v>
      </c>
      <c r="D27" s="47">
        <v>100</v>
      </c>
      <c r="E27" s="47" t="s">
        <v>53</v>
      </c>
      <c r="F27" s="47" t="s">
        <v>53</v>
      </c>
      <c r="G27" s="47">
        <v>1</v>
      </c>
      <c r="H27" s="47">
        <v>4</v>
      </c>
      <c r="I27" s="47" t="s">
        <v>53</v>
      </c>
      <c r="J27" s="48">
        <f t="shared" si="5"/>
        <v>100</v>
      </c>
    </row>
    <row r="28" spans="1:10" ht="21" customHeight="1" x14ac:dyDescent="0.15">
      <c r="A28" s="107">
        <v>39014027</v>
      </c>
      <c r="B28" s="47">
        <v>0</v>
      </c>
      <c r="C28" s="47">
        <v>200</v>
      </c>
      <c r="D28" s="47">
        <v>100</v>
      </c>
      <c r="E28" s="47" t="s">
        <v>53</v>
      </c>
      <c r="F28" s="47" t="s">
        <v>53</v>
      </c>
      <c r="G28" s="47">
        <v>1</v>
      </c>
      <c r="H28" s="47">
        <v>5</v>
      </c>
      <c r="I28" s="47" t="s">
        <v>53</v>
      </c>
      <c r="J28" s="48">
        <f t="shared" si="5"/>
        <v>100</v>
      </c>
    </row>
    <row r="29" spans="1:10" ht="21" customHeight="1" x14ac:dyDescent="0.15">
      <c r="A29" s="107">
        <v>39014028</v>
      </c>
      <c r="B29" s="47">
        <v>0</v>
      </c>
      <c r="C29" s="47">
        <v>220</v>
      </c>
      <c r="D29" s="47">
        <v>100</v>
      </c>
      <c r="E29" s="47" t="s">
        <v>53</v>
      </c>
      <c r="F29" s="47" t="s">
        <v>53</v>
      </c>
      <c r="G29" s="47">
        <v>1</v>
      </c>
      <c r="H29" s="47">
        <v>9</v>
      </c>
      <c r="I29" s="47" t="s">
        <v>53</v>
      </c>
      <c r="J29" s="48">
        <f t="shared" si="5"/>
        <v>100</v>
      </c>
    </row>
    <row r="30" spans="1:10" ht="21" customHeight="1" x14ac:dyDescent="0.15">
      <c r="A30" s="107">
        <v>39014029</v>
      </c>
      <c r="B30" s="47">
        <v>0</v>
      </c>
      <c r="C30" s="47">
        <v>250</v>
      </c>
      <c r="D30" s="47">
        <v>100</v>
      </c>
      <c r="E30" s="47" t="s">
        <v>53</v>
      </c>
      <c r="F30" s="47" t="s">
        <v>53</v>
      </c>
      <c r="G30" s="47">
        <v>1</v>
      </c>
      <c r="H30" s="47">
        <v>10</v>
      </c>
      <c r="I30" s="47" t="s">
        <v>53</v>
      </c>
      <c r="J30" s="48">
        <f t="shared" si="5"/>
        <v>100</v>
      </c>
    </row>
    <row r="31" spans="1:10" ht="21" customHeight="1" x14ac:dyDescent="0.15">
      <c r="A31" s="107">
        <v>39014030</v>
      </c>
      <c r="B31" s="47">
        <v>0</v>
      </c>
      <c r="C31" s="47">
        <v>270</v>
      </c>
      <c r="D31" s="47">
        <v>100</v>
      </c>
      <c r="E31" s="47" t="s">
        <v>53</v>
      </c>
      <c r="F31" s="47" t="s">
        <v>53</v>
      </c>
      <c r="G31" s="47">
        <v>1</v>
      </c>
      <c r="H31" s="47">
        <v>14</v>
      </c>
      <c r="I31" s="47" t="s">
        <v>53</v>
      </c>
      <c r="J31" s="48">
        <f t="shared" si="5"/>
        <v>100</v>
      </c>
    </row>
    <row r="32" spans="1:10" ht="21" customHeight="1" x14ac:dyDescent="0.15">
      <c r="A32" s="107">
        <v>39014031</v>
      </c>
      <c r="B32" s="47">
        <v>0</v>
      </c>
      <c r="C32" s="47">
        <v>280</v>
      </c>
      <c r="D32" s="47">
        <v>100</v>
      </c>
      <c r="E32" s="47" t="s">
        <v>53</v>
      </c>
      <c r="F32" s="47" t="s">
        <v>53</v>
      </c>
      <c r="G32" s="47">
        <v>1</v>
      </c>
      <c r="H32" s="47">
        <v>15</v>
      </c>
      <c r="I32" s="47" t="s">
        <v>53</v>
      </c>
      <c r="J32" s="48">
        <f t="shared" ref="J32:J35" si="7">D32</f>
        <v>100</v>
      </c>
    </row>
    <row r="33" spans="1:10" ht="21" customHeight="1" x14ac:dyDescent="0.15">
      <c r="A33" s="107">
        <v>39014032</v>
      </c>
      <c r="B33" s="47">
        <v>0</v>
      </c>
      <c r="C33" s="47">
        <v>290</v>
      </c>
      <c r="D33" s="47">
        <v>100</v>
      </c>
      <c r="E33" s="47" t="s">
        <v>53</v>
      </c>
      <c r="F33" s="47" t="s">
        <v>53</v>
      </c>
      <c r="G33" s="47">
        <v>1</v>
      </c>
      <c r="H33" s="47">
        <v>19</v>
      </c>
      <c r="I33" s="47" t="s">
        <v>53</v>
      </c>
      <c r="J33" s="48">
        <f t="shared" si="7"/>
        <v>100</v>
      </c>
    </row>
    <row r="34" spans="1:10" ht="21" customHeight="1" x14ac:dyDescent="0.15">
      <c r="A34" s="107">
        <v>39014033</v>
      </c>
      <c r="B34" s="47">
        <v>0</v>
      </c>
      <c r="C34" s="47">
        <v>300</v>
      </c>
      <c r="D34" s="47">
        <v>100</v>
      </c>
      <c r="E34" s="47" t="s">
        <v>53</v>
      </c>
      <c r="F34" s="47" t="s">
        <v>53</v>
      </c>
      <c r="G34" s="47">
        <v>1</v>
      </c>
      <c r="H34" s="47">
        <v>20</v>
      </c>
      <c r="I34" s="47" t="s">
        <v>53</v>
      </c>
      <c r="J34" s="48">
        <f t="shared" ref="J34" si="8">D34</f>
        <v>100</v>
      </c>
    </row>
    <row r="35" spans="1:10" ht="21" customHeight="1" x14ac:dyDescent="0.15">
      <c r="A35" s="109">
        <v>39014034</v>
      </c>
      <c r="B35" s="47">
        <v>1</v>
      </c>
      <c r="C35" s="47" t="s">
        <v>53</v>
      </c>
      <c r="D35" s="47">
        <v>100</v>
      </c>
      <c r="E35" s="47" t="s">
        <v>53</v>
      </c>
      <c r="F35" s="47" t="s">
        <v>53</v>
      </c>
      <c r="G35" s="47">
        <v>1</v>
      </c>
      <c r="H35" s="47" t="s">
        <v>53</v>
      </c>
      <c r="I35" s="47">
        <v>0</v>
      </c>
      <c r="J35" s="48">
        <f t="shared" si="7"/>
        <v>100</v>
      </c>
    </row>
    <row r="36" spans="1:10" ht="21" customHeight="1" x14ac:dyDescent="0.15">
      <c r="A36" s="109">
        <v>39014035</v>
      </c>
      <c r="B36" s="47">
        <v>1</v>
      </c>
      <c r="C36" s="47">
        <v>503</v>
      </c>
      <c r="D36" s="47">
        <v>100</v>
      </c>
      <c r="E36" s="47" t="s">
        <v>53</v>
      </c>
      <c r="F36" s="47" t="s">
        <v>53</v>
      </c>
      <c r="G36" s="47">
        <v>1</v>
      </c>
      <c r="H36" s="47" t="s">
        <v>53</v>
      </c>
      <c r="I36" s="47">
        <v>1551</v>
      </c>
      <c r="J36" s="48">
        <f t="shared" ref="J36:J48" si="9">D36</f>
        <v>100</v>
      </c>
    </row>
    <row r="37" spans="1:10" ht="21" customHeight="1" x14ac:dyDescent="0.15">
      <c r="A37" s="109">
        <v>39014036</v>
      </c>
      <c r="B37" s="47">
        <v>1</v>
      </c>
      <c r="C37" s="47">
        <v>502</v>
      </c>
      <c r="D37" s="47">
        <v>100</v>
      </c>
      <c r="E37" s="47" t="s">
        <v>53</v>
      </c>
      <c r="F37" s="47" t="s">
        <v>53</v>
      </c>
      <c r="G37" s="47">
        <v>1</v>
      </c>
      <c r="H37" s="47" t="s">
        <v>53</v>
      </c>
      <c r="I37" s="47">
        <v>1552</v>
      </c>
      <c r="J37" s="48">
        <f t="shared" si="9"/>
        <v>100</v>
      </c>
    </row>
    <row r="38" spans="1:10" ht="21" customHeight="1" x14ac:dyDescent="0.15">
      <c r="A38" s="109">
        <v>39014037</v>
      </c>
      <c r="B38" s="47">
        <v>1</v>
      </c>
      <c r="C38" s="47">
        <v>501</v>
      </c>
      <c r="D38" s="47">
        <v>100</v>
      </c>
      <c r="E38" s="47" t="s">
        <v>53</v>
      </c>
      <c r="F38" s="47" t="s">
        <v>53</v>
      </c>
      <c r="G38" s="47">
        <v>1</v>
      </c>
      <c r="H38" s="47" t="s">
        <v>53</v>
      </c>
      <c r="I38" s="47">
        <v>1566</v>
      </c>
      <c r="J38" s="48">
        <f t="shared" si="9"/>
        <v>100</v>
      </c>
    </row>
    <row r="39" spans="1:10" ht="21" customHeight="1" x14ac:dyDescent="0.15">
      <c r="A39" s="109">
        <v>39014038</v>
      </c>
      <c r="B39" s="47">
        <v>1</v>
      </c>
      <c r="C39" s="47">
        <v>500</v>
      </c>
      <c r="D39" s="47">
        <v>100</v>
      </c>
      <c r="E39" s="47" t="s">
        <v>53</v>
      </c>
      <c r="F39" s="47" t="s">
        <v>53</v>
      </c>
      <c r="G39" s="47">
        <v>1</v>
      </c>
      <c r="H39" s="47" t="s">
        <v>53</v>
      </c>
      <c r="I39" s="47">
        <v>1567</v>
      </c>
      <c r="J39" s="48">
        <f t="shared" si="9"/>
        <v>100</v>
      </c>
    </row>
    <row r="40" spans="1:10" ht="21" customHeight="1" x14ac:dyDescent="0.15">
      <c r="A40" s="109">
        <v>39014039</v>
      </c>
      <c r="B40" s="47">
        <v>1</v>
      </c>
      <c r="C40" s="47">
        <v>403</v>
      </c>
      <c r="D40" s="47">
        <v>100</v>
      </c>
      <c r="E40" s="47" t="s">
        <v>53</v>
      </c>
      <c r="F40" s="47" t="s">
        <v>53</v>
      </c>
      <c r="G40" s="47">
        <v>1</v>
      </c>
      <c r="H40" s="47" t="s">
        <v>53</v>
      </c>
      <c r="I40" s="47">
        <v>1561</v>
      </c>
      <c r="J40" s="48">
        <f t="shared" si="9"/>
        <v>100</v>
      </c>
    </row>
    <row r="41" spans="1:10" ht="21" customHeight="1" x14ac:dyDescent="0.15">
      <c r="A41" s="109">
        <v>39014040</v>
      </c>
      <c r="B41" s="47">
        <v>1</v>
      </c>
      <c r="C41" s="47">
        <v>402</v>
      </c>
      <c r="D41" s="47">
        <v>100</v>
      </c>
      <c r="E41" s="47" t="s">
        <v>53</v>
      </c>
      <c r="F41" s="47" t="s">
        <v>53</v>
      </c>
      <c r="G41" s="47">
        <v>1</v>
      </c>
      <c r="H41" s="47" t="s">
        <v>53</v>
      </c>
      <c r="I41" s="47">
        <v>1562</v>
      </c>
      <c r="J41" s="48">
        <f t="shared" si="9"/>
        <v>100</v>
      </c>
    </row>
    <row r="42" spans="1:10" ht="21" customHeight="1" x14ac:dyDescent="0.15">
      <c r="A42" s="109">
        <v>39014041</v>
      </c>
      <c r="B42" s="47">
        <v>1</v>
      </c>
      <c r="C42" s="47">
        <v>401</v>
      </c>
      <c r="D42" s="47">
        <v>100</v>
      </c>
      <c r="E42" s="47" t="s">
        <v>53</v>
      </c>
      <c r="F42" s="47" t="s">
        <v>53</v>
      </c>
      <c r="G42" s="47">
        <v>1</v>
      </c>
      <c r="H42" s="47" t="s">
        <v>53</v>
      </c>
      <c r="I42" s="47">
        <v>1553</v>
      </c>
      <c r="J42" s="48">
        <f t="shared" si="9"/>
        <v>100</v>
      </c>
    </row>
    <row r="43" spans="1:10" ht="21" customHeight="1" x14ac:dyDescent="0.15">
      <c r="A43" s="109">
        <v>39014042</v>
      </c>
      <c r="B43" s="47">
        <v>1</v>
      </c>
      <c r="C43" s="47">
        <v>400</v>
      </c>
      <c r="D43" s="47">
        <v>100</v>
      </c>
      <c r="E43" s="47" t="s">
        <v>53</v>
      </c>
      <c r="F43" s="47" t="s">
        <v>53</v>
      </c>
      <c r="G43" s="47">
        <v>1</v>
      </c>
      <c r="H43" s="47" t="s">
        <v>53</v>
      </c>
      <c r="I43" s="47">
        <v>1554</v>
      </c>
      <c r="J43" s="48">
        <f t="shared" si="9"/>
        <v>100</v>
      </c>
    </row>
    <row r="44" spans="1:10" ht="21" customHeight="1" x14ac:dyDescent="0.15">
      <c r="A44" s="109">
        <v>39014043</v>
      </c>
      <c r="B44" s="47">
        <v>1</v>
      </c>
      <c r="C44" s="47">
        <v>302</v>
      </c>
      <c r="D44" s="47">
        <v>100</v>
      </c>
      <c r="E44" s="47" t="s">
        <v>53</v>
      </c>
      <c r="F44" s="47" t="s">
        <v>53</v>
      </c>
      <c r="G44" s="47">
        <v>1</v>
      </c>
      <c r="H44" s="47" t="s">
        <v>53</v>
      </c>
      <c r="I44" s="47">
        <v>1584</v>
      </c>
      <c r="J44" s="48">
        <f t="shared" si="9"/>
        <v>100</v>
      </c>
    </row>
    <row r="45" spans="1:10" ht="21" customHeight="1" x14ac:dyDescent="0.15">
      <c r="A45" s="109">
        <v>39014044</v>
      </c>
      <c r="B45" s="47">
        <v>1</v>
      </c>
      <c r="C45" s="47">
        <v>301</v>
      </c>
      <c r="D45" s="47">
        <v>100</v>
      </c>
      <c r="E45" s="47" t="s">
        <v>53</v>
      </c>
      <c r="F45" s="47" t="s">
        <v>53</v>
      </c>
      <c r="G45" s="47">
        <v>1</v>
      </c>
      <c r="H45" s="47" t="s">
        <v>53</v>
      </c>
      <c r="I45" s="47">
        <v>1585</v>
      </c>
      <c r="J45" s="48">
        <f t="shared" si="9"/>
        <v>100</v>
      </c>
    </row>
    <row r="46" spans="1:10" ht="21" customHeight="1" x14ac:dyDescent="0.15">
      <c r="A46" s="109">
        <v>39014045</v>
      </c>
      <c r="B46" s="47">
        <v>1</v>
      </c>
      <c r="C46" s="47">
        <v>300</v>
      </c>
      <c r="D46" s="47">
        <v>100</v>
      </c>
      <c r="E46" s="47" t="s">
        <v>53</v>
      </c>
      <c r="F46" s="47" t="s">
        <v>53</v>
      </c>
      <c r="G46" s="47">
        <v>1</v>
      </c>
      <c r="H46" s="47" t="s">
        <v>53</v>
      </c>
      <c r="I46" s="47">
        <v>1586</v>
      </c>
      <c r="J46" s="48">
        <f t="shared" si="9"/>
        <v>100</v>
      </c>
    </row>
    <row r="47" spans="1:10" ht="21" customHeight="1" x14ac:dyDescent="0.15">
      <c r="A47" s="109">
        <v>39014046</v>
      </c>
      <c r="B47" s="47">
        <v>1</v>
      </c>
      <c r="C47" s="47">
        <v>201</v>
      </c>
      <c r="D47" s="47">
        <v>100</v>
      </c>
      <c r="E47" s="47" t="s">
        <v>53</v>
      </c>
      <c r="F47" s="47" t="s">
        <v>53</v>
      </c>
      <c r="G47" s="47">
        <v>1</v>
      </c>
      <c r="H47" s="47" t="s">
        <v>53</v>
      </c>
      <c r="I47" s="47">
        <v>1579</v>
      </c>
      <c r="J47" s="48">
        <f t="shared" si="9"/>
        <v>100</v>
      </c>
    </row>
    <row r="48" spans="1:10" ht="21" customHeight="1" x14ac:dyDescent="0.15">
      <c r="A48" s="109">
        <v>39014047</v>
      </c>
      <c r="B48" s="47">
        <v>1</v>
      </c>
      <c r="C48" s="47">
        <v>200</v>
      </c>
      <c r="D48" s="47">
        <v>100</v>
      </c>
      <c r="E48" s="47" t="s">
        <v>53</v>
      </c>
      <c r="F48" s="47" t="s">
        <v>53</v>
      </c>
      <c r="G48" s="47">
        <v>1</v>
      </c>
      <c r="H48" s="47" t="s">
        <v>53</v>
      </c>
      <c r="I48" s="132">
        <v>1580</v>
      </c>
      <c r="J48" s="48">
        <f t="shared" si="9"/>
        <v>100</v>
      </c>
    </row>
    <row r="49" spans="1:10" ht="21" customHeight="1" x14ac:dyDescent="0.15">
      <c r="A49" s="109">
        <v>39014048</v>
      </c>
      <c r="B49" s="47">
        <v>0</v>
      </c>
      <c r="C49" s="47">
        <v>120</v>
      </c>
      <c r="D49" s="47">
        <v>100</v>
      </c>
      <c r="E49" s="47" t="s">
        <v>53</v>
      </c>
      <c r="F49" s="47" t="s">
        <v>53</v>
      </c>
      <c r="G49" s="47" t="s">
        <v>53</v>
      </c>
      <c r="H49" s="47">
        <v>1</v>
      </c>
      <c r="I49" s="47" t="s">
        <v>53</v>
      </c>
      <c r="J49" s="48">
        <f t="shared" ref="J49" si="10">D49</f>
        <v>100</v>
      </c>
    </row>
    <row r="50" spans="1:10" ht="21" customHeight="1" x14ac:dyDescent="0.15">
      <c r="A50" s="109">
        <v>39014049</v>
      </c>
      <c r="B50" s="47">
        <v>0</v>
      </c>
      <c r="C50" s="47">
        <v>120</v>
      </c>
      <c r="D50" s="47">
        <v>100</v>
      </c>
      <c r="E50" s="47" t="s">
        <v>53</v>
      </c>
      <c r="F50" s="47" t="s">
        <v>53</v>
      </c>
      <c r="G50" s="47" t="s">
        <v>53</v>
      </c>
      <c r="H50" s="47">
        <v>1</v>
      </c>
      <c r="I50" s="47" t="s">
        <v>53</v>
      </c>
      <c r="J50" s="48">
        <f t="shared" ref="J50:J52" si="11">D50</f>
        <v>100</v>
      </c>
    </row>
    <row r="51" spans="1:10" ht="21" customHeight="1" x14ac:dyDescent="0.15">
      <c r="A51" s="109">
        <v>39014050</v>
      </c>
      <c r="B51" s="47">
        <v>0</v>
      </c>
      <c r="C51" s="47">
        <v>120</v>
      </c>
      <c r="D51" s="47">
        <v>100</v>
      </c>
      <c r="E51" s="47" t="s">
        <v>53</v>
      </c>
      <c r="F51" s="47" t="s">
        <v>53</v>
      </c>
      <c r="G51" s="47" t="s">
        <v>53</v>
      </c>
      <c r="H51" s="47">
        <v>1</v>
      </c>
      <c r="I51" s="47" t="s">
        <v>53</v>
      </c>
      <c r="J51" s="48">
        <f t="shared" si="11"/>
        <v>100</v>
      </c>
    </row>
    <row r="52" spans="1:10" ht="21" customHeight="1" x14ac:dyDescent="0.15">
      <c r="A52" s="109">
        <v>39014051</v>
      </c>
      <c r="B52" s="47">
        <v>0</v>
      </c>
      <c r="C52" s="47">
        <v>150</v>
      </c>
      <c r="D52" s="47">
        <v>100</v>
      </c>
      <c r="E52" s="47" t="s">
        <v>53</v>
      </c>
      <c r="F52" s="47" t="s">
        <v>53</v>
      </c>
      <c r="G52" s="47" t="s">
        <v>53</v>
      </c>
      <c r="H52" s="47">
        <v>2</v>
      </c>
      <c r="I52" s="47" t="s">
        <v>53</v>
      </c>
      <c r="J52" s="48">
        <f t="shared" si="11"/>
        <v>100</v>
      </c>
    </row>
    <row r="53" spans="1:10" ht="21" customHeight="1" x14ac:dyDescent="0.15">
      <c r="A53" s="109">
        <v>39014052</v>
      </c>
      <c r="B53" s="47">
        <v>0</v>
      </c>
      <c r="C53" s="47">
        <v>200</v>
      </c>
      <c r="D53" s="47">
        <v>100</v>
      </c>
      <c r="E53" s="47" t="s">
        <v>53</v>
      </c>
      <c r="F53" s="47" t="s">
        <v>53</v>
      </c>
      <c r="G53" s="47" t="s">
        <v>53</v>
      </c>
      <c r="H53" s="47">
        <v>3</v>
      </c>
      <c r="I53" s="47" t="s">
        <v>53</v>
      </c>
      <c r="J53" s="48">
        <f t="shared" ref="J53:J94" si="12">D53</f>
        <v>100</v>
      </c>
    </row>
    <row r="54" spans="1:10" ht="21" customHeight="1" x14ac:dyDescent="0.15">
      <c r="A54" s="110">
        <v>39014053</v>
      </c>
      <c r="B54" s="47">
        <v>1</v>
      </c>
      <c r="C54" s="47" t="s">
        <v>53</v>
      </c>
      <c r="D54" s="47">
        <v>100</v>
      </c>
      <c r="E54" s="47" t="s">
        <v>53</v>
      </c>
      <c r="F54" s="47" t="s">
        <v>53</v>
      </c>
      <c r="G54" s="47">
        <v>1</v>
      </c>
      <c r="H54" s="47" t="s">
        <v>53</v>
      </c>
      <c r="I54" s="47">
        <v>0</v>
      </c>
      <c r="J54" s="48">
        <f t="shared" si="12"/>
        <v>100</v>
      </c>
    </row>
    <row r="55" spans="1:10" ht="21" customHeight="1" x14ac:dyDescent="0.15">
      <c r="A55" s="110">
        <v>39014054</v>
      </c>
      <c r="B55" s="47">
        <v>1</v>
      </c>
      <c r="C55" s="47">
        <v>503</v>
      </c>
      <c r="D55" s="47">
        <v>100</v>
      </c>
      <c r="E55" s="47" t="s">
        <v>53</v>
      </c>
      <c r="F55" s="47" t="s">
        <v>53</v>
      </c>
      <c r="G55" s="47">
        <v>1</v>
      </c>
      <c r="H55" s="47" t="s">
        <v>53</v>
      </c>
      <c r="I55" s="47">
        <v>1551</v>
      </c>
      <c r="J55" s="48">
        <f t="shared" si="12"/>
        <v>100</v>
      </c>
    </row>
    <row r="56" spans="1:10" ht="21" customHeight="1" x14ac:dyDescent="0.15">
      <c r="A56" s="110">
        <v>39014055</v>
      </c>
      <c r="B56" s="47">
        <v>1</v>
      </c>
      <c r="C56" s="47">
        <v>502</v>
      </c>
      <c r="D56" s="47">
        <v>100</v>
      </c>
      <c r="E56" s="47" t="s">
        <v>53</v>
      </c>
      <c r="F56" s="47" t="s">
        <v>53</v>
      </c>
      <c r="G56" s="47">
        <v>1</v>
      </c>
      <c r="H56" s="47" t="s">
        <v>53</v>
      </c>
      <c r="I56" s="47">
        <v>1552</v>
      </c>
      <c r="J56" s="48">
        <f t="shared" si="12"/>
        <v>100</v>
      </c>
    </row>
    <row r="57" spans="1:10" ht="21" customHeight="1" x14ac:dyDescent="0.15">
      <c r="A57" s="110">
        <v>39014056</v>
      </c>
      <c r="B57" s="47">
        <v>1</v>
      </c>
      <c r="C57" s="47">
        <v>501</v>
      </c>
      <c r="D57" s="47">
        <v>100</v>
      </c>
      <c r="E57" s="47" t="s">
        <v>53</v>
      </c>
      <c r="F57" s="47" t="s">
        <v>53</v>
      </c>
      <c r="G57" s="47">
        <v>1</v>
      </c>
      <c r="H57" s="47" t="s">
        <v>53</v>
      </c>
      <c r="I57" s="47">
        <v>1566</v>
      </c>
      <c r="J57" s="48">
        <f t="shared" si="12"/>
        <v>100</v>
      </c>
    </row>
    <row r="58" spans="1:10" ht="21" customHeight="1" x14ac:dyDescent="0.15">
      <c r="A58" s="110">
        <v>39014057</v>
      </c>
      <c r="B58" s="47">
        <v>1</v>
      </c>
      <c r="C58" s="47">
        <v>500</v>
      </c>
      <c r="D58" s="47">
        <v>100</v>
      </c>
      <c r="E58" s="47" t="s">
        <v>53</v>
      </c>
      <c r="F58" s="47" t="s">
        <v>53</v>
      </c>
      <c r="G58" s="47">
        <v>1</v>
      </c>
      <c r="H58" s="47" t="s">
        <v>53</v>
      </c>
      <c r="I58" s="47">
        <v>1567</v>
      </c>
      <c r="J58" s="48">
        <f t="shared" si="12"/>
        <v>100</v>
      </c>
    </row>
    <row r="59" spans="1:10" ht="21" customHeight="1" x14ac:dyDescent="0.15">
      <c r="A59" s="110">
        <v>39014058</v>
      </c>
      <c r="B59" s="47">
        <v>1</v>
      </c>
      <c r="C59" s="47">
        <v>403</v>
      </c>
      <c r="D59" s="47">
        <v>100</v>
      </c>
      <c r="E59" s="47" t="s">
        <v>53</v>
      </c>
      <c r="F59" s="47" t="s">
        <v>53</v>
      </c>
      <c r="G59" s="47">
        <v>1</v>
      </c>
      <c r="H59" s="47" t="s">
        <v>53</v>
      </c>
      <c r="I59" s="47">
        <v>1561</v>
      </c>
      <c r="J59" s="48">
        <f t="shared" si="12"/>
        <v>100</v>
      </c>
    </row>
    <row r="60" spans="1:10" ht="21" customHeight="1" x14ac:dyDescent="0.15">
      <c r="A60" s="110">
        <v>39014059</v>
      </c>
      <c r="B60" s="47">
        <v>1</v>
      </c>
      <c r="C60" s="47">
        <v>402</v>
      </c>
      <c r="D60" s="47">
        <v>100</v>
      </c>
      <c r="E60" s="47" t="s">
        <v>53</v>
      </c>
      <c r="F60" s="47" t="s">
        <v>53</v>
      </c>
      <c r="G60" s="47">
        <v>1</v>
      </c>
      <c r="H60" s="47" t="s">
        <v>53</v>
      </c>
      <c r="I60" s="47">
        <v>1562</v>
      </c>
      <c r="J60" s="48">
        <f t="shared" si="12"/>
        <v>100</v>
      </c>
    </row>
    <row r="61" spans="1:10" ht="21" customHeight="1" x14ac:dyDescent="0.15">
      <c r="A61" s="110">
        <v>39014060</v>
      </c>
      <c r="B61" s="47">
        <v>1</v>
      </c>
      <c r="C61" s="47">
        <v>401</v>
      </c>
      <c r="D61" s="47">
        <v>100</v>
      </c>
      <c r="E61" s="47" t="s">
        <v>53</v>
      </c>
      <c r="F61" s="47" t="s">
        <v>53</v>
      </c>
      <c r="G61" s="47">
        <v>1</v>
      </c>
      <c r="H61" s="47" t="s">
        <v>53</v>
      </c>
      <c r="I61" s="47">
        <v>1553</v>
      </c>
      <c r="J61" s="48">
        <f t="shared" si="12"/>
        <v>100</v>
      </c>
    </row>
    <row r="62" spans="1:10" ht="21" customHeight="1" x14ac:dyDescent="0.15">
      <c r="A62" s="110">
        <v>39014061</v>
      </c>
      <c r="B62" s="47">
        <v>1</v>
      </c>
      <c r="C62" s="47">
        <v>400</v>
      </c>
      <c r="D62" s="47">
        <v>100</v>
      </c>
      <c r="E62" s="47" t="s">
        <v>53</v>
      </c>
      <c r="F62" s="47" t="s">
        <v>53</v>
      </c>
      <c r="G62" s="47">
        <v>1</v>
      </c>
      <c r="H62" s="47" t="s">
        <v>53</v>
      </c>
      <c r="I62" s="47">
        <v>1554</v>
      </c>
      <c r="J62" s="48">
        <f t="shared" si="12"/>
        <v>100</v>
      </c>
    </row>
    <row r="63" spans="1:10" ht="21" customHeight="1" x14ac:dyDescent="0.15">
      <c r="A63" s="110">
        <v>39014062</v>
      </c>
      <c r="B63" s="47">
        <v>1</v>
      </c>
      <c r="C63" s="47">
        <v>302</v>
      </c>
      <c r="D63" s="47">
        <v>100</v>
      </c>
      <c r="E63" s="47" t="s">
        <v>53</v>
      </c>
      <c r="F63" s="47" t="s">
        <v>53</v>
      </c>
      <c r="G63" s="47">
        <v>1</v>
      </c>
      <c r="H63" s="47" t="s">
        <v>53</v>
      </c>
      <c r="I63" s="47">
        <v>1584</v>
      </c>
      <c r="J63" s="48">
        <f t="shared" si="12"/>
        <v>100</v>
      </c>
    </row>
    <row r="64" spans="1:10" ht="21" customHeight="1" x14ac:dyDescent="0.15">
      <c r="A64" s="110">
        <v>39014063</v>
      </c>
      <c r="B64" s="47">
        <v>1</v>
      </c>
      <c r="C64" s="47">
        <v>301</v>
      </c>
      <c r="D64" s="47">
        <v>100</v>
      </c>
      <c r="E64" s="47" t="s">
        <v>53</v>
      </c>
      <c r="F64" s="47" t="s">
        <v>53</v>
      </c>
      <c r="G64" s="47">
        <v>1</v>
      </c>
      <c r="H64" s="47" t="s">
        <v>53</v>
      </c>
      <c r="I64" s="47">
        <v>1585</v>
      </c>
      <c r="J64" s="48">
        <f t="shared" si="12"/>
        <v>100</v>
      </c>
    </row>
    <row r="65" spans="1:10" ht="21" customHeight="1" x14ac:dyDescent="0.15">
      <c r="A65" s="110">
        <v>39014064</v>
      </c>
      <c r="B65" s="47">
        <v>1</v>
      </c>
      <c r="C65" s="47">
        <v>300</v>
      </c>
      <c r="D65" s="47">
        <v>100</v>
      </c>
      <c r="E65" s="47" t="s">
        <v>53</v>
      </c>
      <c r="F65" s="47" t="s">
        <v>53</v>
      </c>
      <c r="G65" s="47">
        <v>1</v>
      </c>
      <c r="H65" s="47" t="s">
        <v>53</v>
      </c>
      <c r="I65" s="47">
        <v>1586</v>
      </c>
      <c r="J65" s="48">
        <f t="shared" si="12"/>
        <v>100</v>
      </c>
    </row>
    <row r="66" spans="1:10" ht="21" customHeight="1" x14ac:dyDescent="0.15">
      <c r="A66" s="110">
        <v>39014065</v>
      </c>
      <c r="B66" s="47">
        <v>1</v>
      </c>
      <c r="C66" s="47">
        <v>201</v>
      </c>
      <c r="D66" s="47">
        <v>100</v>
      </c>
      <c r="E66" s="47" t="s">
        <v>53</v>
      </c>
      <c r="F66" s="47" t="s">
        <v>53</v>
      </c>
      <c r="G66" s="47">
        <v>1</v>
      </c>
      <c r="H66" s="47" t="s">
        <v>53</v>
      </c>
      <c r="I66" s="47">
        <v>1579</v>
      </c>
      <c r="J66" s="48">
        <f t="shared" si="12"/>
        <v>100</v>
      </c>
    </row>
    <row r="67" spans="1:10" ht="21" customHeight="1" x14ac:dyDescent="0.15">
      <c r="A67" s="110">
        <v>39014066</v>
      </c>
      <c r="B67" s="47">
        <v>1</v>
      </c>
      <c r="C67" s="47">
        <v>200</v>
      </c>
      <c r="D67" s="47">
        <v>100</v>
      </c>
      <c r="E67" s="47" t="s">
        <v>53</v>
      </c>
      <c r="F67" s="47" t="s">
        <v>53</v>
      </c>
      <c r="G67" s="47">
        <v>1</v>
      </c>
      <c r="H67" s="47" t="s">
        <v>53</v>
      </c>
      <c r="I67" s="132">
        <v>1580</v>
      </c>
      <c r="J67" s="48">
        <f t="shared" si="12"/>
        <v>100</v>
      </c>
    </row>
    <row r="68" spans="1:10" ht="21" customHeight="1" x14ac:dyDescent="0.15">
      <c r="A68" s="110">
        <v>39014067</v>
      </c>
      <c r="B68" s="47">
        <v>0</v>
      </c>
      <c r="C68" s="47">
        <v>100</v>
      </c>
      <c r="D68" s="47">
        <v>100</v>
      </c>
      <c r="E68" s="47" t="s">
        <v>53</v>
      </c>
      <c r="F68" s="47" t="s">
        <v>53</v>
      </c>
      <c r="G68" s="47" t="s">
        <v>53</v>
      </c>
      <c r="H68" s="47">
        <v>1</v>
      </c>
      <c r="I68" s="47" t="s">
        <v>53</v>
      </c>
      <c r="J68" s="48">
        <f t="shared" si="12"/>
        <v>100</v>
      </c>
    </row>
    <row r="69" spans="1:10" ht="21" customHeight="1" x14ac:dyDescent="0.15">
      <c r="A69" s="110">
        <v>39014068</v>
      </c>
      <c r="B69" s="47">
        <v>0</v>
      </c>
      <c r="C69" s="47">
        <v>110</v>
      </c>
      <c r="D69" s="47">
        <v>100</v>
      </c>
      <c r="E69" s="47" t="s">
        <v>53</v>
      </c>
      <c r="F69" s="47" t="s">
        <v>53</v>
      </c>
      <c r="G69" s="47" t="s">
        <v>53</v>
      </c>
      <c r="H69" s="47">
        <v>2</v>
      </c>
      <c r="I69" s="47" t="s">
        <v>53</v>
      </c>
      <c r="J69" s="48">
        <f t="shared" si="12"/>
        <v>100</v>
      </c>
    </row>
    <row r="70" spans="1:10" ht="21" customHeight="1" x14ac:dyDescent="0.15">
      <c r="A70" s="110">
        <v>39014069</v>
      </c>
      <c r="B70" s="47">
        <v>0</v>
      </c>
      <c r="C70" s="47">
        <v>120</v>
      </c>
      <c r="D70" s="47">
        <v>100</v>
      </c>
      <c r="E70" s="47" t="s">
        <v>53</v>
      </c>
      <c r="F70" s="47" t="s">
        <v>53</v>
      </c>
      <c r="G70" s="47" t="s">
        <v>53</v>
      </c>
      <c r="H70" s="47">
        <v>3</v>
      </c>
      <c r="I70" s="47" t="s">
        <v>53</v>
      </c>
      <c r="J70" s="48">
        <f t="shared" si="12"/>
        <v>100</v>
      </c>
    </row>
    <row r="71" spans="1:10" ht="21" customHeight="1" x14ac:dyDescent="0.15">
      <c r="A71" s="110">
        <v>39014070</v>
      </c>
      <c r="B71" s="47">
        <v>0</v>
      </c>
      <c r="C71" s="47">
        <v>120</v>
      </c>
      <c r="D71" s="47">
        <v>100</v>
      </c>
      <c r="E71" s="47" t="s">
        <v>53</v>
      </c>
      <c r="F71" s="47" t="s">
        <v>53</v>
      </c>
      <c r="G71" s="47" t="s">
        <v>53</v>
      </c>
      <c r="H71" s="47">
        <v>3</v>
      </c>
      <c r="I71" s="47" t="s">
        <v>53</v>
      </c>
      <c r="J71" s="48">
        <f t="shared" si="12"/>
        <v>100</v>
      </c>
    </row>
    <row r="72" spans="1:10" ht="21" customHeight="1" x14ac:dyDescent="0.15">
      <c r="A72" s="110">
        <v>39014071</v>
      </c>
      <c r="B72" s="47">
        <v>0</v>
      </c>
      <c r="C72" s="47">
        <v>120</v>
      </c>
      <c r="D72" s="47">
        <v>100</v>
      </c>
      <c r="E72" s="47" t="s">
        <v>53</v>
      </c>
      <c r="F72" s="47" t="s">
        <v>53</v>
      </c>
      <c r="G72" s="47" t="s">
        <v>53</v>
      </c>
      <c r="H72" s="47">
        <v>3</v>
      </c>
      <c r="I72" s="47" t="s">
        <v>53</v>
      </c>
      <c r="J72" s="48">
        <f t="shared" si="12"/>
        <v>100</v>
      </c>
    </row>
    <row r="73" spans="1:10" ht="21" customHeight="1" x14ac:dyDescent="0.15">
      <c r="A73" s="110">
        <v>39014072</v>
      </c>
      <c r="B73" s="47">
        <v>0</v>
      </c>
      <c r="C73" s="47">
        <v>150</v>
      </c>
      <c r="D73" s="47">
        <v>100</v>
      </c>
      <c r="E73" s="47" t="s">
        <v>53</v>
      </c>
      <c r="F73" s="47" t="s">
        <v>53</v>
      </c>
      <c r="G73" s="47">
        <v>1</v>
      </c>
      <c r="H73" s="47">
        <v>4</v>
      </c>
      <c r="I73" s="47" t="s">
        <v>53</v>
      </c>
      <c r="J73" s="48">
        <f t="shared" si="12"/>
        <v>100</v>
      </c>
    </row>
    <row r="74" spans="1:10" ht="21" customHeight="1" x14ac:dyDescent="0.15">
      <c r="A74" s="110">
        <v>39014073</v>
      </c>
      <c r="B74" s="47">
        <v>0</v>
      </c>
      <c r="C74" s="47">
        <v>200</v>
      </c>
      <c r="D74" s="47">
        <v>100</v>
      </c>
      <c r="E74" s="47" t="s">
        <v>53</v>
      </c>
      <c r="F74" s="47" t="s">
        <v>53</v>
      </c>
      <c r="G74" s="47">
        <v>1</v>
      </c>
      <c r="H74" s="47">
        <v>5</v>
      </c>
      <c r="I74" s="47" t="s">
        <v>53</v>
      </c>
      <c r="J74" s="48">
        <f t="shared" si="12"/>
        <v>100</v>
      </c>
    </row>
    <row r="75" spans="1:10" ht="21" customHeight="1" x14ac:dyDescent="0.15">
      <c r="A75" s="110">
        <v>39014074</v>
      </c>
      <c r="B75" s="47">
        <v>0</v>
      </c>
      <c r="C75" s="47">
        <v>210</v>
      </c>
      <c r="D75" s="47">
        <v>100</v>
      </c>
      <c r="E75" s="47" t="s">
        <v>53</v>
      </c>
      <c r="F75" s="47" t="s">
        <v>53</v>
      </c>
      <c r="G75" s="47">
        <v>1</v>
      </c>
      <c r="H75" s="47">
        <v>9</v>
      </c>
      <c r="I75" s="47" t="s">
        <v>53</v>
      </c>
      <c r="J75" s="48">
        <f t="shared" si="12"/>
        <v>100</v>
      </c>
    </row>
    <row r="76" spans="1:10" ht="21" customHeight="1" x14ac:dyDescent="0.15">
      <c r="A76" s="110">
        <v>39014075</v>
      </c>
      <c r="B76" s="47">
        <v>0</v>
      </c>
      <c r="C76" s="47">
        <v>220</v>
      </c>
      <c r="D76" s="47">
        <v>100</v>
      </c>
      <c r="E76" s="47" t="s">
        <v>53</v>
      </c>
      <c r="F76" s="47" t="s">
        <v>53</v>
      </c>
      <c r="G76" s="47">
        <v>1</v>
      </c>
      <c r="H76" s="47">
        <v>10</v>
      </c>
      <c r="I76" s="47" t="s">
        <v>53</v>
      </c>
      <c r="J76" s="48">
        <f t="shared" si="12"/>
        <v>100</v>
      </c>
    </row>
    <row r="77" spans="1:10" ht="21" customHeight="1" x14ac:dyDescent="0.15">
      <c r="A77" s="110">
        <v>39014076</v>
      </c>
      <c r="B77" s="47">
        <v>0</v>
      </c>
      <c r="C77" s="47">
        <v>230</v>
      </c>
      <c r="D77" s="47">
        <v>100</v>
      </c>
      <c r="E77" s="47" t="s">
        <v>53</v>
      </c>
      <c r="F77" s="47" t="s">
        <v>53</v>
      </c>
      <c r="G77" s="47">
        <v>1</v>
      </c>
      <c r="H77" s="47">
        <v>14</v>
      </c>
      <c r="I77" s="47" t="s">
        <v>53</v>
      </c>
      <c r="J77" s="48">
        <f t="shared" si="12"/>
        <v>100</v>
      </c>
    </row>
    <row r="78" spans="1:10" ht="21" customHeight="1" x14ac:dyDescent="0.15">
      <c r="A78" s="110">
        <v>39014077</v>
      </c>
      <c r="B78" s="47">
        <v>0</v>
      </c>
      <c r="C78" s="47">
        <v>240</v>
      </c>
      <c r="D78" s="47">
        <v>100</v>
      </c>
      <c r="E78" s="47" t="s">
        <v>53</v>
      </c>
      <c r="F78" s="47" t="s">
        <v>53</v>
      </c>
      <c r="G78" s="47">
        <v>1</v>
      </c>
      <c r="H78" s="47">
        <v>15</v>
      </c>
      <c r="I78" s="47" t="s">
        <v>53</v>
      </c>
      <c r="J78" s="48">
        <f t="shared" si="12"/>
        <v>100</v>
      </c>
    </row>
    <row r="79" spans="1:10" ht="21" customHeight="1" x14ac:dyDescent="0.15">
      <c r="A79" s="110">
        <v>39014078</v>
      </c>
      <c r="B79" s="47">
        <v>0</v>
      </c>
      <c r="C79" s="47">
        <v>250</v>
      </c>
      <c r="D79" s="47">
        <v>100</v>
      </c>
      <c r="E79" s="47" t="s">
        <v>53</v>
      </c>
      <c r="F79" s="47" t="s">
        <v>53</v>
      </c>
      <c r="G79" s="47">
        <v>1</v>
      </c>
      <c r="H79" s="47">
        <v>19</v>
      </c>
      <c r="I79" s="47" t="s">
        <v>53</v>
      </c>
      <c r="J79" s="48">
        <f t="shared" si="12"/>
        <v>100</v>
      </c>
    </row>
    <row r="80" spans="1:10" ht="21" customHeight="1" x14ac:dyDescent="0.15">
      <c r="A80" s="110">
        <v>39014079</v>
      </c>
      <c r="B80" s="47">
        <v>0</v>
      </c>
      <c r="C80" s="47">
        <v>300</v>
      </c>
      <c r="D80" s="47">
        <v>100</v>
      </c>
      <c r="E80" s="47" t="s">
        <v>53</v>
      </c>
      <c r="F80" s="47" t="s">
        <v>53</v>
      </c>
      <c r="G80" s="47">
        <v>1</v>
      </c>
      <c r="H80" s="47">
        <v>20</v>
      </c>
      <c r="I80" s="47" t="s">
        <v>53</v>
      </c>
      <c r="J80" s="48">
        <f t="shared" si="12"/>
        <v>100</v>
      </c>
    </row>
    <row r="81" spans="1:10" ht="21" customHeight="1" x14ac:dyDescent="0.15">
      <c r="A81" s="110">
        <v>39014080</v>
      </c>
      <c r="B81" s="47">
        <v>0</v>
      </c>
      <c r="C81" s="47" t="s">
        <v>53</v>
      </c>
      <c r="D81" s="47">
        <v>100</v>
      </c>
      <c r="E81" s="47" t="s">
        <v>53</v>
      </c>
      <c r="F81" s="47" t="s">
        <v>53</v>
      </c>
      <c r="G81" s="47">
        <v>0</v>
      </c>
      <c r="H81" s="47" t="s">
        <v>53</v>
      </c>
      <c r="I81" s="113">
        <v>0</v>
      </c>
      <c r="J81" s="48">
        <f t="shared" si="12"/>
        <v>100</v>
      </c>
    </row>
    <row r="82" spans="1:10" ht="21" customHeight="1" x14ac:dyDescent="0.15">
      <c r="A82" s="110">
        <v>39014081</v>
      </c>
      <c r="B82" s="47">
        <v>0</v>
      </c>
      <c r="C82" s="47">
        <v>503</v>
      </c>
      <c r="D82" s="47">
        <v>100</v>
      </c>
      <c r="E82" s="47" t="s">
        <v>53</v>
      </c>
      <c r="F82" s="47" t="s">
        <v>53</v>
      </c>
      <c r="G82" s="47">
        <v>0</v>
      </c>
      <c r="H82" s="47" t="s">
        <v>53</v>
      </c>
      <c r="I82" s="133">
        <v>1551</v>
      </c>
      <c r="J82" s="48">
        <f t="shared" si="12"/>
        <v>100</v>
      </c>
    </row>
    <row r="83" spans="1:10" ht="21" customHeight="1" x14ac:dyDescent="0.15">
      <c r="A83" s="110">
        <v>39014082</v>
      </c>
      <c r="B83" s="47">
        <v>0</v>
      </c>
      <c r="C83" s="47">
        <v>502</v>
      </c>
      <c r="D83" s="47">
        <v>100</v>
      </c>
      <c r="E83" s="47" t="s">
        <v>53</v>
      </c>
      <c r="F83" s="47" t="s">
        <v>53</v>
      </c>
      <c r="G83" s="47">
        <v>0</v>
      </c>
      <c r="H83" s="47" t="s">
        <v>53</v>
      </c>
      <c r="I83" s="133">
        <v>1552</v>
      </c>
      <c r="J83" s="48">
        <f t="shared" si="12"/>
        <v>100</v>
      </c>
    </row>
    <row r="84" spans="1:10" ht="21" customHeight="1" x14ac:dyDescent="0.15">
      <c r="A84" s="110">
        <v>39014083</v>
      </c>
      <c r="B84" s="47">
        <v>0</v>
      </c>
      <c r="C84" s="47">
        <v>501</v>
      </c>
      <c r="D84" s="47">
        <v>100</v>
      </c>
      <c r="E84" s="47" t="s">
        <v>53</v>
      </c>
      <c r="F84" s="47" t="s">
        <v>53</v>
      </c>
      <c r="G84" s="47">
        <v>0</v>
      </c>
      <c r="H84" s="47" t="s">
        <v>53</v>
      </c>
      <c r="I84" s="133">
        <v>1566</v>
      </c>
      <c r="J84" s="48">
        <f t="shared" si="12"/>
        <v>100</v>
      </c>
    </row>
    <row r="85" spans="1:10" ht="21" customHeight="1" x14ac:dyDescent="0.15">
      <c r="A85" s="110">
        <v>39014084</v>
      </c>
      <c r="B85" s="47">
        <v>0</v>
      </c>
      <c r="C85" s="47">
        <v>500</v>
      </c>
      <c r="D85" s="47">
        <v>100</v>
      </c>
      <c r="E85" s="47" t="s">
        <v>53</v>
      </c>
      <c r="F85" s="47" t="s">
        <v>53</v>
      </c>
      <c r="G85" s="47">
        <v>0</v>
      </c>
      <c r="H85" s="47" t="s">
        <v>53</v>
      </c>
      <c r="I85" s="133">
        <v>1567</v>
      </c>
      <c r="J85" s="48">
        <f t="shared" si="12"/>
        <v>100</v>
      </c>
    </row>
    <row r="86" spans="1:10" ht="21" customHeight="1" x14ac:dyDescent="0.15">
      <c r="A86" s="110">
        <v>39014085</v>
      </c>
      <c r="B86" s="47">
        <v>0</v>
      </c>
      <c r="C86" s="47">
        <v>403</v>
      </c>
      <c r="D86" s="47">
        <v>100</v>
      </c>
      <c r="E86" s="47" t="s">
        <v>53</v>
      </c>
      <c r="F86" s="47" t="s">
        <v>53</v>
      </c>
      <c r="G86" s="47">
        <v>0</v>
      </c>
      <c r="H86" s="47" t="s">
        <v>53</v>
      </c>
      <c r="I86" s="133">
        <v>1561</v>
      </c>
      <c r="J86" s="48">
        <f t="shared" si="12"/>
        <v>100</v>
      </c>
    </row>
    <row r="87" spans="1:10" ht="21" customHeight="1" x14ac:dyDescent="0.15">
      <c r="A87" s="110">
        <v>39014086</v>
      </c>
      <c r="B87" s="47">
        <v>0</v>
      </c>
      <c r="C87" s="47">
        <v>402</v>
      </c>
      <c r="D87" s="47">
        <v>100</v>
      </c>
      <c r="E87" s="47" t="s">
        <v>53</v>
      </c>
      <c r="F87" s="47" t="s">
        <v>53</v>
      </c>
      <c r="G87" s="47">
        <v>0</v>
      </c>
      <c r="H87" s="47" t="s">
        <v>53</v>
      </c>
      <c r="I87" s="133">
        <v>1562</v>
      </c>
      <c r="J87" s="48">
        <f t="shared" si="12"/>
        <v>100</v>
      </c>
    </row>
    <row r="88" spans="1:10" ht="21" customHeight="1" x14ac:dyDescent="0.15">
      <c r="A88" s="110">
        <v>39014087</v>
      </c>
      <c r="B88" s="47">
        <v>0</v>
      </c>
      <c r="C88" s="47">
        <v>401</v>
      </c>
      <c r="D88" s="47">
        <v>100</v>
      </c>
      <c r="E88" s="47" t="s">
        <v>53</v>
      </c>
      <c r="F88" s="47" t="s">
        <v>53</v>
      </c>
      <c r="G88" s="47">
        <v>0</v>
      </c>
      <c r="H88" s="47" t="s">
        <v>53</v>
      </c>
      <c r="I88" s="133">
        <v>1553</v>
      </c>
      <c r="J88" s="48">
        <f t="shared" si="12"/>
        <v>100</v>
      </c>
    </row>
    <row r="89" spans="1:10" ht="21" customHeight="1" x14ac:dyDescent="0.15">
      <c r="A89" s="110">
        <v>39014088</v>
      </c>
      <c r="B89" s="47">
        <v>0</v>
      </c>
      <c r="C89" s="47">
        <v>400</v>
      </c>
      <c r="D89" s="47">
        <v>100</v>
      </c>
      <c r="E89" s="47" t="s">
        <v>53</v>
      </c>
      <c r="F89" s="47" t="s">
        <v>53</v>
      </c>
      <c r="G89" s="47">
        <v>0</v>
      </c>
      <c r="H89" s="47" t="s">
        <v>53</v>
      </c>
      <c r="I89" s="133">
        <v>1554</v>
      </c>
      <c r="J89" s="48">
        <f t="shared" si="12"/>
        <v>100</v>
      </c>
    </row>
    <row r="90" spans="1:10" ht="21" customHeight="1" x14ac:dyDescent="0.15">
      <c r="A90" s="110">
        <v>39014089</v>
      </c>
      <c r="B90" s="47">
        <v>0</v>
      </c>
      <c r="C90" s="47">
        <v>302</v>
      </c>
      <c r="D90" s="47">
        <v>100</v>
      </c>
      <c r="E90" s="47" t="s">
        <v>53</v>
      </c>
      <c r="F90" s="47" t="s">
        <v>53</v>
      </c>
      <c r="G90" s="47">
        <v>0</v>
      </c>
      <c r="H90" s="47" t="s">
        <v>53</v>
      </c>
      <c r="I90" s="133">
        <v>1584</v>
      </c>
      <c r="J90" s="48">
        <f t="shared" si="12"/>
        <v>100</v>
      </c>
    </row>
    <row r="91" spans="1:10" ht="21" customHeight="1" x14ac:dyDescent="0.15">
      <c r="A91" s="110">
        <v>39014090</v>
      </c>
      <c r="B91" s="47">
        <v>0</v>
      </c>
      <c r="C91" s="47">
        <v>301</v>
      </c>
      <c r="D91" s="47">
        <v>100</v>
      </c>
      <c r="E91" s="47" t="s">
        <v>53</v>
      </c>
      <c r="F91" s="47" t="s">
        <v>53</v>
      </c>
      <c r="G91" s="47">
        <v>0</v>
      </c>
      <c r="H91" s="47" t="s">
        <v>53</v>
      </c>
      <c r="I91" s="133">
        <v>1585</v>
      </c>
      <c r="J91" s="48">
        <f t="shared" si="12"/>
        <v>100</v>
      </c>
    </row>
    <row r="92" spans="1:10" ht="23" customHeight="1" x14ac:dyDescent="0.15">
      <c r="A92" s="110">
        <v>39014091</v>
      </c>
      <c r="B92" s="47">
        <v>0</v>
      </c>
      <c r="C92" s="47">
        <v>300</v>
      </c>
      <c r="D92" s="47">
        <v>100</v>
      </c>
      <c r="E92" s="47" t="s">
        <v>53</v>
      </c>
      <c r="F92" s="47" t="s">
        <v>53</v>
      </c>
      <c r="G92" s="47">
        <v>0</v>
      </c>
      <c r="H92" s="47" t="s">
        <v>53</v>
      </c>
      <c r="I92" s="133">
        <v>1586</v>
      </c>
      <c r="J92" s="48">
        <f t="shared" si="12"/>
        <v>100</v>
      </c>
    </row>
    <row r="93" spans="1:10" ht="23" customHeight="1" x14ac:dyDescent="0.15">
      <c r="A93" s="110">
        <v>39014092</v>
      </c>
      <c r="B93" s="47">
        <v>0</v>
      </c>
      <c r="C93" s="47">
        <v>201</v>
      </c>
      <c r="D93" s="47">
        <v>100</v>
      </c>
      <c r="E93" s="47" t="s">
        <v>53</v>
      </c>
      <c r="F93" s="47" t="s">
        <v>53</v>
      </c>
      <c r="G93" s="47">
        <v>0</v>
      </c>
      <c r="H93" s="47" t="s">
        <v>53</v>
      </c>
      <c r="I93" s="133">
        <v>1579</v>
      </c>
      <c r="J93" s="48">
        <f t="shared" si="12"/>
        <v>100</v>
      </c>
    </row>
    <row r="94" spans="1:10" ht="23" customHeight="1" x14ac:dyDescent="0.15">
      <c r="A94" s="110">
        <v>39014093</v>
      </c>
      <c r="B94" s="47">
        <v>0</v>
      </c>
      <c r="C94" s="47">
        <v>200</v>
      </c>
      <c r="D94" s="47">
        <v>100</v>
      </c>
      <c r="E94" s="47" t="s">
        <v>53</v>
      </c>
      <c r="F94" s="47" t="s">
        <v>53</v>
      </c>
      <c r="G94" s="47">
        <v>0</v>
      </c>
      <c r="H94" s="47" t="s">
        <v>53</v>
      </c>
      <c r="I94" s="134">
        <v>1580</v>
      </c>
      <c r="J94" s="48">
        <f t="shared" si="12"/>
        <v>100</v>
      </c>
    </row>
  </sheetData>
  <autoFilter ref="A1:G1"/>
  <phoneticPr fontId="5"/>
  <conditionalFormatting sqref="K95:K1048576 K1:K2">
    <cfRule type="duplicateValues" dxfId="92" priority="96"/>
  </conditionalFormatting>
  <conditionalFormatting sqref="K3">
    <cfRule type="duplicateValues" dxfId="91" priority="95"/>
  </conditionalFormatting>
  <conditionalFormatting sqref="K4">
    <cfRule type="duplicateValues" dxfId="90" priority="94"/>
  </conditionalFormatting>
  <conditionalFormatting sqref="K5">
    <cfRule type="duplicateValues" dxfId="89" priority="93"/>
  </conditionalFormatting>
  <conditionalFormatting sqref="K6">
    <cfRule type="duplicateValues" dxfId="88" priority="92"/>
  </conditionalFormatting>
  <conditionalFormatting sqref="K7">
    <cfRule type="duplicateValues" dxfId="87" priority="91"/>
  </conditionalFormatting>
  <conditionalFormatting sqref="K8">
    <cfRule type="duplicateValues" dxfId="86" priority="90"/>
  </conditionalFormatting>
  <conditionalFormatting sqref="K9">
    <cfRule type="duplicateValues" dxfId="85" priority="89"/>
  </conditionalFormatting>
  <conditionalFormatting sqref="K11">
    <cfRule type="duplicateValues" dxfId="84" priority="88"/>
  </conditionalFormatting>
  <conditionalFormatting sqref="K12">
    <cfRule type="duplicateValues" dxfId="83" priority="87"/>
  </conditionalFormatting>
  <conditionalFormatting sqref="K13">
    <cfRule type="duplicateValues" dxfId="82" priority="86"/>
  </conditionalFormatting>
  <conditionalFormatting sqref="K14">
    <cfRule type="duplicateValues" dxfId="81" priority="85"/>
  </conditionalFormatting>
  <conditionalFormatting sqref="K15">
    <cfRule type="duplicateValues" dxfId="80" priority="84"/>
  </conditionalFormatting>
  <conditionalFormatting sqref="K16">
    <cfRule type="duplicateValues" dxfId="79" priority="83"/>
  </conditionalFormatting>
  <conditionalFormatting sqref="K17">
    <cfRule type="duplicateValues" dxfId="78" priority="82"/>
  </conditionalFormatting>
  <conditionalFormatting sqref="K20">
    <cfRule type="duplicateValues" dxfId="77" priority="81"/>
  </conditionalFormatting>
  <conditionalFormatting sqref="K21">
    <cfRule type="duplicateValues" dxfId="76" priority="80"/>
  </conditionalFormatting>
  <conditionalFormatting sqref="K22">
    <cfRule type="duplicateValues" dxfId="75" priority="79"/>
  </conditionalFormatting>
  <conditionalFormatting sqref="K23">
    <cfRule type="duplicateValues" dxfId="74" priority="78"/>
  </conditionalFormatting>
  <conditionalFormatting sqref="K24">
    <cfRule type="duplicateValues" dxfId="73" priority="77"/>
  </conditionalFormatting>
  <conditionalFormatting sqref="K25">
    <cfRule type="duplicateValues" dxfId="72" priority="76"/>
  </conditionalFormatting>
  <conditionalFormatting sqref="K27">
    <cfRule type="duplicateValues" dxfId="71" priority="75"/>
  </conditionalFormatting>
  <conditionalFormatting sqref="K28">
    <cfRule type="duplicateValues" dxfId="70" priority="74"/>
  </conditionalFormatting>
  <conditionalFormatting sqref="K29">
    <cfRule type="duplicateValues" dxfId="69" priority="73"/>
  </conditionalFormatting>
  <conditionalFormatting sqref="K30">
    <cfRule type="duplicateValues" dxfId="68" priority="72"/>
  </conditionalFormatting>
  <conditionalFormatting sqref="K31">
    <cfRule type="duplicateValues" dxfId="67" priority="71"/>
  </conditionalFormatting>
  <conditionalFormatting sqref="K32">
    <cfRule type="duplicateValues" dxfId="66" priority="70"/>
  </conditionalFormatting>
  <conditionalFormatting sqref="K33">
    <cfRule type="duplicateValues" dxfId="65" priority="69"/>
  </conditionalFormatting>
  <conditionalFormatting sqref="K35">
    <cfRule type="duplicateValues" dxfId="64" priority="67"/>
  </conditionalFormatting>
  <conditionalFormatting sqref="K36">
    <cfRule type="duplicateValues" dxfId="63" priority="66"/>
  </conditionalFormatting>
  <conditionalFormatting sqref="K37">
    <cfRule type="duplicateValues" dxfId="62" priority="65"/>
  </conditionalFormatting>
  <conditionalFormatting sqref="K38">
    <cfRule type="duplicateValues" dxfId="61" priority="64"/>
  </conditionalFormatting>
  <conditionalFormatting sqref="K39">
    <cfRule type="duplicateValues" dxfId="60" priority="63"/>
  </conditionalFormatting>
  <conditionalFormatting sqref="K40">
    <cfRule type="duplicateValues" dxfId="59" priority="62"/>
  </conditionalFormatting>
  <conditionalFormatting sqref="K43">
    <cfRule type="duplicateValues" dxfId="58" priority="61"/>
  </conditionalFormatting>
  <conditionalFormatting sqref="K44">
    <cfRule type="duplicateValues" dxfId="57" priority="60"/>
  </conditionalFormatting>
  <conditionalFormatting sqref="K45">
    <cfRule type="duplicateValues" dxfId="56" priority="59"/>
  </conditionalFormatting>
  <conditionalFormatting sqref="K46">
    <cfRule type="duplicateValues" dxfId="55" priority="58"/>
  </conditionalFormatting>
  <conditionalFormatting sqref="K47">
    <cfRule type="duplicateValues" dxfId="54" priority="57"/>
  </conditionalFormatting>
  <conditionalFormatting sqref="K48">
    <cfRule type="duplicateValues" dxfId="53" priority="56"/>
  </conditionalFormatting>
  <conditionalFormatting sqref="K41">
    <cfRule type="duplicateValues" dxfId="52" priority="55"/>
  </conditionalFormatting>
  <conditionalFormatting sqref="K42">
    <cfRule type="duplicateValues" dxfId="51" priority="54"/>
  </conditionalFormatting>
  <conditionalFormatting sqref="K18">
    <cfRule type="duplicateValues" dxfId="50" priority="53"/>
  </conditionalFormatting>
  <conditionalFormatting sqref="K19">
    <cfRule type="duplicateValues" dxfId="49" priority="52"/>
  </conditionalFormatting>
  <conditionalFormatting sqref="K10">
    <cfRule type="duplicateValues" dxfId="48" priority="51"/>
  </conditionalFormatting>
  <conditionalFormatting sqref="K26">
    <cfRule type="duplicateValues" dxfId="47" priority="50"/>
  </conditionalFormatting>
  <conditionalFormatting sqref="K34">
    <cfRule type="duplicateValues" dxfId="46" priority="49"/>
  </conditionalFormatting>
  <conditionalFormatting sqref="K49">
    <cfRule type="duplicateValues" dxfId="45" priority="48"/>
  </conditionalFormatting>
  <conditionalFormatting sqref="K50">
    <cfRule type="duplicateValues" dxfId="44" priority="47"/>
  </conditionalFormatting>
  <conditionalFormatting sqref="K51">
    <cfRule type="duplicateValues" dxfId="43" priority="46"/>
  </conditionalFormatting>
  <conditionalFormatting sqref="K52">
    <cfRule type="duplicateValues" dxfId="42" priority="45"/>
  </conditionalFormatting>
  <conditionalFormatting sqref="K53">
    <cfRule type="duplicateValues" dxfId="41" priority="44"/>
  </conditionalFormatting>
  <conditionalFormatting sqref="K54">
    <cfRule type="duplicateValues" dxfId="40" priority="43"/>
  </conditionalFormatting>
  <conditionalFormatting sqref="K55">
    <cfRule type="duplicateValues" dxfId="39" priority="42"/>
  </conditionalFormatting>
  <conditionalFormatting sqref="K56">
    <cfRule type="duplicateValues" dxfId="38" priority="41"/>
  </conditionalFormatting>
  <conditionalFormatting sqref="K57">
    <cfRule type="duplicateValues" dxfId="37" priority="40"/>
  </conditionalFormatting>
  <conditionalFormatting sqref="K58">
    <cfRule type="duplicateValues" dxfId="36" priority="39"/>
  </conditionalFormatting>
  <conditionalFormatting sqref="K59">
    <cfRule type="duplicateValues" dxfId="35" priority="38"/>
  </conditionalFormatting>
  <conditionalFormatting sqref="K60">
    <cfRule type="duplicateValues" dxfId="34" priority="37"/>
  </conditionalFormatting>
  <conditionalFormatting sqref="K61">
    <cfRule type="duplicateValues" dxfId="33" priority="36"/>
  </conditionalFormatting>
  <conditionalFormatting sqref="K62">
    <cfRule type="duplicateValues" dxfId="32" priority="35"/>
  </conditionalFormatting>
  <conditionalFormatting sqref="K63">
    <cfRule type="duplicateValues" dxfId="31" priority="34"/>
  </conditionalFormatting>
  <conditionalFormatting sqref="K64">
    <cfRule type="duplicateValues" dxfId="30" priority="33"/>
  </conditionalFormatting>
  <conditionalFormatting sqref="K65">
    <cfRule type="duplicateValues" dxfId="29" priority="32"/>
  </conditionalFormatting>
  <conditionalFormatting sqref="K66">
    <cfRule type="duplicateValues" dxfId="28" priority="31"/>
  </conditionalFormatting>
  <conditionalFormatting sqref="K67">
    <cfRule type="duplicateValues" dxfId="27" priority="30"/>
  </conditionalFormatting>
  <conditionalFormatting sqref="K68">
    <cfRule type="duplicateValues" dxfId="26" priority="28"/>
  </conditionalFormatting>
  <conditionalFormatting sqref="K69">
    <cfRule type="duplicateValues" dxfId="25" priority="27"/>
  </conditionalFormatting>
  <conditionalFormatting sqref="K70">
    <cfRule type="duplicateValues" dxfId="24" priority="26"/>
  </conditionalFormatting>
  <conditionalFormatting sqref="K71">
    <cfRule type="duplicateValues" dxfId="23" priority="25"/>
  </conditionalFormatting>
  <conditionalFormatting sqref="K72">
    <cfRule type="duplicateValues" dxfId="22" priority="24"/>
  </conditionalFormatting>
  <conditionalFormatting sqref="K73">
    <cfRule type="duplicateValues" dxfId="21" priority="23"/>
  </conditionalFormatting>
  <conditionalFormatting sqref="K74">
    <cfRule type="duplicateValues" dxfId="20" priority="22"/>
  </conditionalFormatting>
  <conditionalFormatting sqref="K75">
    <cfRule type="duplicateValues" dxfId="19" priority="21"/>
  </conditionalFormatting>
  <conditionalFormatting sqref="K76">
    <cfRule type="duplicateValues" dxfId="18" priority="20"/>
  </conditionalFormatting>
  <conditionalFormatting sqref="K77">
    <cfRule type="duplicateValues" dxfId="17" priority="19"/>
  </conditionalFormatting>
  <conditionalFormatting sqref="K78">
    <cfRule type="duplicateValues" dxfId="16" priority="18"/>
  </conditionalFormatting>
  <conditionalFormatting sqref="K79">
    <cfRule type="duplicateValues" dxfId="15" priority="17"/>
  </conditionalFormatting>
  <conditionalFormatting sqref="K80">
    <cfRule type="duplicateValues" dxfId="14" priority="16"/>
  </conditionalFormatting>
  <conditionalFormatting sqref="K81">
    <cfRule type="duplicateValues" dxfId="13" priority="15"/>
  </conditionalFormatting>
  <conditionalFormatting sqref="K82">
    <cfRule type="duplicateValues" dxfId="12" priority="14"/>
  </conditionalFormatting>
  <conditionalFormatting sqref="K83">
    <cfRule type="duplicateValues" dxfId="11" priority="13"/>
  </conditionalFormatting>
  <conditionalFormatting sqref="K84">
    <cfRule type="duplicateValues" dxfId="10" priority="12"/>
  </conditionalFormatting>
  <conditionalFormatting sqref="K85">
    <cfRule type="duplicateValues" dxfId="9" priority="11"/>
  </conditionalFormatting>
  <conditionalFormatting sqref="K86">
    <cfRule type="duplicateValues" dxfId="8" priority="10"/>
  </conditionalFormatting>
  <conditionalFormatting sqref="K87">
    <cfRule type="duplicateValues" dxfId="7" priority="9"/>
  </conditionalFormatting>
  <conditionalFormatting sqref="K88">
    <cfRule type="duplicateValues" dxfId="6" priority="8"/>
  </conditionalFormatting>
  <conditionalFormatting sqref="K89">
    <cfRule type="duplicateValues" dxfId="5" priority="7"/>
  </conditionalFormatting>
  <conditionalFormatting sqref="K90">
    <cfRule type="duplicateValues" dxfId="4" priority="6"/>
  </conditionalFormatting>
  <conditionalFormatting sqref="K91">
    <cfRule type="duplicateValues" dxfId="3" priority="5"/>
  </conditionalFormatting>
  <conditionalFormatting sqref="K92">
    <cfRule type="duplicateValues" dxfId="2" priority="4"/>
  </conditionalFormatting>
  <conditionalFormatting sqref="K93">
    <cfRule type="duplicateValues" dxfId="1" priority="3"/>
  </conditionalFormatting>
  <conditionalFormatting sqref="K94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4"/>
  <sheetViews>
    <sheetView workbookViewId="0">
      <selection activeCell="C14" sqref="C1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149</v>
      </c>
      <c r="B1" s="64" t="s">
        <v>150</v>
      </c>
      <c r="C1" s="65" t="s">
        <v>151</v>
      </c>
      <c r="D1" s="72" t="s">
        <v>152</v>
      </c>
      <c r="E1" s="66" t="s">
        <v>153</v>
      </c>
      <c r="F1" s="64" t="s">
        <v>154</v>
      </c>
      <c r="G1" s="64" t="s">
        <v>155</v>
      </c>
      <c r="H1" s="64" t="s">
        <v>156</v>
      </c>
      <c r="I1" s="64" t="s">
        <v>157</v>
      </c>
      <c r="J1" s="64" t="s">
        <v>158</v>
      </c>
      <c r="K1" s="64" t="s">
        <v>159</v>
      </c>
      <c r="L1" s="64" t="s">
        <v>160</v>
      </c>
      <c r="M1" s="64" t="s">
        <v>161</v>
      </c>
      <c r="N1" s="64" t="s">
        <v>162</v>
      </c>
      <c r="O1" s="64" t="s">
        <v>163</v>
      </c>
      <c r="P1" s="64" t="s">
        <v>164</v>
      </c>
      <c r="Q1" s="64" t="s">
        <v>165</v>
      </c>
      <c r="R1" s="64" t="s">
        <v>166</v>
      </c>
    </row>
    <row r="2" spans="1:18" x14ac:dyDescent="0.15">
      <c r="A2" s="57">
        <f>floors!C2</f>
        <v>39014</v>
      </c>
      <c r="B2" s="57">
        <v>1</v>
      </c>
      <c r="C2" s="71" t="str">
        <f t="shared" ref="C2:C12" si="0">A2&amp; "_"&amp;B2</f>
        <v>39014_1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167</v>
      </c>
      <c r="G2" s="57">
        <v>6500</v>
      </c>
      <c r="H2" s="57" t="s">
        <v>168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169</v>
      </c>
      <c r="R2" s="57" t="s">
        <v>170</v>
      </c>
    </row>
    <row r="3" spans="1:18" x14ac:dyDescent="0.15">
      <c r="A3" s="57">
        <v>39014</v>
      </c>
      <c r="B3" s="57">
        <v>1</v>
      </c>
      <c r="C3" s="71" t="str">
        <f t="shared" si="0"/>
        <v>39014_1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323</v>
      </c>
      <c r="G3" s="57">
        <v>20</v>
      </c>
      <c r="H3" s="57" t="s">
        <v>168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169</v>
      </c>
      <c r="R3" s="57" t="s">
        <v>170</v>
      </c>
    </row>
    <row r="4" spans="1:18" x14ac:dyDescent="0.15">
      <c r="A4" s="57">
        <v>39014</v>
      </c>
      <c r="B4" s="57">
        <v>1</v>
      </c>
      <c r="C4" s="71" t="str">
        <f t="shared" si="0"/>
        <v>39014_1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324</v>
      </c>
      <c r="G4" s="57">
        <v>1575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250</v>
      </c>
      <c r="Q4" s="57" t="s">
        <v>169</v>
      </c>
      <c r="R4" s="57" t="s">
        <v>170</v>
      </c>
    </row>
    <row r="5" spans="1:18" x14ac:dyDescent="0.15">
      <c r="A5" s="57">
        <v>39014</v>
      </c>
      <c r="B5" s="57">
        <v>1</v>
      </c>
      <c r="C5" s="71" t="str">
        <f t="shared" si="0"/>
        <v>39014_1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167</v>
      </c>
      <c r="G5" s="57">
        <v>340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28</v>
      </c>
      <c r="Q5" s="57" t="s">
        <v>169</v>
      </c>
      <c r="R5" s="57" t="s">
        <v>170</v>
      </c>
    </row>
    <row r="6" spans="1:18" x14ac:dyDescent="0.15">
      <c r="A6" s="57">
        <v>39014</v>
      </c>
      <c r="B6" s="57">
        <v>1</v>
      </c>
      <c r="C6" s="71" t="str">
        <f t="shared" si="0"/>
        <v>39014_1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167</v>
      </c>
      <c r="G6" s="57">
        <v>341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56</v>
      </c>
      <c r="Q6" s="57" t="s">
        <v>169</v>
      </c>
      <c r="R6" s="57" t="s">
        <v>170</v>
      </c>
    </row>
    <row r="7" spans="1:18" x14ac:dyDescent="0.15">
      <c r="A7" s="57">
        <v>39014</v>
      </c>
      <c r="B7" s="57">
        <v>1</v>
      </c>
      <c r="C7" s="71" t="str">
        <f t="shared" si="0"/>
        <v>39014_1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167</v>
      </c>
      <c r="G7" s="57">
        <v>342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56</v>
      </c>
      <c r="Q7" s="57" t="s">
        <v>169</v>
      </c>
      <c r="R7" s="57" t="s">
        <v>170</v>
      </c>
    </row>
    <row r="8" spans="1:18" x14ac:dyDescent="0.15">
      <c r="A8" s="57">
        <v>39014</v>
      </c>
      <c r="B8" s="57">
        <v>1</v>
      </c>
      <c r="C8" s="71" t="str">
        <f t="shared" si="0"/>
        <v>39014_1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167</v>
      </c>
      <c r="G8" s="57">
        <v>352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150</v>
      </c>
      <c r="Q8" s="57" t="s">
        <v>169</v>
      </c>
      <c r="R8" s="57" t="s">
        <v>170</v>
      </c>
    </row>
    <row r="9" spans="1:18" x14ac:dyDescent="0.15">
      <c r="A9" s="57">
        <v>39014</v>
      </c>
      <c r="B9" s="57">
        <v>1</v>
      </c>
      <c r="C9" s="71" t="str">
        <f t="shared" si="0"/>
        <v>39014_1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167</v>
      </c>
      <c r="G9" s="57">
        <v>121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50</v>
      </c>
      <c r="Q9" s="57" t="s">
        <v>169</v>
      </c>
      <c r="R9" s="57" t="s">
        <v>170</v>
      </c>
    </row>
    <row r="10" spans="1:18" x14ac:dyDescent="0.15">
      <c r="A10" s="57">
        <v>39014</v>
      </c>
      <c r="B10" s="57">
        <v>1</v>
      </c>
      <c r="C10" s="71" t="str">
        <f t="shared" si="0"/>
        <v>39014_1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167</v>
      </c>
      <c r="G10" s="57">
        <v>122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50</v>
      </c>
      <c r="Q10" s="57" t="s">
        <v>169</v>
      </c>
      <c r="R10" s="57" t="s">
        <v>170</v>
      </c>
    </row>
    <row r="11" spans="1:18" x14ac:dyDescent="0.15">
      <c r="A11" s="57">
        <v>39014</v>
      </c>
      <c r="B11" s="57">
        <v>1</v>
      </c>
      <c r="C11" s="71" t="str">
        <f t="shared" si="0"/>
        <v>39014_1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167</v>
      </c>
      <c r="G11" s="57">
        <v>123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50</v>
      </c>
      <c r="Q11" s="57" t="s">
        <v>169</v>
      </c>
      <c r="R11" s="57" t="s">
        <v>170</v>
      </c>
    </row>
    <row r="12" spans="1:18" ht="16" thickBot="1" x14ac:dyDescent="0.2">
      <c r="A12" s="57">
        <v>39014</v>
      </c>
      <c r="B12" s="57">
        <v>1</v>
      </c>
      <c r="C12" s="71" t="str">
        <f t="shared" si="0"/>
        <v>39014_1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167</v>
      </c>
      <c r="G12" s="57">
        <v>125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131">
        <v>10</v>
      </c>
      <c r="Q12" s="57" t="s">
        <v>169</v>
      </c>
      <c r="R12" s="57" t="s">
        <v>170</v>
      </c>
    </row>
    <row r="14" spans="1:18" x14ac:dyDescent="0.15">
      <c r="C14" s="130"/>
    </row>
    <row r="15" spans="1:18" x14ac:dyDescent="0.15">
      <c r="C15" s="130"/>
    </row>
    <row r="16" spans="1:18" x14ac:dyDescent="0.15">
      <c r="C16" s="130"/>
    </row>
    <row r="17" spans="3:3" x14ac:dyDescent="0.15">
      <c r="C17" s="130"/>
    </row>
    <row r="18" spans="3:3" x14ac:dyDescent="0.15">
      <c r="C18" s="130"/>
    </row>
    <row r="19" spans="3:3" x14ac:dyDescent="0.15">
      <c r="C19" s="130"/>
    </row>
    <row r="20" spans="3:3" x14ac:dyDescent="0.15">
      <c r="C20" s="130"/>
    </row>
    <row r="21" spans="3:3" x14ac:dyDescent="0.15">
      <c r="C21" s="130"/>
    </row>
    <row r="22" spans="3:3" x14ac:dyDescent="0.15">
      <c r="C22" s="130"/>
    </row>
    <row r="23" spans="3:3" x14ac:dyDescent="0.15">
      <c r="C23" s="130"/>
    </row>
    <row r="24" spans="3:3" x14ac:dyDescent="0.15">
      <c r="C24" s="130"/>
    </row>
  </sheetData>
  <phoneticPr fontId="5"/>
  <dataValidations count="1">
    <dataValidation type="list" allowBlank="1" showInputMessage="1" showErrorMessage="1" sqref="F2:F1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6"/>
  <sheetViews>
    <sheetView showGridLines="0" workbookViewId="0">
      <pane ySplit="1" topLeftCell="A2" activePane="bottomLeft" state="frozen"/>
      <selection pane="bottomLeft" activeCell="B23" sqref="B2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115" t="s">
        <v>187</v>
      </c>
      <c r="B1" s="116" t="s">
        <v>188</v>
      </c>
      <c r="C1" s="117" t="s">
        <v>189</v>
      </c>
      <c r="D1" s="117" t="s">
        <v>33</v>
      </c>
      <c r="E1" s="116" t="s">
        <v>190</v>
      </c>
      <c r="F1" s="117" t="s">
        <v>191</v>
      </c>
      <c r="G1" s="117" t="s">
        <v>33</v>
      </c>
      <c r="H1" s="116" t="s">
        <v>192</v>
      </c>
      <c r="I1" s="118" t="s">
        <v>194</v>
      </c>
      <c r="J1" s="119" t="s">
        <v>125</v>
      </c>
      <c r="K1" s="120" t="s">
        <v>186</v>
      </c>
      <c r="L1" s="121" t="s">
        <v>185</v>
      </c>
      <c r="M1" s="122" t="s">
        <v>195</v>
      </c>
    </row>
    <row r="2" spans="1:13" x14ac:dyDescent="0.15">
      <c r="A2" s="123" t="s">
        <v>199</v>
      </c>
      <c r="B2" s="124">
        <f>floors!$C$2</f>
        <v>39014</v>
      </c>
      <c r="C2" s="83" t="str">
        <f ca="1">VLOOKUP($B2,OFFSET([2]quests!$A$1,0,0,COUNTA([2]quests!$A:$A),MATCH(C$1,[2]quests!$1:$1,0)-MATCH($B$1,[2]quests!$1:$1,0)+1),MATCH(C$1,[2]quests!$1:$1,0)-MATCH($B$1,[2]quests!$1:$1,0)+1,FALSE)</f>
        <v>金券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125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【超級】金券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5">
        <v>0</v>
      </c>
      <c r="I2">
        <v>12</v>
      </c>
      <c r="J2" s="126" t="s">
        <v>197</v>
      </c>
      <c r="K2" s="127" t="str">
        <f>VLOOKUP(I2,[8]stage_hints!$A:$C,3,FALSE)</f>
        <v>ユニットのお気に入り登録</v>
      </c>
      <c r="L2" s="128" t="str">
        <f>VLOOKUP(I2,[8]stage_hints!$A:$D,4,FALSE)</f>
        <v>大事なユニットを誤って消さないように_x000D_フォルダから「お気に入り登録」しましょう</v>
      </c>
      <c r="M2" s="129" t="s">
        <v>209</v>
      </c>
    </row>
    <row r="3" spans="1:13" x14ac:dyDescent="0.15">
      <c r="A3" s="81" t="s">
        <v>199</v>
      </c>
      <c r="B3" s="82">
        <f>floors!$C$2</f>
        <v>39014</v>
      </c>
      <c r="C3" s="83" t="str">
        <f ca="1">VLOOKUP($B3,OFFSET([2]quests!$A$1,0,0,COUNTA([2]quests!$A:$A),MATCH(C$1,[2]quests!$1:$1,0)-MATCH($B$1,[2]quests!$1:$1,0)+1),MATCH(C$1,[2]quests!$1:$1,0)-MATCH($B$1,[2]quests!$1:$1,0)+1,FALSE)</f>
        <v>金券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【超級】金券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5">
        <v>0</v>
      </c>
      <c r="I3">
        <v>17</v>
      </c>
      <c r="J3" s="84" t="s">
        <v>197</v>
      </c>
      <c r="K3" s="93" t="str">
        <f>VLOOKUP(I3,[8]stage_hints!$A:$C,3,FALSE)</f>
        <v>リンクガチャ</v>
      </c>
      <c r="L3" s="94" t="str">
        <f>VLOOKUP(I3,[8]stage_hints!$A:$D,4,FALSE)</f>
        <v>無料のリンクガチャを回して_x000D_経験値素材や売却素材を獲得しましょう</v>
      </c>
      <c r="M3" s="57" t="s">
        <v>209</v>
      </c>
    </row>
    <row r="4" spans="1:13" x14ac:dyDescent="0.15">
      <c r="A4" s="81" t="s">
        <v>199</v>
      </c>
      <c r="B4" s="82">
        <f>floors!$C$2</f>
        <v>39014</v>
      </c>
      <c r="C4" s="83" t="str">
        <f ca="1">VLOOKUP($B4,OFFSET([2]quests!$A$1,0,0,COUNTA([2]quests!$A:$A),MATCH(C$1,[2]quests!$1:$1,0)-MATCH($B$1,[2]quests!$1:$1,0)+1),MATCH(C$1,[2]quests!$1:$1,0)-MATCH($B$1,[2]quests!$1:$1,0)+1,FALSE)</f>
        <v>金券</v>
      </c>
      <c r="D4" s="83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【超級】金券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5">
        <v>0</v>
      </c>
      <c r="I4">
        <v>19</v>
      </c>
      <c r="J4" s="84" t="s">
        <v>197</v>
      </c>
      <c r="K4" s="93" t="str">
        <f>VLOOKUP(I4,[8]stage_hints!$A:$C,3,FALSE)</f>
        <v>ソロ専用タワーオブザクイーン</v>
      </c>
      <c r="L4" s="94" t="str">
        <f>VLOOKUP(I4,[8]stage_hints!$A:$D,4,FALSE)</f>
        <v>ソロ専用の「タワーオブザクイーン」は_x000D_期間限定で定期的に開催されます_x000D_ここでしか獲得できない報酬もあるようです</v>
      </c>
      <c r="M4" s="57" t="s">
        <v>209</v>
      </c>
    </row>
    <row r="5" spans="1:13" x14ac:dyDescent="0.15">
      <c r="A5" s="81" t="s">
        <v>199</v>
      </c>
      <c r="B5" s="82">
        <f>floors!$C$2</f>
        <v>39014</v>
      </c>
      <c r="C5" s="83" t="str">
        <f ca="1">VLOOKUP($B5,OFFSET([2]quests!$A$1,0,0,COUNTA([2]quests!$A:$A),MATCH(C$1,[2]quests!$1:$1,0)-MATCH($B$1,[2]quests!$1:$1,0)+1),MATCH(C$1,[2]quests!$1:$1,0)-MATCH($B$1,[2]quests!$1:$1,0)+1,FALSE)</f>
        <v>金券</v>
      </c>
      <c r="D5" s="83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【超級】金券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5">
        <v>0</v>
      </c>
      <c r="I5">
        <v>21</v>
      </c>
      <c r="J5" s="84" t="s">
        <v>197</v>
      </c>
      <c r="K5" s="93" t="str">
        <f>VLOOKUP(I5,[8]stage_hints!$A:$C,3,FALSE)</f>
        <v>スキルを有効に</v>
      </c>
      <c r="L5" s="94" t="str">
        <f>VLOOKUP(I5,[8]stage_hints!$A:$D,4,FALSE)</f>
        <v>ターン経過でユニットのスキルが使えます_x000D_強力スキルでバトルを有利に進めましょう</v>
      </c>
      <c r="M5" s="57" t="s">
        <v>209</v>
      </c>
    </row>
    <row r="6" spans="1:13" x14ac:dyDescent="0.15">
      <c r="A6" s="81" t="s">
        <v>199</v>
      </c>
      <c r="B6" s="82">
        <f>floors!$C$2</f>
        <v>39014</v>
      </c>
      <c r="C6" s="83" t="str">
        <f ca="1">VLOOKUP($B6,OFFSET([2]quests!$A$1,0,0,COUNTA([2]quests!$A:$A),MATCH(C$1,[2]quests!$1:$1,0)-MATCH($B$1,[2]quests!$1:$1,0)+1),MATCH(C$1,[2]quests!$1:$1,0)-MATCH($B$1,[2]quests!$1:$1,0)+1,FALSE)</f>
        <v>金券</v>
      </c>
      <c r="D6" s="83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【超級】金券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5">
        <v>0</v>
      </c>
      <c r="I6">
        <v>27</v>
      </c>
      <c r="J6" s="84" t="s">
        <v>197</v>
      </c>
      <c r="K6" s="93" t="str">
        <f>VLOOKUP(I6,[8]stage_hints!$A:$C,3,FALSE)</f>
        <v>ホーム画面からデッキを編成</v>
      </c>
      <c r="L6" s="94" t="str">
        <f>VLOOKUP(I6,[8]stage_hints!$A:$D,4,FALSE)</f>
        <v>ホーム画面でユニットを長押しすると_x000D_すぐにパーティ編成に移動できます</v>
      </c>
      <c r="M6" s="57" t="s">
        <v>209</v>
      </c>
    </row>
    <row r="7" spans="1:13" x14ac:dyDescent="0.15">
      <c r="A7" s="81" t="s">
        <v>199</v>
      </c>
      <c r="B7" s="82">
        <f>floors!$C$2</f>
        <v>39014</v>
      </c>
      <c r="C7" s="83" t="str">
        <f ca="1">VLOOKUP($B7,OFFSET([2]quests!$A$1,0,0,COUNTA([2]quests!$A:$A),MATCH(C$1,[2]quests!$1:$1,0)-MATCH($B$1,[2]quests!$1:$1,0)+1),MATCH(C$1,[2]quests!$1:$1,0)-MATCH($B$1,[2]quests!$1:$1,0)+1,FALSE)</f>
        <v>金券</v>
      </c>
      <c r="D7" s="83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【超級】金券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85">
        <v>0</v>
      </c>
      <c r="I7">
        <v>28</v>
      </c>
      <c r="J7" s="84" t="s">
        <v>197</v>
      </c>
      <c r="K7" s="93" t="str">
        <f>VLOOKUP(I7,[8]stage_hints!$A:$C,3,FALSE)</f>
        <v>ステータス情報は長押しで</v>
      </c>
      <c r="L7" s="94" t="str">
        <f>VLOOKUP(I7,[8]stage_hints!$A:$D,4,FALSE)</f>
        <v>ユニットのアイコンを長押しすると_x000D_ステータス情報を確認することができます</v>
      </c>
      <c r="M7" s="57" t="s">
        <v>209</v>
      </c>
    </row>
    <row r="8" spans="1:13" x14ac:dyDescent="0.15">
      <c r="A8" s="81" t="s">
        <v>199</v>
      </c>
      <c r="B8" s="82">
        <f>floors!$C$2</f>
        <v>39014</v>
      </c>
      <c r="C8" s="83" t="str">
        <f ca="1">VLOOKUP($B8,OFFSET([2]quests!$A$1,0,0,COUNTA([2]quests!$A:$A),MATCH(C$1,[2]quests!$1:$1,0)-MATCH($B$1,[2]quests!$1:$1,0)+1),MATCH(C$1,[2]quests!$1:$1,0)-MATCH($B$1,[2]quests!$1:$1,0)+1,FALSE)</f>
        <v>金券</v>
      </c>
      <c r="D8" s="83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【超級】金券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5">
        <v>0</v>
      </c>
      <c r="I8">
        <v>29</v>
      </c>
      <c r="J8" s="84" t="s">
        <v>197</v>
      </c>
      <c r="K8" s="93" t="str">
        <f>VLOOKUP(I8,[8]stage_hints!$A:$C,3,FALSE)</f>
        <v>「バグ」のメリット</v>
      </c>
      <c r="L8" s="94" t="str">
        <f>VLOOKUP(I8,[8]stage_hints!$A:$D,4,FALSE)</f>
        <v>ユニットの「バグ」を増やすと_x000D_報酬をもらえる確率がアップします</v>
      </c>
      <c r="M8" s="57" t="s">
        <v>209</v>
      </c>
    </row>
    <row r="9" spans="1:13" x14ac:dyDescent="0.15">
      <c r="A9" s="81" t="s">
        <v>199</v>
      </c>
      <c r="B9" s="82">
        <f>floors!$C$2</f>
        <v>39014</v>
      </c>
      <c r="C9" s="83" t="str">
        <f ca="1">VLOOKUP($B9,OFFSET([2]quests!$A$1,0,0,COUNTA([2]quests!$A:$A),MATCH(C$1,[2]quests!$1:$1,0)-MATCH($B$1,[2]quests!$1:$1,0)+1),MATCH(C$1,[2]quests!$1:$1,0)-MATCH($B$1,[2]quests!$1:$1,0)+1,FALSE)</f>
        <v>金券</v>
      </c>
      <c r="D9" s="83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【超級】金券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85">
        <v>0</v>
      </c>
      <c r="I9">
        <v>30</v>
      </c>
      <c r="J9" s="84" t="s">
        <v>197</v>
      </c>
      <c r="K9" s="93" t="str">
        <f>VLOOKUP(I9,[8]stage_hints!$A:$C,3,FALSE)</f>
        <v>「バグ」の増やし方</v>
      </c>
      <c r="L9" s="94" t="str">
        <f>VLOOKUP(I9,[8]stage_hints!$A:$D,4,FALSE)</f>
        <v>同じユニット同士を強化で合成すると_x000D_「バグ」を増やすことができます</v>
      </c>
      <c r="M9" s="57" t="s">
        <v>209</v>
      </c>
    </row>
    <row r="10" spans="1:13" x14ac:dyDescent="0.15">
      <c r="A10" s="81" t="s">
        <v>199</v>
      </c>
      <c r="B10" s="82">
        <f>floors!$C$2</f>
        <v>39014</v>
      </c>
      <c r="C10" s="83" t="str">
        <f ca="1">VLOOKUP($B10,OFFSET([2]quests!$A$1,0,0,COUNTA([2]quests!$A:$A),MATCH(C$1,[2]quests!$1:$1,0)-MATCH($B$1,[2]quests!$1:$1,0)+1),MATCH(C$1,[2]quests!$1:$1,0)-MATCH($B$1,[2]quests!$1:$1,0)+1,FALSE)</f>
        <v>金券</v>
      </c>
      <c r="D10" s="83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【超級】金券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85">
        <v>0</v>
      </c>
      <c r="I10">
        <v>32</v>
      </c>
      <c r="J10" s="84" t="s">
        <v>197</v>
      </c>
      <c r="K10" s="93" t="str">
        <f>VLOOKUP(I10,[8]stage_hints!$A:$C,3,FALSE)</f>
        <v>敵の連続攻撃には</v>
      </c>
      <c r="L10" s="94" t="str">
        <f>VLOOKUP(I10,[8]stage_hints!$A:$D,4,FALSE)</f>
        <v>カウンタースキルを持つユニットがいれば_x000D_ダメージ回数分の反撃ができます</v>
      </c>
      <c r="M10" s="57" t="s">
        <v>209</v>
      </c>
    </row>
    <row r="11" spans="1:13" x14ac:dyDescent="0.15">
      <c r="A11" s="81" t="s">
        <v>199</v>
      </c>
      <c r="B11" s="82">
        <f>floors!$C$2</f>
        <v>39014</v>
      </c>
      <c r="C11" s="83" t="str">
        <f ca="1">VLOOKUP($B11,OFFSET([2]quests!$A$1,0,0,COUNTA([2]quests!$A:$A),MATCH(C$1,[2]quests!$1:$1,0)-MATCH($B$1,[2]quests!$1:$1,0)+1),MATCH(C$1,[2]quests!$1:$1,0)-MATCH($B$1,[2]quests!$1:$1,0)+1,FALSE)</f>
        <v>金券</v>
      </c>
      <c r="D11" s="83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【超級】金券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85">
        <v>0</v>
      </c>
      <c r="I11">
        <v>33</v>
      </c>
      <c r="J11" s="84" t="s">
        <v>197</v>
      </c>
      <c r="K11" s="93" t="str">
        <f>VLOOKUP(I11,[8]stage_hints!$A:$C,3,FALSE)</f>
        <v>敵のカウンター攻撃には</v>
      </c>
      <c r="L11" s="94" t="str">
        <f>VLOOKUP(I11,[8]stage_hints!$A:$D,4,FALSE)</f>
        <v>カウンターブレイクスキルを持っていれば_x000D_敵のカウンターを解除して攻撃ができます</v>
      </c>
      <c r="M11" s="57" t="s">
        <v>209</v>
      </c>
    </row>
    <row r="12" spans="1:13" x14ac:dyDescent="0.15">
      <c r="A12" s="81" t="s">
        <v>199</v>
      </c>
      <c r="B12" s="82">
        <f>floors!$C$2</f>
        <v>39014</v>
      </c>
      <c r="C12" s="83" t="str">
        <f ca="1">VLOOKUP($B12,OFFSET([2]quests!$A$1,0,0,COUNTA([2]quests!$A:$A),MATCH(C$1,[2]quests!$1:$1,0)-MATCH($B$1,[2]quests!$1:$1,0)+1),MATCH(C$1,[2]quests!$1:$1,0)-MATCH($B$1,[2]quests!$1:$1,0)+1,FALSE)</f>
        <v>金券</v>
      </c>
      <c r="D12" s="83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【超級】金券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85">
        <v>0</v>
      </c>
      <c r="I12">
        <v>34</v>
      </c>
      <c r="J12" s="84" t="s">
        <v>197</v>
      </c>
      <c r="K12" s="93" t="str">
        <f>VLOOKUP(I12,[8]stage_hints!$A:$C,3,FALSE)</f>
        <v>ステータスをスキルで下げられたら</v>
      </c>
      <c r="L12" s="94" t="str">
        <f>VLOOKUP(I12,[8]stage_hints!$A:$D,4,FALSE)</f>
        <v>ステータスダウンのスキルを受けたら_x000D_ステータスアップスキルで上書きしましょう</v>
      </c>
      <c r="M12" s="57" t="s">
        <v>209</v>
      </c>
    </row>
    <row r="13" spans="1:13" x14ac:dyDescent="0.15">
      <c r="A13" s="81" t="s">
        <v>199</v>
      </c>
      <c r="B13" s="82">
        <f>floors!$C$2</f>
        <v>39014</v>
      </c>
      <c r="C13" s="83" t="str">
        <f ca="1">VLOOKUP($B13,OFFSET([2]quests!$A$1,0,0,COUNTA([2]quests!$A:$A),MATCH(C$1,[2]quests!$1:$1,0)-MATCH($B$1,[2]quests!$1:$1,0)+1),MATCH(C$1,[2]quests!$1:$1,0)-MATCH($B$1,[2]quests!$1:$1,0)+1,FALSE)</f>
        <v>金券</v>
      </c>
      <c r="D13" s="83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【超級】金券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85">
        <v>0</v>
      </c>
      <c r="I13">
        <v>35</v>
      </c>
      <c r="J13" s="84" t="s">
        <v>197</v>
      </c>
      <c r="K13" s="93" t="str">
        <f>VLOOKUP(I13,[8]stage_hints!$A:$C,3,FALSE)</f>
        <v>敵のステータスがスキルで上がったら</v>
      </c>
      <c r="L13" s="94" t="str">
        <f>VLOOKUP(I13,[8]stage_hints!$A:$D,4,FALSE)</f>
        <v>敵のステータスがスキルでアップしたときは_x000D_ステータスダウンスキルで上書きしましょう</v>
      </c>
      <c r="M13" s="57" t="s">
        <v>209</v>
      </c>
    </row>
    <row r="14" spans="1:13" x14ac:dyDescent="0.15">
      <c r="A14" s="81" t="s">
        <v>199</v>
      </c>
      <c r="B14" s="82">
        <f>floors!$C$2</f>
        <v>39014</v>
      </c>
      <c r="C14" s="83" t="str">
        <f ca="1">VLOOKUP($B14,OFFSET([2]quests!$A$1,0,0,COUNTA([2]quests!$A:$A),MATCH(C$1,[2]quests!$1:$1,0)-MATCH($B$1,[2]quests!$1:$1,0)+1),MATCH(C$1,[2]quests!$1:$1,0)-MATCH($B$1,[2]quests!$1:$1,0)+1,FALSE)</f>
        <v>金券</v>
      </c>
      <c r="D14" s="83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【超級】金券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85">
        <v>0</v>
      </c>
      <c r="I14">
        <v>36</v>
      </c>
      <c r="J14" s="84" t="s">
        <v>197</v>
      </c>
      <c r="K14" s="93" t="str">
        <f>VLOOKUP(I14,[8]stage_hints!$A:$C,3,FALSE)</f>
        <v>タワーオブザクイーンのボス</v>
      </c>
      <c r="L14" s="94" t="str">
        <f>VLOOKUP(I14,[8]stage_hints!$A:$D,4,FALSE)</f>
        <v>「タワーオブザクイーン」最上階のボスは_x000D_15階の初回クリア報酬で獲得できるほか_x000D_その階にて低確率でドロップもします</v>
      </c>
      <c r="M14" s="57" t="s">
        <v>209</v>
      </c>
    </row>
    <row r="15" spans="1:13" x14ac:dyDescent="0.15">
      <c r="A15" s="81" t="s">
        <v>199</v>
      </c>
      <c r="B15" s="82">
        <f>floors!$C$2</f>
        <v>39014</v>
      </c>
      <c r="C15" s="83" t="str">
        <f ca="1">VLOOKUP($B15,OFFSET([2]quests!$A$1,0,0,COUNTA([2]quests!$A:$A),MATCH(C$1,[2]quests!$1:$1,0)-MATCH($B$1,[2]quests!$1:$1,0)+1),MATCH(C$1,[2]quests!$1:$1,0)-MATCH($B$1,[2]quests!$1:$1,0)+1,FALSE)</f>
        <v>金券</v>
      </c>
      <c r="D15" s="83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87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【超級】金券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85">
        <v>0</v>
      </c>
      <c r="I15">
        <v>37</v>
      </c>
      <c r="J15" s="84" t="s">
        <v>197</v>
      </c>
      <c r="K15" s="93" t="str">
        <f>VLOOKUP(I15,[8]stage_hints!$A:$C,3,FALSE)</f>
        <v>限界突破値の引き継ぎ</v>
      </c>
      <c r="L15" s="94" t="str">
        <f>VLOOKUP(I15,[8]stage_hints!$A:$D,4,FALSE)</f>
        <v>同じユニットを強化で合成すると_x000D_限界突破値を引き継げます（覚醒前後も可）</v>
      </c>
      <c r="M15" s="57" t="s">
        <v>209</v>
      </c>
    </row>
    <row r="16" spans="1:13" x14ac:dyDescent="0.15">
      <c r="A16" s="81" t="s">
        <v>199</v>
      </c>
      <c r="B16" s="82">
        <f>floors!$C$2</f>
        <v>39014</v>
      </c>
      <c r="C16" s="83" t="str">
        <f ca="1">VLOOKUP($B16,OFFSET([2]quests!$A$1,0,0,COUNTA([2]quests!$A:$A),MATCH(C$1,[2]quests!$1:$1,0)-MATCH($B$1,[2]quests!$1:$1,0)+1),MATCH(C$1,[2]quests!$1:$1,0)-MATCH($B$1,[2]quests!$1:$1,0)+1,FALSE)</f>
        <v>金券</v>
      </c>
      <c r="D16" s="83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87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【超級】金券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85">
        <v>0</v>
      </c>
      <c r="I16">
        <v>39</v>
      </c>
      <c r="J16" s="84" t="s">
        <v>197</v>
      </c>
      <c r="K16" s="93" t="str">
        <f>VLOOKUP(I16,[8]stage_hints!$A:$C,3,FALSE)</f>
        <v>システム適合者を確認</v>
      </c>
      <c r="L16" s="94" t="str">
        <f>VLOOKUP(I16,[8]stage_hints!$A:$D,4,FALSE)</f>
        <v>ALICEが 「アナタ」を呼んでいます</v>
      </c>
      <c r="M16" s="57" t="s">
        <v>209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5"/>
  <sheetViews>
    <sheetView showGridLines="0" topLeftCell="E1" workbookViewId="0">
      <pane ySplit="1" topLeftCell="A2" activePane="bottomLeft" state="frozen"/>
      <selection pane="bottomLeft" activeCell="M6" sqref="M6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187</v>
      </c>
      <c r="B1" s="73" t="s">
        <v>149</v>
      </c>
      <c r="C1" s="77" t="s">
        <v>189</v>
      </c>
      <c r="D1" s="77" t="s">
        <v>33</v>
      </c>
      <c r="E1" s="73" t="s">
        <v>190</v>
      </c>
      <c r="F1" s="77" t="s">
        <v>18</v>
      </c>
      <c r="G1" s="77" t="s">
        <v>33</v>
      </c>
      <c r="H1" s="73" t="s">
        <v>192</v>
      </c>
      <c r="I1" s="89" t="s">
        <v>193</v>
      </c>
      <c r="J1" s="91" t="s">
        <v>194</v>
      </c>
      <c r="K1" s="79" t="s">
        <v>125</v>
      </c>
      <c r="L1" s="78" t="s">
        <v>186</v>
      </c>
      <c r="M1" s="92" t="s">
        <v>185</v>
      </c>
      <c r="N1" s="80" t="s">
        <v>195</v>
      </c>
    </row>
    <row r="2" spans="1:14" ht="56" x14ac:dyDescent="0.15">
      <c r="A2" s="81" t="s">
        <v>196</v>
      </c>
      <c r="B2" s="82">
        <f>floors!$C$2</f>
        <v>39014</v>
      </c>
      <c r="C2" s="83" t="str">
        <f ca="1">VLOOKUP($B2,OFFSET([2]quests!$A$1,0,0,COUNTA([2]quests!$A:$A),MATCH(C$1,[2]quests!$1:$1,0)-MATCH($B$1,[2]quests!$1:$1,0)+1),MATCH(C$1,[2]quests!$1:$1,0)-MATCH($B$1,[2]quests!$1:$1,0)+1,FALSE)</f>
        <v>金券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【超級】金券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5">
        <v>1</v>
      </c>
      <c r="I2" s="90">
        <f>ROW()-1</f>
        <v>1</v>
      </c>
      <c r="J2" s="86" t="str">
        <f>B2&amp;TEXT(I2,"00")</f>
        <v>3901401</v>
      </c>
      <c r="K2" s="84" t="s">
        <v>197</v>
      </c>
      <c r="L2" s="87" t="s">
        <v>256</v>
      </c>
      <c r="M2" s="114" t="s">
        <v>333</v>
      </c>
      <c r="N2" s="57" t="s">
        <v>198</v>
      </c>
    </row>
    <row r="3" spans="1:14" ht="42" x14ac:dyDescent="0.15">
      <c r="A3" s="81" t="s">
        <v>196</v>
      </c>
      <c r="B3" s="82">
        <f>floors!$C$2</f>
        <v>39014</v>
      </c>
      <c r="C3" s="83" t="str">
        <f ca="1">VLOOKUP($B3,OFFSET([2]quests!$A$1,0,0,COUNTA([2]quests!$A:$A),MATCH(C$1,[2]quests!$1:$1,0)-MATCH($B$1,[2]quests!$1:$1,0)+1),MATCH(C$1,[2]quests!$1:$1,0)-MATCH($B$1,[2]quests!$1:$1,0)+1,FALSE)</f>
        <v>金券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【超級】金券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5">
        <v>2</v>
      </c>
      <c r="I3" s="90">
        <f>ROW()-1</f>
        <v>2</v>
      </c>
      <c r="J3" s="86" t="str">
        <f>B3&amp;TEXT(I3,"00")</f>
        <v>3901402</v>
      </c>
      <c r="K3" s="84" t="s">
        <v>197</v>
      </c>
      <c r="L3" s="87" t="s">
        <v>256</v>
      </c>
      <c r="M3" s="114" t="s">
        <v>336</v>
      </c>
      <c r="N3" s="57" t="s">
        <v>198</v>
      </c>
    </row>
    <row r="4" spans="1:14" ht="70" x14ac:dyDescent="0.15">
      <c r="A4" s="81" t="s">
        <v>196</v>
      </c>
      <c r="B4" s="82">
        <f>floors!$C$2</f>
        <v>39014</v>
      </c>
      <c r="C4" s="83" t="str">
        <f ca="1">VLOOKUP($B4,OFFSET([2]quests!$A$1,0,0,COUNTA([2]quests!$A:$A),MATCH(C$1,[2]quests!$1:$1,0)-MATCH($B$1,[2]quests!$1:$1,0)+1),MATCH(C$1,[2]quests!$1:$1,0)-MATCH($B$1,[2]quests!$1:$1,0)+1,FALSE)</f>
        <v>金券</v>
      </c>
      <c r="D4" s="83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【超級】金券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5">
        <v>3</v>
      </c>
      <c r="I4" s="90">
        <f>ROW()-1</f>
        <v>3</v>
      </c>
      <c r="J4" s="86" t="str">
        <f>B4&amp;TEXT(I4,"00")</f>
        <v>3901403</v>
      </c>
      <c r="K4" s="84" t="s">
        <v>197</v>
      </c>
      <c r="L4" s="87" t="s">
        <v>256</v>
      </c>
      <c r="M4" s="114" t="s">
        <v>337</v>
      </c>
      <c r="N4" s="57" t="s">
        <v>198</v>
      </c>
    </row>
    <row r="5" spans="1:14" ht="56" x14ac:dyDescent="0.15">
      <c r="A5" s="81" t="s">
        <v>196</v>
      </c>
      <c r="B5" s="82">
        <f>floors!$C$2</f>
        <v>39014</v>
      </c>
      <c r="C5" s="83" t="str">
        <f ca="1">VLOOKUP($B5,OFFSET([2]quests!$A$1,0,0,COUNTA([2]quests!$A:$A),MATCH(C$1,[2]quests!$1:$1,0)-MATCH($B$1,[2]quests!$1:$1,0)+1),MATCH(C$1,[2]quests!$1:$1,0)-MATCH($B$1,[2]quests!$1:$1,0)+1,FALSE)</f>
        <v>金券</v>
      </c>
      <c r="D5" s="83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【超級】金券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5">
        <v>3</v>
      </c>
      <c r="I5" s="90">
        <f>ROW()-1</f>
        <v>4</v>
      </c>
      <c r="J5" s="86" t="str">
        <f>B5&amp;TEXT(I5,"00")</f>
        <v>3901404</v>
      </c>
      <c r="K5" s="84" t="s">
        <v>197</v>
      </c>
      <c r="L5" s="87" t="s">
        <v>256</v>
      </c>
      <c r="M5" s="114" t="s">
        <v>338</v>
      </c>
      <c r="N5" s="57" t="s">
        <v>198</v>
      </c>
    </row>
  </sheetData>
  <phoneticPr fontId="5"/>
  <dataValidations count="1">
    <dataValidation type="list" allowBlank="1" showInputMessage="1" showErrorMessage="1" sqref="A2:A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E4" sqref="E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6" t="s">
        <v>212</v>
      </c>
      <c r="B1" s="97" t="s">
        <v>213</v>
      </c>
      <c r="C1" s="77" t="s">
        <v>214</v>
      </c>
      <c r="D1" s="77" t="s">
        <v>33</v>
      </c>
      <c r="E1" s="97" t="s">
        <v>215</v>
      </c>
      <c r="F1" s="77" t="s">
        <v>216</v>
      </c>
      <c r="G1" s="77" t="s">
        <v>33</v>
      </c>
      <c r="H1" s="97" t="s">
        <v>217</v>
      </c>
      <c r="I1" s="97" t="s">
        <v>218</v>
      </c>
      <c r="J1" s="97" t="s">
        <v>219</v>
      </c>
      <c r="K1" s="73" t="s">
        <v>220</v>
      </c>
      <c r="L1" s="73" t="s">
        <v>221</v>
      </c>
      <c r="M1" s="73" t="s">
        <v>155</v>
      </c>
      <c r="N1" s="77" t="s">
        <v>16</v>
      </c>
      <c r="O1" s="73" t="s">
        <v>222</v>
      </c>
      <c r="P1" s="73" t="s">
        <v>57</v>
      </c>
      <c r="Q1" s="73" t="s">
        <v>223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224</v>
      </c>
      <c r="X1" s="73" t="s">
        <v>225</v>
      </c>
    </row>
    <row r="2" spans="1:24" x14ac:dyDescent="0.15">
      <c r="A2" s="98" t="str">
        <f>B2&amp;"_"&amp;E2&amp;"_"&amp;H2&amp;"_"&amp;I2&amp;"_"&amp;J2</f>
        <v>39014_1_everyone_clear_1</v>
      </c>
      <c r="B2" s="82">
        <v>39014</v>
      </c>
      <c r="C2" s="83" t="str">
        <f ca="1">VLOOKUP($B2,OFFSET([2]quests!$A$1,0,0,COUNTA([2]quests!$A:$A),MATCH(C$1,[2]quests!$1:$1,0)-MATCH($B$1,[2]quests!$1:$1,0)+1),MATCH(C$1,[2]quests!$1:$1,0)-MATCH($B$1,[2]quests!$1:$1,0)+1,FALSE)</f>
        <v>金券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【超級】金券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5" t="s">
        <v>226</v>
      </c>
      <c r="I2" s="84" t="s">
        <v>227</v>
      </c>
      <c r="J2" s="84">
        <v>1</v>
      </c>
      <c r="K2" s="84">
        <v>610</v>
      </c>
      <c r="L2" s="84" t="s">
        <v>228</v>
      </c>
      <c r="M2" s="84">
        <v>334</v>
      </c>
      <c r="N2" s="99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100" t="s">
        <v>229</v>
      </c>
      <c r="X2" s="101" t="s">
        <v>230</v>
      </c>
    </row>
    <row r="3" spans="1:24" x14ac:dyDescent="0.15">
      <c r="A3" s="98" t="str">
        <f>B3&amp;"_"&amp;E3&amp;"_"&amp;H3&amp;"_"&amp;I3&amp;"_"&amp;J3</f>
        <v>39014_1_everyone_no_continue_1</v>
      </c>
      <c r="B3" s="82">
        <v>39014</v>
      </c>
      <c r="C3" s="83" t="str">
        <f ca="1">VLOOKUP($B3,OFFSET([2]quests!$A$1,0,0,COUNTA([2]quests!$A:$A),MATCH(C$1,[2]quests!$1:$1,0)-MATCH($B$1,[2]quests!$1:$1,0)+1),MATCH(C$1,[2]quests!$1:$1,0)-MATCH($B$1,[2]quests!$1:$1,0)+1,FALSE)</f>
        <v>金券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【超級】金券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5" t="s">
        <v>226</v>
      </c>
      <c r="I3" s="84" t="s">
        <v>231</v>
      </c>
      <c r="J3" s="84">
        <v>1</v>
      </c>
      <c r="K3" s="84">
        <v>610</v>
      </c>
      <c r="L3" s="84" t="s">
        <v>228</v>
      </c>
      <c r="M3" s="84">
        <v>334</v>
      </c>
      <c r="N3" s="99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100" t="s">
        <v>229</v>
      </c>
      <c r="X3" s="101" t="s">
        <v>230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"/>
  <sheetViews>
    <sheetView workbookViewId="0"/>
  </sheetViews>
  <sheetFormatPr baseColWidth="12" defaultRowHeight="15" x14ac:dyDescent="0.15"/>
  <sheetData/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2017-05-17T10:18:42Z</dcterms:modified>
</cp:coreProperties>
</file>