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715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ty-a-00-018/BULL_data/master_excel/"/>
    </mc:Choice>
  </mc:AlternateContent>
  <bookViews>
    <workbookView xWindow="10260" yWindow="1580" windowWidth="26040" windowHeight="16520" tabRatio="740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enemy_habitat_S!$B$1:$AA$2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stage_hints_complete!$B$1:$L$2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5" i="7" l="1"/>
  <c r="U6" i="7"/>
  <c r="U2" i="7"/>
  <c r="W5" i="7"/>
  <c r="U4" i="7"/>
  <c r="X7" i="1"/>
  <c r="X2" i="1"/>
  <c r="X8" i="1"/>
  <c r="E21" i="9"/>
  <c r="E23" i="9"/>
  <c r="E22" i="9"/>
  <c r="B19" i="21"/>
  <c r="B18" i="21"/>
  <c r="B17" i="21"/>
  <c r="B16" i="21"/>
  <c r="B15" i="21"/>
  <c r="B14" i="21"/>
  <c r="B13" i="21"/>
  <c r="B12" i="21"/>
  <c r="B11" i="21"/>
  <c r="B10" i="21"/>
  <c r="B9" i="21"/>
  <c r="B8" i="21"/>
  <c r="B7" i="21"/>
  <c r="B6" i="21"/>
  <c r="B5" i="21"/>
  <c r="B4" i="21"/>
  <c r="B3" i="21"/>
  <c r="B2" i="21"/>
  <c r="J60" i="11"/>
  <c r="O30" i="9"/>
  <c r="N30" i="9"/>
  <c r="M30" i="9"/>
  <c r="L30" i="9"/>
  <c r="K30" i="9"/>
  <c r="J30" i="9"/>
  <c r="I30" i="9"/>
  <c r="H30" i="9"/>
  <c r="G30" i="9"/>
  <c r="E30" i="9"/>
  <c r="D30" i="9"/>
  <c r="J59" i="11"/>
  <c r="O29" i="9"/>
  <c r="N29" i="9"/>
  <c r="M29" i="9"/>
  <c r="L29" i="9"/>
  <c r="K29" i="9"/>
  <c r="J29" i="9"/>
  <c r="I29" i="9"/>
  <c r="H29" i="9"/>
  <c r="G29" i="9"/>
  <c r="E29" i="9"/>
  <c r="D29" i="9"/>
  <c r="J58" i="11"/>
  <c r="O28" i="9"/>
  <c r="N28" i="9"/>
  <c r="M28" i="9"/>
  <c r="L28" i="9"/>
  <c r="K28" i="9"/>
  <c r="J28" i="9"/>
  <c r="I28" i="9"/>
  <c r="H28" i="9"/>
  <c r="G28" i="9"/>
  <c r="E28" i="9"/>
  <c r="D28" i="9"/>
  <c r="J57" i="11"/>
  <c r="O27" i="9"/>
  <c r="N27" i="9"/>
  <c r="M27" i="9"/>
  <c r="L27" i="9"/>
  <c r="K27" i="9"/>
  <c r="J27" i="9"/>
  <c r="I27" i="9"/>
  <c r="H27" i="9"/>
  <c r="G27" i="9"/>
  <c r="E27" i="9"/>
  <c r="D27" i="9"/>
  <c r="J56" i="11"/>
  <c r="O26" i="9"/>
  <c r="N26" i="9"/>
  <c r="M26" i="9"/>
  <c r="L26" i="9"/>
  <c r="K26" i="9"/>
  <c r="J26" i="9"/>
  <c r="I26" i="9"/>
  <c r="H26" i="9"/>
  <c r="G26" i="9"/>
  <c r="E26" i="9"/>
  <c r="D26" i="9"/>
  <c r="J55" i="11"/>
  <c r="O25" i="9"/>
  <c r="N25" i="9"/>
  <c r="M25" i="9"/>
  <c r="L25" i="9"/>
  <c r="K25" i="9"/>
  <c r="J25" i="9"/>
  <c r="I25" i="9"/>
  <c r="H25" i="9"/>
  <c r="G25" i="9"/>
  <c r="E25" i="9"/>
  <c r="D25" i="9"/>
  <c r="J54" i="11"/>
  <c r="O24" i="9"/>
  <c r="N24" i="9"/>
  <c r="M24" i="9"/>
  <c r="L24" i="9"/>
  <c r="K24" i="9"/>
  <c r="J24" i="9"/>
  <c r="I24" i="9"/>
  <c r="H24" i="9"/>
  <c r="G24" i="9"/>
  <c r="E24" i="9"/>
  <c r="D24" i="9"/>
  <c r="J53" i="11"/>
  <c r="O23" i="9"/>
  <c r="N23" i="9"/>
  <c r="M23" i="9"/>
  <c r="L23" i="9"/>
  <c r="K23" i="9"/>
  <c r="J23" i="9"/>
  <c r="I23" i="9"/>
  <c r="H23" i="9"/>
  <c r="G23" i="9"/>
  <c r="D23" i="9"/>
  <c r="J52" i="11"/>
  <c r="O22" i="9"/>
  <c r="N22" i="9"/>
  <c r="M22" i="9"/>
  <c r="L22" i="9"/>
  <c r="K22" i="9"/>
  <c r="J22" i="9"/>
  <c r="I22" i="9"/>
  <c r="H22" i="9"/>
  <c r="G22" i="9"/>
  <c r="D22" i="9"/>
  <c r="J45" i="11"/>
  <c r="O21" i="9"/>
  <c r="N21" i="9"/>
  <c r="M21" i="9"/>
  <c r="L21" i="9"/>
  <c r="K21" i="9"/>
  <c r="J21" i="9"/>
  <c r="I21" i="9"/>
  <c r="H21" i="9"/>
  <c r="G21" i="9"/>
  <c r="D21" i="9"/>
  <c r="J44" i="11"/>
  <c r="O20" i="9"/>
  <c r="N20" i="9"/>
  <c r="M20" i="9"/>
  <c r="L20" i="9"/>
  <c r="K20" i="9"/>
  <c r="J20" i="9"/>
  <c r="I20" i="9"/>
  <c r="H20" i="9"/>
  <c r="G20" i="9"/>
  <c r="E20" i="9"/>
  <c r="D20" i="9"/>
  <c r="J43" i="11"/>
  <c r="O19" i="9"/>
  <c r="N19" i="9"/>
  <c r="M19" i="9"/>
  <c r="L19" i="9"/>
  <c r="K19" i="9"/>
  <c r="J19" i="9"/>
  <c r="I19" i="9"/>
  <c r="H19" i="9"/>
  <c r="G19" i="9"/>
  <c r="E19" i="9"/>
  <c r="D19" i="9"/>
  <c r="J42" i="11"/>
  <c r="O18" i="9"/>
  <c r="N18" i="9"/>
  <c r="M18" i="9"/>
  <c r="L18" i="9"/>
  <c r="K18" i="9"/>
  <c r="J18" i="9"/>
  <c r="I18" i="9"/>
  <c r="H18" i="9"/>
  <c r="G18" i="9"/>
  <c r="E18" i="9"/>
  <c r="D18" i="9"/>
  <c r="J35" i="11"/>
  <c r="O17" i="9"/>
  <c r="N17" i="9"/>
  <c r="M17" i="9"/>
  <c r="L17" i="9"/>
  <c r="K17" i="9"/>
  <c r="J17" i="9"/>
  <c r="I17" i="9"/>
  <c r="H17" i="9"/>
  <c r="G17" i="9"/>
  <c r="E17" i="9"/>
  <c r="D17" i="9"/>
  <c r="J34" i="11"/>
  <c r="O16" i="9"/>
  <c r="N16" i="9"/>
  <c r="M16" i="9"/>
  <c r="L16" i="9"/>
  <c r="K16" i="9"/>
  <c r="J16" i="9"/>
  <c r="I16" i="9"/>
  <c r="H16" i="9"/>
  <c r="G16" i="9"/>
  <c r="E16" i="9"/>
  <c r="D16" i="9"/>
  <c r="J33" i="11"/>
  <c r="O15" i="9"/>
  <c r="N15" i="9"/>
  <c r="M15" i="9"/>
  <c r="L15" i="9"/>
  <c r="K15" i="9"/>
  <c r="J15" i="9"/>
  <c r="I15" i="9"/>
  <c r="H15" i="9"/>
  <c r="G15" i="9"/>
  <c r="E15" i="9"/>
  <c r="D15" i="9"/>
  <c r="J32" i="11"/>
  <c r="O14" i="9"/>
  <c r="N14" i="9"/>
  <c r="M14" i="9"/>
  <c r="L14" i="9"/>
  <c r="K14" i="9"/>
  <c r="J14" i="9"/>
  <c r="I14" i="9"/>
  <c r="H14" i="9"/>
  <c r="G14" i="9"/>
  <c r="E14" i="9"/>
  <c r="D14" i="9"/>
  <c r="J28" i="11"/>
  <c r="O13" i="9"/>
  <c r="N13" i="9"/>
  <c r="M13" i="9"/>
  <c r="L13" i="9"/>
  <c r="K13" i="9"/>
  <c r="J13" i="9"/>
  <c r="I13" i="9"/>
  <c r="H13" i="9"/>
  <c r="G13" i="9"/>
  <c r="E13" i="9"/>
  <c r="D13" i="9"/>
  <c r="J23" i="11"/>
  <c r="O12" i="9"/>
  <c r="N12" i="9"/>
  <c r="M12" i="9"/>
  <c r="L12" i="9"/>
  <c r="K12" i="9"/>
  <c r="J12" i="9"/>
  <c r="I12" i="9"/>
  <c r="H12" i="9"/>
  <c r="G12" i="9"/>
  <c r="E12" i="9"/>
  <c r="D12" i="9"/>
  <c r="J22" i="11"/>
  <c r="O11" i="9"/>
  <c r="N11" i="9"/>
  <c r="M11" i="9"/>
  <c r="L11" i="9"/>
  <c r="K11" i="9"/>
  <c r="J11" i="9"/>
  <c r="I11" i="9"/>
  <c r="H11" i="9"/>
  <c r="G11" i="9"/>
  <c r="E11" i="9"/>
  <c r="D11" i="9"/>
  <c r="J19" i="11"/>
  <c r="O10" i="9"/>
  <c r="N10" i="9"/>
  <c r="M10" i="9"/>
  <c r="L10" i="9"/>
  <c r="K10" i="9"/>
  <c r="J10" i="9"/>
  <c r="I10" i="9"/>
  <c r="H10" i="9"/>
  <c r="G10" i="9"/>
  <c r="E10" i="9"/>
  <c r="D10" i="9"/>
  <c r="J18" i="11"/>
  <c r="O9" i="9"/>
  <c r="N9" i="9"/>
  <c r="M9" i="9"/>
  <c r="L9" i="9"/>
  <c r="K9" i="9"/>
  <c r="J9" i="9"/>
  <c r="I9" i="9"/>
  <c r="H9" i="9"/>
  <c r="G9" i="9"/>
  <c r="E9" i="9"/>
  <c r="D9" i="9"/>
  <c r="J17" i="11"/>
  <c r="O8" i="9"/>
  <c r="N8" i="9"/>
  <c r="M8" i="9"/>
  <c r="L8" i="9"/>
  <c r="K8" i="9"/>
  <c r="J8" i="9"/>
  <c r="I8" i="9"/>
  <c r="H8" i="9"/>
  <c r="G8" i="9"/>
  <c r="E8" i="9"/>
  <c r="D8" i="9"/>
  <c r="J14" i="11"/>
  <c r="O7" i="9"/>
  <c r="N7" i="9"/>
  <c r="M7" i="9"/>
  <c r="L7" i="9"/>
  <c r="K7" i="9"/>
  <c r="J7" i="9"/>
  <c r="I7" i="9"/>
  <c r="H7" i="9"/>
  <c r="G7" i="9"/>
  <c r="E7" i="9"/>
  <c r="D7" i="9"/>
  <c r="J13" i="11"/>
  <c r="O6" i="9"/>
  <c r="N6" i="9"/>
  <c r="M6" i="9"/>
  <c r="L6" i="9"/>
  <c r="K6" i="9"/>
  <c r="J6" i="9"/>
  <c r="I6" i="9"/>
  <c r="H6" i="9"/>
  <c r="G6" i="9"/>
  <c r="E6" i="9"/>
  <c r="D6" i="9"/>
  <c r="J12" i="11"/>
  <c r="O5" i="9"/>
  <c r="N5" i="9"/>
  <c r="M5" i="9"/>
  <c r="L5" i="9"/>
  <c r="K5" i="9"/>
  <c r="J5" i="9"/>
  <c r="I5" i="9"/>
  <c r="H5" i="9"/>
  <c r="G5" i="9"/>
  <c r="E5" i="9"/>
  <c r="D5" i="9"/>
  <c r="J8" i="11"/>
  <c r="O4" i="9"/>
  <c r="N4" i="9"/>
  <c r="M4" i="9"/>
  <c r="L4" i="9"/>
  <c r="K4" i="9"/>
  <c r="J4" i="9"/>
  <c r="I4" i="9"/>
  <c r="H4" i="9"/>
  <c r="G4" i="9"/>
  <c r="E4" i="9"/>
  <c r="D4" i="9"/>
  <c r="J7" i="11"/>
  <c r="O3" i="9"/>
  <c r="N3" i="9"/>
  <c r="M3" i="9"/>
  <c r="L3" i="9"/>
  <c r="K3" i="9"/>
  <c r="J3" i="9"/>
  <c r="I3" i="9"/>
  <c r="H3" i="9"/>
  <c r="G3" i="9"/>
  <c r="E3" i="9"/>
  <c r="D3" i="9"/>
  <c r="J2" i="11"/>
  <c r="O2" i="9"/>
  <c r="N2" i="9"/>
  <c r="M2" i="9"/>
  <c r="L2" i="9"/>
  <c r="K2" i="9"/>
  <c r="J2" i="9"/>
  <c r="I2" i="9"/>
  <c r="H2" i="9"/>
  <c r="G2" i="9"/>
  <c r="E2" i="9"/>
  <c r="D2" i="9"/>
  <c r="H7" i="7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J7" i="7"/>
  <c r="I7" i="7"/>
  <c r="H6" i="7"/>
  <c r="J6" i="7"/>
  <c r="I6" i="7"/>
  <c r="H5" i="7"/>
  <c r="J5" i="7"/>
  <c r="I5" i="7"/>
  <c r="H4" i="7"/>
  <c r="J4" i="7"/>
  <c r="I4" i="7"/>
  <c r="H3" i="7"/>
  <c r="J3" i="7"/>
  <c r="I3" i="7"/>
  <c r="H2" i="7"/>
  <c r="J2" i="7"/>
  <c r="I2" i="7"/>
  <c r="H13" i="1"/>
  <c r="J13" i="1"/>
  <c r="I13" i="1"/>
  <c r="X12" i="1"/>
  <c r="H12" i="1"/>
  <c r="J12" i="1"/>
  <c r="I12" i="1"/>
  <c r="X11" i="1"/>
  <c r="H11" i="1"/>
  <c r="J11" i="1"/>
  <c r="I11" i="1"/>
  <c r="X10" i="1"/>
  <c r="H10" i="1"/>
  <c r="J10" i="1"/>
  <c r="I10" i="1"/>
  <c r="X9" i="1"/>
  <c r="H9" i="1"/>
  <c r="J9" i="1"/>
  <c r="I9" i="1"/>
  <c r="H8" i="1"/>
  <c r="J8" i="1"/>
  <c r="I8" i="1"/>
  <c r="H7" i="1"/>
  <c r="J7" i="1"/>
  <c r="I7" i="1"/>
  <c r="X6" i="1"/>
  <c r="H6" i="1"/>
  <c r="J6" i="1"/>
  <c r="I6" i="1"/>
  <c r="X5" i="1"/>
  <c r="H5" i="1"/>
  <c r="J5" i="1"/>
  <c r="I5" i="1"/>
  <c r="X4" i="1"/>
  <c r="H4" i="1"/>
  <c r="J4" i="1"/>
  <c r="I4" i="1"/>
  <c r="X3" i="1"/>
  <c r="H3" i="1"/>
  <c r="J3" i="1"/>
  <c r="I3" i="1"/>
  <c r="H2" i="1"/>
  <c r="J2" i="1"/>
  <c r="I2" i="1"/>
  <c r="B9" i="2"/>
  <c r="B8" i="2"/>
  <c r="B7" i="2"/>
  <c r="B6" i="2"/>
  <c r="B5" i="2"/>
  <c r="B4" i="2"/>
  <c r="B3" i="2"/>
  <c r="B2" i="2"/>
  <c r="N3" i="22"/>
  <c r="G3" i="22"/>
  <c r="F3" i="22"/>
  <c r="D3" i="22"/>
  <c r="C3" i="22"/>
  <c r="A3" i="22"/>
  <c r="N2" i="22"/>
  <c r="G2" i="22"/>
  <c r="F2" i="22"/>
  <c r="D2" i="22"/>
  <c r="C2" i="22"/>
  <c r="A2" i="22"/>
  <c r="I19" i="21"/>
  <c r="J19" i="21"/>
  <c r="G19" i="21"/>
  <c r="F19" i="21"/>
  <c r="D19" i="21"/>
  <c r="C19" i="21"/>
  <c r="I18" i="21"/>
  <c r="J18" i="21"/>
  <c r="G18" i="21"/>
  <c r="F18" i="21"/>
  <c r="D18" i="21"/>
  <c r="C18" i="21"/>
  <c r="I17" i="21"/>
  <c r="J17" i="21"/>
  <c r="G17" i="21"/>
  <c r="F17" i="21"/>
  <c r="D17" i="21"/>
  <c r="C17" i="21"/>
  <c r="I16" i="21"/>
  <c r="J16" i="21"/>
  <c r="G16" i="21"/>
  <c r="F16" i="21"/>
  <c r="D16" i="21"/>
  <c r="C16" i="21"/>
  <c r="I15" i="21"/>
  <c r="J15" i="21"/>
  <c r="G15" i="21"/>
  <c r="F15" i="21"/>
  <c r="D15" i="21"/>
  <c r="C15" i="21"/>
  <c r="I14" i="21"/>
  <c r="J14" i="21"/>
  <c r="G14" i="21"/>
  <c r="F14" i="21"/>
  <c r="D14" i="21"/>
  <c r="C14" i="21"/>
  <c r="I13" i="21"/>
  <c r="J13" i="21"/>
  <c r="G13" i="21"/>
  <c r="F13" i="21"/>
  <c r="D13" i="21"/>
  <c r="C13" i="21"/>
  <c r="I12" i="21"/>
  <c r="J12" i="21"/>
  <c r="G12" i="21"/>
  <c r="F12" i="21"/>
  <c r="D12" i="21"/>
  <c r="C12" i="21"/>
  <c r="I11" i="21"/>
  <c r="J11" i="21"/>
  <c r="G11" i="21"/>
  <c r="F11" i="21"/>
  <c r="D11" i="21"/>
  <c r="C11" i="21"/>
  <c r="I10" i="21"/>
  <c r="J10" i="21"/>
  <c r="G10" i="21"/>
  <c r="F10" i="21"/>
  <c r="D10" i="21"/>
  <c r="C10" i="21"/>
  <c r="I9" i="21"/>
  <c r="J9" i="21"/>
  <c r="G9" i="21"/>
  <c r="F9" i="21"/>
  <c r="D9" i="21"/>
  <c r="C9" i="21"/>
  <c r="I8" i="21"/>
  <c r="J8" i="21"/>
  <c r="G8" i="21"/>
  <c r="F8" i="21"/>
  <c r="D8" i="21"/>
  <c r="C8" i="21"/>
  <c r="I7" i="21"/>
  <c r="J7" i="21"/>
  <c r="G7" i="21"/>
  <c r="F7" i="21"/>
  <c r="D7" i="21"/>
  <c r="C7" i="21"/>
  <c r="I6" i="21"/>
  <c r="J6" i="21"/>
  <c r="G6" i="21"/>
  <c r="F6" i="21"/>
  <c r="D6" i="21"/>
  <c r="C6" i="21"/>
  <c r="I5" i="21"/>
  <c r="J5" i="21"/>
  <c r="G5" i="21"/>
  <c r="F5" i="21"/>
  <c r="D5" i="21"/>
  <c r="C5" i="21"/>
  <c r="I4" i="21"/>
  <c r="J4" i="21"/>
  <c r="G4" i="21"/>
  <c r="F4" i="21"/>
  <c r="D4" i="21"/>
  <c r="C4" i="21"/>
  <c r="I3" i="21"/>
  <c r="J3" i="21"/>
  <c r="G3" i="21"/>
  <c r="F3" i="21"/>
  <c r="D3" i="21"/>
  <c r="C3" i="21"/>
  <c r="I2" i="21"/>
  <c r="J2" i="21"/>
  <c r="G2" i="21"/>
  <c r="F2" i="21"/>
  <c r="D2" i="21"/>
  <c r="C2" i="21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J61" i="11"/>
  <c r="J51" i="11"/>
  <c r="J50" i="11"/>
  <c r="J49" i="11"/>
  <c r="J48" i="11"/>
  <c r="J47" i="11"/>
  <c r="J46" i="11"/>
  <c r="J41" i="11"/>
  <c r="J40" i="11"/>
  <c r="J39" i="11"/>
  <c r="J38" i="11"/>
  <c r="J37" i="11"/>
  <c r="J36" i="11"/>
  <c r="J31" i="11"/>
  <c r="J30" i="11"/>
  <c r="J29" i="11"/>
  <c r="J27" i="11"/>
  <c r="J26" i="11"/>
  <c r="J25" i="11"/>
  <c r="J24" i="11"/>
  <c r="J21" i="11"/>
  <c r="J20" i="11"/>
  <c r="J16" i="11"/>
  <c r="J15" i="11"/>
  <c r="J11" i="11"/>
  <c r="J10" i="11"/>
  <c r="J9" i="11"/>
  <c r="J6" i="11"/>
  <c r="J5" i="11"/>
  <c r="J4" i="11"/>
  <c r="J3" i="11"/>
  <c r="M61" i="10"/>
  <c r="T61" i="10"/>
  <c r="W61" i="10"/>
  <c r="V61" i="10"/>
  <c r="X61" i="10"/>
  <c r="U61" i="10"/>
  <c r="Y61" i="10"/>
  <c r="N61" i="10"/>
  <c r="Q61" i="10"/>
  <c r="P61" i="10"/>
  <c r="R61" i="10"/>
  <c r="O61" i="10"/>
  <c r="S61" i="10"/>
  <c r="G61" i="10"/>
  <c r="J61" i="10"/>
  <c r="I61" i="10"/>
  <c r="K61" i="10"/>
  <c r="H61" i="10"/>
  <c r="L61" i="10"/>
  <c r="M60" i="10"/>
  <c r="T60" i="10"/>
  <c r="W60" i="10"/>
  <c r="V60" i="10"/>
  <c r="X60" i="10"/>
  <c r="U60" i="10"/>
  <c r="Y60" i="10"/>
  <c r="N60" i="10"/>
  <c r="Q60" i="10"/>
  <c r="P60" i="10"/>
  <c r="R60" i="10"/>
  <c r="O60" i="10"/>
  <c r="S60" i="10"/>
  <c r="G60" i="10"/>
  <c r="J60" i="10"/>
  <c r="I60" i="10"/>
  <c r="K60" i="10"/>
  <c r="H60" i="10"/>
  <c r="L60" i="10"/>
  <c r="M59" i="10"/>
  <c r="T59" i="10"/>
  <c r="W59" i="10"/>
  <c r="V59" i="10"/>
  <c r="X59" i="10"/>
  <c r="U59" i="10"/>
  <c r="Y59" i="10"/>
  <c r="N59" i="10"/>
  <c r="Q59" i="10"/>
  <c r="P59" i="10"/>
  <c r="R59" i="10"/>
  <c r="O59" i="10"/>
  <c r="S59" i="10"/>
  <c r="G59" i="10"/>
  <c r="J59" i="10"/>
  <c r="I59" i="10"/>
  <c r="K59" i="10"/>
  <c r="H59" i="10"/>
  <c r="L59" i="10"/>
  <c r="M58" i="10"/>
  <c r="T58" i="10"/>
  <c r="W58" i="10"/>
  <c r="V58" i="10"/>
  <c r="X58" i="10"/>
  <c r="U58" i="10"/>
  <c r="Y58" i="10"/>
  <c r="N58" i="10"/>
  <c r="Q58" i="10"/>
  <c r="P58" i="10"/>
  <c r="R58" i="10"/>
  <c r="O58" i="10"/>
  <c r="S58" i="10"/>
  <c r="G58" i="10"/>
  <c r="J58" i="10"/>
  <c r="I58" i="10"/>
  <c r="K58" i="10"/>
  <c r="H58" i="10"/>
  <c r="L58" i="10"/>
  <c r="M57" i="10"/>
  <c r="T57" i="10"/>
  <c r="W57" i="10"/>
  <c r="V57" i="10"/>
  <c r="X57" i="10"/>
  <c r="U57" i="10"/>
  <c r="Y57" i="10"/>
  <c r="N57" i="10"/>
  <c r="Q57" i="10"/>
  <c r="P57" i="10"/>
  <c r="R57" i="10"/>
  <c r="O57" i="10"/>
  <c r="S57" i="10"/>
  <c r="G57" i="10"/>
  <c r="J57" i="10"/>
  <c r="I57" i="10"/>
  <c r="K57" i="10"/>
  <c r="H57" i="10"/>
  <c r="L57" i="10"/>
  <c r="M56" i="10"/>
  <c r="T56" i="10"/>
  <c r="W56" i="10"/>
  <c r="V56" i="10"/>
  <c r="X56" i="10"/>
  <c r="U56" i="10"/>
  <c r="Y56" i="10"/>
  <c r="N56" i="10"/>
  <c r="Q56" i="10"/>
  <c r="P56" i="10"/>
  <c r="R56" i="10"/>
  <c r="O56" i="10"/>
  <c r="S56" i="10"/>
  <c r="G56" i="10"/>
  <c r="J56" i="10"/>
  <c r="I56" i="10"/>
  <c r="K56" i="10"/>
  <c r="H56" i="10"/>
  <c r="L56" i="10"/>
  <c r="M55" i="10"/>
  <c r="T55" i="10"/>
  <c r="W55" i="10"/>
  <c r="V55" i="10"/>
  <c r="X55" i="10"/>
  <c r="U55" i="10"/>
  <c r="Y55" i="10"/>
  <c r="N55" i="10"/>
  <c r="Q55" i="10"/>
  <c r="P55" i="10"/>
  <c r="R55" i="10"/>
  <c r="O55" i="10"/>
  <c r="S55" i="10"/>
  <c r="G55" i="10"/>
  <c r="J55" i="10"/>
  <c r="I55" i="10"/>
  <c r="K55" i="10"/>
  <c r="H55" i="10"/>
  <c r="L55" i="10"/>
  <c r="M54" i="10"/>
  <c r="T54" i="10"/>
  <c r="W54" i="10"/>
  <c r="V54" i="10"/>
  <c r="X54" i="10"/>
  <c r="U54" i="10"/>
  <c r="Y54" i="10"/>
  <c r="N54" i="10"/>
  <c r="Q54" i="10"/>
  <c r="P54" i="10"/>
  <c r="R54" i="10"/>
  <c r="O54" i="10"/>
  <c r="S54" i="10"/>
  <c r="G54" i="10"/>
  <c r="J54" i="10"/>
  <c r="I54" i="10"/>
  <c r="K54" i="10"/>
  <c r="H54" i="10"/>
  <c r="L54" i="10"/>
  <c r="M53" i="10"/>
  <c r="T53" i="10"/>
  <c r="W53" i="10"/>
  <c r="V53" i="10"/>
  <c r="X53" i="10"/>
  <c r="U53" i="10"/>
  <c r="Y53" i="10"/>
  <c r="N53" i="10"/>
  <c r="Q53" i="10"/>
  <c r="P53" i="10"/>
  <c r="R53" i="10"/>
  <c r="O53" i="10"/>
  <c r="S53" i="10"/>
  <c r="G53" i="10"/>
  <c r="J53" i="10"/>
  <c r="I53" i="10"/>
  <c r="K53" i="10"/>
  <c r="H53" i="10"/>
  <c r="L53" i="10"/>
  <c r="M52" i="10"/>
  <c r="T52" i="10"/>
  <c r="W52" i="10"/>
  <c r="V52" i="10"/>
  <c r="X52" i="10"/>
  <c r="U52" i="10"/>
  <c r="Y52" i="10"/>
  <c r="N52" i="10"/>
  <c r="Q52" i="10"/>
  <c r="P52" i="10"/>
  <c r="R52" i="10"/>
  <c r="O52" i="10"/>
  <c r="S52" i="10"/>
  <c r="G52" i="10"/>
  <c r="J52" i="10"/>
  <c r="I52" i="10"/>
  <c r="K52" i="10"/>
  <c r="H52" i="10"/>
  <c r="L52" i="10"/>
  <c r="M51" i="10"/>
  <c r="T51" i="10"/>
  <c r="W51" i="10"/>
  <c r="V51" i="10"/>
  <c r="X51" i="10"/>
  <c r="U51" i="10"/>
  <c r="Y51" i="10"/>
  <c r="N51" i="10"/>
  <c r="Q51" i="10"/>
  <c r="P51" i="10"/>
  <c r="R51" i="10"/>
  <c r="O51" i="10"/>
  <c r="S51" i="10"/>
  <c r="G51" i="10"/>
  <c r="J51" i="10"/>
  <c r="I51" i="10"/>
  <c r="K51" i="10"/>
  <c r="H51" i="10"/>
  <c r="L51" i="10"/>
  <c r="M50" i="10"/>
  <c r="T50" i="10"/>
  <c r="W50" i="10"/>
  <c r="V50" i="10"/>
  <c r="X50" i="10"/>
  <c r="U50" i="10"/>
  <c r="Y50" i="10"/>
  <c r="N50" i="10"/>
  <c r="Q50" i="10"/>
  <c r="P50" i="10"/>
  <c r="R50" i="10"/>
  <c r="O50" i="10"/>
  <c r="S50" i="10"/>
  <c r="G50" i="10"/>
  <c r="J50" i="10"/>
  <c r="I50" i="10"/>
  <c r="K50" i="10"/>
  <c r="H50" i="10"/>
  <c r="L50" i="10"/>
  <c r="M49" i="10"/>
  <c r="T49" i="10"/>
  <c r="W49" i="10"/>
  <c r="V49" i="10"/>
  <c r="X49" i="10"/>
  <c r="U49" i="10"/>
  <c r="Y49" i="10"/>
  <c r="N49" i="10"/>
  <c r="Q49" i="10"/>
  <c r="P49" i="10"/>
  <c r="R49" i="10"/>
  <c r="O49" i="10"/>
  <c r="S49" i="10"/>
  <c r="G49" i="10"/>
  <c r="J49" i="10"/>
  <c r="I49" i="10"/>
  <c r="K49" i="10"/>
  <c r="H49" i="10"/>
  <c r="L49" i="10"/>
  <c r="M48" i="10"/>
  <c r="T48" i="10"/>
  <c r="W48" i="10"/>
  <c r="V48" i="10"/>
  <c r="X48" i="10"/>
  <c r="U48" i="10"/>
  <c r="Y48" i="10"/>
  <c r="N48" i="10"/>
  <c r="Q48" i="10"/>
  <c r="P48" i="10"/>
  <c r="R48" i="10"/>
  <c r="O48" i="10"/>
  <c r="S48" i="10"/>
  <c r="G48" i="10"/>
  <c r="J48" i="10"/>
  <c r="I48" i="10"/>
  <c r="K48" i="10"/>
  <c r="H48" i="10"/>
  <c r="L48" i="10"/>
  <c r="M47" i="10"/>
  <c r="T47" i="10"/>
  <c r="W47" i="10"/>
  <c r="V47" i="10"/>
  <c r="X47" i="10"/>
  <c r="U47" i="10"/>
  <c r="Y47" i="10"/>
  <c r="N47" i="10"/>
  <c r="Q47" i="10"/>
  <c r="P47" i="10"/>
  <c r="R47" i="10"/>
  <c r="O47" i="10"/>
  <c r="S47" i="10"/>
  <c r="G47" i="10"/>
  <c r="J47" i="10"/>
  <c r="I47" i="10"/>
  <c r="K47" i="10"/>
  <c r="H47" i="10"/>
  <c r="L47" i="10"/>
  <c r="M46" i="10"/>
  <c r="T46" i="10"/>
  <c r="W46" i="10"/>
  <c r="V46" i="10"/>
  <c r="X46" i="10"/>
  <c r="U46" i="10"/>
  <c r="Y46" i="10"/>
  <c r="N46" i="10"/>
  <c r="Q46" i="10"/>
  <c r="P46" i="10"/>
  <c r="R46" i="10"/>
  <c r="O46" i="10"/>
  <c r="S46" i="10"/>
  <c r="G46" i="10"/>
  <c r="J46" i="10"/>
  <c r="I46" i="10"/>
  <c r="K46" i="10"/>
  <c r="H46" i="10"/>
  <c r="L46" i="10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M44" i="10"/>
  <c r="T44" i="10"/>
  <c r="W44" i="10"/>
  <c r="V44" i="10"/>
  <c r="X44" i="10"/>
  <c r="U44" i="10"/>
  <c r="Y44" i="10"/>
  <c r="N44" i="10"/>
  <c r="Q44" i="10"/>
  <c r="P44" i="10"/>
  <c r="R44" i="10"/>
  <c r="O44" i="10"/>
  <c r="S44" i="10"/>
  <c r="G44" i="10"/>
  <c r="J44" i="10"/>
  <c r="I44" i="10"/>
  <c r="K44" i="10"/>
  <c r="H44" i="10"/>
  <c r="L44" i="10"/>
  <c r="M43" i="10"/>
  <c r="T43" i="10"/>
  <c r="W43" i="10"/>
  <c r="V43" i="10"/>
  <c r="X43" i="10"/>
  <c r="U43" i="10"/>
  <c r="Y43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M2" i="10"/>
  <c r="T2" i="10"/>
  <c r="W2" i="10"/>
  <c r="V2" i="10"/>
  <c r="X2" i="10"/>
  <c r="U2" i="10"/>
  <c r="Y2" i="10"/>
  <c r="N2" i="10"/>
  <c r="Q2" i="10"/>
  <c r="P2" i="10"/>
  <c r="R2" i="10"/>
  <c r="O2" i="10"/>
  <c r="S2" i="10"/>
  <c r="G2" i="10"/>
  <c r="J2" i="10"/>
  <c r="I2" i="10"/>
  <c r="K2" i="10"/>
  <c r="H2" i="10"/>
  <c r="L2" i="10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A4" i="9"/>
  <c r="A3" i="9"/>
  <c r="A2" i="9"/>
  <c r="Y7" i="7"/>
  <c r="W7" i="7"/>
  <c r="U7" i="7"/>
  <c r="R7" i="7"/>
  <c r="Q7" i="7"/>
  <c r="P7" i="7"/>
  <c r="O7" i="7"/>
  <c r="N7" i="7"/>
  <c r="D7" i="7"/>
  <c r="F7" i="7"/>
  <c r="E7" i="7"/>
  <c r="A7" i="7"/>
  <c r="Y6" i="7"/>
  <c r="W6" i="7"/>
  <c r="R6" i="7"/>
  <c r="Q6" i="7"/>
  <c r="P6" i="7"/>
  <c r="O6" i="7"/>
  <c r="N6" i="7"/>
  <c r="D6" i="7"/>
  <c r="F6" i="7"/>
  <c r="E6" i="7"/>
  <c r="A6" i="7"/>
  <c r="Y5" i="7"/>
  <c r="R5" i="7"/>
  <c r="Q5" i="7"/>
  <c r="P5" i="7"/>
  <c r="O5" i="7"/>
  <c r="N5" i="7"/>
  <c r="D5" i="7"/>
  <c r="F5" i="7"/>
  <c r="E5" i="7"/>
  <c r="A5" i="7"/>
  <c r="Y4" i="7"/>
  <c r="W4" i="7"/>
  <c r="R4" i="7"/>
  <c r="Q4" i="7"/>
  <c r="P4" i="7"/>
  <c r="O4" i="7"/>
  <c r="N4" i="7"/>
  <c r="D4" i="7"/>
  <c r="F4" i="7"/>
  <c r="E4" i="7"/>
  <c r="A4" i="7"/>
  <c r="Y3" i="7"/>
  <c r="W3" i="7"/>
  <c r="U3" i="7"/>
  <c r="R3" i="7"/>
  <c r="Q3" i="7"/>
  <c r="P3" i="7"/>
  <c r="O3" i="7"/>
  <c r="N3" i="7"/>
  <c r="D3" i="7"/>
  <c r="F3" i="7"/>
  <c r="E3" i="7"/>
  <c r="A3" i="7"/>
  <c r="Y2" i="7"/>
  <c r="W2" i="7"/>
  <c r="R2" i="7"/>
  <c r="Q2" i="7"/>
  <c r="P2" i="7"/>
  <c r="O2" i="7"/>
  <c r="N2" i="7"/>
  <c r="D2" i="7"/>
  <c r="F2" i="7"/>
  <c r="E2" i="7"/>
  <c r="A2" i="7"/>
  <c r="AD13" i="1"/>
  <c r="AF13" i="1"/>
  <c r="AI13" i="1"/>
  <c r="AG13" i="1"/>
  <c r="AE13" i="1"/>
  <c r="X13" i="1"/>
  <c r="V13" i="1"/>
  <c r="T13" i="1"/>
  <c r="Q13" i="1"/>
  <c r="P13" i="1"/>
  <c r="O13" i="1"/>
  <c r="N13" i="1"/>
  <c r="M13" i="1"/>
  <c r="D13" i="1"/>
  <c r="F13" i="1"/>
  <c r="E13" i="1"/>
  <c r="A13" i="1"/>
  <c r="AD12" i="1"/>
  <c r="AF12" i="1"/>
  <c r="AI12" i="1"/>
  <c r="AG12" i="1"/>
  <c r="AE12" i="1"/>
  <c r="V12" i="1"/>
  <c r="T12" i="1"/>
  <c r="Q12" i="1"/>
  <c r="P12" i="1"/>
  <c r="O12" i="1"/>
  <c r="N12" i="1"/>
  <c r="M12" i="1"/>
  <c r="D12" i="1"/>
  <c r="F12" i="1"/>
  <c r="E12" i="1"/>
  <c r="A12" i="1"/>
  <c r="AF11" i="1"/>
  <c r="AI11" i="1"/>
  <c r="AG11" i="1"/>
  <c r="AE11" i="1"/>
  <c r="V11" i="1"/>
  <c r="T11" i="1"/>
  <c r="Q11" i="1"/>
  <c r="P11" i="1"/>
  <c r="O11" i="1"/>
  <c r="N11" i="1"/>
  <c r="M11" i="1"/>
  <c r="D11" i="1"/>
  <c r="F11" i="1"/>
  <c r="E11" i="1"/>
  <c r="A11" i="1"/>
  <c r="AF10" i="1"/>
  <c r="AI10" i="1"/>
  <c r="AG10" i="1"/>
  <c r="AE10" i="1"/>
  <c r="V10" i="1"/>
  <c r="T10" i="1"/>
  <c r="Q10" i="1"/>
  <c r="P10" i="1"/>
  <c r="O10" i="1"/>
  <c r="N10" i="1"/>
  <c r="M10" i="1"/>
  <c r="D10" i="1"/>
  <c r="F10" i="1"/>
  <c r="E10" i="1"/>
  <c r="A10" i="1"/>
  <c r="AD9" i="1"/>
  <c r="AF9" i="1"/>
  <c r="AI9" i="1"/>
  <c r="AG9" i="1"/>
  <c r="AE9" i="1"/>
  <c r="V9" i="1"/>
  <c r="T9" i="1"/>
  <c r="Q9" i="1"/>
  <c r="P9" i="1"/>
  <c r="O9" i="1"/>
  <c r="N9" i="1"/>
  <c r="M9" i="1"/>
  <c r="D9" i="1"/>
  <c r="F9" i="1"/>
  <c r="E9" i="1"/>
  <c r="A9" i="1"/>
  <c r="AD8" i="1"/>
  <c r="AF8" i="1"/>
  <c r="AI8" i="1"/>
  <c r="AG8" i="1"/>
  <c r="AE8" i="1"/>
  <c r="V8" i="1"/>
  <c r="T8" i="1"/>
  <c r="Q8" i="1"/>
  <c r="P8" i="1"/>
  <c r="O8" i="1"/>
  <c r="N8" i="1"/>
  <c r="M8" i="1"/>
  <c r="D8" i="1"/>
  <c r="F8" i="1"/>
  <c r="E8" i="1"/>
  <c r="A8" i="1"/>
  <c r="AD7" i="1"/>
  <c r="AF7" i="1"/>
  <c r="AI7" i="1"/>
  <c r="AG7" i="1"/>
  <c r="AE7" i="1"/>
  <c r="V7" i="1"/>
  <c r="T7" i="1"/>
  <c r="Q7" i="1"/>
  <c r="P7" i="1"/>
  <c r="O7" i="1"/>
  <c r="N7" i="1"/>
  <c r="M7" i="1"/>
  <c r="D7" i="1"/>
  <c r="F7" i="1"/>
  <c r="E7" i="1"/>
  <c r="A7" i="1"/>
  <c r="AD6" i="1"/>
  <c r="AF6" i="1"/>
  <c r="AI6" i="1"/>
  <c r="AG6" i="1"/>
  <c r="AE6" i="1"/>
  <c r="V6" i="1"/>
  <c r="T6" i="1"/>
  <c r="Q6" i="1"/>
  <c r="P6" i="1"/>
  <c r="O6" i="1"/>
  <c r="N6" i="1"/>
  <c r="M6" i="1"/>
  <c r="D6" i="1"/>
  <c r="F6" i="1"/>
  <c r="E6" i="1"/>
  <c r="A6" i="1"/>
  <c r="AF5" i="1"/>
  <c r="AI5" i="1"/>
  <c r="AG5" i="1"/>
  <c r="AE5" i="1"/>
  <c r="V5" i="1"/>
  <c r="T5" i="1"/>
  <c r="Q5" i="1"/>
  <c r="P5" i="1"/>
  <c r="O5" i="1"/>
  <c r="N5" i="1"/>
  <c r="M5" i="1"/>
  <c r="D5" i="1"/>
  <c r="F5" i="1"/>
  <c r="E5" i="1"/>
  <c r="A5" i="1"/>
  <c r="AF4" i="1"/>
  <c r="AI4" i="1"/>
  <c r="AG4" i="1"/>
  <c r="AE4" i="1"/>
  <c r="V4" i="1"/>
  <c r="T4" i="1"/>
  <c r="Q4" i="1"/>
  <c r="P4" i="1"/>
  <c r="O4" i="1"/>
  <c r="N4" i="1"/>
  <c r="M4" i="1"/>
  <c r="D4" i="1"/>
  <c r="F4" i="1"/>
  <c r="E4" i="1"/>
  <c r="A4" i="1"/>
  <c r="AD3" i="1"/>
  <c r="AF3" i="1"/>
  <c r="AI3" i="1"/>
  <c r="AG3" i="1"/>
  <c r="AE3" i="1"/>
  <c r="V3" i="1"/>
  <c r="T3" i="1"/>
  <c r="Q3" i="1"/>
  <c r="P3" i="1"/>
  <c r="O3" i="1"/>
  <c r="N3" i="1"/>
  <c r="M3" i="1"/>
  <c r="D3" i="1"/>
  <c r="F3" i="1"/>
  <c r="E3" i="1"/>
  <c r="A3" i="1"/>
  <c r="AD2" i="1"/>
  <c r="AF2" i="1"/>
  <c r="AI2" i="1"/>
  <c r="AG2" i="1"/>
  <c r="AE2" i="1"/>
  <c r="V2" i="1"/>
  <c r="T2" i="1"/>
  <c r="Q2" i="1"/>
  <c r="P2" i="1"/>
  <c r="O2" i="1"/>
  <c r="N2" i="1"/>
  <c r="M2" i="1"/>
  <c r="D2" i="1"/>
  <c r="F2" i="1"/>
  <c r="E2" i="1"/>
  <c r="A2" i="1"/>
  <c r="H9" i="2"/>
  <c r="E9" i="2"/>
  <c r="D9" i="2"/>
  <c r="H8" i="2"/>
  <c r="E8" i="2"/>
  <c r="D8" i="2"/>
  <c r="H7" i="2"/>
  <c r="E7" i="2"/>
  <c r="D7" i="2"/>
  <c r="H6" i="2"/>
  <c r="E6" i="2"/>
  <c r="D6" i="2"/>
  <c r="H5" i="2"/>
  <c r="E5" i="2"/>
  <c r="D5" i="2"/>
  <c r="H4" i="2"/>
  <c r="E4" i="2"/>
  <c r="D4" i="2"/>
  <c r="H3" i="2"/>
  <c r="E3" i="2"/>
  <c r="D3" i="2"/>
  <c r="H2" i="2"/>
  <c r="E2" i="2"/>
  <c r="D2" i="2"/>
  <c r="E13" i="16"/>
  <c r="E12" i="16"/>
  <c r="E11" i="16"/>
  <c r="E10" i="16"/>
  <c r="E9" i="16"/>
  <c r="E8" i="16"/>
  <c r="E7" i="16"/>
  <c r="E6" i="16"/>
  <c r="E5" i="16"/>
  <c r="E4" i="16"/>
  <c r="E3" i="16"/>
  <c r="E2" i="16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<sst xmlns="http://schemas.openxmlformats.org/spreadsheetml/2006/main" count="1098" uniqueCount="316">
  <si>
    <t>quest_id</t>
  </si>
  <si>
    <t>stage_id</t>
  </si>
  <si>
    <t>character_id</t>
  </si>
  <si>
    <t>level</t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</si>
  <si>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</si>
  <si>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</si>
  <si>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</si>
  <si>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</si>
  <si>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</si>
  <si>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</si>
  <si>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</si>
  <si>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</si>
  <si>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</si>
  <si>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</si>
  <si>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</si>
  <si>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</si>
  <si>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floor_id</t>
    <phoneticPr fontId="5"/>
  </si>
  <si>
    <t>skill_set_id</t>
  </si>
  <si>
    <t>drop_label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</si>
  <si>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</si>
  <si>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</si>
  <si>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</si>
  <si>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</si>
  <si>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temp_floor</t>
    <phoneticPr fontId="5"/>
  </si>
  <si>
    <t>スキル</t>
    <phoneticPr fontId="5"/>
  </si>
  <si>
    <t>位置付け</t>
    <rPh sb="0" eb="3">
      <t>イチヅ</t>
    </rPh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</si>
  <si>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</si>
  <si>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</si>
  <si>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</si>
  <si>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</si>
  <si>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</si>
  <si>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</si>
  <si>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</si>
  <si>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</si>
  <si>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</si>
  <si>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</si>
  <si>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</si>
  <si>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</si>
  <si>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</si>
  <si>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</si>
  <si>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</si>
  <si>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</si>
  <si>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</si>
  <si>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</si>
  <si>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</si>
  <si>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</si>
  <si>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</si>
  <si>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</si>
  <si>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</si>
  <si>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</si>
  <si>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</si>
  <si>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</si>
  <si>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</si>
  <si>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</si>
  <si>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</si>
  <si>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</si>
  <si>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</si>
  <si>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hp_threshold</t>
    <phoneticPr fontId="5"/>
  </si>
  <si>
    <t>invoke_times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</si>
  <si>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</si>
  <si>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</si>
  <si>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</si>
  <si>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</si>
  <si>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</si>
  <si>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</si>
  <si>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</si>
  <si>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</si>
  <si>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重複チェック</t>
    <rPh sb="0" eb="2">
      <t>チョウフク</t>
    </rPh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</si>
  <si>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</si>
  <si>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</si>
  <si>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</si>
  <si>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</si>
  <si>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</si>
  <si>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</si>
  <si>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</si>
  <si>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</si>
  <si>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</si>
  <si>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</si>
  <si>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</si>
  <si>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</si>
  <si>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</si>
  <si>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</si>
  <si>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</si>
  <si>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</si>
  <si>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</si>
  <si>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</si>
  <si>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</si>
  <si>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</si>
  <si>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</si>
  <si>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</si>
  <si>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</si>
  <si>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</si>
  <si>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</si>
  <si>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</si>
  <si>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</si>
  <si>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</si>
  <si>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</si>
  <si>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</si>
  <si>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</si>
  <si>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</si>
  <si>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</si>
  <si>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</si>
  <si>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</si>
  <si>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</si>
  <si>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</si>
  <si>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</si>
  <si>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</si>
  <si>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</si>
  <si>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</si>
  <si>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</si>
  <si>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</si>
  <si>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</si>
  <si>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</si>
  <si>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</si>
  <si>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</si>
  <si>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</si>
  <si>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</si>
  <si>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</si>
  <si>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</si>
  <si>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</si>
  <si>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</si>
  <si>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</si>
  <si>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</si>
  <si>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</si>
  <si>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</si>
  <si>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</si>
  <si>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</si>
  <si>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</si>
  <si>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</si>
  <si>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</si>
  <si>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</si>
  <si>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</si>
  <si>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</si>
  <si>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</si>
  <si>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</si>
  <si>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</si>
  <si>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</si>
  <si>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</si>
  <si>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</si>
  <si>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</si>
  <si>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</si>
  <si>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</si>
  <si>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</si>
  <si>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</si>
  <si>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</si>
  <si>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</si>
  <si>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</si>
  <si>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</si>
  <si>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</si>
  <si>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</si>
  <si>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</si>
  <si>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</si>
  <si>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</si>
  <si>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</si>
  <si>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</si>
  <si>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title</t>
    <phoneticPr fontId="5"/>
  </si>
  <si>
    <t>filename</t>
    <phoneticPr fontId="5"/>
  </si>
  <si>
    <t>failure</t>
  </si>
  <si>
    <t>ja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</si>
  <si>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</si>
  <si>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</si>
  <si>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</si>
  <si>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</si>
  <si>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</si>
  <si>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</si>
  <si>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</si>
  <si>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</si>
  <si>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</si>
  <si>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</si>
  <si>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</si>
  <si>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</si>
  <si>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everyone</t>
    <phoneticPr fontId="5"/>
  </si>
  <si>
    <t>2970-01-01 09:00:00</t>
    <phoneticPr fontId="5"/>
  </si>
  <si>
    <t>no_continue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</si>
  <si>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</si>
  <si>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</si>
  <si>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</si>
  <si>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</si>
  <si>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</si>
  <si>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</si>
  <si>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</si>
  <si>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</si>
  <si>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</si>
  <si>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</si>
  <si>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</si>
  <si>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</si>
  <si>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</si>
  <si>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</si>
  <si>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</si>
  <si>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</si>
  <si>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</si>
  <si>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</si>
  <si>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</si>
  <si>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</si>
  <si>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</si>
  <si>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</si>
  <si>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</si>
  <si>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攻略のヒント</t>
    <rPh sb="0" eb="2">
      <t>コウリャク</t>
    </rPh>
    <phoneticPr fontId="5"/>
  </si>
  <si>
    <t>status</t>
    <phoneticPr fontId="5"/>
  </si>
  <si>
    <t>temp_habitats</t>
    <phoneticPr fontId="5"/>
  </si>
  <si>
    <t>color</t>
    <phoneticPr fontId="5"/>
  </si>
  <si>
    <t>hp_coefficient</t>
    <phoneticPr fontId="5"/>
  </si>
  <si>
    <t>rare</t>
    <phoneticPr fontId="5"/>
  </si>
  <si>
    <t>ヒダルマダ！</t>
    <phoneticPr fontId="5"/>
  </si>
  <si>
    <t>クリティカル！</t>
    <phoneticPr fontId="5"/>
  </si>
  <si>
    <t>[effect:nothing]</t>
    <phoneticPr fontId="5"/>
  </si>
  <si>
    <t>タイチ</t>
    <phoneticPr fontId="5"/>
  </si>
  <si>
    <t>予備枠</t>
    <rPh sb="0" eb="3">
      <t>ヨｂ</t>
    </rPh>
    <phoneticPr fontId="5"/>
  </si>
  <si>
    <t>ディスヒール</t>
    <phoneticPr fontId="5"/>
  </si>
  <si>
    <t>ちょこっと吸血</t>
    <phoneticPr fontId="5"/>
  </si>
  <si>
    <t>ノエル</t>
    <phoneticPr fontId="5"/>
  </si>
  <si>
    <t>重層空間</t>
    <phoneticPr fontId="5"/>
  </si>
  <si>
    <t>アイスフォール</t>
    <phoneticPr fontId="5"/>
  </si>
  <si>
    <t>全体攻撃</t>
    <rPh sb="0" eb="4">
      <t>ゼンタイ</t>
    </rPh>
    <phoneticPr fontId="5"/>
  </si>
  <si>
    <t>スリープブレス</t>
    <phoneticPr fontId="5"/>
  </si>
  <si>
    <t>青龍1</t>
    <rPh sb="0" eb="2">
      <t>セイリュ</t>
    </rPh>
    <phoneticPr fontId="5"/>
  </si>
  <si>
    <t>青龍2</t>
    <rPh sb="0" eb="2">
      <t>セイリュ</t>
    </rPh>
    <phoneticPr fontId="5"/>
  </si>
  <si>
    <t>蒼の一閃</t>
    <phoneticPr fontId="5"/>
  </si>
  <si>
    <t>全体攻撃</t>
    <rPh sb="0" eb="4">
      <t>ゼｎ</t>
    </rPh>
    <phoneticPr fontId="5"/>
  </si>
  <si>
    <t>隙あり！</t>
    <phoneticPr fontId="5"/>
  </si>
  <si>
    <t>ハートパネル無効</t>
    <phoneticPr fontId="5"/>
  </si>
  <si>
    <t>トモエ</t>
    <phoneticPr fontId="5"/>
  </si>
  <si>
    <t>ディスハート</t>
    <phoneticPr fontId="5"/>
  </si>
  <si>
    <t>眠りの旋律</t>
    <rPh sb="0" eb="1">
      <t>ネムｒ</t>
    </rPh>
    <rPh sb="3" eb="5">
      <t>センリｔ</t>
    </rPh>
    <phoneticPr fontId="5"/>
  </si>
  <si>
    <t>クロウ</t>
    <phoneticPr fontId="5"/>
  </si>
  <si>
    <t>何仙姑、ボクを連れ戻しに来たの？</t>
    <rPh sb="7" eb="8">
      <t>ツｒ</t>
    </rPh>
    <rPh sb="12" eb="13">
      <t>キｔ</t>
    </rPh>
    <phoneticPr fontId="5"/>
  </si>
  <si>
    <t>ふふっ、誰もボクを止められないよ！</t>
    <rPh sb="4" eb="5">
      <t>ダｒ</t>
    </rPh>
    <rPh sb="9" eb="10">
      <t>トｍ</t>
    </rPh>
    <phoneticPr fontId="5"/>
  </si>
  <si>
    <t>ニンゲンなんかに負けないよ！</t>
    <rPh sb="8" eb="9">
      <t>マｋ</t>
    </rPh>
    <phoneticPr fontId="5"/>
  </si>
  <si>
    <t>種族ヒューマンのユニットに大ダメージの全体攻撃</t>
    <rPh sb="19" eb="23">
      <t>ゼｎ</t>
    </rPh>
    <phoneticPr fontId="5"/>
  </si>
  <si>
    <t>どんなに強くてもこれでっ！</t>
    <rPh sb="4" eb="5">
      <t>ツｙ</t>
    </rPh>
    <phoneticPr fontId="5"/>
  </si>
  <si>
    <t>藍采和1</t>
    <phoneticPr fontId="5"/>
  </si>
  <si>
    <t>さあ、もっと暴れるよー！</t>
    <rPh sb="6" eb="7">
      <t>アバｒ</t>
    </rPh>
    <phoneticPr fontId="5"/>
  </si>
  <si>
    <t>木々よ！ボクに力を！</t>
    <rPh sb="0" eb="1">
      <t>キｇ</t>
    </rPh>
    <rPh sb="7" eb="8">
      <t>チカｒ</t>
    </rPh>
    <phoneticPr fontId="5"/>
  </si>
  <si>
    <t>藍采和2</t>
    <phoneticPr fontId="5"/>
  </si>
  <si>
    <t>いたずらするのは楽しいね！</t>
    <rPh sb="8" eb="9">
      <t>タ</t>
    </rPh>
    <phoneticPr fontId="5"/>
  </si>
  <si>
    <t>どんどん強くなるよ！</t>
    <rPh sb="4" eb="5">
      <t>ツｙ</t>
    </rPh>
    <phoneticPr fontId="5"/>
  </si>
  <si>
    <t>ほらほらー！</t>
    <phoneticPr fontId="5"/>
  </si>
  <si>
    <t>これで終わりにするよっ！</t>
    <rPh sb="3" eb="4">
      <t>オワｒ</t>
    </rPh>
    <phoneticPr fontId="5"/>
  </si>
  <si>
    <t>負けちゃったかぁ…</t>
    <rPh sb="0" eb="1">
      <t>マｋ</t>
    </rPh>
    <phoneticPr fontId="5"/>
  </si>
  <si>
    <t>しばらくおとなしくしようかな…</t>
    <phoneticPr fontId="5"/>
  </si>
  <si>
    <t>このボクが負けるなんて…</t>
    <rPh sb="5" eb="6">
      <t>マｋ</t>
    </rPh>
    <phoneticPr fontId="5"/>
  </si>
  <si>
    <t>真面目に修行しなきゃダメかぁ…</t>
    <rPh sb="0" eb="3">
      <t>マジｍ</t>
    </rPh>
    <rPh sb="4" eb="6">
      <t>ｓｙ</t>
    </rPh>
    <phoneticPr fontId="5"/>
  </si>
  <si>
    <t>藍采和3</t>
    <phoneticPr fontId="5"/>
  </si>
  <si>
    <t>unit</t>
    <phoneticPr fontId="5"/>
  </si>
  <si>
    <t>2015-03-27 00:00:01</t>
  </si>
  <si>
    <t>2970-01-01 09:00:01</t>
  </si>
  <si>
    <t>2015-03-27 00:00:02</t>
  </si>
  <si>
    <t>2970-01-01 09:00:02</t>
  </si>
  <si>
    <t>2015-03-27 00:00:03</t>
  </si>
  <si>
    <t>2970-01-01 09:00:03</t>
  </si>
  <si>
    <t>2015-03-27 00:00:04</t>
  </si>
  <si>
    <t>2970-01-01 09:00:04</t>
  </si>
  <si>
    <t>2015-03-27 00:00:05</t>
  </si>
  <si>
    <t>2970-01-01 09:00:05</t>
  </si>
  <si>
    <t>2015-03-27 00:00:06</t>
  </si>
  <si>
    <t>2970-01-01 09:00:06</t>
  </si>
  <si>
    <t>bit</t>
    <phoneticPr fontId="5"/>
  </si>
  <si>
    <t>link</t>
  </si>
  <si>
    <t>tmp_hint_id</t>
    <phoneticPr fontId="5"/>
  </si>
  <si>
    <t>ノエルは攻撃と同時に自己回復をします
Cパネルを使って一気に倒しましょう</t>
    <phoneticPr fontId="5"/>
  </si>
  <si>
    <t>NULL</t>
    <phoneticPr fontId="5"/>
  </si>
  <si>
    <t>青龍はCパネルの生成延長をして妨害します
Cパネル生成短縮のスキルが役立つでしょう</t>
    <phoneticPr fontId="5"/>
  </si>
  <si>
    <t>青龍はスリープ攻撃を使うことがあります
HPの管理には余裕を持って対応しましょう</t>
    <phoneticPr fontId="5"/>
  </si>
  <si>
    <t>トモエはハートパネル無効を使います
ハートパネル無効解除かパネルに
頼らない回復スキルが役立つでしょう</t>
    <phoneticPr fontId="5"/>
  </si>
  <si>
    <t>八仙</t>
    <phoneticPr fontId="5"/>
  </si>
  <si>
    <t>セキュリティを担う8体の管理AIでしたが
女王の暴走により2つの勢力に分裂しました
この時女王の勢力についた一人が藍采和です</t>
    <phoneticPr fontId="5"/>
  </si>
  <si>
    <t>藍采和</t>
    <phoneticPr fontId="5"/>
  </si>
  <si>
    <t>2016-5-27 0:00:00</t>
    <phoneticPr fontId="5"/>
  </si>
  <si>
    <t>full_member</t>
    <phoneticPr fontId="5"/>
  </si>
  <si>
    <t>[effect:enemy_message, val1:1.2, val2:1.2],[effect:critical, val:1.2, animation:enemy_critical]</t>
    <phoneticPr fontId="5"/>
  </si>
  <si>
    <t>[effect:enemy_message, val1:1.2, val2:1.2],[effect:spread, val:0.5]</t>
    <phoneticPr fontId="5"/>
  </si>
  <si>
    <t>[effect:enemy_message, val1:1.2, val2:1.2],[effect:spread, val:0.4]</t>
    <phoneticPr fontId="5"/>
  </si>
  <si>
    <t>[effect:enemy_message, val1:1.2, val2:1.2],[effect:dis_heart, turn:-1, animation:enemy_dis_heart]</t>
    <phoneticPr fontId="5"/>
  </si>
  <si>
    <t>[effect:enemy_message, val1:1.2, val2:2.1],[effect:degrade_unit, target:unit_one, turn:4, status:heal, val:0.5, calc:mul, animation:degrade_unit_all_heal]</t>
    <phoneticPr fontId="5"/>
  </si>
  <si>
    <r>
      <rPr>
        <sz val="10"/>
        <color rgb="FFFF0000"/>
        <rFont val="ＭＳ Ｐゴシック (本文)"/>
        <family val="3"/>
        <charset val="128"/>
      </rPr>
      <t>単体</t>
    </r>
    <r>
      <rPr>
        <sz val="10"/>
        <color theme="1"/>
        <rFont val="ＭＳ Ｐゴシック"/>
        <family val="3"/>
        <charset val="128"/>
        <scheme val="minor"/>
      </rPr>
      <t>攻撃+自己回復</t>
    </r>
    <rPh sb="0" eb="2">
      <t>タンタイ</t>
    </rPh>
    <phoneticPr fontId="5"/>
  </si>
  <si>
    <t>[effect:enemy_message, val1:1.3, val2:1.2],[effect:damage_gravity, val:0.4, animation:fevergauge_down]</t>
    <phoneticPr fontId="5"/>
  </si>
  <si>
    <r>
      <rPr>
        <sz val="10"/>
        <color rgb="FFFF0000"/>
        <rFont val="ＭＳ Ｐゴシック (本文)"/>
        <family val="3"/>
        <charset val="128"/>
      </rPr>
      <t>残りHP</t>
    </r>
    <r>
      <rPr>
        <sz val="10"/>
        <color theme="1"/>
        <rFont val="ＭＳ Ｐゴシック"/>
        <family val="3"/>
        <charset val="128"/>
        <scheme val="minor"/>
      </rPr>
      <t>の40%ダメージ</t>
    </r>
    <rPh sb="0" eb="1">
      <t>ノコリ</t>
    </rPh>
    <phoneticPr fontId="5"/>
  </si>
  <si>
    <r>
      <rPr>
        <sz val="10"/>
        <color rgb="FFFF0000"/>
        <rFont val="ＭＳ Ｐゴシック (本文)"/>
        <family val="3"/>
        <charset val="128"/>
      </rPr>
      <t>残りHPの</t>
    </r>
    <r>
      <rPr>
        <sz val="10"/>
        <color theme="1"/>
        <rFont val="ＭＳ Ｐゴシック"/>
        <family val="3"/>
        <charset val="128"/>
        <scheme val="minor"/>
      </rPr>
      <t>40%ダメージ</t>
    </r>
    <phoneticPr fontId="5"/>
  </si>
  <si>
    <t>old</t>
  </si>
  <si>
    <t>[effect:enemy_message, val1:1.7, val2:2.0]</t>
    <phoneticPr fontId="5"/>
  </si>
  <si>
    <t>[effect:enemy_message, val1:1.2, val2:1.2],[effect:rush, count:1, val:0.7],[effect:heal, target:myself, val:0.1, animation:enemy_heal]</t>
    <phoneticPr fontId="5"/>
  </si>
  <si>
    <t>使用していない</t>
    <rPh sb="0" eb="2">
      <t>シヨウシテイナイ</t>
    </rPh>
    <phoneticPr fontId="5"/>
  </si>
  <si>
    <t>[effect:enemy_message, val1:1.4, val2:2.3],[effect:damage_anti_tribe, target:unit_all, tribe:human, val1:0.5, val2:0.3]</t>
    <phoneticPr fontId="5"/>
  </si>
  <si>
    <t>[effect:enemy_message, val1:1.2, val2:1.2],[effect:enhance_enemy, target:myself, turn:-1, status:attack, val:0.2, calc:mul, animation:enemy_enhance_attack],[effect:rush, count:1, val:1]</t>
    <phoneticPr fontId="5"/>
  </si>
  <si>
    <t>攻撃力UP+単体攻撃</t>
    <rPh sb="0" eb="3">
      <t>コウゲｋ</t>
    </rPh>
    <rPh sb="6" eb="10">
      <t>タンタ</t>
    </rPh>
    <phoneticPr fontId="5"/>
  </si>
  <si>
    <t>攻撃力UP+単体攻撃</t>
    <rPh sb="0" eb="3">
      <t>コウゲｋ</t>
    </rPh>
    <phoneticPr fontId="5"/>
  </si>
  <si>
    <t>攻撃力大UP+単体攻撃</t>
    <rPh sb="0" eb="3">
      <t>コウゲｋ</t>
    </rPh>
    <phoneticPr fontId="5"/>
  </si>
  <si>
    <t>緑パネルを吸収して攻撃+自己回復</t>
    <phoneticPr fontId="5"/>
  </si>
  <si>
    <r>
      <t>4ターン</t>
    </r>
    <r>
      <rPr>
        <sz val="10"/>
        <color rgb="FFFF0000"/>
        <rFont val="ＭＳ Ｐゴシック (本文)"/>
        <family val="3"/>
        <charset val="128"/>
      </rPr>
      <t>ユニット1体の</t>
    </r>
    <r>
      <rPr>
        <sz val="10"/>
        <color theme="1"/>
        <rFont val="ＭＳ Ｐゴシック"/>
        <family val="3"/>
        <charset val="128"/>
        <scheme val="minor"/>
      </rPr>
      <t>回復力50%DOWN</t>
    </r>
    <rPh sb="9" eb="10">
      <t>タイ</t>
    </rPh>
    <phoneticPr fontId="5"/>
  </si>
  <si>
    <t>[effect:enemy_message, val1:1.2, val2:1.6],[effect:break_attack_fix, target:unit_one, val:350, lowest_val:1000, count:-1, color:blue, block01:block_green],[effect:heal, target:myself, val:0.15, animation:enemy_heal]</t>
    <phoneticPr fontId="5"/>
  </si>
  <si>
    <t>[effect:enemy_message, val1:1.2, val2:1.2],[effect:enhance_enemy, target:myself, turn:-1, status:attack, val:0.4, calc:mul, animation:enemy_enhance_attack],[effect:rush, count:1, val:1]</t>
    <phoneticPr fontId="5"/>
  </si>
  <si>
    <t>[effect:enemy_message, val1:1.2, val2:1.2],[effect:enhance_enemy, target:myself, turn:-1, status:attack, val:0.6, calc:mul, animation:enemy_enhance_attack],[effect:rush, count:1, val:1]</t>
    <phoneticPr fontId="5"/>
  </si>
  <si>
    <t>元々は自然を愛する元気なAIでしたが
女王により暗黒仙人となった事で
イタズラ好きで自信過剰な性格が
強くなってしまったようです</t>
    <phoneticPr fontId="0" alignment="distributed"/>
  </si>
  <si>
    <t>元々は自然を愛する元気なAIでしたが
女王により暗黒仙人となった事で
イタズラ好きで自信過剰な性格が
強くなってしまったようです</t>
    <phoneticPr fontId="5"/>
  </si>
  <si>
    <t>藍采和は4ターンごとに残りHPの40%の
ダメージを与えてきます
定期的な回復を心がけましょう</t>
    <phoneticPr fontId="5"/>
  </si>
  <si>
    <r>
      <t xml:space="preserve">状態異常耐性+
</t>
    </r>
    <r>
      <rPr>
        <sz val="10"/>
        <color rgb="FFFF0000"/>
        <rFont val="ＭＳ Ｐゴシック (本文)"/>
        <family val="3"/>
        <charset val="128"/>
      </rPr>
      <t>5ターン</t>
    </r>
    <r>
      <rPr>
        <sz val="10"/>
        <color theme="1"/>
        <rFont val="ＭＳ Ｐゴシック"/>
        <family val="3"/>
        <charset val="128"/>
        <scheme val="minor"/>
      </rPr>
      <t>ハートパネル無効</t>
    </r>
    <r>
      <rPr>
        <sz val="10"/>
        <color rgb="FFFF0000"/>
        <rFont val="ＭＳ Ｐゴシック (本文)"/>
        <family val="3"/>
        <charset val="128"/>
      </rPr>
      <t>+
5ターンハートパネルドロップ率UP</t>
    </r>
    <rPh sb="0" eb="4">
      <t>ｊｙ</t>
    </rPh>
    <rPh sb="4" eb="6">
      <t>タイセ</t>
    </rPh>
    <rPh sb="18" eb="20">
      <t>ムコ</t>
    </rPh>
    <phoneticPr fontId="5"/>
  </si>
  <si>
    <r>
      <rPr>
        <sz val="10"/>
        <color rgb="FFFF0000"/>
        <rFont val="ＭＳ Ｐゴシック (本文)"/>
        <family val="3"/>
        <charset val="128"/>
      </rPr>
      <t>5ターン</t>
    </r>
    <r>
      <rPr>
        <sz val="10"/>
        <color theme="1"/>
        <rFont val="ＭＳ Ｐゴシック"/>
        <family val="3"/>
        <charset val="128"/>
        <scheme val="minor"/>
      </rPr>
      <t>ハートパネル無効</t>
    </r>
    <r>
      <rPr>
        <sz val="10"/>
        <color rgb="FFFF0000"/>
        <rFont val="ＭＳ Ｐゴシック (本文)"/>
        <family val="3"/>
        <charset val="128"/>
      </rPr>
      <t>+
5ターンハートパネルドロップ率UP</t>
    </r>
    <phoneticPr fontId="5"/>
  </si>
  <si>
    <t>[effect:enemy_message, val1:1.2, val2:3.0],[effect:dis_heart, turn:5, animation:enemy_dis_heart],[effect:change_panel_ratio, turn:5, block_type:heal, val:0.3, animation:block_incidence04]</t>
    <phoneticPr fontId="5"/>
  </si>
  <si>
    <r>
      <t xml:space="preserve">状態異常耐性+
</t>
    </r>
    <r>
      <rPr>
        <sz val="10"/>
        <color rgb="FFFF0000"/>
        <rFont val="ＭＳ Ｐゴシック (本文)"/>
        <family val="3"/>
        <charset val="128"/>
      </rPr>
      <t>3ターン全ユニットの</t>
    </r>
    <r>
      <rPr>
        <sz val="10"/>
        <color theme="1"/>
        <rFont val="ＭＳ Ｐゴシック"/>
        <family val="3"/>
        <charset val="128"/>
        <scheme val="minor"/>
      </rPr>
      <t>Cパネル生成延長(効果特大)</t>
    </r>
    <rPh sb="0" eb="4">
      <t>ｊｙ</t>
    </rPh>
    <rPh sb="4" eb="6">
      <t>タイセ</t>
    </rPh>
    <phoneticPr fontId="5"/>
  </si>
  <si>
    <t>[effect:enemy_message, val1:1.3, val2:3.1],[effect:tolerance, target:myself, turn:-1, count:-1, tolerance_effect:all, animation:enemy_tolerance],[effect:crash_condition, target:unit_all, turn:3, val:4, animation:enemy_crash_extend]</t>
    <phoneticPr fontId="5"/>
  </si>
  <si>
    <t>[effect:enemy_message, val1:1.2, val2:3.7],[effect:tolerance, target:myself, turn:-1, count:-1, tolerance_effect:all, animation:enemy_tolerance],[effect:dis_heart, turn:5, animation:enemy_dis_heart],[effect:change_panel_ratio, turn:5, block_type:heal, val:0.3, animation:block_incidence04]</t>
    <phoneticPr fontId="5"/>
  </si>
  <si>
    <r>
      <rPr>
        <sz val="10"/>
        <color rgb="FFFF0000"/>
        <rFont val="ＭＳ Ｐゴシック (本文)"/>
        <family val="3"/>
        <charset val="128"/>
      </rPr>
      <t>3ターン全ユニットの</t>
    </r>
    <r>
      <rPr>
        <sz val="10"/>
        <color theme="1"/>
        <rFont val="ＭＳ Ｐゴシック"/>
        <family val="3"/>
        <charset val="128"/>
        <scheme val="minor"/>
      </rPr>
      <t>Cパネル生成延長(効果特大)</t>
    </r>
    <rPh sb="4" eb="5">
      <t>ゼンユ</t>
    </rPh>
    <phoneticPr fontId="5"/>
  </si>
  <si>
    <t>[effect:enemy_message, val1:1.2, val2:2.4],[effect:crash_condition, target:unit_all, turn:3, val:4, animation:enemy_crash_extend]</t>
    <phoneticPr fontId="5"/>
  </si>
  <si>
    <r>
      <rPr>
        <sz val="10"/>
        <color rgb="FFFF0000"/>
        <rFont val="ＭＳ Ｐゴシック (本文)"/>
        <family val="3"/>
        <charset val="128"/>
      </rPr>
      <t>3ターン全ユニットの</t>
    </r>
    <r>
      <rPr>
        <sz val="10"/>
        <color theme="1"/>
        <rFont val="ＭＳ Ｐゴシック"/>
        <family val="3"/>
        <charset val="128"/>
        <scheme val="minor"/>
      </rPr>
      <t>Cパネル生成延長(効果特大)</t>
    </r>
    <phoneticPr fontId="5"/>
  </si>
  <si>
    <r>
      <t xml:space="preserve">状態異常耐性+
</t>
    </r>
    <r>
      <rPr>
        <sz val="10"/>
        <color rgb="FFFF0000"/>
        <rFont val="ＭＳ Ｐゴシック (本文)"/>
        <family val="3"/>
        <charset val="128"/>
      </rPr>
      <t>3ターン全ユニットの</t>
    </r>
    <r>
      <rPr>
        <sz val="10"/>
        <color theme="1"/>
        <rFont val="ＭＳ Ｐゴシック"/>
        <family val="3"/>
        <charset val="128"/>
        <scheme val="minor"/>
      </rPr>
      <t>Cパネル生成延長(効果特大)</t>
    </r>
    <rPh sb="0" eb="4">
      <t>ｊｙ</t>
    </rPh>
    <rPh sb="4" eb="6">
      <t>タイセ</t>
    </rPh>
    <rPh sb="12" eb="13">
      <t>ゼンユニ</t>
    </rPh>
    <phoneticPr fontId="5"/>
  </si>
  <si>
    <t>[effect:enemy_message, val1:1.6, val2:3.1],[effect:tolerance, target:myself, turn:-1, count:-1, tolerance_effect:all, animation:enemy_tolerance],[effect:crash_condition, target:unit_all, turn:3, val:4, animation:enemy_crash_extend]</t>
    <phoneticPr fontId="5"/>
  </si>
  <si>
    <t>[effect:enemy_message, val1:1.7, val2:3.1],[effect:tolerance, target:myself, turn:-1, count:-1, tolerance_effect:all, animation:enemy_tolerance],[effect:crash_condition, target:unit_all, turn:3, val:4, animation:enemy_crash_extend]</t>
    <phoneticPr fontId="5"/>
  </si>
  <si>
    <t>藍采和の2ゲージ目は残りHP50%以下で
緑パネル吸収攻撃と同時に自己回復をします
回数に制限があるので諦めずに戦いましょう</t>
    <phoneticPr fontId="5"/>
  </si>
  <si>
    <t>藍采和の3ゲージ目は残りHPによって
自身に攻撃力UPして攻撃をしてきます
スキルを使って一気に倒しましょう</t>
    <phoneticPr fontId="5"/>
  </si>
  <si>
    <t>藍采和は4ターンごとに残りHPの40%の
ダメージを与えてきます
定期的な回復を心がけましょう</t>
    <phoneticPr fontId="5"/>
  </si>
  <si>
    <t>藍采和の2ゲージ目は残りHP50%以下で
緑パネル吸収攻撃と同時に自己回復をします
回数に制限があるので諦めずに戦いましょう</t>
    <rPh sb="21" eb="22">
      <t>ミドリパネル</t>
    </rPh>
    <rPh sb="25" eb="27">
      <t>キュウシュウ</t>
    </rPh>
    <phoneticPr fontId="5"/>
  </si>
  <si>
    <t>1ターンユニット1体にスリープ+クリティカル！</t>
    <rPh sb="9" eb="10">
      <t>タイ</t>
    </rPh>
    <phoneticPr fontId="5"/>
  </si>
  <si>
    <t>1ターンユニット1〜2体にスリープ+
2回連続攻撃</t>
    <rPh sb="11" eb="12">
      <t>タイ</t>
    </rPh>
    <rPh sb="23" eb="25">
      <t>コウゲキ</t>
    </rPh>
    <phoneticPr fontId="5"/>
  </si>
  <si>
    <t>1ターンユニット1〜2体にスリープ+
2回連続攻撃</t>
    <phoneticPr fontId="5"/>
  </si>
  <si>
    <t>[effect:enemy_message, val1:1.2, val2:2.4],[effect:damage_abnormal, target:unit_one, val:0.8, status:sleep, turn:1, rate:1, animation:sleep01],[effect:damage_abnormal, target:unit_one, val:0.8, status:sleep, turn:1, rate:1, animation:sleep01]</t>
    <phoneticPr fontId="5"/>
  </si>
  <si>
    <t>[effect:enemy_message, val1:1.2, val2:2.3],[effect:damage_abnormal, target:unit_one, val:1.2, status:sleep, turn:1, rate:1, animation:sleep01]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</si>
</sst>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"/>
  </numFmts>
  <fonts count="54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sz val="10"/>
      <color rgb="FFFF0000"/>
      <name val="ＭＳ Ｐゴシック (本文)"/>
      <family val="3"/>
      <charset val="128"/>
    </font>
    <font>
      <sz val="10"/>
      <color rgb="FFFF0000"/>
      <name val="ＭＳ Ｐゴシック"/>
      <family val="3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auto="1"/>
      </bottom>
      <diagonal/>
    </border>
    <border>
      <left style="thin">
        <color indexed="8"/>
      </left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auto="1"/>
      </right>
      <top/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2" applyNumberFormat="0" applyAlignment="0" applyProtection="0"/>
    <xf numFmtId="0" fontId="33" fillId="17" borderId="0" applyNumberFormat="0" applyBorder="0" applyAlignment="0" applyProtection="0"/>
    <xf numFmtId="0" fontId="34" fillId="18" borderId="13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4" applyNumberFormat="0" applyAlignment="0" applyProtection="0"/>
    <xf numFmtId="0" fontId="38" fillId="0" borderId="0" applyNumberFormat="0" applyFill="0" applyBorder="0" applyAlignment="0" applyProtection="0"/>
    <xf numFmtId="0" fontId="39" fillId="0" borderId="15" applyNumberFormat="0" applyFill="0" applyAlignment="0" applyProtection="0"/>
    <xf numFmtId="0" fontId="40" fillId="0" borderId="16" applyNumberFormat="0" applyFill="0" applyAlignment="0" applyProtection="0"/>
    <xf numFmtId="0" fontId="41" fillId="0" borderId="17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8" applyNumberFormat="0" applyFill="0" applyAlignment="0" applyProtection="0"/>
    <xf numFmtId="0" fontId="46" fillId="18" borderId="19" applyNumberFormat="0" applyAlignment="0" applyProtection="0"/>
    <xf numFmtId="0" fontId="46" fillId="29" borderId="19" applyNumberFormat="0" applyAlignment="0" applyProtection="0"/>
    <xf numFmtId="0" fontId="34" fillId="17" borderId="13" applyNumberFormat="0" applyAlignment="0" applyProtection="0"/>
    <xf numFmtId="0" fontId="47" fillId="0" borderId="20" applyNumberFormat="0" applyFill="0" applyAlignment="0" applyProtection="0"/>
    <xf numFmtId="0" fontId="48" fillId="29" borderId="1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1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62">
    <xf numFmtId="0" fontId="0" fillId="0" borderId="0" xfId="0"/>
    <xf numFmtId="0" fontId="4" fillId="0" borderId="0" xfId="0" applyFont="1" applyAlignment="1">
      <alignment vertical="center"/>
    </xf>
    <xf numFmtId="0" fontId="6" fillId="5" borderId="2" xfId="0" applyFont="1" applyFill="1" applyBorder="1" applyAlignment="1">
      <alignment vertical="center"/>
    </xf>
    <xf numFmtId="0" fontId="8" fillId="0" borderId="3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6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8" xfId="0" applyFont="1" applyFill="1" applyBorder="1" applyAlignment="1">
      <alignment vertical="center"/>
    </xf>
    <xf numFmtId="0" fontId="6" fillId="5" borderId="6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6" fillId="3" borderId="6" xfId="0" applyFont="1" applyFill="1" applyBorder="1" applyAlignment="1">
      <alignment vertical="center"/>
    </xf>
    <xf numFmtId="176" fontId="8" fillId="0" borderId="3" xfId="0" applyNumberFormat="1" applyFont="1" applyBorder="1" applyAlignment="1">
      <alignment vertical="center"/>
    </xf>
    <xf numFmtId="0" fontId="4" fillId="2" borderId="6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3" borderId="6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9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6" fillId="4" borderId="6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6" xfId="0" applyFont="1" applyFill="1" applyBorder="1" applyAlignment="1">
      <alignment horizontal="left" vertical="center"/>
    </xf>
    <xf numFmtId="0" fontId="6" fillId="0" borderId="6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6" xfId="0" applyFont="1" applyFill="1" applyBorder="1" applyAlignment="1">
      <alignment horizontal="center" vertical="center"/>
    </xf>
    <xf numFmtId="0" fontId="16" fillId="3" borderId="6" xfId="0" applyFont="1" applyFill="1" applyBorder="1" applyAlignment="1">
      <alignment horizontal="center" vertical="center"/>
    </xf>
    <xf numFmtId="0" fontId="11" fillId="6" borderId="6" xfId="0" applyFont="1" applyFill="1" applyBorder="1" applyAlignment="1">
      <alignment horizontal="center" vertical="center"/>
    </xf>
    <xf numFmtId="0" fontId="11" fillId="3" borderId="6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6" xfId="0" applyFont="1" applyFill="1" applyBorder="1" applyAlignment="1">
      <alignment horizontal="left" vertical="center"/>
    </xf>
    <xf numFmtId="0" fontId="16" fillId="0" borderId="6" xfId="0" applyFont="1" applyFill="1" applyBorder="1" applyAlignment="1">
      <alignment vertical="center"/>
    </xf>
    <xf numFmtId="0" fontId="16" fillId="3" borderId="6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6" xfId="0" applyFont="1" applyFill="1" applyBorder="1" applyAlignment="1">
      <alignment horizontal="left" vertical="center"/>
    </xf>
    <xf numFmtId="0" fontId="16" fillId="0" borderId="6" xfId="0" applyFont="1" applyFill="1" applyBorder="1" applyAlignment="1">
      <alignment horizontal="left" vertical="center" wrapText="1"/>
    </xf>
    <xf numFmtId="14" fontId="16" fillId="0" borderId="6" xfId="0" applyNumberFormat="1" applyFont="1" applyFill="1" applyBorder="1" applyAlignment="1">
      <alignment horizontal="left" vertical="center"/>
    </xf>
    <xf numFmtId="0" fontId="11" fillId="6" borderId="1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6" xfId="0" applyFont="1" applyFill="1" applyBorder="1"/>
    <xf numFmtId="0" fontId="0" fillId="11" borderId="6" xfId="0" applyFill="1" applyBorder="1"/>
    <xf numFmtId="0" fontId="0" fillId="0" borderId="6" xfId="0" applyBorder="1"/>
    <xf numFmtId="0" fontId="0" fillId="6" borderId="6" xfId="0" applyFill="1" applyBorder="1"/>
    <xf numFmtId="0" fontId="26" fillId="12" borderId="6" xfId="0" applyFont="1" applyFill="1" applyBorder="1"/>
    <xf numFmtId="0" fontId="13" fillId="11" borderId="6" xfId="434" applyFont="1" applyFill="1" applyBorder="1" applyAlignment="1"/>
    <xf numFmtId="0" fontId="24" fillId="0" borderId="6" xfId="434" applyBorder="1" applyAlignment="1"/>
    <xf numFmtId="0" fontId="0" fillId="13" borderId="6" xfId="0" applyFill="1" applyBorder="1"/>
    <xf numFmtId="0" fontId="16" fillId="3" borderId="6" xfId="0" applyFont="1" applyFill="1" applyBorder="1" applyAlignment="1">
      <alignment horizontal="left" vertical="center" wrapText="1"/>
    </xf>
    <xf numFmtId="0" fontId="16" fillId="6" borderId="6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6" xfId="615" applyFont="1" applyFill="1" applyBorder="1"/>
    <xf numFmtId="0" fontId="0" fillId="0" borderId="6" xfId="615" applyFont="1" applyBorder="1"/>
    <xf numFmtId="0" fontId="2" fillId="11" borderId="6" xfId="615" applyFill="1" applyBorder="1"/>
    <xf numFmtId="0" fontId="4" fillId="0" borderId="6" xfId="0" applyFont="1" applyBorder="1" applyAlignment="1">
      <alignment vertical="center"/>
    </xf>
    <xf numFmtId="0" fontId="6" fillId="5" borderId="10" xfId="0" applyFont="1" applyFill="1" applyBorder="1" applyAlignment="1">
      <alignment vertical="center"/>
    </xf>
    <xf numFmtId="0" fontId="0" fillId="3" borderId="6" xfId="0" applyFill="1" applyBorder="1"/>
    <xf numFmtId="0" fontId="16" fillId="3" borderId="6" xfId="614" applyFont="1" applyFill="1" applyBorder="1" applyAlignment="1">
      <alignment horizontal="left"/>
    </xf>
    <xf numFmtId="0" fontId="16" fillId="6" borderId="6" xfId="0" applyFont="1" applyFill="1" applyBorder="1" applyAlignment="1">
      <alignment horizontal="center"/>
    </xf>
    <xf numFmtId="56" fontId="16" fillId="6" borderId="6" xfId="0" applyNumberFormat="1" applyFont="1" applyFill="1" applyBorder="1" applyAlignment="1">
      <alignment horizontal="center"/>
    </xf>
    <xf numFmtId="0" fontId="2" fillId="0" borderId="0" xfId="615"/>
    <xf numFmtId="0" fontId="27" fillId="6" borderId="6" xfId="0" applyFont="1" applyFill="1" applyBorder="1" applyAlignment="1">
      <alignment horizontal="center"/>
    </xf>
    <xf numFmtId="0" fontId="16" fillId="3" borderId="6" xfId="0" applyFont="1" applyFill="1" applyBorder="1" applyAlignment="1">
      <alignment horizontal="center"/>
    </xf>
    <xf numFmtId="0" fontId="16" fillId="14" borderId="6" xfId="0" applyFont="1" applyFill="1" applyBorder="1" applyAlignment="1">
      <alignment horizontal="center"/>
    </xf>
    <xf numFmtId="0" fontId="16" fillId="15" borderId="6" xfId="0" applyFont="1" applyFill="1" applyBorder="1" applyAlignment="1">
      <alignment horizontal="center"/>
    </xf>
    <xf numFmtId="0" fontId="0" fillId="15" borderId="6" xfId="0" applyFill="1" applyBorder="1"/>
    <xf numFmtId="0" fontId="27" fillId="0" borderId="6" xfId="0" applyFont="1" applyFill="1" applyBorder="1"/>
    <xf numFmtId="0" fontId="28" fillId="0" borderId="6" xfId="0" applyFont="1" applyFill="1" applyBorder="1"/>
    <xf numFmtId="0" fontId="29" fillId="3" borderId="11" xfId="0" applyFont="1" applyFill="1" applyBorder="1" applyAlignment="1">
      <alignment vertical="center"/>
    </xf>
    <xf numFmtId="0" fontId="30" fillId="0" borderId="6" xfId="0" applyFont="1" applyFill="1" applyBorder="1"/>
    <xf numFmtId="0" fontId="29" fillId="0" borderId="11" xfId="0" applyFont="1" applyFill="1" applyBorder="1" applyAlignment="1">
      <alignment vertical="center"/>
    </xf>
    <xf numFmtId="0" fontId="30" fillId="14" borderId="6" xfId="0" applyFont="1" applyFill="1" applyBorder="1"/>
    <xf numFmtId="0" fontId="31" fillId="0" borderId="6" xfId="0" applyFont="1" applyFill="1" applyBorder="1"/>
    <xf numFmtId="0" fontId="27" fillId="0" borderId="0" xfId="0" applyFont="1" applyFill="1"/>
    <xf numFmtId="0" fontId="16" fillId="30" borderId="6" xfId="0" applyFont="1" applyFill="1" applyBorder="1" applyAlignment="1">
      <alignment horizontal="center"/>
    </xf>
    <xf numFmtId="0" fontId="30" fillId="30" borderId="6" xfId="0" applyFont="1" applyFill="1" applyBorder="1"/>
    <xf numFmtId="0" fontId="16" fillId="13" borderId="6" xfId="0" applyFont="1" applyFill="1" applyBorder="1" applyAlignment="1">
      <alignment horizontal="center"/>
    </xf>
    <xf numFmtId="56" fontId="16" fillId="14" borderId="6" xfId="0" applyNumberFormat="1" applyFont="1" applyFill="1" applyBorder="1" applyAlignment="1">
      <alignment horizontal="center"/>
    </xf>
    <xf numFmtId="0" fontId="16" fillId="6" borderId="6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6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6" xfId="0" applyFont="1" applyFill="1" applyBorder="1"/>
    <xf numFmtId="22" fontId="30" fillId="0" borderId="6" xfId="0" quotePrefix="1" applyNumberFormat="1" applyFont="1" applyFill="1" applyBorder="1"/>
    <xf numFmtId="0" fontId="30" fillId="0" borderId="6" xfId="0" quotePrefix="1" applyFont="1" applyFill="1" applyBorder="1"/>
    <xf numFmtId="0" fontId="2" fillId="0" borderId="6" xfId="615" applyBorder="1"/>
    <xf numFmtId="0" fontId="2" fillId="6" borderId="6" xfId="615" applyFill="1" applyBorder="1"/>
    <xf numFmtId="0" fontId="4" fillId="31" borderId="6" xfId="0" applyFont="1" applyFill="1" applyBorder="1" applyAlignment="1">
      <alignment horizontal="left" vertical="center"/>
    </xf>
    <xf numFmtId="1" fontId="32" fillId="31" borderId="6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4" fillId="2" borderId="6" xfId="0" applyFont="1" applyFill="1" applyBorder="1" applyAlignment="1">
      <alignment horizontal="center" vertical="center"/>
    </xf>
    <xf numFmtId="0" fontId="4" fillId="0" borderId="6" xfId="0" applyFont="1" applyFill="1" applyBorder="1" applyAlignment="1">
      <alignment vertical="center"/>
    </xf>
    <xf numFmtId="0" fontId="4" fillId="0" borderId="6" xfId="0" applyFont="1" applyFill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3" borderId="6" xfId="0" applyFont="1" applyFill="1" applyBorder="1" applyAlignment="1">
      <alignment vertical="center"/>
    </xf>
    <xf numFmtId="38" fontId="16" fillId="0" borderId="6" xfId="628" applyFont="1" applyFill="1" applyBorder="1" applyAlignment="1">
      <alignment wrapText="1"/>
    </xf>
    <xf numFmtId="0" fontId="29" fillId="0" borderId="6" xfId="0" applyFont="1" applyFill="1" applyBorder="1" applyAlignment="1">
      <alignment vertical="center"/>
    </xf>
    <xf numFmtId="0" fontId="4" fillId="0" borderId="11" xfId="0" applyFont="1" applyFill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4" fillId="0" borderId="11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vertical="center"/>
    </xf>
    <xf numFmtId="0" fontId="4" fillId="3" borderId="11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vertical="center"/>
    </xf>
    <xf numFmtId="0" fontId="12" fillId="7" borderId="22" xfId="0" applyFont="1" applyFill="1" applyBorder="1" applyAlignment="1">
      <alignment vertical="center"/>
    </xf>
    <xf numFmtId="0" fontId="4" fillId="0" borderId="23" xfId="0" applyFont="1" applyFill="1" applyBorder="1" applyAlignment="1">
      <alignment vertical="center"/>
    </xf>
    <xf numFmtId="0" fontId="6" fillId="5" borderId="23" xfId="0" applyFont="1" applyFill="1" applyBorder="1" applyAlignment="1">
      <alignment vertical="center"/>
    </xf>
    <xf numFmtId="0" fontId="4" fillId="0" borderId="23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vertical="center"/>
    </xf>
    <xf numFmtId="0" fontId="4" fillId="3" borderId="23" xfId="0" applyFont="1" applyFill="1" applyBorder="1" applyAlignment="1">
      <alignment horizontal="center" vertical="center"/>
    </xf>
    <xf numFmtId="0" fontId="6" fillId="0" borderId="23" xfId="0" applyFont="1" applyFill="1" applyBorder="1" applyAlignment="1">
      <alignment vertical="center"/>
    </xf>
    <xf numFmtId="0" fontId="4" fillId="0" borderId="11" xfId="0" applyFont="1" applyBorder="1" applyAlignment="1">
      <alignment horizontal="center" vertical="center"/>
    </xf>
    <xf numFmtId="0" fontId="8" fillId="0" borderId="24" xfId="0" applyFont="1" applyBorder="1" applyAlignment="1">
      <alignment vertical="center"/>
    </xf>
    <xf numFmtId="176" fontId="8" fillId="0" borderId="24" xfId="0" applyNumberFormat="1" applyFont="1" applyBorder="1" applyAlignment="1">
      <alignment vertical="center"/>
    </xf>
    <xf numFmtId="1" fontId="32" fillId="31" borderId="11" xfId="0" applyNumberFormat="1" applyFont="1" applyFill="1" applyBorder="1" applyAlignment="1">
      <alignment vertical="center"/>
    </xf>
    <xf numFmtId="0" fontId="16" fillId="0" borderId="11" xfId="0" applyFont="1" applyFill="1" applyBorder="1" applyAlignment="1">
      <alignment vertical="center"/>
    </xf>
    <xf numFmtId="0" fontId="4" fillId="0" borderId="2" xfId="0" applyFont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4" fillId="0" borderId="25" xfId="0" applyFont="1" applyBorder="1" applyAlignment="1">
      <alignment vertical="center"/>
    </xf>
    <xf numFmtId="0" fontId="4" fillId="0" borderId="11" xfId="0" applyFont="1" applyBorder="1" applyAlignment="1">
      <alignment vertical="center"/>
    </xf>
    <xf numFmtId="0" fontId="12" fillId="7" borderId="0" xfId="0" applyFont="1" applyFill="1" applyBorder="1" applyAlignment="1">
      <alignment vertical="center"/>
    </xf>
    <xf numFmtId="0" fontId="6" fillId="5" borderId="26" xfId="0" applyFont="1" applyFill="1" applyBorder="1" applyAlignment="1">
      <alignment vertical="center"/>
    </xf>
    <xf numFmtId="0" fontId="4" fillId="0" borderId="23" xfId="0" applyFont="1" applyBorder="1" applyAlignment="1">
      <alignment horizontal="center" vertical="center"/>
    </xf>
    <xf numFmtId="0" fontId="6" fillId="5" borderId="27" xfId="0" applyFont="1" applyFill="1" applyBorder="1" applyAlignment="1">
      <alignment vertical="center"/>
    </xf>
    <xf numFmtId="0" fontId="8" fillId="0" borderId="28" xfId="0" applyFont="1" applyBorder="1" applyAlignment="1">
      <alignment vertical="center"/>
    </xf>
    <xf numFmtId="176" fontId="8" fillId="0" borderId="28" xfId="0" applyNumberFormat="1" applyFont="1" applyBorder="1" applyAlignment="1">
      <alignment vertical="center"/>
    </xf>
    <xf numFmtId="1" fontId="32" fillId="31" borderId="23" xfId="0" applyNumberFormat="1" applyFont="1" applyFill="1" applyBorder="1" applyAlignment="1">
      <alignment vertical="center"/>
    </xf>
    <xf numFmtId="0" fontId="16" fillId="0" borderId="23" xfId="0" applyFont="1" applyFill="1" applyBorder="1" applyAlignment="1">
      <alignment vertical="center"/>
    </xf>
    <xf numFmtId="0" fontId="4" fillId="0" borderId="29" xfId="0" applyFont="1" applyBorder="1" applyAlignment="1">
      <alignment vertical="center"/>
    </xf>
    <xf numFmtId="0" fontId="4" fillId="3" borderId="23" xfId="0" applyFont="1" applyFill="1" applyBorder="1" applyAlignment="1">
      <alignment vertical="center"/>
    </xf>
    <xf numFmtId="0" fontId="4" fillId="0" borderId="30" xfId="0" applyFont="1" applyBorder="1" applyAlignment="1">
      <alignment vertical="center"/>
    </xf>
    <xf numFmtId="0" fontId="4" fillId="0" borderId="23" xfId="0" applyFont="1" applyBorder="1" applyAlignment="1">
      <alignment vertical="center"/>
    </xf>
    <xf numFmtId="0" fontId="16" fillId="32" borderId="6" xfId="0" applyFont="1" applyFill="1" applyBorder="1" applyAlignment="1">
      <alignment vertical="center"/>
    </xf>
    <xf numFmtId="0" fontId="16" fillId="32" borderId="6" xfId="0" applyFont="1" applyFill="1" applyBorder="1" applyAlignment="1">
      <alignment horizontal="left" vertical="center"/>
    </xf>
    <xf numFmtId="0" fontId="16" fillId="32" borderId="6" xfId="0" applyFont="1" applyFill="1" applyBorder="1" applyAlignment="1">
      <alignment horizontal="left" vertical="center" wrapText="1"/>
    </xf>
    <xf numFmtId="0" fontId="53" fillId="0" borderId="6" xfId="0" applyFont="1" applyFill="1" applyBorder="1" applyAlignment="1">
      <alignment horizontal="left" vertical="center" wrapText="1"/>
    </xf>
    <xf numFmtId="0" fontId="27" fillId="0" borderId="11" xfId="0" applyFont="1" applyFill="1" applyBorder="1"/>
    <xf numFmtId="0" fontId="28" fillId="0" borderId="11" xfId="0" applyFont="1" applyFill="1" applyBorder="1"/>
    <xf numFmtId="0" fontId="30" fillId="0" borderId="11" xfId="0" applyFont="1" applyFill="1" applyBorder="1"/>
    <xf numFmtId="0" fontId="30" fillId="30" borderId="11" xfId="0" applyFont="1" applyFill="1" applyBorder="1"/>
    <xf numFmtId="0" fontId="30" fillId="14" borderId="11" xfId="0" applyFont="1" applyFill="1" applyBorder="1"/>
    <xf numFmtId="0" fontId="31" fillId="0" borderId="11" xfId="0" applyFont="1" applyFill="1" applyBorder="1"/>
    <xf numFmtId="38" fontId="16" fillId="0" borderId="11" xfId="628" applyFont="1" applyFill="1" applyBorder="1" applyAlignment="1">
      <alignment wrapText="1"/>
    </xf>
    <xf numFmtId="0" fontId="0" fillId="0" borderId="11" xfId="0" applyBorder="1"/>
    <xf numFmtId="0" fontId="27" fillId="0" borderId="23" xfId="0" applyFont="1" applyFill="1" applyBorder="1"/>
    <xf numFmtId="0" fontId="28" fillId="0" borderId="23" xfId="0" applyFont="1" applyFill="1" applyBorder="1"/>
    <xf numFmtId="0" fontId="29" fillId="3" borderId="23" xfId="0" applyFont="1" applyFill="1" applyBorder="1" applyAlignment="1">
      <alignment vertical="center"/>
    </xf>
    <xf numFmtId="0" fontId="30" fillId="0" borderId="23" xfId="0" applyFont="1" applyFill="1" applyBorder="1"/>
    <xf numFmtId="0" fontId="29" fillId="0" borderId="23" xfId="0" applyFont="1" applyFill="1" applyBorder="1" applyAlignment="1">
      <alignment vertical="center"/>
    </xf>
    <xf numFmtId="0" fontId="30" fillId="30" borderId="23" xfId="0" applyFont="1" applyFill="1" applyBorder="1"/>
    <xf numFmtId="0" fontId="30" fillId="14" borderId="23" xfId="0" applyFont="1" applyFill="1" applyBorder="1"/>
    <xf numFmtId="0" fontId="31" fillId="0" borderId="23" xfId="0" applyFont="1" applyFill="1" applyBorder="1"/>
    <xf numFmtId="38" fontId="16" fillId="0" borderId="23" xfId="628" applyFont="1" applyFill="1" applyBorder="1" applyAlignment="1">
      <alignment wrapText="1"/>
    </xf>
    <xf numFmtId="0" fontId="0" fillId="0" borderId="23" xfId="0" applyBorder="1"/>
    <xf numFmtId="0" fontId="6" fillId="5" borderId="31" xfId="0" applyFont="1" applyFill="1" applyBorder="1" applyAlignment="1">
      <alignment vertical="center"/>
    </xf>
    <xf numFmtId="0" fontId="6" fillId="5" borderId="32" xfId="0" applyFont="1" applyFill="1" applyBorder="1" applyAlignment="1">
      <alignment vertical="center"/>
    </xf>
    <xf numFmtId="0" fontId="53" fillId="0" borderId="6" xfId="0" applyFont="1" applyFill="1" applyBorder="1" applyAlignment="1">
      <alignment horizontal="left" vertical="center"/>
    </xf>
    <xf numFmtId="0" fontId="52" fillId="0" borderId="6" xfId="0" applyFont="1" applyFill="1" applyBorder="1" applyAlignment="1">
      <alignment horizontal="left" vertical="center" wrapText="1"/>
    </xf>
    <xf numFmtId="176" fontId="8" fillId="0" borderId="33" xfId="0" applyNumberFormat="1" applyFont="1" applyBorder="1" applyAlignment="1">
      <alignment vertical="center"/>
    </xf>
    <xf numFmtId="176" fontId="8" fillId="0" borderId="32" xfId="0" applyNumberFormat="1" applyFont="1" applyBorder="1" applyAlignment="1">
      <alignment vertical="center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30050</v>
          </cell>
        </row>
        <row r="183">
          <cell r="A183">
            <v>39001</v>
          </cell>
        </row>
        <row r="184">
          <cell r="A184">
            <v>39002</v>
          </cell>
        </row>
        <row r="185">
          <cell r="A185">
            <v>39003</v>
          </cell>
        </row>
        <row r="186">
          <cell r="A186">
            <v>39004</v>
          </cell>
        </row>
        <row r="187">
          <cell r="A187">
            <v>39005</v>
          </cell>
        </row>
        <row r="188">
          <cell r="A188">
            <v>39006</v>
          </cell>
        </row>
        <row r="189">
          <cell r="A189">
            <v>39007</v>
          </cell>
        </row>
        <row r="190">
          <cell r="A190">
            <v>39008</v>
          </cell>
        </row>
        <row r="191">
          <cell r="A191">
            <v>39009</v>
          </cell>
        </row>
        <row r="192">
          <cell r="A192">
            <v>39010</v>
          </cell>
        </row>
        <row r="193">
          <cell r="A193">
            <v>39011</v>
          </cell>
        </row>
        <row r="194">
          <cell r="A194">
            <v>39012</v>
          </cell>
        </row>
        <row r="195">
          <cell r="A195">
            <v>39013</v>
          </cell>
        </row>
        <row r="196">
          <cell r="A196">
            <v>39014</v>
          </cell>
        </row>
        <row r="197">
          <cell r="A197">
            <v>40001</v>
          </cell>
        </row>
        <row r="198">
          <cell r="A198">
            <v>40002</v>
          </cell>
        </row>
        <row r="199">
          <cell r="A199">
            <v>40003</v>
          </cell>
        </row>
        <row r="200">
          <cell r="A200">
            <v>40004</v>
          </cell>
        </row>
        <row r="201">
          <cell r="A201">
            <v>40005</v>
          </cell>
        </row>
        <row r="202">
          <cell r="A202">
            <v>40006</v>
          </cell>
        </row>
        <row r="203">
          <cell r="A203">
            <v>40007</v>
          </cell>
        </row>
        <row r="204">
          <cell r="A204">
            <v>40008</v>
          </cell>
        </row>
        <row r="205">
          <cell r="A205">
            <v>40009</v>
          </cell>
        </row>
        <row r="206">
          <cell r="A206">
            <v>40010</v>
          </cell>
        </row>
        <row r="207">
          <cell r="A207">
            <v>40011</v>
          </cell>
        </row>
        <row r="208">
          <cell r="A208">
            <v>40012</v>
          </cell>
        </row>
        <row r="209">
          <cell r="A209">
            <v>40013</v>
          </cell>
        </row>
        <row r="210">
          <cell r="A210">
            <v>40014</v>
          </cell>
        </row>
        <row r="211">
          <cell r="A211">
            <v>40015</v>
          </cell>
        </row>
        <row r="212">
          <cell r="A212">
            <v>40016</v>
          </cell>
        </row>
        <row r="213">
          <cell r="A213">
            <v>40017</v>
          </cell>
        </row>
        <row r="214">
          <cell r="A214">
            <v>40018</v>
          </cell>
        </row>
        <row r="215">
          <cell r="A215">
            <v>40019</v>
          </cell>
        </row>
        <row r="216">
          <cell r="A216">
            <v>40021</v>
          </cell>
        </row>
        <row r="217">
          <cell r="A217">
            <v>40022</v>
          </cell>
        </row>
        <row r="218">
          <cell r="A218">
            <v>40023</v>
          </cell>
        </row>
        <row r="219">
          <cell r="A219">
            <v>40024</v>
          </cell>
        </row>
        <row r="220">
          <cell r="A220">
            <v>40025</v>
          </cell>
        </row>
        <row r="221">
          <cell r="A221">
            <v>40026</v>
          </cell>
        </row>
        <row r="222">
          <cell r="A222">
            <v>40027</v>
          </cell>
        </row>
        <row r="223">
          <cell r="A223">
            <v>40028</v>
          </cell>
        </row>
        <row r="224">
          <cell r="A224">
            <v>40029</v>
          </cell>
        </row>
        <row r="225">
          <cell r="A225">
            <v>40030</v>
          </cell>
        </row>
        <row r="226">
          <cell r="A226">
            <v>40031</v>
          </cell>
        </row>
        <row r="227">
          <cell r="A227">
            <v>40032</v>
          </cell>
        </row>
        <row r="228">
          <cell r="A228">
            <v>40033</v>
          </cell>
        </row>
        <row r="229">
          <cell r="A229">
            <v>40034</v>
          </cell>
        </row>
        <row r="230">
          <cell r="A230">
            <v>40035</v>
          </cell>
        </row>
        <row r="231">
          <cell r="A231">
            <v>40036</v>
          </cell>
        </row>
        <row r="232">
          <cell r="A232">
            <v>40037</v>
          </cell>
        </row>
        <row r="233">
          <cell r="A233">
            <v>40038</v>
          </cell>
        </row>
        <row r="234">
          <cell r="A234">
            <v>40039</v>
          </cell>
        </row>
        <row r="235">
          <cell r="A235">
            <v>40040</v>
          </cell>
        </row>
        <row r="236">
          <cell r="A236">
            <v>40041</v>
          </cell>
        </row>
        <row r="237">
          <cell r="A237">
            <v>40042</v>
          </cell>
        </row>
        <row r="238">
          <cell r="A238">
            <v>40043</v>
          </cell>
        </row>
        <row r="239">
          <cell r="A239">
            <v>40044</v>
          </cell>
        </row>
        <row r="240">
          <cell r="A240">
            <v>40045</v>
          </cell>
        </row>
        <row r="241">
          <cell r="A241">
            <v>40046</v>
          </cell>
        </row>
        <row r="242">
          <cell r="A242">
            <v>48001</v>
          </cell>
        </row>
        <row r="243">
          <cell r="A243">
            <v>48002</v>
          </cell>
        </row>
        <row r="244">
          <cell r="A244">
            <v>48003</v>
          </cell>
        </row>
        <row r="245">
          <cell r="A245">
            <v>48004</v>
          </cell>
        </row>
        <row r="246">
          <cell r="A246">
            <v>48005</v>
          </cell>
        </row>
        <row r="247">
          <cell r="A247">
            <v>48006</v>
          </cell>
        </row>
        <row r="248">
          <cell r="A248">
            <v>48007</v>
          </cell>
        </row>
        <row r="249">
          <cell r="A249">
            <v>48008</v>
          </cell>
        </row>
        <row r="250">
          <cell r="A250">
            <v>48009</v>
          </cell>
        </row>
        <row r="251">
          <cell r="A251">
            <v>48010</v>
          </cell>
        </row>
        <row r="252">
          <cell r="A252">
            <v>48011</v>
          </cell>
        </row>
        <row r="253">
          <cell r="A253">
            <v>48012</v>
          </cell>
        </row>
        <row r="254">
          <cell r="A254">
            <v>48013</v>
          </cell>
        </row>
        <row r="255">
          <cell r="A255">
            <v>48014</v>
          </cell>
        </row>
        <row r="256">
          <cell r="A256">
            <v>48501</v>
          </cell>
        </row>
        <row r="257">
          <cell r="A257">
            <v>48502</v>
          </cell>
        </row>
        <row r="258">
          <cell r="A258">
            <v>48503</v>
          </cell>
        </row>
        <row r="259">
          <cell r="A259">
            <v>48701</v>
          </cell>
        </row>
        <row r="260">
          <cell r="A260">
            <v>48702</v>
          </cell>
        </row>
        <row r="261">
          <cell r="A261">
            <v>41001</v>
          </cell>
        </row>
        <row r="262">
          <cell r="A262">
            <v>41002</v>
          </cell>
        </row>
        <row r="263">
          <cell r="A263">
            <v>41003</v>
          </cell>
        </row>
        <row r="264">
          <cell r="A264">
            <v>41004</v>
          </cell>
        </row>
        <row r="265">
          <cell r="A265">
            <v>41005</v>
          </cell>
        </row>
        <row r="266">
          <cell r="A266">
            <v>41006</v>
          </cell>
        </row>
        <row r="267">
          <cell r="A267">
            <v>41007</v>
          </cell>
        </row>
        <row r="268">
          <cell r="A268">
            <v>41008</v>
          </cell>
        </row>
        <row r="269">
          <cell r="A269">
            <v>41009</v>
          </cell>
        </row>
        <row r="270">
          <cell r="A270">
            <v>41010</v>
          </cell>
        </row>
        <row r="271">
          <cell r="A271">
            <v>41011</v>
          </cell>
        </row>
        <row r="272">
          <cell r="A272">
            <v>41012</v>
          </cell>
        </row>
        <row r="273">
          <cell r="A273">
            <v>41013</v>
          </cell>
        </row>
        <row r="274">
          <cell r="A274">
            <v>41014</v>
          </cell>
        </row>
        <row r="275">
          <cell r="A275">
            <v>41015</v>
          </cell>
        </row>
        <row r="276">
          <cell r="A276">
            <v>47001</v>
          </cell>
        </row>
        <row r="277">
          <cell r="A277">
            <v>47002</v>
          </cell>
        </row>
        <row r="278">
          <cell r="A278">
            <v>47003</v>
          </cell>
        </row>
        <row r="279">
          <cell r="A279">
            <v>47004</v>
          </cell>
        </row>
        <row r="280">
          <cell r="A280">
            <v>47005</v>
          </cell>
        </row>
        <row r="281">
          <cell r="A281">
            <v>47006</v>
          </cell>
        </row>
        <row r="282">
          <cell r="A282">
            <v>47007</v>
          </cell>
        </row>
        <row r="283">
          <cell r="A283">
            <v>47008</v>
          </cell>
        </row>
        <row r="284">
          <cell r="A284">
            <v>47009</v>
          </cell>
        </row>
        <row r="285">
          <cell r="A285">
            <v>47010</v>
          </cell>
        </row>
        <row r="286">
          <cell r="A286">
            <v>47011</v>
          </cell>
        </row>
        <row r="287">
          <cell r="A287">
            <v>47012</v>
          </cell>
        </row>
        <row r="288">
          <cell r="A288">
            <v>47013</v>
          </cell>
        </row>
        <row r="289">
          <cell r="A289">
            <v>49001</v>
          </cell>
        </row>
        <row r="290">
          <cell r="A290">
            <v>49002</v>
          </cell>
        </row>
        <row r="291">
          <cell r="A291">
            <v>49003</v>
          </cell>
        </row>
        <row r="292">
          <cell r="A292">
            <v>49004</v>
          </cell>
        </row>
        <row r="293">
          <cell r="A293">
            <v>49005</v>
          </cell>
        </row>
        <row r="294">
          <cell r="A294">
            <v>49006</v>
          </cell>
        </row>
        <row r="295">
          <cell r="A295">
            <v>49007</v>
          </cell>
        </row>
        <row r="296">
          <cell r="A296">
            <v>49008</v>
          </cell>
        </row>
        <row r="297">
          <cell r="A297">
            <v>49009</v>
          </cell>
        </row>
        <row r="298">
          <cell r="A298">
            <v>49010</v>
          </cell>
        </row>
        <row r="299">
          <cell r="A299">
            <v>49011</v>
          </cell>
        </row>
        <row r="300">
          <cell r="A300">
            <v>49012</v>
          </cell>
        </row>
        <row r="301">
          <cell r="A301">
            <v>49013</v>
          </cell>
        </row>
        <row r="302">
          <cell r="A302">
            <v>49014</v>
          </cell>
        </row>
        <row r="303">
          <cell r="A303">
            <v>49015</v>
          </cell>
        </row>
        <row r="304">
          <cell r="A304">
            <v>49016</v>
          </cell>
        </row>
        <row r="305">
          <cell r="A305">
            <v>50001</v>
          </cell>
        </row>
        <row r="306">
          <cell r="A306">
            <v>50002</v>
          </cell>
        </row>
        <row r="307">
          <cell r="A307">
            <v>50003</v>
          </cell>
        </row>
        <row r="308">
          <cell r="A308">
            <v>50004</v>
          </cell>
        </row>
        <row r="309">
          <cell r="A309">
            <v>50005</v>
          </cell>
        </row>
        <row r="310">
          <cell r="A310">
            <v>50006</v>
          </cell>
        </row>
        <row r="311">
          <cell r="A311">
            <v>50007</v>
          </cell>
        </row>
        <row r="312">
          <cell r="A312">
            <v>50008</v>
          </cell>
        </row>
        <row r="313">
          <cell r="A313">
            <v>50009</v>
          </cell>
        </row>
        <row r="314">
          <cell r="A314">
            <v>50010</v>
          </cell>
        </row>
        <row r="315">
          <cell r="A315">
            <v>50011</v>
          </cell>
        </row>
        <row r="316">
          <cell r="A316">
            <v>50012</v>
          </cell>
        </row>
        <row r="317">
          <cell r="A317">
            <v>50013</v>
          </cell>
        </row>
        <row r="318">
          <cell r="A318">
            <v>50014</v>
          </cell>
        </row>
        <row r="319">
          <cell r="A319">
            <v>50015</v>
          </cell>
        </row>
        <row r="320">
          <cell r="A320">
            <v>50016</v>
          </cell>
        </row>
        <row r="321">
          <cell r="A321">
            <v>51001</v>
          </cell>
        </row>
        <row r="322">
          <cell r="A322">
            <v>51002</v>
          </cell>
        </row>
        <row r="323">
          <cell r="A323">
            <v>58001</v>
          </cell>
        </row>
        <row r="324">
          <cell r="A324">
            <v>58002</v>
          </cell>
        </row>
        <row r="325">
          <cell r="A325">
            <v>59001</v>
          </cell>
        </row>
        <row r="326">
          <cell r="A326">
            <v>59002</v>
          </cell>
        </row>
        <row r="327">
          <cell r="A327">
            <v>59003</v>
          </cell>
        </row>
        <row r="328">
          <cell r="A328">
            <v>60001</v>
          </cell>
        </row>
        <row r="329">
          <cell r="A329">
            <v>60002</v>
          </cell>
        </row>
        <row r="330">
          <cell r="A330">
            <v>60003</v>
          </cell>
        </row>
        <row r="331">
          <cell r="A331">
            <v>60004</v>
          </cell>
        </row>
        <row r="332">
          <cell r="A332">
            <v>60005</v>
          </cell>
        </row>
        <row r="333">
          <cell r="A333">
            <v>60006</v>
          </cell>
        </row>
        <row r="334">
          <cell r="A334">
            <v>60007</v>
          </cell>
        </row>
        <row r="335">
          <cell r="A335">
            <v>60010</v>
          </cell>
        </row>
        <row r="336">
          <cell r="A336">
            <v>60011</v>
          </cell>
        </row>
        <row r="337">
          <cell r="A337">
            <v>61011</v>
          </cell>
        </row>
        <row r="338">
          <cell r="A338">
            <v>60012</v>
          </cell>
        </row>
        <row r="339">
          <cell r="A339">
            <v>60013</v>
          </cell>
        </row>
        <row r="340">
          <cell r="A340">
            <v>60014</v>
          </cell>
        </row>
        <row r="341">
          <cell r="A341">
            <v>60015</v>
          </cell>
        </row>
        <row r="342">
          <cell r="A342">
            <v>60016</v>
          </cell>
        </row>
        <row r="343">
          <cell r="A343">
            <v>60017</v>
          </cell>
        </row>
        <row r="344">
          <cell r="A344">
            <v>60018</v>
          </cell>
        </row>
        <row r="345">
          <cell r="A345">
            <v>60019</v>
          </cell>
        </row>
        <row r="346">
          <cell r="A346">
            <v>60020</v>
          </cell>
        </row>
        <row r="347">
          <cell r="A347">
            <v>60025</v>
          </cell>
        </row>
        <row r="348">
          <cell r="A348">
            <v>60026</v>
          </cell>
        </row>
        <row r="349">
          <cell r="A349">
            <v>60027</v>
          </cell>
        </row>
        <row r="350">
          <cell r="A350">
            <v>60028</v>
          </cell>
        </row>
        <row r="351">
          <cell r="A351">
            <v>60029</v>
          </cell>
        </row>
        <row r="352">
          <cell r="A352">
            <v>60030</v>
          </cell>
        </row>
        <row r="353">
          <cell r="A353">
            <v>60031</v>
          </cell>
        </row>
        <row r="354">
          <cell r="A354">
            <v>65523</v>
          </cell>
        </row>
        <row r="355">
          <cell r="A355">
            <v>65524</v>
          </cell>
        </row>
        <row r="356">
          <cell r="A356">
            <v>65525</v>
          </cell>
        </row>
        <row r="357">
          <cell r="A357">
            <v>65526</v>
          </cell>
        </row>
        <row r="358">
          <cell r="A358">
            <v>65527</v>
          </cell>
        </row>
        <row r="359">
          <cell r="A359">
            <v>65528</v>
          </cell>
        </row>
        <row r="360">
          <cell r="A360">
            <v>65529</v>
          </cell>
        </row>
        <row r="361">
          <cell r="A361">
            <v>65530</v>
          </cell>
        </row>
        <row r="362">
          <cell r="A362">
            <v>65531</v>
          </cell>
        </row>
        <row r="363">
          <cell r="A363">
            <v>65532</v>
          </cell>
        </row>
        <row r="364">
          <cell r="A364">
            <v>65533</v>
          </cell>
        </row>
        <row r="365">
          <cell r="A365">
            <v>65534</v>
          </cell>
        </row>
        <row r="366">
          <cell r="A366">
            <v>65535</v>
          </cell>
        </row>
        <row r="367">
          <cell r="A367">
            <v>60021</v>
          </cell>
        </row>
        <row r="368">
          <cell r="A368">
            <v>60022</v>
          </cell>
        </row>
        <row r="369">
          <cell r="A369">
            <v>60023</v>
          </cell>
        </row>
        <row r="370">
          <cell r="A370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  <cell r="AM2" t="str">
            <v>stage_type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30050_1</v>
          </cell>
        </row>
        <row r="665">
          <cell r="A665" t="str">
            <v>30050_2</v>
          </cell>
        </row>
        <row r="666">
          <cell r="A666" t="str">
            <v>30050_3</v>
          </cell>
        </row>
        <row r="667">
          <cell r="A667" t="str">
            <v>39001_1</v>
          </cell>
        </row>
        <row r="668">
          <cell r="A668" t="str">
            <v>39001_2</v>
          </cell>
        </row>
        <row r="669">
          <cell r="A669" t="str">
            <v>39001_3</v>
          </cell>
        </row>
        <row r="670">
          <cell r="A670" t="str">
            <v>39001_4</v>
          </cell>
        </row>
        <row r="671">
          <cell r="A671" t="str">
            <v>39001_5</v>
          </cell>
        </row>
        <row r="672">
          <cell r="A672" t="str">
            <v>39002_1</v>
          </cell>
        </row>
        <row r="673">
          <cell r="A673" t="str">
            <v>39002_2</v>
          </cell>
        </row>
        <row r="674">
          <cell r="A674" t="str">
            <v>39002_3</v>
          </cell>
        </row>
        <row r="675">
          <cell r="A675" t="str">
            <v>39002_4</v>
          </cell>
        </row>
        <row r="676">
          <cell r="A676" t="str">
            <v>39003_1</v>
          </cell>
        </row>
        <row r="677">
          <cell r="A677" t="str">
            <v>39003_2</v>
          </cell>
        </row>
        <row r="678">
          <cell r="A678" t="str">
            <v>39003_3</v>
          </cell>
        </row>
        <row r="679">
          <cell r="A679" t="str">
            <v>39003_4</v>
          </cell>
        </row>
        <row r="680">
          <cell r="A680" t="str">
            <v>39004_1</v>
          </cell>
        </row>
        <row r="681">
          <cell r="A681" t="str">
            <v>39004_2</v>
          </cell>
        </row>
        <row r="682">
          <cell r="A682" t="str">
            <v>39004_3</v>
          </cell>
        </row>
        <row r="683">
          <cell r="A683" t="str">
            <v>39004_4</v>
          </cell>
        </row>
        <row r="684">
          <cell r="A684" t="str">
            <v>39005_1</v>
          </cell>
        </row>
        <row r="685">
          <cell r="A685" t="str">
            <v>39005_2</v>
          </cell>
        </row>
        <row r="686">
          <cell r="A686" t="str">
            <v>39005_3</v>
          </cell>
        </row>
        <row r="687">
          <cell r="A687" t="str">
            <v>39005_4</v>
          </cell>
        </row>
        <row r="688">
          <cell r="A688" t="str">
            <v>39005_5</v>
          </cell>
        </row>
        <row r="689">
          <cell r="A689" t="str">
            <v>39006_1</v>
          </cell>
        </row>
        <row r="690">
          <cell r="A690" t="str">
            <v>39006_2</v>
          </cell>
        </row>
        <row r="691">
          <cell r="A691" t="str">
            <v>39006_3</v>
          </cell>
        </row>
        <row r="692">
          <cell r="A692" t="str">
            <v>39006_4</v>
          </cell>
        </row>
        <row r="693">
          <cell r="A693" t="str">
            <v>39007_1</v>
          </cell>
        </row>
        <row r="694">
          <cell r="A694" t="str">
            <v>39007_2</v>
          </cell>
        </row>
        <row r="695">
          <cell r="A695" t="str">
            <v>39007_3</v>
          </cell>
        </row>
        <row r="696">
          <cell r="A696" t="str">
            <v>39007_4</v>
          </cell>
        </row>
        <row r="697">
          <cell r="A697" t="str">
            <v>39008_1</v>
          </cell>
        </row>
        <row r="698">
          <cell r="A698" t="str">
            <v>39008_2</v>
          </cell>
        </row>
        <row r="699">
          <cell r="A699" t="str">
            <v>39008_3</v>
          </cell>
        </row>
        <row r="700">
          <cell r="A700" t="str">
            <v>39008_4</v>
          </cell>
        </row>
        <row r="701">
          <cell r="A701" t="str">
            <v>39008_5</v>
          </cell>
        </row>
        <row r="702">
          <cell r="A702" t="str">
            <v>39009_1</v>
          </cell>
        </row>
        <row r="703">
          <cell r="A703" t="str">
            <v>39009_2</v>
          </cell>
        </row>
        <row r="704">
          <cell r="A704" t="str">
            <v>39009_3</v>
          </cell>
        </row>
        <row r="705">
          <cell r="A705" t="str">
            <v>39009_4</v>
          </cell>
        </row>
        <row r="706">
          <cell r="A706" t="str">
            <v>39009_5</v>
          </cell>
        </row>
        <row r="707">
          <cell r="A707" t="str">
            <v>39010_1</v>
          </cell>
        </row>
        <row r="708">
          <cell r="A708" t="str">
            <v>39010_2</v>
          </cell>
        </row>
        <row r="709">
          <cell r="A709" t="str">
            <v>39010_3</v>
          </cell>
        </row>
        <row r="710">
          <cell r="A710" t="str">
            <v>39010_4</v>
          </cell>
        </row>
        <row r="711">
          <cell r="A711" t="str">
            <v>39011_1</v>
          </cell>
        </row>
        <row r="712">
          <cell r="A712" t="str">
            <v>39011_2</v>
          </cell>
        </row>
        <row r="713">
          <cell r="A713" t="str">
            <v>39011_3</v>
          </cell>
        </row>
        <row r="714">
          <cell r="A714" t="str">
            <v>39011_4</v>
          </cell>
        </row>
        <row r="715">
          <cell r="A715" t="str">
            <v>39012_1</v>
          </cell>
        </row>
        <row r="716">
          <cell r="A716" t="str">
            <v>39012_2</v>
          </cell>
        </row>
        <row r="717">
          <cell r="A717" t="str">
            <v>39012_3</v>
          </cell>
        </row>
        <row r="718">
          <cell r="A718" t="str">
            <v>39012_4</v>
          </cell>
        </row>
        <row r="719">
          <cell r="A719" t="str">
            <v>39012_5</v>
          </cell>
        </row>
        <row r="720">
          <cell r="A720" t="str">
            <v>39013_1</v>
          </cell>
        </row>
        <row r="721">
          <cell r="A721" t="str">
            <v>39013_2</v>
          </cell>
        </row>
        <row r="722">
          <cell r="A722" t="str">
            <v>39013_3</v>
          </cell>
        </row>
        <row r="723">
          <cell r="A723" t="str">
            <v>39013_4</v>
          </cell>
        </row>
        <row r="724">
          <cell r="A724" t="str">
            <v>39014_1</v>
          </cell>
        </row>
        <row r="725">
          <cell r="A725" t="str">
            <v>40001_1</v>
          </cell>
        </row>
        <row r="726">
          <cell r="A726" t="str">
            <v>40002_1</v>
          </cell>
        </row>
        <row r="727">
          <cell r="A727" t="str">
            <v>40002_2</v>
          </cell>
        </row>
        <row r="728">
          <cell r="A728" t="str">
            <v>40002_3</v>
          </cell>
        </row>
        <row r="729">
          <cell r="A729" t="str">
            <v>40003_1</v>
          </cell>
        </row>
        <row r="730">
          <cell r="A730" t="str">
            <v>40004_1</v>
          </cell>
        </row>
        <row r="731">
          <cell r="A731" t="str">
            <v>40005_1</v>
          </cell>
        </row>
        <row r="732">
          <cell r="A732" t="str">
            <v>40006_1</v>
          </cell>
        </row>
        <row r="733">
          <cell r="A733" t="str">
            <v>40007_1</v>
          </cell>
        </row>
        <row r="734">
          <cell r="A734" t="str">
            <v>40008_1</v>
          </cell>
        </row>
        <row r="735">
          <cell r="A735" t="str">
            <v>40009_1</v>
          </cell>
        </row>
        <row r="736">
          <cell r="A736" t="str">
            <v>40010_1</v>
          </cell>
        </row>
        <row r="737">
          <cell r="A737" t="str">
            <v>40011_1</v>
          </cell>
        </row>
        <row r="738">
          <cell r="A738" t="str">
            <v>40012_1</v>
          </cell>
        </row>
        <row r="739">
          <cell r="A739" t="str">
            <v>40013_1</v>
          </cell>
        </row>
        <row r="740">
          <cell r="A740" t="str">
            <v>40014_1</v>
          </cell>
        </row>
        <row r="741">
          <cell r="A741" t="str">
            <v>40015_1</v>
          </cell>
        </row>
        <row r="742">
          <cell r="A742" t="str">
            <v>40016_1</v>
          </cell>
        </row>
        <row r="743">
          <cell r="A743" t="str">
            <v>40016_2</v>
          </cell>
        </row>
        <row r="744">
          <cell r="A744" t="str">
            <v>40017_1</v>
          </cell>
        </row>
        <row r="745">
          <cell r="A745" t="str">
            <v>40017_2</v>
          </cell>
        </row>
        <row r="746">
          <cell r="A746" t="str">
            <v>40017_3</v>
          </cell>
        </row>
        <row r="747">
          <cell r="A747" t="str">
            <v>40018_1</v>
          </cell>
        </row>
        <row r="748">
          <cell r="A748" t="str">
            <v>40018_2</v>
          </cell>
        </row>
        <row r="749">
          <cell r="A749" t="str">
            <v>40018_3</v>
          </cell>
        </row>
        <row r="750">
          <cell r="A750" t="str">
            <v>40019_1</v>
          </cell>
        </row>
        <row r="751">
          <cell r="A751" t="str">
            <v>40019_2</v>
          </cell>
        </row>
        <row r="752">
          <cell r="A752" t="str">
            <v>40019_3</v>
          </cell>
        </row>
        <row r="753">
          <cell r="A753" t="str">
            <v>40021_1</v>
          </cell>
        </row>
        <row r="754">
          <cell r="A754" t="str">
            <v>40021_2</v>
          </cell>
        </row>
        <row r="755">
          <cell r="A755" t="str">
            <v>40022_1</v>
          </cell>
        </row>
        <row r="756">
          <cell r="A756" t="str">
            <v>40022_2</v>
          </cell>
        </row>
        <row r="757">
          <cell r="A757" t="str">
            <v>40023_1</v>
          </cell>
        </row>
        <row r="758">
          <cell r="A758" t="str">
            <v>40023_2</v>
          </cell>
        </row>
        <row r="759">
          <cell r="A759" t="str">
            <v>40024_1</v>
          </cell>
        </row>
        <row r="760">
          <cell r="A760" t="str">
            <v>40024_2</v>
          </cell>
        </row>
        <row r="761">
          <cell r="A761" t="str">
            <v>40025_1</v>
          </cell>
        </row>
        <row r="762">
          <cell r="A762" t="str">
            <v>40025_2</v>
          </cell>
        </row>
        <row r="763">
          <cell r="A763" t="str">
            <v>40026_1</v>
          </cell>
        </row>
        <row r="764">
          <cell r="A764" t="str">
            <v>40026_2</v>
          </cell>
        </row>
        <row r="765">
          <cell r="A765" t="str">
            <v>40027_1</v>
          </cell>
        </row>
        <row r="766">
          <cell r="A766" t="str">
            <v>40027_2</v>
          </cell>
        </row>
        <row r="767">
          <cell r="A767" t="str">
            <v>40028_1</v>
          </cell>
        </row>
        <row r="768">
          <cell r="A768" t="str">
            <v>40028_2</v>
          </cell>
        </row>
        <row r="769">
          <cell r="A769" t="str">
            <v>40029_1</v>
          </cell>
        </row>
        <row r="770">
          <cell r="A770" t="str">
            <v>40029_2</v>
          </cell>
        </row>
        <row r="771">
          <cell r="A771" t="str">
            <v>40030_1</v>
          </cell>
        </row>
        <row r="772">
          <cell r="A772" t="str">
            <v>40030_2</v>
          </cell>
        </row>
        <row r="773">
          <cell r="A773" t="str">
            <v>40031_1</v>
          </cell>
        </row>
        <row r="774">
          <cell r="A774" t="str">
            <v>40031_2</v>
          </cell>
        </row>
        <row r="775">
          <cell r="A775" t="str">
            <v>40032_1</v>
          </cell>
        </row>
        <row r="776">
          <cell r="A776" t="str">
            <v>40032_2</v>
          </cell>
        </row>
        <row r="777">
          <cell r="A777" t="str">
            <v>40033_1</v>
          </cell>
        </row>
        <row r="778">
          <cell r="A778" t="str">
            <v>40033_2</v>
          </cell>
        </row>
        <row r="779">
          <cell r="A779" t="str">
            <v>40034_1</v>
          </cell>
        </row>
        <row r="780">
          <cell r="A780" t="str">
            <v>40034_2</v>
          </cell>
        </row>
        <row r="781">
          <cell r="A781" t="str">
            <v>40035_1</v>
          </cell>
        </row>
        <row r="782">
          <cell r="A782" t="str">
            <v>40035_2</v>
          </cell>
        </row>
        <row r="783">
          <cell r="A783" t="str">
            <v>40036_1</v>
          </cell>
        </row>
        <row r="784">
          <cell r="A784" t="str">
            <v>40036_2</v>
          </cell>
        </row>
        <row r="785">
          <cell r="A785" t="str">
            <v>40037_1</v>
          </cell>
        </row>
        <row r="786">
          <cell r="A786" t="str">
            <v>40037_2</v>
          </cell>
        </row>
        <row r="787">
          <cell r="A787" t="str">
            <v>40038_1</v>
          </cell>
        </row>
        <row r="788">
          <cell r="A788" t="str">
            <v>40038_2</v>
          </cell>
        </row>
        <row r="789">
          <cell r="A789" t="str">
            <v>40039_1</v>
          </cell>
        </row>
        <row r="790">
          <cell r="A790" t="str">
            <v>40039_2</v>
          </cell>
        </row>
        <row r="791">
          <cell r="A791" t="str">
            <v>40040_1</v>
          </cell>
        </row>
        <row r="792">
          <cell r="A792" t="str">
            <v>40040_2</v>
          </cell>
        </row>
        <row r="793">
          <cell r="A793" t="str">
            <v>40041_1</v>
          </cell>
        </row>
        <row r="794">
          <cell r="A794" t="str">
            <v>40041_2</v>
          </cell>
        </row>
        <row r="795">
          <cell r="A795" t="str">
            <v>40042_1</v>
          </cell>
        </row>
        <row r="796">
          <cell r="A796" t="str">
            <v>40042_2</v>
          </cell>
        </row>
        <row r="797">
          <cell r="A797" t="str">
            <v>40043_1</v>
          </cell>
        </row>
        <row r="798">
          <cell r="A798" t="str">
            <v>40043_2</v>
          </cell>
        </row>
        <row r="799">
          <cell r="A799" t="str">
            <v>40044_1</v>
          </cell>
        </row>
        <row r="800">
          <cell r="A800" t="str">
            <v>40044_2</v>
          </cell>
        </row>
        <row r="801">
          <cell r="A801" t="str">
            <v>40045_1</v>
          </cell>
        </row>
        <row r="802">
          <cell r="A802" t="str">
            <v>40045_2</v>
          </cell>
        </row>
        <row r="803">
          <cell r="A803" t="str">
            <v>40046_1</v>
          </cell>
        </row>
        <row r="804">
          <cell r="A804" t="str">
            <v>40046_2</v>
          </cell>
        </row>
        <row r="805">
          <cell r="A805" t="str">
            <v>41001_1</v>
          </cell>
        </row>
        <row r="806">
          <cell r="A806" t="str">
            <v>41001_2</v>
          </cell>
        </row>
        <row r="807">
          <cell r="A807" t="str">
            <v>41001_3</v>
          </cell>
        </row>
        <row r="808">
          <cell r="A808" t="str">
            <v>41002_1</v>
          </cell>
        </row>
        <row r="809">
          <cell r="A809" t="str">
            <v>41002_2</v>
          </cell>
        </row>
        <row r="810">
          <cell r="A810" t="str">
            <v>41002_3</v>
          </cell>
        </row>
        <row r="811">
          <cell r="A811" t="str">
            <v>41003_1</v>
          </cell>
        </row>
        <row r="812">
          <cell r="A812" t="str">
            <v>41003_2</v>
          </cell>
        </row>
        <row r="813">
          <cell r="A813" t="str">
            <v>41003_3</v>
          </cell>
        </row>
        <row r="814">
          <cell r="A814" t="str">
            <v>41004_1</v>
          </cell>
        </row>
        <row r="815">
          <cell r="A815" t="str">
            <v>41004_2</v>
          </cell>
        </row>
        <row r="816">
          <cell r="A816" t="str">
            <v>41004_3</v>
          </cell>
        </row>
        <row r="817">
          <cell r="A817" t="str">
            <v>41005_1</v>
          </cell>
        </row>
        <row r="818">
          <cell r="A818" t="str">
            <v>41005_2</v>
          </cell>
        </row>
        <row r="819">
          <cell r="A819" t="str">
            <v>41005_3</v>
          </cell>
        </row>
        <row r="820">
          <cell r="A820" t="str">
            <v>41006_1</v>
          </cell>
        </row>
        <row r="821">
          <cell r="A821" t="str">
            <v>41006_2</v>
          </cell>
        </row>
        <row r="822">
          <cell r="A822" t="str">
            <v>41006_3</v>
          </cell>
        </row>
        <row r="823">
          <cell r="A823" t="str">
            <v>41007_1</v>
          </cell>
        </row>
        <row r="824">
          <cell r="A824" t="str">
            <v>41007_2</v>
          </cell>
        </row>
        <row r="825">
          <cell r="A825" t="str">
            <v>41007_3</v>
          </cell>
        </row>
        <row r="826">
          <cell r="A826" t="str">
            <v>41008_1</v>
          </cell>
        </row>
        <row r="827">
          <cell r="A827" t="str">
            <v>41008_2</v>
          </cell>
        </row>
        <row r="828">
          <cell r="A828" t="str">
            <v>41008_3</v>
          </cell>
        </row>
        <row r="829">
          <cell r="A829" t="str">
            <v>41009_1</v>
          </cell>
        </row>
        <row r="830">
          <cell r="A830" t="str">
            <v>41009_2</v>
          </cell>
        </row>
        <row r="831">
          <cell r="A831" t="str">
            <v>41009_3</v>
          </cell>
        </row>
        <row r="832">
          <cell r="A832" t="str">
            <v>41010_1</v>
          </cell>
        </row>
        <row r="833">
          <cell r="A833" t="str">
            <v>41010_2</v>
          </cell>
        </row>
        <row r="834">
          <cell r="A834" t="str">
            <v>41010_3</v>
          </cell>
        </row>
        <row r="835">
          <cell r="A835" t="str">
            <v>41011_1</v>
          </cell>
        </row>
        <row r="836">
          <cell r="A836" t="str">
            <v>41011_2</v>
          </cell>
        </row>
        <row r="837">
          <cell r="A837" t="str">
            <v>41012_1</v>
          </cell>
        </row>
        <row r="838">
          <cell r="A838" t="str">
            <v>41012_2</v>
          </cell>
        </row>
        <row r="839">
          <cell r="A839" t="str">
            <v>41013_1</v>
          </cell>
        </row>
        <row r="840">
          <cell r="A840" t="str">
            <v>41013_2</v>
          </cell>
        </row>
        <row r="841">
          <cell r="A841" t="str">
            <v>41014_1</v>
          </cell>
        </row>
        <row r="842">
          <cell r="A842" t="str">
            <v>41014_2</v>
          </cell>
        </row>
        <row r="843">
          <cell r="A843" t="str">
            <v>41015_1</v>
          </cell>
        </row>
        <row r="844">
          <cell r="A844" t="str">
            <v>41015_2</v>
          </cell>
        </row>
        <row r="845">
          <cell r="A845" t="str">
            <v>47001_1</v>
          </cell>
        </row>
        <row r="846">
          <cell r="A846" t="str">
            <v>47001_2</v>
          </cell>
        </row>
        <row r="847">
          <cell r="A847" t="str">
            <v>47002_1</v>
          </cell>
        </row>
        <row r="848">
          <cell r="A848" t="str">
            <v>47002_2</v>
          </cell>
        </row>
        <row r="849">
          <cell r="A849" t="str">
            <v>47003_1</v>
          </cell>
        </row>
        <row r="850">
          <cell r="A850" t="str">
            <v>47003_2</v>
          </cell>
        </row>
        <row r="851">
          <cell r="A851" t="str">
            <v>47003_3</v>
          </cell>
        </row>
        <row r="852">
          <cell r="A852" t="str">
            <v>47003_4</v>
          </cell>
        </row>
        <row r="853">
          <cell r="A853" t="str">
            <v>47004_1</v>
          </cell>
        </row>
        <row r="854">
          <cell r="A854" t="str">
            <v>47004_2</v>
          </cell>
        </row>
        <row r="855">
          <cell r="A855" t="str">
            <v>47004_3</v>
          </cell>
        </row>
        <row r="856">
          <cell r="A856" t="str">
            <v>47004_4</v>
          </cell>
        </row>
        <row r="857">
          <cell r="A857" t="str">
            <v>47005_1</v>
          </cell>
        </row>
        <row r="858">
          <cell r="A858" t="str">
            <v>47006_1</v>
          </cell>
        </row>
        <row r="859">
          <cell r="A859" t="str">
            <v>47006_2</v>
          </cell>
        </row>
        <row r="860">
          <cell r="A860" t="str">
            <v>47007_1</v>
          </cell>
        </row>
        <row r="861">
          <cell r="A861" t="str">
            <v>47007_2</v>
          </cell>
        </row>
        <row r="862">
          <cell r="A862" t="str">
            <v>47008_1</v>
          </cell>
        </row>
        <row r="863">
          <cell r="A863" t="str">
            <v>47008_2</v>
          </cell>
        </row>
        <row r="864">
          <cell r="A864" t="str">
            <v>47009_1</v>
          </cell>
        </row>
        <row r="865">
          <cell r="A865" t="str">
            <v>47009_2</v>
          </cell>
        </row>
        <row r="866">
          <cell r="A866" t="str">
            <v>47010_1</v>
          </cell>
        </row>
        <row r="867">
          <cell r="A867" t="str">
            <v>47010_2</v>
          </cell>
        </row>
        <row r="868">
          <cell r="A868" t="str">
            <v>47011_1</v>
          </cell>
        </row>
        <row r="869">
          <cell r="A869" t="str">
            <v>47012_1</v>
          </cell>
        </row>
        <row r="870">
          <cell r="A870" t="str">
            <v>47012_2</v>
          </cell>
        </row>
        <row r="871">
          <cell r="A871" t="str">
            <v>47013_1</v>
          </cell>
        </row>
        <row r="872">
          <cell r="A872" t="str">
            <v>47013_2</v>
          </cell>
        </row>
        <row r="873">
          <cell r="A873" t="str">
            <v>47013_3</v>
          </cell>
        </row>
        <row r="874">
          <cell r="A874" t="str">
            <v>47013_4</v>
          </cell>
        </row>
        <row r="875">
          <cell r="A875" t="str">
            <v>48001_1</v>
          </cell>
        </row>
        <row r="876">
          <cell r="A876" t="str">
            <v>48002_1</v>
          </cell>
        </row>
        <row r="877">
          <cell r="A877" t="str">
            <v>48002_2</v>
          </cell>
        </row>
        <row r="878">
          <cell r="A878" t="str">
            <v>48002_3</v>
          </cell>
        </row>
        <row r="879">
          <cell r="A879" t="str">
            <v>48003_1</v>
          </cell>
        </row>
        <row r="880">
          <cell r="A880" t="str">
            <v>48003_2</v>
          </cell>
        </row>
        <row r="881">
          <cell r="A881" t="str">
            <v>48004_1</v>
          </cell>
        </row>
        <row r="882">
          <cell r="A882" t="str">
            <v>48004_2</v>
          </cell>
        </row>
        <row r="883">
          <cell r="A883" t="str">
            <v>48005_1</v>
          </cell>
        </row>
        <row r="884">
          <cell r="A884" t="str">
            <v>48005_2</v>
          </cell>
        </row>
        <row r="885">
          <cell r="A885" t="str">
            <v>48006_1</v>
          </cell>
        </row>
        <row r="886">
          <cell r="A886" t="str">
            <v>48006_2</v>
          </cell>
        </row>
        <row r="887">
          <cell r="A887" t="str">
            <v>48007_1</v>
          </cell>
        </row>
        <row r="888">
          <cell r="A888" t="str">
            <v>48007_2</v>
          </cell>
        </row>
        <row r="889">
          <cell r="A889" t="str">
            <v>48008_1</v>
          </cell>
        </row>
        <row r="890">
          <cell r="A890" t="str">
            <v>48008_2</v>
          </cell>
        </row>
        <row r="891">
          <cell r="A891" t="str">
            <v>48009_1</v>
          </cell>
        </row>
        <row r="892">
          <cell r="A892" t="str">
            <v>48009_2</v>
          </cell>
        </row>
        <row r="893">
          <cell r="A893" t="str">
            <v>48010_1</v>
          </cell>
        </row>
        <row r="894">
          <cell r="A894" t="str">
            <v>48011_1</v>
          </cell>
        </row>
        <row r="895">
          <cell r="A895" t="str">
            <v>48011_2</v>
          </cell>
        </row>
        <row r="896">
          <cell r="A896" t="str">
            <v>48012_1</v>
          </cell>
        </row>
        <row r="897">
          <cell r="A897" t="str">
            <v>48012_2</v>
          </cell>
        </row>
        <row r="898">
          <cell r="A898" t="str">
            <v>48013_1</v>
          </cell>
        </row>
        <row r="899">
          <cell r="A899" t="str">
            <v>48013_2</v>
          </cell>
        </row>
        <row r="900">
          <cell r="A900" t="str">
            <v>48014_1</v>
          </cell>
        </row>
        <row r="901">
          <cell r="A901" t="str">
            <v>48014_2</v>
          </cell>
        </row>
        <row r="902">
          <cell r="A902" t="str">
            <v>48501_1</v>
          </cell>
        </row>
        <row r="903">
          <cell r="A903" t="str">
            <v>48501_2</v>
          </cell>
        </row>
        <row r="904">
          <cell r="A904" t="str">
            <v>48502_1</v>
          </cell>
        </row>
        <row r="905">
          <cell r="A905" t="str">
            <v>48502_2</v>
          </cell>
        </row>
        <row r="906">
          <cell r="A906" t="str">
            <v>48503_1</v>
          </cell>
        </row>
        <row r="907">
          <cell r="A907" t="str">
            <v>48503_2</v>
          </cell>
        </row>
        <row r="908">
          <cell r="A908" t="str">
            <v>48701_1</v>
          </cell>
        </row>
        <row r="909">
          <cell r="A909" t="str">
            <v>48701_2</v>
          </cell>
        </row>
        <row r="910">
          <cell r="A910" t="str">
            <v>48702_1</v>
          </cell>
        </row>
        <row r="911">
          <cell r="A911" t="str">
            <v>48702_2</v>
          </cell>
        </row>
        <row r="912">
          <cell r="A912" t="str">
            <v>49001_1</v>
          </cell>
        </row>
        <row r="913">
          <cell r="A913" t="str">
            <v>49002_1</v>
          </cell>
        </row>
        <row r="914">
          <cell r="A914" t="str">
            <v>49002_2</v>
          </cell>
        </row>
        <row r="915">
          <cell r="A915" t="str">
            <v>49003_1</v>
          </cell>
        </row>
        <row r="916">
          <cell r="A916" t="str">
            <v>49003_2</v>
          </cell>
        </row>
        <row r="917">
          <cell r="A917" t="str">
            <v>49004_1</v>
          </cell>
        </row>
        <row r="918">
          <cell r="A918" t="str">
            <v>49004_2</v>
          </cell>
        </row>
        <row r="919">
          <cell r="A919" t="str">
            <v>49004_3</v>
          </cell>
        </row>
        <row r="920">
          <cell r="A920" t="str">
            <v>49005_1</v>
          </cell>
        </row>
        <row r="921">
          <cell r="A921" t="str">
            <v>49006_1</v>
          </cell>
        </row>
        <row r="922">
          <cell r="A922" t="str">
            <v>49006_2</v>
          </cell>
        </row>
        <row r="923">
          <cell r="A923" t="str">
            <v>49007_1</v>
          </cell>
        </row>
        <row r="924">
          <cell r="A924" t="str">
            <v>49007_2</v>
          </cell>
        </row>
        <row r="925">
          <cell r="A925" t="str">
            <v>49007_3</v>
          </cell>
        </row>
        <row r="926">
          <cell r="A926" t="str">
            <v>49008_1</v>
          </cell>
        </row>
        <row r="927">
          <cell r="A927" t="str">
            <v>49009_1</v>
          </cell>
        </row>
        <row r="928">
          <cell r="A928" t="str">
            <v>49010_1</v>
          </cell>
        </row>
        <row r="929">
          <cell r="A929" t="str">
            <v>49011_1</v>
          </cell>
        </row>
        <row r="930">
          <cell r="A930" t="str">
            <v>49012_1</v>
          </cell>
        </row>
        <row r="931">
          <cell r="A931" t="str">
            <v>49013_1</v>
          </cell>
        </row>
        <row r="932">
          <cell r="A932" t="str">
            <v>49014_1</v>
          </cell>
        </row>
        <row r="933">
          <cell r="A933" t="str">
            <v>49014_2</v>
          </cell>
        </row>
        <row r="934">
          <cell r="A934" t="str">
            <v>49015_1</v>
          </cell>
        </row>
        <row r="935">
          <cell r="A935" t="str">
            <v>49015_2</v>
          </cell>
        </row>
        <row r="936">
          <cell r="A936" t="str">
            <v>49015_3</v>
          </cell>
        </row>
        <row r="937">
          <cell r="A937" t="str">
            <v>49016_1</v>
          </cell>
        </row>
        <row r="938">
          <cell r="A938" t="str">
            <v>49016_2</v>
          </cell>
        </row>
        <row r="939">
          <cell r="A939" t="str">
            <v>50001_1</v>
          </cell>
        </row>
        <row r="940">
          <cell r="A940" t="str">
            <v>50002_1</v>
          </cell>
        </row>
        <row r="941">
          <cell r="A941" t="str">
            <v>50003_1</v>
          </cell>
        </row>
        <row r="942">
          <cell r="A942" t="str">
            <v>50004_1</v>
          </cell>
        </row>
        <row r="943">
          <cell r="A943" t="str">
            <v>50005_1</v>
          </cell>
        </row>
        <row r="944">
          <cell r="A944" t="str">
            <v>50006_1</v>
          </cell>
        </row>
        <row r="945">
          <cell r="A945" t="str">
            <v>50007_1</v>
          </cell>
        </row>
        <row r="946">
          <cell r="A946" t="str">
            <v>50008_1</v>
          </cell>
        </row>
        <row r="947">
          <cell r="A947" t="str">
            <v>50009_1</v>
          </cell>
        </row>
        <row r="948">
          <cell r="A948" t="str">
            <v>50010_1</v>
          </cell>
        </row>
        <row r="949">
          <cell r="A949" t="str">
            <v>50011_1</v>
          </cell>
        </row>
        <row r="950">
          <cell r="A950" t="str">
            <v>50012_1</v>
          </cell>
        </row>
        <row r="951">
          <cell r="A951" t="str">
            <v>50013_1</v>
          </cell>
        </row>
        <row r="952">
          <cell r="A952" t="str">
            <v>50014_1</v>
          </cell>
        </row>
        <row r="953">
          <cell r="A953" t="str">
            <v>50015_1</v>
          </cell>
        </row>
        <row r="954">
          <cell r="A954" t="str">
            <v>50016_1</v>
          </cell>
        </row>
        <row r="955">
          <cell r="A955" t="str">
            <v>51001_1</v>
          </cell>
        </row>
        <row r="956">
          <cell r="A956" t="str">
            <v>51002_1</v>
          </cell>
        </row>
        <row r="957">
          <cell r="A957" t="str">
            <v>58001_1</v>
          </cell>
        </row>
        <row r="958">
          <cell r="A958" t="str">
            <v>58002_1</v>
          </cell>
        </row>
        <row r="959">
          <cell r="A959" t="str">
            <v>59001_1</v>
          </cell>
        </row>
        <row r="960">
          <cell r="A960" t="str">
            <v>59002_1</v>
          </cell>
        </row>
        <row r="961">
          <cell r="A961" t="str">
            <v>59003_1</v>
          </cell>
        </row>
        <row r="962">
          <cell r="A962" t="str">
            <v>59003_2</v>
          </cell>
        </row>
        <row r="963">
          <cell r="A963" t="str">
            <v>60001_1</v>
          </cell>
        </row>
        <row r="964">
          <cell r="A964" t="str">
            <v>60002_1</v>
          </cell>
        </row>
        <row r="965">
          <cell r="A965" t="str">
            <v>60002_2</v>
          </cell>
        </row>
        <row r="966">
          <cell r="A966" t="str">
            <v>60003_1</v>
          </cell>
        </row>
        <row r="967">
          <cell r="A967" t="str">
            <v>60003_2</v>
          </cell>
        </row>
        <row r="968">
          <cell r="A968" t="str">
            <v>60003_3</v>
          </cell>
        </row>
        <row r="969">
          <cell r="A969" t="str">
            <v>60004_1</v>
          </cell>
        </row>
        <row r="970">
          <cell r="A970" t="str">
            <v>60005_1</v>
          </cell>
        </row>
        <row r="971">
          <cell r="A971" t="str">
            <v>60006_1</v>
          </cell>
        </row>
        <row r="972">
          <cell r="A972" t="str">
            <v>60006_2</v>
          </cell>
        </row>
        <row r="973">
          <cell r="A973" t="str">
            <v>60006_3</v>
          </cell>
        </row>
        <row r="974">
          <cell r="A974" t="str">
            <v>60007_1</v>
          </cell>
        </row>
        <row r="975">
          <cell r="A975" t="str">
            <v>60007_2</v>
          </cell>
        </row>
        <row r="976">
          <cell r="A976" t="str">
            <v>60007_3</v>
          </cell>
        </row>
        <row r="977">
          <cell r="A977" t="str">
            <v>60010_1</v>
          </cell>
        </row>
        <row r="978">
          <cell r="A978" t="str">
            <v>60011_1</v>
          </cell>
        </row>
        <row r="979">
          <cell r="A979" t="str">
            <v>60011_2</v>
          </cell>
        </row>
        <row r="980">
          <cell r="A980" t="str">
            <v>60012_1</v>
          </cell>
        </row>
        <row r="981">
          <cell r="A981" t="str">
            <v>60013_1</v>
          </cell>
        </row>
        <row r="982">
          <cell r="A982" t="str">
            <v>60013_2</v>
          </cell>
        </row>
        <row r="983">
          <cell r="A983" t="str">
            <v>60013_3</v>
          </cell>
        </row>
        <row r="984">
          <cell r="A984" t="str">
            <v>60014_1</v>
          </cell>
        </row>
        <row r="985">
          <cell r="A985" t="str">
            <v>60015_1</v>
          </cell>
        </row>
        <row r="986">
          <cell r="A986" t="str">
            <v>60016_1</v>
          </cell>
        </row>
        <row r="987">
          <cell r="A987" t="str">
            <v>60017_1</v>
          </cell>
        </row>
        <row r="988">
          <cell r="A988" t="str">
            <v>60018_1</v>
          </cell>
        </row>
        <row r="989">
          <cell r="A989" t="str">
            <v>60019_1</v>
          </cell>
        </row>
        <row r="990">
          <cell r="A990" t="str">
            <v>60020_1</v>
          </cell>
        </row>
        <row r="991">
          <cell r="A991" t="str">
            <v>60021_3</v>
          </cell>
        </row>
        <row r="992">
          <cell r="A992" t="str">
            <v>60022_3</v>
          </cell>
        </row>
        <row r="993">
          <cell r="A993" t="str">
            <v>60023_3</v>
          </cell>
        </row>
        <row r="994">
          <cell r="A994" t="str">
            <v>60024_3</v>
          </cell>
        </row>
        <row r="995">
          <cell r="A995" t="str">
            <v>60025_1</v>
          </cell>
        </row>
        <row r="996">
          <cell r="A996" t="str">
            <v>60026_1</v>
          </cell>
        </row>
        <row r="997">
          <cell r="A997" t="str">
            <v>61011_1</v>
          </cell>
        </row>
        <row r="998">
          <cell r="A998" t="str">
            <v>60027_1</v>
          </cell>
        </row>
        <row r="999">
          <cell r="A999" t="str">
            <v>60028_1</v>
          </cell>
        </row>
        <row r="1000">
          <cell r="A1000" t="str">
            <v>60029_1</v>
          </cell>
        </row>
        <row r="1001">
          <cell r="A1001" t="str">
            <v>60030_1</v>
          </cell>
        </row>
        <row r="1002">
          <cell r="A1002" t="str">
            <v>60031_1</v>
          </cell>
        </row>
        <row r="1003">
          <cell r="A1003" t="str">
            <v>65523_1</v>
          </cell>
        </row>
        <row r="1004">
          <cell r="A1004" t="str">
            <v>65523_2</v>
          </cell>
        </row>
        <row r="1005">
          <cell r="A1005" t="str">
            <v>65523_3</v>
          </cell>
        </row>
        <row r="1006">
          <cell r="A1006" t="str">
            <v>65524_1</v>
          </cell>
        </row>
        <row r="1007">
          <cell r="A1007" t="str">
            <v>65524_2</v>
          </cell>
        </row>
        <row r="1008">
          <cell r="A1008" t="str">
            <v>65525_1</v>
          </cell>
        </row>
        <row r="1009">
          <cell r="A1009" t="str">
            <v>65526_1</v>
          </cell>
        </row>
        <row r="1010">
          <cell r="A1010" t="str">
            <v>65526_2</v>
          </cell>
        </row>
        <row r="1011">
          <cell r="A1011" t="str">
            <v>65527_1</v>
          </cell>
        </row>
        <row r="1012">
          <cell r="A1012" t="str">
            <v>65528_1</v>
          </cell>
        </row>
        <row r="1013">
          <cell r="A1013" t="str">
            <v>65529_1</v>
          </cell>
        </row>
        <row r="1014">
          <cell r="A1014" t="str">
            <v>65530_1</v>
          </cell>
        </row>
        <row r="1015">
          <cell r="A1015" t="str">
            <v>65531_1</v>
          </cell>
        </row>
        <row r="1016">
          <cell r="A1016" t="str">
            <v>65531_2</v>
          </cell>
        </row>
        <row r="1017">
          <cell r="A1017" t="str">
            <v>65532_1</v>
          </cell>
        </row>
        <row r="1018">
          <cell r="A1018" t="str">
            <v>65532_2</v>
          </cell>
        </row>
        <row r="1019">
          <cell r="A1019" t="str">
            <v>65533_1</v>
          </cell>
        </row>
        <row r="1020">
          <cell r="A1020" t="str">
            <v>65533_2</v>
          </cell>
        </row>
        <row r="1021">
          <cell r="A1021" t="str">
            <v>65534_1</v>
          </cell>
        </row>
        <row r="1022">
          <cell r="A1022" t="str">
            <v>65534_2</v>
          </cell>
        </row>
        <row r="1023">
          <cell r="A1023" t="str">
            <v>65535_1</v>
          </cell>
        </row>
        <row r="1024">
          <cell r="A1024" t="str">
            <v>65535_2</v>
          </cell>
        </row>
        <row r="1025">
          <cell r="A1025" t="str">
            <v>65535_3</v>
          </cell>
        </row>
        <row r="1026">
          <cell r="A1026" t="str">
            <v>65535_4</v>
          </cell>
        </row>
        <row r="1027">
          <cell r="A1027" t="str">
            <v>65535_5</v>
          </cell>
        </row>
        <row r="1028">
          <cell r="A1028" t="str">
            <v>65535_6</v>
          </cell>
        </row>
        <row r="1029">
          <cell r="A1029" t="str">
            <v>65535_7</v>
          </cell>
        </row>
        <row r="1030">
          <cell r="A1030" t="str">
            <v>65535_8</v>
          </cell>
        </row>
        <row r="1031">
          <cell r="A1031" t="str">
            <v>65535_9</v>
          </cell>
        </row>
        <row r="1032">
          <cell r="A1032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1373</v>
          </cell>
        </row>
        <row r="1337">
          <cell r="A1337">
            <v>1374</v>
          </cell>
        </row>
        <row r="1338">
          <cell r="A1338">
            <v>1375</v>
          </cell>
        </row>
        <row r="1339">
          <cell r="A1339">
            <v>1376</v>
          </cell>
        </row>
        <row r="1340">
          <cell r="A1340">
            <v>1379</v>
          </cell>
        </row>
        <row r="1341">
          <cell r="A1341">
            <v>1380</v>
          </cell>
        </row>
        <row r="1342">
          <cell r="A1342">
            <v>1405</v>
          </cell>
        </row>
        <row r="1343">
          <cell r="A1343">
            <v>1407</v>
          </cell>
        </row>
        <row r="1344">
          <cell r="A1344">
            <v>1408</v>
          </cell>
        </row>
        <row r="1345">
          <cell r="A1345">
            <v>1409</v>
          </cell>
        </row>
        <row r="1346">
          <cell r="A1346">
            <v>1410</v>
          </cell>
        </row>
        <row r="1347">
          <cell r="A1347">
            <v>1431</v>
          </cell>
        </row>
        <row r="1348">
          <cell r="A1348">
            <v>1432</v>
          </cell>
        </row>
        <row r="1349">
          <cell r="A1349">
            <v>1436</v>
          </cell>
        </row>
        <row r="1350">
          <cell r="A1350">
            <v>1437</v>
          </cell>
        </row>
        <row r="1351">
          <cell r="A1351">
            <v>1438</v>
          </cell>
        </row>
        <row r="1352">
          <cell r="A1352">
            <v>1439</v>
          </cell>
        </row>
        <row r="1353">
          <cell r="A1353">
            <v>1440</v>
          </cell>
        </row>
        <row r="1354">
          <cell r="A1354">
            <v>1441</v>
          </cell>
        </row>
        <row r="1355">
          <cell r="A1355">
            <v>1442</v>
          </cell>
        </row>
        <row r="1356">
          <cell r="A1356">
            <v>1443</v>
          </cell>
        </row>
        <row r="1357">
          <cell r="A1357">
            <v>1444</v>
          </cell>
        </row>
        <row r="1358">
          <cell r="A1358">
            <v>1445</v>
          </cell>
        </row>
        <row r="1359">
          <cell r="A1359">
            <v>1446</v>
          </cell>
        </row>
        <row r="1360">
          <cell r="A1360">
            <v>1447</v>
          </cell>
        </row>
        <row r="1361">
          <cell r="A1361">
            <v>1448</v>
          </cell>
        </row>
        <row r="1362">
          <cell r="A1362">
            <v>1449</v>
          </cell>
        </row>
        <row r="1363">
          <cell r="A1363">
            <v>1450</v>
          </cell>
        </row>
        <row r="1364">
          <cell r="A1364">
            <v>1451</v>
          </cell>
        </row>
        <row r="1365">
          <cell r="A1365">
            <v>1466</v>
          </cell>
        </row>
        <row r="1366">
          <cell r="A1366">
            <v>1467</v>
          </cell>
        </row>
        <row r="1367">
          <cell r="A1367">
            <v>1468</v>
          </cell>
        </row>
        <row r="1368">
          <cell r="A1368">
            <v>1469</v>
          </cell>
        </row>
        <row r="1369">
          <cell r="A1369">
            <v>1470</v>
          </cell>
        </row>
        <row r="1370">
          <cell r="A1370">
            <v>1471</v>
          </cell>
        </row>
        <row r="1371">
          <cell r="A1371">
            <v>1495</v>
          </cell>
        </row>
        <row r="1372">
          <cell r="A1372">
            <v>1496</v>
          </cell>
        </row>
        <row r="1373">
          <cell r="A1373">
            <v>1497</v>
          </cell>
        </row>
        <row r="1374">
          <cell r="A1374">
            <v>1498</v>
          </cell>
        </row>
        <row r="1375">
          <cell r="A1375">
            <v>1499</v>
          </cell>
        </row>
        <row r="1376">
          <cell r="A1376">
            <v>1500</v>
          </cell>
        </row>
        <row r="1377">
          <cell r="A1377">
            <v>1501</v>
          </cell>
        </row>
        <row r="1378">
          <cell r="A1378">
            <v>1502</v>
          </cell>
        </row>
        <row r="1379">
          <cell r="A1379">
            <v>1503</v>
          </cell>
        </row>
        <row r="1380">
          <cell r="A1380">
            <v>1504</v>
          </cell>
        </row>
        <row r="1381">
          <cell r="A1381">
            <v>1505</v>
          </cell>
        </row>
        <row r="1382">
          <cell r="A1382">
            <v>1506</v>
          </cell>
        </row>
        <row r="1383">
          <cell r="A1383">
            <v>1507</v>
          </cell>
        </row>
        <row r="1384">
          <cell r="A1384">
            <v>1508</v>
          </cell>
        </row>
        <row r="1385">
          <cell r="A1385">
            <v>1509</v>
          </cell>
        </row>
        <row r="1386">
          <cell r="A1386">
            <v>1510</v>
          </cell>
        </row>
        <row r="1387">
          <cell r="A1387">
            <v>1511</v>
          </cell>
        </row>
        <row r="1388">
          <cell r="A1388">
            <v>1512</v>
          </cell>
        </row>
        <row r="1389">
          <cell r="A1389">
            <v>1523</v>
          </cell>
        </row>
        <row r="1390">
          <cell r="A1390">
            <v>1524</v>
          </cell>
        </row>
        <row r="1391">
          <cell r="A1391">
            <v>1525</v>
          </cell>
        </row>
        <row r="1392">
          <cell r="A1392">
            <v>1526</v>
          </cell>
        </row>
        <row r="1393">
          <cell r="A1393">
            <v>1551</v>
          </cell>
        </row>
        <row r="1394">
          <cell r="A1394">
            <v>1552</v>
          </cell>
        </row>
        <row r="1395">
          <cell r="A1395">
            <v>1553</v>
          </cell>
        </row>
        <row r="1396">
          <cell r="A1396">
            <v>1554</v>
          </cell>
        </row>
        <row r="1397">
          <cell r="A1397">
            <v>1555</v>
          </cell>
        </row>
        <row r="1398">
          <cell r="A1398">
            <v>1556</v>
          </cell>
        </row>
        <row r="1399">
          <cell r="A1399">
            <v>1557</v>
          </cell>
        </row>
        <row r="1400">
          <cell r="A1400">
            <v>1558</v>
          </cell>
        </row>
        <row r="1401">
          <cell r="A1401">
            <v>1559</v>
          </cell>
        </row>
        <row r="1402">
          <cell r="A1402">
            <v>1560</v>
          </cell>
        </row>
        <row r="1403">
          <cell r="A1403">
            <v>1561</v>
          </cell>
        </row>
        <row r="1404">
          <cell r="A1404">
            <v>1562</v>
          </cell>
        </row>
        <row r="1405">
          <cell r="A1405">
            <v>1563</v>
          </cell>
        </row>
        <row r="1406">
          <cell r="A1406">
            <v>1564</v>
          </cell>
        </row>
        <row r="1407">
          <cell r="A1407">
            <v>1565</v>
          </cell>
        </row>
        <row r="1408">
          <cell r="A1408">
            <v>1566</v>
          </cell>
        </row>
        <row r="1409">
          <cell r="A1409">
            <v>1567</v>
          </cell>
        </row>
        <row r="1410">
          <cell r="A1410">
            <v>1568</v>
          </cell>
        </row>
        <row r="1411">
          <cell r="A1411">
            <v>1569</v>
          </cell>
        </row>
        <row r="1412">
          <cell r="A1412">
            <v>1570</v>
          </cell>
        </row>
        <row r="1413">
          <cell r="A1413">
            <v>1571</v>
          </cell>
        </row>
        <row r="1414">
          <cell r="A1414">
            <v>1572</v>
          </cell>
        </row>
        <row r="1415">
          <cell r="A1415">
            <v>1573</v>
          </cell>
        </row>
        <row r="1416">
          <cell r="A1416">
            <v>1574</v>
          </cell>
        </row>
        <row r="1417">
          <cell r="A1417">
            <v>1575</v>
          </cell>
        </row>
        <row r="1418">
          <cell r="A1418">
            <v>1576</v>
          </cell>
        </row>
        <row r="1419">
          <cell r="A1419">
            <v>1577</v>
          </cell>
        </row>
        <row r="1420">
          <cell r="A1420">
            <v>1578</v>
          </cell>
        </row>
        <row r="1421">
          <cell r="A1421">
            <v>1579</v>
          </cell>
        </row>
        <row r="1422">
          <cell r="A1422">
            <v>1580</v>
          </cell>
        </row>
        <row r="1423">
          <cell r="A1423">
            <v>1581</v>
          </cell>
        </row>
        <row r="1424">
          <cell r="A1424">
            <v>1582</v>
          </cell>
        </row>
        <row r="1425">
          <cell r="A1425">
            <v>1583</v>
          </cell>
        </row>
        <row r="1426">
          <cell r="A1426">
            <v>1584</v>
          </cell>
        </row>
        <row r="1427">
          <cell r="A1427">
            <v>1585</v>
          </cell>
        </row>
        <row r="1428">
          <cell r="A1428">
            <v>1586</v>
          </cell>
        </row>
        <row r="1429">
          <cell r="A1429">
            <v>1587</v>
          </cell>
        </row>
        <row r="1430">
          <cell r="A1430">
            <v>1588</v>
          </cell>
        </row>
        <row r="1431">
          <cell r="A1431">
            <v>5001</v>
          </cell>
        </row>
        <row r="1432">
          <cell r="A1432">
            <v>5002</v>
          </cell>
        </row>
        <row r="1433">
          <cell r="A1433">
            <v>5003</v>
          </cell>
        </row>
        <row r="1434">
          <cell r="A1434">
            <v>5004</v>
          </cell>
        </row>
        <row r="1435">
          <cell r="A1435">
            <v>5005</v>
          </cell>
        </row>
        <row r="1436">
          <cell r="A1436">
            <v>5006</v>
          </cell>
        </row>
        <row r="1437">
          <cell r="A1437">
            <v>5007</v>
          </cell>
        </row>
        <row r="1438">
          <cell r="A1438">
            <v>5008</v>
          </cell>
        </row>
        <row r="1439">
          <cell r="A1439">
            <v>6001</v>
          </cell>
        </row>
        <row r="1440">
          <cell r="A1440">
            <v>6002</v>
          </cell>
        </row>
        <row r="1441">
          <cell r="A1441">
            <v>6003</v>
          </cell>
        </row>
        <row r="1442">
          <cell r="A1442">
            <v>6004</v>
          </cell>
        </row>
        <row r="1443">
          <cell r="A1443">
            <v>6005</v>
          </cell>
        </row>
        <row r="1444">
          <cell r="A1444">
            <v>6006</v>
          </cell>
        </row>
        <row r="1445">
          <cell r="A1445">
            <v>6007</v>
          </cell>
        </row>
        <row r="1446">
          <cell r="A1446">
            <v>6008</v>
          </cell>
        </row>
        <row r="1447">
          <cell r="A1447">
            <v>6009</v>
          </cell>
        </row>
        <row r="1448">
          <cell r="A1448">
            <v>6010</v>
          </cell>
        </row>
        <row r="1449">
          <cell r="A1449">
            <v>6011</v>
          </cell>
        </row>
        <row r="1450">
          <cell r="A1450">
            <v>6012</v>
          </cell>
        </row>
        <row r="1451">
          <cell r="A1451">
            <v>6013</v>
          </cell>
        </row>
        <row r="1452">
          <cell r="A1452">
            <v>6014</v>
          </cell>
        </row>
        <row r="1453">
          <cell r="A1453">
            <v>6015</v>
          </cell>
        </row>
        <row r="1454">
          <cell r="A1454">
            <v>6016</v>
          </cell>
        </row>
        <row r="1455">
          <cell r="A1455">
            <v>6017</v>
          </cell>
        </row>
        <row r="1456">
          <cell r="A1456">
            <v>6018</v>
          </cell>
        </row>
        <row r="1457">
          <cell r="A1457">
            <v>6019</v>
          </cell>
        </row>
        <row r="1458">
          <cell r="A1458">
            <v>6020</v>
          </cell>
        </row>
        <row r="1459">
          <cell r="A1459">
            <v>8001</v>
          </cell>
        </row>
        <row r="1460">
          <cell r="A1460">
            <v>8002</v>
          </cell>
        </row>
        <row r="1461">
          <cell r="A1461">
            <v>8003</v>
          </cell>
        </row>
        <row r="1462">
          <cell r="A1462">
            <v>8004</v>
          </cell>
        </row>
        <row r="1463">
          <cell r="A1463">
            <v>8005</v>
          </cell>
        </row>
        <row r="1464">
          <cell r="A1464">
            <v>8006</v>
          </cell>
        </row>
        <row r="1465">
          <cell r="A1465">
            <v>8007</v>
          </cell>
        </row>
        <row r="1466">
          <cell r="A1466">
            <v>8008</v>
          </cell>
        </row>
        <row r="1467">
          <cell r="A1467">
            <v>8009</v>
          </cell>
        </row>
        <row r="1468">
          <cell r="A1468">
            <v>8010</v>
          </cell>
        </row>
        <row r="1469">
          <cell r="A1469">
            <v>8011</v>
          </cell>
        </row>
        <row r="1470">
          <cell r="A1470">
            <v>8012</v>
          </cell>
        </row>
        <row r="1471">
          <cell r="A1471">
            <v>8013</v>
          </cell>
        </row>
        <row r="1472">
          <cell r="A1472">
            <v>8014</v>
          </cell>
        </row>
        <row r="1473">
          <cell r="A1473">
            <v>8015</v>
          </cell>
        </row>
        <row r="1474">
          <cell r="A1474">
            <v>8016</v>
          </cell>
        </row>
        <row r="1475">
          <cell r="A1475">
            <v>8017</v>
          </cell>
        </row>
        <row r="1476">
          <cell r="A1476">
            <v>8018</v>
          </cell>
        </row>
        <row r="1477">
          <cell r="A1477">
            <v>8019</v>
          </cell>
        </row>
        <row r="1478">
          <cell r="A1478">
            <v>8020</v>
          </cell>
        </row>
        <row r="1479">
          <cell r="A1479">
            <v>8021</v>
          </cell>
        </row>
        <row r="1480">
          <cell r="A1480">
            <v>8022</v>
          </cell>
        </row>
        <row r="1481">
          <cell r="A1481">
            <v>8023</v>
          </cell>
        </row>
        <row r="1482">
          <cell r="A1482">
            <v>8024</v>
          </cell>
        </row>
        <row r="1483">
          <cell r="A1483">
            <v>8025</v>
          </cell>
        </row>
        <row r="1484">
          <cell r="A1484">
            <v>8026</v>
          </cell>
        </row>
        <row r="1485">
          <cell r="A1485">
            <v>8027</v>
          </cell>
        </row>
        <row r="1486">
          <cell r="A1486">
            <v>8028</v>
          </cell>
        </row>
        <row r="1487">
          <cell r="A1487">
            <v>8029</v>
          </cell>
        </row>
        <row r="1488">
          <cell r="A1488">
            <v>8030</v>
          </cell>
        </row>
        <row r="1489">
          <cell r="A1489">
            <v>8031</v>
          </cell>
        </row>
        <row r="1490">
          <cell r="A1490">
            <v>8032</v>
          </cell>
        </row>
        <row r="1491">
          <cell r="A1491">
            <v>8033</v>
          </cell>
        </row>
        <row r="1492">
          <cell r="A1492">
            <v>8034</v>
          </cell>
        </row>
        <row r="1493">
          <cell r="A1493">
            <v>8035</v>
          </cell>
        </row>
        <row r="1494">
          <cell r="A1494">
            <v>8036</v>
          </cell>
        </row>
        <row r="1495">
          <cell r="A1495">
            <v>8037</v>
          </cell>
        </row>
        <row r="1496">
          <cell r="A1496">
            <v>8038</v>
          </cell>
        </row>
        <row r="1497">
          <cell r="A1497">
            <v>8039</v>
          </cell>
        </row>
        <row r="1498">
          <cell r="A1498">
            <v>8040</v>
          </cell>
        </row>
        <row r="1499">
          <cell r="A1499">
            <v>8041</v>
          </cell>
        </row>
        <row r="1500">
          <cell r="A1500">
            <v>8042</v>
          </cell>
        </row>
        <row r="1501">
          <cell r="A1501">
            <v>8043</v>
          </cell>
        </row>
        <row r="1502">
          <cell r="A1502">
            <v>8044</v>
          </cell>
        </row>
        <row r="1503">
          <cell r="A1503">
            <v>8045</v>
          </cell>
        </row>
        <row r="1504">
          <cell r="A1504">
            <v>8046</v>
          </cell>
        </row>
        <row r="1505">
          <cell r="A1505">
            <v>8047</v>
          </cell>
        </row>
        <row r="1506">
          <cell r="A1506">
            <v>8048</v>
          </cell>
        </row>
        <row r="1507">
          <cell r="A1507">
            <v>8049</v>
          </cell>
        </row>
        <row r="1508">
          <cell r="A1508">
            <v>8050</v>
          </cell>
        </row>
        <row r="1509">
          <cell r="A1509">
            <v>8051</v>
          </cell>
        </row>
        <row r="1510">
          <cell r="A1510">
            <v>8052</v>
          </cell>
        </row>
        <row r="1511">
          <cell r="A1511">
            <v>8053</v>
          </cell>
        </row>
        <row r="1512">
          <cell r="A1512">
            <v>8054</v>
          </cell>
        </row>
        <row r="1513">
          <cell r="A1513">
            <v>8055</v>
          </cell>
        </row>
        <row r="1514">
          <cell r="A1514">
            <v>8056</v>
          </cell>
        </row>
        <row r="1515">
          <cell r="A1515">
            <v>8057</v>
          </cell>
        </row>
        <row r="1516">
          <cell r="A1516">
            <v>8058</v>
          </cell>
        </row>
        <row r="1517">
          <cell r="A1517">
            <v>8059</v>
          </cell>
        </row>
        <row r="1518">
          <cell r="A1518">
            <v>8060</v>
          </cell>
        </row>
        <row r="1519">
          <cell r="A1519">
            <v>8061</v>
          </cell>
        </row>
        <row r="1520">
          <cell r="A1520">
            <v>8062</v>
          </cell>
        </row>
        <row r="1521">
          <cell r="A1521">
            <v>8063</v>
          </cell>
        </row>
        <row r="1522">
          <cell r="A1522">
            <v>8064</v>
          </cell>
        </row>
        <row r="1523">
          <cell r="A1523">
            <v>8065</v>
          </cell>
        </row>
        <row r="1524">
          <cell r="A1524">
            <v>8066</v>
          </cell>
        </row>
        <row r="1525">
          <cell r="A1525">
            <v>8067</v>
          </cell>
        </row>
        <row r="1526">
          <cell r="A1526">
            <v>8068</v>
          </cell>
        </row>
        <row r="1527">
          <cell r="A1527">
            <v>8069</v>
          </cell>
        </row>
        <row r="1528">
          <cell r="A1528">
            <v>8070</v>
          </cell>
        </row>
        <row r="1529">
          <cell r="A1529">
            <v>8071</v>
          </cell>
        </row>
        <row r="1530">
          <cell r="A1530">
            <v>8072</v>
          </cell>
        </row>
        <row r="1531">
          <cell r="A1531">
            <v>8073</v>
          </cell>
        </row>
        <row r="1532">
          <cell r="A1532">
            <v>8074</v>
          </cell>
        </row>
        <row r="1533">
          <cell r="A1533">
            <v>8077</v>
          </cell>
        </row>
        <row r="1534">
          <cell r="A1534">
            <v>8078</v>
          </cell>
        </row>
        <row r="1535">
          <cell r="A1535">
            <v>8079</v>
          </cell>
        </row>
        <row r="1536">
          <cell r="A1536">
            <v>8080</v>
          </cell>
        </row>
        <row r="1537">
          <cell r="A1537">
            <v>8081</v>
          </cell>
        </row>
        <row r="1538">
          <cell r="A1538">
            <v>8082</v>
          </cell>
        </row>
        <row r="1539">
          <cell r="A1539">
            <v>8083</v>
          </cell>
        </row>
        <row r="1540">
          <cell r="A1540">
            <v>8084</v>
          </cell>
        </row>
        <row r="1541">
          <cell r="A1541">
            <v>8085</v>
          </cell>
        </row>
        <row r="1542">
          <cell r="A1542">
            <v>8086</v>
          </cell>
        </row>
        <row r="1543">
          <cell r="A1543">
            <v>8087</v>
          </cell>
        </row>
        <row r="1544">
          <cell r="A1544">
            <v>8088</v>
          </cell>
        </row>
        <row r="1545">
          <cell r="A1545">
            <v>8089</v>
          </cell>
        </row>
        <row r="1546">
          <cell r="A1546">
            <v>8090</v>
          </cell>
        </row>
        <row r="1547">
          <cell r="A1547">
            <v>8095</v>
          </cell>
        </row>
        <row r="1548">
          <cell r="A1548">
            <v>8096</v>
          </cell>
        </row>
        <row r="1549">
          <cell r="A1549">
            <v>8097</v>
          </cell>
        </row>
        <row r="1550">
          <cell r="A1550">
            <v>8098</v>
          </cell>
        </row>
        <row r="1551">
          <cell r="A1551">
            <v>8099</v>
          </cell>
        </row>
        <row r="1552">
          <cell r="A1552">
            <v>8100</v>
          </cell>
        </row>
        <row r="1553">
          <cell r="A1553">
            <v>8101</v>
          </cell>
        </row>
        <row r="1554">
          <cell r="A1554">
            <v>8102</v>
          </cell>
        </row>
        <row r="1555">
          <cell r="A1555">
            <v>8103</v>
          </cell>
        </row>
        <row r="1556">
          <cell r="A1556">
            <v>8104</v>
          </cell>
        </row>
        <row r="1557">
          <cell r="A1557">
            <v>8105</v>
          </cell>
        </row>
        <row r="1558">
          <cell r="A1558">
            <v>8106</v>
          </cell>
        </row>
        <row r="1559">
          <cell r="A1559">
            <v>8111</v>
          </cell>
        </row>
        <row r="1560">
          <cell r="A1560">
            <v>8112</v>
          </cell>
        </row>
        <row r="1561">
          <cell r="A1561">
            <v>8113</v>
          </cell>
        </row>
        <row r="1562">
          <cell r="A1562">
            <v>8114</v>
          </cell>
        </row>
        <row r="1563">
          <cell r="A1563">
            <v>8115</v>
          </cell>
        </row>
        <row r="1564">
          <cell r="A1564">
            <v>8116</v>
          </cell>
        </row>
        <row r="1565">
          <cell r="A1565">
            <v>8117</v>
          </cell>
        </row>
        <row r="1566">
          <cell r="A1566">
            <v>8118</v>
          </cell>
        </row>
        <row r="1567">
          <cell r="A1567">
            <v>8119</v>
          </cell>
        </row>
        <row r="1568">
          <cell r="A1568">
            <v>8120</v>
          </cell>
        </row>
        <row r="1569">
          <cell r="A1569">
            <v>8121</v>
          </cell>
        </row>
        <row r="1570">
          <cell r="A1570">
            <v>8122</v>
          </cell>
        </row>
        <row r="1571">
          <cell r="A1571">
            <v>9001</v>
          </cell>
        </row>
        <row r="1572">
          <cell r="A1572">
            <v>9002</v>
          </cell>
        </row>
        <row r="1573">
          <cell r="A1573">
            <v>9003</v>
          </cell>
        </row>
        <row r="1574">
          <cell r="A1574">
            <v>9004</v>
          </cell>
        </row>
        <row r="1575">
          <cell r="A1575">
            <v>9005</v>
          </cell>
        </row>
        <row r="1576">
          <cell r="A1576">
            <v>9006</v>
          </cell>
        </row>
        <row r="1577">
          <cell r="A1577">
            <v>9007</v>
          </cell>
        </row>
        <row r="1578">
          <cell r="A1578">
            <v>9008</v>
          </cell>
        </row>
        <row r="1579">
          <cell r="A1579">
            <v>10101</v>
          </cell>
        </row>
        <row r="1580">
          <cell r="A1580">
            <v>10102</v>
          </cell>
        </row>
        <row r="1581">
          <cell r="A1581">
            <v>10103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1393</v>
          </cell>
        </row>
        <row r="1391">
          <cell r="A1391">
            <v>1394</v>
          </cell>
        </row>
        <row r="1392">
          <cell r="A1392">
            <v>1395</v>
          </cell>
        </row>
        <row r="1393">
          <cell r="A1393">
            <v>1399</v>
          </cell>
        </row>
        <row r="1394">
          <cell r="A1394">
            <v>1400</v>
          </cell>
        </row>
        <row r="1395">
          <cell r="A1395">
            <v>1401</v>
          </cell>
        </row>
        <row r="1396">
          <cell r="A1396">
            <v>1402</v>
          </cell>
        </row>
        <row r="1397">
          <cell r="A1397">
            <v>1403</v>
          </cell>
        </row>
        <row r="1398">
          <cell r="A1398">
            <v>1404</v>
          </cell>
        </row>
        <row r="1399">
          <cell r="A1399">
            <v>1405</v>
          </cell>
        </row>
        <row r="1400">
          <cell r="A1400">
            <v>1406</v>
          </cell>
        </row>
        <row r="1401">
          <cell r="A1401">
            <v>1407</v>
          </cell>
        </row>
        <row r="1402">
          <cell r="A1402">
            <v>1408</v>
          </cell>
        </row>
        <row r="1403">
          <cell r="A1403">
            <v>1409</v>
          </cell>
        </row>
        <row r="1404">
          <cell r="A1404">
            <v>1410</v>
          </cell>
        </row>
        <row r="1405">
          <cell r="A1405">
            <v>1411</v>
          </cell>
        </row>
        <row r="1406">
          <cell r="A1406">
            <v>1412</v>
          </cell>
        </row>
        <row r="1407">
          <cell r="A1407">
            <v>1413</v>
          </cell>
        </row>
        <row r="1408">
          <cell r="A1408">
            <v>1414</v>
          </cell>
        </row>
        <row r="1409">
          <cell r="A1409">
            <v>1415</v>
          </cell>
        </row>
        <row r="1410">
          <cell r="A1410">
            <v>1416</v>
          </cell>
        </row>
        <row r="1411">
          <cell r="A1411">
            <v>1417</v>
          </cell>
        </row>
        <row r="1412">
          <cell r="A1412">
            <v>1418</v>
          </cell>
        </row>
        <row r="1413">
          <cell r="A1413">
            <v>1419</v>
          </cell>
        </row>
        <row r="1414">
          <cell r="A1414">
            <v>1420</v>
          </cell>
        </row>
        <row r="1415">
          <cell r="A1415">
            <v>1421</v>
          </cell>
        </row>
        <row r="1416">
          <cell r="A1416">
            <v>1422</v>
          </cell>
        </row>
        <row r="1417">
          <cell r="A1417">
            <v>1423</v>
          </cell>
        </row>
        <row r="1418">
          <cell r="A1418">
            <v>1424</v>
          </cell>
        </row>
        <row r="1419">
          <cell r="A1419">
            <v>1425</v>
          </cell>
        </row>
        <row r="1420">
          <cell r="A1420">
            <v>1426</v>
          </cell>
        </row>
        <row r="1421">
          <cell r="A1421">
            <v>1427</v>
          </cell>
        </row>
        <row r="1422">
          <cell r="A1422">
            <v>1428</v>
          </cell>
        </row>
        <row r="1423">
          <cell r="A1423">
            <v>1431</v>
          </cell>
        </row>
        <row r="1424">
          <cell r="A1424">
            <v>1432</v>
          </cell>
        </row>
        <row r="1425">
          <cell r="A1425">
            <v>1433</v>
          </cell>
        </row>
        <row r="1426">
          <cell r="A1426">
            <v>1434</v>
          </cell>
        </row>
        <row r="1427">
          <cell r="A1427">
            <v>1435</v>
          </cell>
        </row>
        <row r="1428">
          <cell r="A1428">
            <v>1436</v>
          </cell>
        </row>
        <row r="1429">
          <cell r="A1429">
            <v>1437</v>
          </cell>
        </row>
        <row r="1430">
          <cell r="A1430">
            <v>1438</v>
          </cell>
        </row>
        <row r="1431">
          <cell r="A1431">
            <v>1439</v>
          </cell>
        </row>
        <row r="1432">
          <cell r="A1432">
            <v>1440</v>
          </cell>
        </row>
        <row r="1433">
          <cell r="A1433">
            <v>1441</v>
          </cell>
        </row>
        <row r="1434">
          <cell r="A1434">
            <v>1442</v>
          </cell>
        </row>
        <row r="1435">
          <cell r="A1435">
            <v>1443</v>
          </cell>
        </row>
        <row r="1436">
          <cell r="A1436">
            <v>1444</v>
          </cell>
        </row>
        <row r="1437">
          <cell r="A1437">
            <v>1445</v>
          </cell>
        </row>
        <row r="1438">
          <cell r="A1438">
            <v>1446</v>
          </cell>
        </row>
        <row r="1439">
          <cell r="A1439">
            <v>1447</v>
          </cell>
        </row>
        <row r="1440">
          <cell r="A1440">
            <v>1448</v>
          </cell>
        </row>
        <row r="1441">
          <cell r="A1441">
            <v>1449</v>
          </cell>
        </row>
        <row r="1442">
          <cell r="A1442">
            <v>1450</v>
          </cell>
        </row>
        <row r="1443">
          <cell r="A1443">
            <v>1451</v>
          </cell>
        </row>
        <row r="1444">
          <cell r="A1444">
            <v>1452</v>
          </cell>
        </row>
        <row r="1445">
          <cell r="A1445">
            <v>1453</v>
          </cell>
        </row>
        <row r="1446">
          <cell r="A1446">
            <v>1454</v>
          </cell>
        </row>
        <row r="1447">
          <cell r="A1447">
            <v>1455</v>
          </cell>
        </row>
        <row r="1448">
          <cell r="A1448">
            <v>1456</v>
          </cell>
        </row>
        <row r="1449">
          <cell r="A1449">
            <v>1457</v>
          </cell>
        </row>
        <row r="1450">
          <cell r="A1450">
            <v>1458</v>
          </cell>
        </row>
        <row r="1451">
          <cell r="A1451">
            <v>1459</v>
          </cell>
        </row>
        <row r="1452">
          <cell r="A1452">
            <v>1460</v>
          </cell>
        </row>
        <row r="1453">
          <cell r="A1453">
            <v>1461</v>
          </cell>
        </row>
        <row r="1454">
          <cell r="A1454">
            <v>1462</v>
          </cell>
        </row>
        <row r="1455">
          <cell r="A1455">
            <v>1463</v>
          </cell>
        </row>
        <row r="1456">
          <cell r="A1456">
            <v>1464</v>
          </cell>
        </row>
        <row r="1457">
          <cell r="A1457">
            <v>1465</v>
          </cell>
        </row>
        <row r="1458">
          <cell r="A1458">
            <v>1466</v>
          </cell>
        </row>
        <row r="1459">
          <cell r="A1459">
            <v>1467</v>
          </cell>
        </row>
        <row r="1460">
          <cell r="A1460">
            <v>1468</v>
          </cell>
        </row>
        <row r="1461">
          <cell r="A1461">
            <v>1469</v>
          </cell>
        </row>
        <row r="1462">
          <cell r="A1462">
            <v>1470</v>
          </cell>
        </row>
        <row r="1463">
          <cell r="A1463">
            <v>1471</v>
          </cell>
        </row>
        <row r="1464">
          <cell r="A1464">
            <v>1488</v>
          </cell>
        </row>
        <row r="1465">
          <cell r="A1465">
            <v>1489</v>
          </cell>
        </row>
        <row r="1466">
          <cell r="A1466">
            <v>1490</v>
          </cell>
        </row>
        <row r="1467">
          <cell r="A1467">
            <v>1491</v>
          </cell>
        </row>
        <row r="1468">
          <cell r="A1468">
            <v>1495</v>
          </cell>
        </row>
        <row r="1469">
          <cell r="A1469">
            <v>1496</v>
          </cell>
        </row>
        <row r="1470">
          <cell r="A1470">
            <v>1497</v>
          </cell>
        </row>
        <row r="1471">
          <cell r="A1471">
            <v>1498</v>
          </cell>
        </row>
        <row r="1472">
          <cell r="A1472">
            <v>1499</v>
          </cell>
        </row>
        <row r="1473">
          <cell r="A1473">
            <v>1500</v>
          </cell>
        </row>
        <row r="1474">
          <cell r="A1474">
            <v>1501</v>
          </cell>
        </row>
        <row r="1475">
          <cell r="A1475">
            <v>1502</v>
          </cell>
        </row>
        <row r="1476">
          <cell r="A1476">
            <v>1503</v>
          </cell>
        </row>
        <row r="1477">
          <cell r="A1477">
            <v>1504</v>
          </cell>
        </row>
        <row r="1478">
          <cell r="A1478">
            <v>1505</v>
          </cell>
        </row>
        <row r="1479">
          <cell r="A1479">
            <v>1506</v>
          </cell>
        </row>
        <row r="1480">
          <cell r="A1480">
            <v>1507</v>
          </cell>
        </row>
        <row r="1481">
          <cell r="A1481">
            <v>1508</v>
          </cell>
        </row>
        <row r="1482">
          <cell r="A1482">
            <v>1509</v>
          </cell>
        </row>
        <row r="1483">
          <cell r="A1483">
            <v>1510</v>
          </cell>
        </row>
        <row r="1484">
          <cell r="A1484">
            <v>1511</v>
          </cell>
        </row>
        <row r="1485">
          <cell r="A1485">
            <v>1512</v>
          </cell>
        </row>
        <row r="1486">
          <cell r="A1486">
            <v>1513</v>
          </cell>
        </row>
        <row r="1487">
          <cell r="A1487">
            <v>1514</v>
          </cell>
        </row>
        <row r="1488">
          <cell r="A1488">
            <v>1515</v>
          </cell>
        </row>
        <row r="1489">
          <cell r="A1489">
            <v>1516</v>
          </cell>
        </row>
        <row r="1490">
          <cell r="A1490">
            <v>1517</v>
          </cell>
        </row>
        <row r="1491">
          <cell r="A1491">
            <v>1518</v>
          </cell>
        </row>
        <row r="1492">
          <cell r="A1492">
            <v>1519</v>
          </cell>
        </row>
        <row r="1493">
          <cell r="A1493">
            <v>1520</v>
          </cell>
        </row>
        <row r="1494">
          <cell r="A1494">
            <v>1521</v>
          </cell>
        </row>
        <row r="1495">
          <cell r="A1495">
            <v>1522</v>
          </cell>
        </row>
        <row r="1496">
          <cell r="A1496">
            <v>1523</v>
          </cell>
        </row>
        <row r="1497">
          <cell r="A1497">
            <v>1524</v>
          </cell>
        </row>
        <row r="1498">
          <cell r="A1498">
            <v>1525</v>
          </cell>
        </row>
        <row r="1499">
          <cell r="A1499">
            <v>1526</v>
          </cell>
        </row>
        <row r="1500">
          <cell r="A1500">
            <v>1527</v>
          </cell>
        </row>
        <row r="1501">
          <cell r="A1501">
            <v>1528</v>
          </cell>
        </row>
        <row r="1502">
          <cell r="A1502">
            <v>1529</v>
          </cell>
        </row>
        <row r="1503">
          <cell r="A1503">
            <v>1530</v>
          </cell>
        </row>
        <row r="1504">
          <cell r="A1504">
            <v>1531</v>
          </cell>
        </row>
        <row r="1505">
          <cell r="A1505">
            <v>1532</v>
          </cell>
        </row>
        <row r="1506">
          <cell r="A1506">
            <v>1533</v>
          </cell>
        </row>
        <row r="1507">
          <cell r="A1507">
            <v>1534</v>
          </cell>
        </row>
        <row r="1508">
          <cell r="A1508">
            <v>1535</v>
          </cell>
        </row>
        <row r="1509">
          <cell r="A1509">
            <v>1536</v>
          </cell>
        </row>
        <row r="1510">
          <cell r="A1510">
            <v>1537</v>
          </cell>
        </row>
        <row r="1511">
          <cell r="A1511">
            <v>1538</v>
          </cell>
        </row>
        <row r="1512">
          <cell r="A1512">
            <v>1539</v>
          </cell>
        </row>
        <row r="1513">
          <cell r="A1513">
            <v>1540</v>
          </cell>
        </row>
        <row r="1514">
          <cell r="A1514">
            <v>1541</v>
          </cell>
        </row>
        <row r="1515">
          <cell r="A1515">
            <v>1542</v>
          </cell>
        </row>
        <row r="1516">
          <cell r="A1516">
            <v>1543</v>
          </cell>
        </row>
        <row r="1517">
          <cell r="A1517">
            <v>1544</v>
          </cell>
        </row>
        <row r="1518">
          <cell r="A1518">
            <v>1545</v>
          </cell>
        </row>
        <row r="1519">
          <cell r="A1519">
            <v>1546</v>
          </cell>
        </row>
        <row r="1520">
          <cell r="A1520">
            <v>1547</v>
          </cell>
        </row>
        <row r="1521">
          <cell r="A1521">
            <v>1548</v>
          </cell>
        </row>
        <row r="1522">
          <cell r="A1522">
            <v>1549</v>
          </cell>
        </row>
        <row r="1523">
          <cell r="A1523">
            <v>1550</v>
          </cell>
        </row>
        <row r="1524">
          <cell r="A1524">
            <v>1551</v>
          </cell>
        </row>
        <row r="1525">
          <cell r="A1525">
            <v>1552</v>
          </cell>
        </row>
        <row r="1526">
          <cell r="A1526">
            <v>1553</v>
          </cell>
        </row>
        <row r="1527">
          <cell r="A1527">
            <v>1554</v>
          </cell>
        </row>
        <row r="1528">
          <cell r="A1528">
            <v>1555</v>
          </cell>
        </row>
        <row r="1529">
          <cell r="A1529">
            <v>1556</v>
          </cell>
        </row>
        <row r="1530">
          <cell r="A1530">
            <v>1557</v>
          </cell>
        </row>
        <row r="1531">
          <cell r="A1531">
            <v>1558</v>
          </cell>
        </row>
        <row r="1532">
          <cell r="A1532">
            <v>1559</v>
          </cell>
        </row>
        <row r="1533">
          <cell r="A1533">
            <v>1560</v>
          </cell>
        </row>
        <row r="1534">
          <cell r="A1534">
            <v>1561</v>
          </cell>
        </row>
        <row r="1535">
          <cell r="A1535">
            <v>1562</v>
          </cell>
        </row>
        <row r="1536">
          <cell r="A1536">
            <v>1563</v>
          </cell>
        </row>
        <row r="1537">
          <cell r="A1537">
            <v>1564</v>
          </cell>
        </row>
        <row r="1538">
          <cell r="A1538">
            <v>1565</v>
          </cell>
        </row>
        <row r="1539">
          <cell r="A1539">
            <v>1566</v>
          </cell>
        </row>
        <row r="1540">
          <cell r="A1540">
            <v>1567</v>
          </cell>
        </row>
        <row r="1541">
          <cell r="A1541">
            <v>1568</v>
          </cell>
        </row>
        <row r="1542">
          <cell r="A1542">
            <v>1569</v>
          </cell>
        </row>
        <row r="1543">
          <cell r="A1543">
            <v>1570</v>
          </cell>
        </row>
        <row r="1544">
          <cell r="A1544">
            <v>1571</v>
          </cell>
        </row>
        <row r="1545">
          <cell r="A1545">
            <v>1572</v>
          </cell>
        </row>
        <row r="1546">
          <cell r="A1546">
            <v>1573</v>
          </cell>
        </row>
        <row r="1547">
          <cell r="A1547">
            <v>1574</v>
          </cell>
        </row>
        <row r="1548">
          <cell r="A1548">
            <v>1575</v>
          </cell>
        </row>
        <row r="1549">
          <cell r="A1549">
            <v>1576</v>
          </cell>
        </row>
        <row r="1550">
          <cell r="A1550">
            <v>1577</v>
          </cell>
        </row>
        <row r="1551">
          <cell r="A1551">
            <v>1578</v>
          </cell>
        </row>
        <row r="1552">
          <cell r="A1552">
            <v>1579</v>
          </cell>
        </row>
        <row r="1553">
          <cell r="A1553">
            <v>1580</v>
          </cell>
        </row>
        <row r="1554">
          <cell r="A1554">
            <v>1581</v>
          </cell>
        </row>
        <row r="1555">
          <cell r="A1555">
            <v>1582</v>
          </cell>
        </row>
        <row r="1556">
          <cell r="A1556">
            <v>1583</v>
          </cell>
        </row>
        <row r="1557">
          <cell r="A1557">
            <v>1584</v>
          </cell>
        </row>
        <row r="1558">
          <cell r="A1558">
            <v>1585</v>
          </cell>
        </row>
        <row r="1559">
          <cell r="A1559">
            <v>1586</v>
          </cell>
        </row>
        <row r="1560">
          <cell r="A1560">
            <v>1587</v>
          </cell>
        </row>
        <row r="1561">
          <cell r="A1561">
            <v>1588</v>
          </cell>
        </row>
        <row r="1562">
          <cell r="A1562">
            <v>1613</v>
          </cell>
        </row>
        <row r="1563">
          <cell r="A1563">
            <v>1614</v>
          </cell>
        </row>
        <row r="1564">
          <cell r="A1564">
            <v>5001</v>
          </cell>
        </row>
        <row r="1565">
          <cell r="A1565">
            <v>5002</v>
          </cell>
        </row>
        <row r="1566">
          <cell r="A1566">
            <v>5003</v>
          </cell>
        </row>
        <row r="1567">
          <cell r="A1567">
            <v>5004</v>
          </cell>
        </row>
        <row r="1568">
          <cell r="A1568">
            <v>5005</v>
          </cell>
        </row>
        <row r="1569">
          <cell r="A1569">
            <v>5006</v>
          </cell>
        </row>
        <row r="1570">
          <cell r="A1570">
            <v>5007</v>
          </cell>
        </row>
        <row r="1571">
          <cell r="A1571">
            <v>5008</v>
          </cell>
        </row>
        <row r="1572">
          <cell r="A1572">
            <v>6001</v>
          </cell>
        </row>
        <row r="1573">
          <cell r="A1573">
            <v>6002</v>
          </cell>
        </row>
        <row r="1574">
          <cell r="A1574">
            <v>6003</v>
          </cell>
        </row>
        <row r="1575">
          <cell r="A1575">
            <v>6004</v>
          </cell>
        </row>
        <row r="1576">
          <cell r="A1576">
            <v>6005</v>
          </cell>
        </row>
        <row r="1577">
          <cell r="A1577">
            <v>6006</v>
          </cell>
        </row>
        <row r="1578">
          <cell r="A1578">
            <v>6007</v>
          </cell>
        </row>
        <row r="1579">
          <cell r="A1579">
            <v>6008</v>
          </cell>
        </row>
        <row r="1580">
          <cell r="A1580">
            <v>6009</v>
          </cell>
        </row>
        <row r="1581">
          <cell r="A1581">
            <v>6010</v>
          </cell>
        </row>
        <row r="1582">
          <cell r="A1582">
            <v>6011</v>
          </cell>
        </row>
        <row r="1583">
          <cell r="A1583">
            <v>6012</v>
          </cell>
        </row>
        <row r="1584">
          <cell r="A1584">
            <v>6013</v>
          </cell>
        </row>
        <row r="1585">
          <cell r="A1585">
            <v>6014</v>
          </cell>
        </row>
        <row r="1586">
          <cell r="A1586">
            <v>6015</v>
          </cell>
        </row>
        <row r="1587">
          <cell r="A1587">
            <v>6016</v>
          </cell>
        </row>
        <row r="1588">
          <cell r="A1588">
            <v>6017</v>
          </cell>
        </row>
        <row r="1589">
          <cell r="A1589">
            <v>6018</v>
          </cell>
        </row>
        <row r="1590">
          <cell r="A1590">
            <v>6019</v>
          </cell>
        </row>
        <row r="1591">
          <cell r="A1591">
            <v>6020</v>
          </cell>
        </row>
        <row r="1592">
          <cell r="A1592">
            <v>8001</v>
          </cell>
        </row>
        <row r="1593">
          <cell r="A1593">
            <v>8002</v>
          </cell>
        </row>
        <row r="1594">
          <cell r="A1594">
            <v>8003</v>
          </cell>
        </row>
        <row r="1595">
          <cell r="A1595">
            <v>8004</v>
          </cell>
        </row>
        <row r="1596">
          <cell r="A1596">
            <v>8005</v>
          </cell>
        </row>
        <row r="1597">
          <cell r="A1597">
            <v>8006</v>
          </cell>
        </row>
        <row r="1598">
          <cell r="A1598">
            <v>8007</v>
          </cell>
        </row>
        <row r="1599">
          <cell r="A1599">
            <v>8008</v>
          </cell>
        </row>
        <row r="1600">
          <cell r="A1600">
            <v>8009</v>
          </cell>
        </row>
        <row r="1601">
          <cell r="A1601">
            <v>8010</v>
          </cell>
        </row>
        <row r="1602">
          <cell r="A1602">
            <v>8011</v>
          </cell>
        </row>
        <row r="1603">
          <cell r="A1603">
            <v>8012</v>
          </cell>
        </row>
        <row r="1604">
          <cell r="A1604">
            <v>8013</v>
          </cell>
        </row>
        <row r="1605">
          <cell r="A1605">
            <v>8014</v>
          </cell>
        </row>
        <row r="1606">
          <cell r="A1606">
            <v>8015</v>
          </cell>
        </row>
        <row r="1607">
          <cell r="A1607">
            <v>8016</v>
          </cell>
        </row>
        <row r="1608">
          <cell r="A1608">
            <v>8017</v>
          </cell>
        </row>
        <row r="1609">
          <cell r="A1609">
            <v>8018</v>
          </cell>
        </row>
        <row r="1610">
          <cell r="A1610">
            <v>8019</v>
          </cell>
        </row>
        <row r="1611">
          <cell r="A1611">
            <v>8020</v>
          </cell>
        </row>
        <row r="1612">
          <cell r="A1612">
            <v>8021</v>
          </cell>
        </row>
        <row r="1613">
          <cell r="A1613">
            <v>8022</v>
          </cell>
        </row>
        <row r="1614">
          <cell r="A1614">
            <v>8023</v>
          </cell>
        </row>
        <row r="1615">
          <cell r="A1615">
            <v>8024</v>
          </cell>
        </row>
        <row r="1616">
          <cell r="A1616">
            <v>8025</v>
          </cell>
        </row>
        <row r="1617">
          <cell r="A1617">
            <v>8026</v>
          </cell>
        </row>
        <row r="1618">
          <cell r="A1618">
            <v>8027</v>
          </cell>
        </row>
        <row r="1619">
          <cell r="A1619">
            <v>8028</v>
          </cell>
        </row>
        <row r="1620">
          <cell r="A1620">
            <v>8029</v>
          </cell>
        </row>
        <row r="1621">
          <cell r="A1621">
            <v>8030</v>
          </cell>
        </row>
        <row r="1622">
          <cell r="A1622">
            <v>8031</v>
          </cell>
        </row>
        <row r="1623">
          <cell r="A1623">
            <v>8032</v>
          </cell>
        </row>
        <row r="1624">
          <cell r="A1624">
            <v>8033</v>
          </cell>
        </row>
        <row r="1625">
          <cell r="A1625">
            <v>8034</v>
          </cell>
        </row>
        <row r="1626">
          <cell r="A1626">
            <v>8035</v>
          </cell>
        </row>
        <row r="1627">
          <cell r="A1627">
            <v>8036</v>
          </cell>
        </row>
        <row r="1628">
          <cell r="A1628">
            <v>8037</v>
          </cell>
        </row>
        <row r="1629">
          <cell r="A1629">
            <v>8038</v>
          </cell>
        </row>
        <row r="1630">
          <cell r="A1630">
            <v>8039</v>
          </cell>
        </row>
        <row r="1631">
          <cell r="A1631">
            <v>8040</v>
          </cell>
        </row>
        <row r="1632">
          <cell r="A1632">
            <v>8041</v>
          </cell>
        </row>
        <row r="1633">
          <cell r="A1633">
            <v>8042</v>
          </cell>
        </row>
        <row r="1634">
          <cell r="A1634">
            <v>8043</v>
          </cell>
        </row>
        <row r="1635">
          <cell r="A1635">
            <v>8044</v>
          </cell>
        </row>
        <row r="1636">
          <cell r="A1636">
            <v>8045</v>
          </cell>
        </row>
        <row r="1637">
          <cell r="A1637">
            <v>8046</v>
          </cell>
        </row>
        <row r="1638">
          <cell r="A1638">
            <v>8047</v>
          </cell>
        </row>
        <row r="1639">
          <cell r="A1639">
            <v>8048</v>
          </cell>
        </row>
        <row r="1640">
          <cell r="A1640">
            <v>8049</v>
          </cell>
        </row>
        <row r="1641">
          <cell r="A1641">
            <v>8050</v>
          </cell>
        </row>
        <row r="1642">
          <cell r="A1642">
            <v>8051</v>
          </cell>
        </row>
        <row r="1643">
          <cell r="A1643">
            <v>8052</v>
          </cell>
        </row>
        <row r="1644">
          <cell r="A1644">
            <v>8053</v>
          </cell>
        </row>
        <row r="1645">
          <cell r="A1645">
            <v>8054</v>
          </cell>
        </row>
        <row r="1646">
          <cell r="A1646">
            <v>8055</v>
          </cell>
        </row>
        <row r="1647">
          <cell r="A1647">
            <v>8056</v>
          </cell>
        </row>
        <row r="1648">
          <cell r="A1648">
            <v>8057</v>
          </cell>
        </row>
        <row r="1649">
          <cell r="A1649">
            <v>8058</v>
          </cell>
        </row>
        <row r="1650">
          <cell r="A1650">
            <v>8059</v>
          </cell>
        </row>
        <row r="1651">
          <cell r="A1651">
            <v>8060</v>
          </cell>
        </row>
        <row r="1652">
          <cell r="A1652">
            <v>8061</v>
          </cell>
        </row>
        <row r="1653">
          <cell r="A1653">
            <v>8062</v>
          </cell>
        </row>
        <row r="1654">
          <cell r="A1654">
            <v>8063</v>
          </cell>
        </row>
        <row r="1655">
          <cell r="A1655">
            <v>8064</v>
          </cell>
        </row>
        <row r="1656">
          <cell r="A1656">
            <v>8065</v>
          </cell>
        </row>
        <row r="1657">
          <cell r="A1657">
            <v>8066</v>
          </cell>
        </row>
        <row r="1658">
          <cell r="A1658">
            <v>8067</v>
          </cell>
        </row>
        <row r="1659">
          <cell r="A1659">
            <v>8068</v>
          </cell>
        </row>
        <row r="1660">
          <cell r="A1660">
            <v>8069</v>
          </cell>
        </row>
        <row r="1661">
          <cell r="A1661">
            <v>8070</v>
          </cell>
        </row>
        <row r="1662">
          <cell r="A1662">
            <v>8071</v>
          </cell>
        </row>
        <row r="1663">
          <cell r="A1663">
            <v>8072</v>
          </cell>
        </row>
        <row r="1664">
          <cell r="A1664">
            <v>8073</v>
          </cell>
        </row>
        <row r="1665">
          <cell r="A1665">
            <v>8074</v>
          </cell>
        </row>
        <row r="1666">
          <cell r="A1666">
            <v>8075</v>
          </cell>
        </row>
        <row r="1667">
          <cell r="A1667">
            <v>8076</v>
          </cell>
        </row>
        <row r="1668">
          <cell r="A1668">
            <v>8077</v>
          </cell>
        </row>
        <row r="1669">
          <cell r="A1669">
            <v>8078</v>
          </cell>
        </row>
        <row r="1670">
          <cell r="A1670">
            <v>8079</v>
          </cell>
        </row>
        <row r="1671">
          <cell r="A1671">
            <v>8080</v>
          </cell>
        </row>
        <row r="1672">
          <cell r="A1672">
            <v>8081</v>
          </cell>
        </row>
        <row r="1673">
          <cell r="A1673">
            <v>8082</v>
          </cell>
        </row>
        <row r="1674">
          <cell r="A1674">
            <v>8083</v>
          </cell>
        </row>
        <row r="1675">
          <cell r="A1675">
            <v>8084</v>
          </cell>
        </row>
        <row r="1676">
          <cell r="A1676">
            <v>8085</v>
          </cell>
        </row>
        <row r="1677">
          <cell r="A1677">
            <v>8086</v>
          </cell>
        </row>
        <row r="1678">
          <cell r="A1678">
            <v>8087</v>
          </cell>
        </row>
        <row r="1679">
          <cell r="A1679">
            <v>8088</v>
          </cell>
        </row>
        <row r="1680">
          <cell r="A1680">
            <v>8089</v>
          </cell>
        </row>
        <row r="1681">
          <cell r="A1681">
            <v>8090</v>
          </cell>
        </row>
        <row r="1682">
          <cell r="A1682">
            <v>8095</v>
          </cell>
        </row>
        <row r="1683">
          <cell r="A1683">
            <v>8096</v>
          </cell>
        </row>
        <row r="1684">
          <cell r="A1684">
            <v>8097</v>
          </cell>
        </row>
        <row r="1685">
          <cell r="A1685">
            <v>8098</v>
          </cell>
        </row>
        <row r="1686">
          <cell r="A1686">
            <v>8099</v>
          </cell>
        </row>
        <row r="1687">
          <cell r="A1687">
            <v>8100</v>
          </cell>
        </row>
        <row r="1688">
          <cell r="A1688">
            <v>8101</v>
          </cell>
        </row>
        <row r="1689">
          <cell r="A1689">
            <v>8102</v>
          </cell>
        </row>
        <row r="1690">
          <cell r="A1690">
            <v>8103</v>
          </cell>
        </row>
        <row r="1691">
          <cell r="A1691">
            <v>8104</v>
          </cell>
        </row>
        <row r="1692">
          <cell r="A1692">
            <v>8105</v>
          </cell>
        </row>
        <row r="1693">
          <cell r="A1693">
            <v>8106</v>
          </cell>
        </row>
        <row r="1694">
          <cell r="A1694">
            <v>8111</v>
          </cell>
        </row>
        <row r="1695">
          <cell r="A1695">
            <v>8112</v>
          </cell>
        </row>
        <row r="1696">
          <cell r="A1696">
            <v>8113</v>
          </cell>
        </row>
        <row r="1697">
          <cell r="A1697">
            <v>8114</v>
          </cell>
        </row>
        <row r="1698">
          <cell r="A1698">
            <v>8115</v>
          </cell>
        </row>
        <row r="1699">
          <cell r="A1699">
            <v>8116</v>
          </cell>
        </row>
        <row r="1700">
          <cell r="A1700">
            <v>8117</v>
          </cell>
        </row>
        <row r="1701">
          <cell r="A1701">
            <v>8118</v>
          </cell>
        </row>
        <row r="1702">
          <cell r="A1702">
            <v>8119</v>
          </cell>
        </row>
        <row r="1703">
          <cell r="A1703">
            <v>8120</v>
          </cell>
        </row>
        <row r="1704">
          <cell r="A1704">
            <v>8121</v>
          </cell>
        </row>
        <row r="1705">
          <cell r="A1705">
            <v>8122</v>
          </cell>
        </row>
        <row r="1706">
          <cell r="A1706">
            <v>9001</v>
          </cell>
        </row>
        <row r="1707">
          <cell r="A1707">
            <v>9002</v>
          </cell>
        </row>
        <row r="1708">
          <cell r="A1708">
            <v>9003</v>
          </cell>
        </row>
        <row r="1709">
          <cell r="A1709">
            <v>9004</v>
          </cell>
        </row>
        <row r="1710">
          <cell r="A1710">
            <v>9005</v>
          </cell>
        </row>
        <row r="1711">
          <cell r="A1711">
            <v>9006</v>
          </cell>
        </row>
        <row r="1712">
          <cell r="A1712">
            <v>9007</v>
          </cell>
        </row>
        <row r="1713">
          <cell r="A1713">
            <v>9008</v>
          </cell>
        </row>
        <row r="1714">
          <cell r="A1714">
            <v>10001</v>
          </cell>
        </row>
        <row r="1715">
          <cell r="A1715">
            <v>10002</v>
          </cell>
        </row>
        <row r="1716">
          <cell r="A1716">
            <v>10003</v>
          </cell>
        </row>
        <row r="1717">
          <cell r="A1717">
            <v>10004</v>
          </cell>
        </row>
        <row r="1718">
          <cell r="A1718">
            <v>10005</v>
          </cell>
        </row>
        <row r="1719">
          <cell r="A1719">
            <v>10006</v>
          </cell>
        </row>
        <row r="1720">
          <cell r="A1720">
            <v>10007</v>
          </cell>
        </row>
        <row r="1721">
          <cell r="A1721">
            <v>10008</v>
          </cell>
        </row>
        <row r="1722">
          <cell r="A1722">
            <v>10009</v>
          </cell>
        </row>
        <row r="1723">
          <cell r="A1723">
            <v>10010</v>
          </cell>
        </row>
        <row r="1724">
          <cell r="A1724">
            <v>10011</v>
          </cell>
        </row>
        <row r="1725">
          <cell r="A1725">
            <v>10012</v>
          </cell>
        </row>
        <row r="1726">
          <cell r="A1726">
            <v>10013</v>
          </cell>
        </row>
        <row r="1727">
          <cell r="A1727">
            <v>10014</v>
          </cell>
        </row>
        <row r="1728">
          <cell r="A1728">
            <v>10015</v>
          </cell>
        </row>
        <row r="1729">
          <cell r="A1729">
            <v>10016</v>
          </cell>
        </row>
        <row r="1730">
          <cell r="A1730">
            <v>10017</v>
          </cell>
        </row>
        <row r="1731">
          <cell r="A1731">
            <v>10018</v>
          </cell>
        </row>
        <row r="1732">
          <cell r="A1732">
            <v>10019</v>
          </cell>
        </row>
        <row r="1733">
          <cell r="A1733">
            <v>10020</v>
          </cell>
        </row>
        <row r="1734">
          <cell r="A1734">
            <v>10021</v>
          </cell>
        </row>
        <row r="1735">
          <cell r="A1735">
            <v>10022</v>
          </cell>
        </row>
        <row r="1736">
          <cell r="A1736">
            <v>10023</v>
          </cell>
        </row>
        <row r="1737">
          <cell r="A1737">
            <v>10024</v>
          </cell>
        </row>
        <row r="1738">
          <cell r="A1738">
            <v>10025</v>
          </cell>
        </row>
        <row r="1739">
          <cell r="A1739">
            <v>10026</v>
          </cell>
        </row>
        <row r="1740">
          <cell r="A1740">
            <v>10027</v>
          </cell>
        </row>
        <row r="1741">
          <cell r="A1741">
            <v>10028</v>
          </cell>
        </row>
        <row r="1742">
          <cell r="A1742">
            <v>10029</v>
          </cell>
        </row>
        <row r="1743">
          <cell r="A1743">
            <v>10030</v>
          </cell>
        </row>
        <row r="1744">
          <cell r="A1744">
            <v>10031</v>
          </cell>
        </row>
        <row r="1745">
          <cell r="A1745">
            <v>10032</v>
          </cell>
        </row>
        <row r="1746">
          <cell r="A1746">
            <v>10033</v>
          </cell>
        </row>
        <row r="1747">
          <cell r="A1747">
            <v>10034</v>
          </cell>
        </row>
        <row r="1748">
          <cell r="A1748">
            <v>10035</v>
          </cell>
        </row>
        <row r="1749">
          <cell r="A1749">
            <v>10036</v>
          </cell>
        </row>
        <row r="1750">
          <cell r="A1750">
            <v>10037</v>
          </cell>
        </row>
        <row r="1751">
          <cell r="A1751">
            <v>10038</v>
          </cell>
        </row>
        <row r="1752">
          <cell r="A1752">
            <v>10039</v>
          </cell>
        </row>
        <row r="1753">
          <cell r="A1753">
            <v>10040</v>
          </cell>
        </row>
        <row r="1754">
          <cell r="A1754">
            <v>10041</v>
          </cell>
        </row>
        <row r="1755">
          <cell r="A1755">
            <v>10042</v>
          </cell>
        </row>
        <row r="1756">
          <cell r="A1756">
            <v>10043</v>
          </cell>
        </row>
        <row r="1757">
          <cell r="A1757">
            <v>10044</v>
          </cell>
        </row>
        <row r="1758">
          <cell r="A1758">
            <v>10045</v>
          </cell>
        </row>
        <row r="1759">
          <cell r="A1759">
            <v>10046</v>
          </cell>
        </row>
        <row r="1760">
          <cell r="A1760">
            <v>10047</v>
          </cell>
        </row>
        <row r="1761">
          <cell r="A1761">
            <v>10048</v>
          </cell>
        </row>
        <row r="1762">
          <cell r="A1762">
            <v>10049</v>
          </cell>
        </row>
        <row r="1763">
          <cell r="A1763">
            <v>10050</v>
          </cell>
        </row>
        <row r="1764">
          <cell r="A1764">
            <v>10051</v>
          </cell>
        </row>
        <row r="1765">
          <cell r="A1765">
            <v>10052</v>
          </cell>
        </row>
        <row r="1766">
          <cell r="A1766">
            <v>10053</v>
          </cell>
        </row>
        <row r="1767">
          <cell r="A1767">
            <v>10054</v>
          </cell>
        </row>
        <row r="1768">
          <cell r="A1768">
            <v>10055</v>
          </cell>
        </row>
        <row r="1769">
          <cell r="A1769">
            <v>10056</v>
          </cell>
        </row>
        <row r="1770">
          <cell r="A1770">
            <v>10057</v>
          </cell>
        </row>
        <row r="1771">
          <cell r="A1771">
            <v>10058</v>
          </cell>
        </row>
        <row r="1772">
          <cell r="A1772">
            <v>10059</v>
          </cell>
        </row>
        <row r="1773">
          <cell r="A1773">
            <v>10060</v>
          </cell>
        </row>
        <row r="1774">
          <cell r="A1774">
            <v>10061</v>
          </cell>
        </row>
        <row r="1775">
          <cell r="A1775">
            <v>10062</v>
          </cell>
        </row>
        <row r="1776">
          <cell r="A1776">
            <v>10063</v>
          </cell>
        </row>
        <row r="1777">
          <cell r="A1777">
            <v>10064</v>
          </cell>
        </row>
        <row r="1778">
          <cell r="A1778">
            <v>10065</v>
          </cell>
        </row>
        <row r="1779">
          <cell r="A1779">
            <v>10066</v>
          </cell>
        </row>
        <row r="1780">
          <cell r="A1780">
            <v>10067</v>
          </cell>
        </row>
        <row r="1781">
          <cell r="A1781">
            <v>10068</v>
          </cell>
        </row>
        <row r="1782">
          <cell r="A1782">
            <v>10069</v>
          </cell>
        </row>
        <row r="1783">
          <cell r="A1783">
            <v>10070</v>
          </cell>
        </row>
        <row r="1784">
          <cell r="A1784">
            <v>10071</v>
          </cell>
        </row>
        <row r="1785">
          <cell r="A1785">
            <v>10072</v>
          </cell>
        </row>
        <row r="1786">
          <cell r="A1786">
            <v>10073</v>
          </cell>
        </row>
        <row r="1787">
          <cell r="A1787">
            <v>10074</v>
          </cell>
        </row>
        <row r="1788">
          <cell r="A1788">
            <v>10075</v>
          </cell>
        </row>
        <row r="1789">
          <cell r="A1789">
            <v>10076</v>
          </cell>
        </row>
        <row r="1790">
          <cell r="A1790">
            <v>10077</v>
          </cell>
        </row>
        <row r="1791">
          <cell r="A1791">
            <v>10078</v>
          </cell>
        </row>
        <row r="1792">
          <cell r="A1792">
            <v>10079</v>
          </cell>
        </row>
        <row r="1793">
          <cell r="A1793">
            <v>10080</v>
          </cell>
        </row>
        <row r="1794">
          <cell r="A1794">
            <v>10081</v>
          </cell>
        </row>
        <row r="1795">
          <cell r="A1795">
            <v>10082</v>
          </cell>
        </row>
        <row r="1796">
          <cell r="A1796">
            <v>10083</v>
          </cell>
        </row>
        <row r="1797">
          <cell r="A1797">
            <v>10084</v>
          </cell>
        </row>
        <row r="1798">
          <cell r="A1798">
            <v>10085</v>
          </cell>
        </row>
        <row r="1799">
          <cell r="A1799">
            <v>10086</v>
          </cell>
        </row>
        <row r="1800">
          <cell r="A1800">
            <v>10087</v>
          </cell>
        </row>
        <row r="1801">
          <cell r="A1801">
            <v>10088</v>
          </cell>
        </row>
        <row r="1802">
          <cell r="A1802">
            <v>10089</v>
          </cell>
        </row>
        <row r="1803">
          <cell r="A1803">
            <v>10090</v>
          </cell>
        </row>
        <row r="1804">
          <cell r="A1804">
            <v>10101</v>
          </cell>
        </row>
        <row r="1805">
          <cell r="A1805">
            <v>10102</v>
          </cell>
        </row>
        <row r="1806">
          <cell r="A1806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  <row r="483">
          <cell r="B483">
            <v>560001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A13" sqref="A13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48" t="s">
        <v>105</v>
      </c>
      <c r="B1" s="43" t="s">
        <v>78</v>
      </c>
      <c r="C1" s="43" t="s">
        <v>79</v>
      </c>
      <c r="D1" s="43" t="s">
        <v>80</v>
      </c>
      <c r="E1" s="43" t="s">
        <v>81</v>
      </c>
      <c r="F1" s="43" t="s">
        <v>82</v>
      </c>
      <c r="G1" s="43" t="s">
        <v>83</v>
      </c>
      <c r="H1" s="43"/>
      <c r="I1" s="43"/>
      <c r="J1" s="43"/>
      <c r="K1" s="43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  <c r="AD1" s="44"/>
    </row>
    <row r="2" spans="1:30" x14ac:dyDescent="0.15">
      <c r="A2" s="49" t="s">
        <v>278</v>
      </c>
      <c r="B2" s="45" t="s">
        <v>84</v>
      </c>
      <c r="C2" s="50">
        <v>48014</v>
      </c>
      <c r="D2" s="45" t="s">
        <v>85</v>
      </c>
      <c r="E2" s="44" t="str">
        <f>B2&amp;C2&amp;D2</f>
        <v>floors_48014.tmp</v>
      </c>
      <c r="F2" s="45" t="s">
        <v>86</v>
      </c>
      <c r="G2" s="46" t="s">
        <v>0</v>
      </c>
      <c r="H2" s="46" t="s">
        <v>1</v>
      </c>
      <c r="I2" s="46" t="s">
        <v>12</v>
      </c>
      <c r="J2" s="46" t="s">
        <v>13</v>
      </c>
      <c r="K2" s="46" t="s">
        <v>14</v>
      </c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</row>
    <row r="3" spans="1:30" x14ac:dyDescent="0.15">
      <c r="A3" s="49" t="s">
        <v>278</v>
      </c>
      <c r="B3" s="45" t="s">
        <v>87</v>
      </c>
      <c r="C3" s="50">
        <v>48014</v>
      </c>
      <c r="D3" s="45" t="s">
        <v>85</v>
      </c>
      <c r="E3" s="44" t="str">
        <f>B3&amp;C3&amp;D3</f>
        <v>enemy_habitats_48014.tmp</v>
      </c>
      <c r="F3" s="45" t="s">
        <v>88</v>
      </c>
      <c r="G3" s="46" t="s">
        <v>0</v>
      </c>
      <c r="H3" s="46" t="s">
        <v>1</v>
      </c>
      <c r="I3" s="46" t="s">
        <v>12</v>
      </c>
      <c r="J3" s="46" t="s">
        <v>2</v>
      </c>
      <c r="K3" s="46" t="s">
        <v>3</v>
      </c>
      <c r="L3" s="46" t="s">
        <v>35</v>
      </c>
      <c r="M3" s="46" t="s">
        <v>37</v>
      </c>
      <c r="N3" s="46" t="s">
        <v>39</v>
      </c>
      <c r="O3" s="46" t="s">
        <v>17</v>
      </c>
      <c r="P3" s="46" t="s">
        <v>4</v>
      </c>
      <c r="Q3" s="46" t="s">
        <v>5</v>
      </c>
      <c r="R3" s="46" t="s">
        <v>6</v>
      </c>
      <c r="S3" s="46" t="s">
        <v>7</v>
      </c>
      <c r="T3" s="46" t="s">
        <v>8</v>
      </c>
      <c r="U3" s="46" t="s">
        <v>9</v>
      </c>
      <c r="V3" s="46" t="s">
        <v>10</v>
      </c>
      <c r="W3" s="46" t="s">
        <v>11</v>
      </c>
      <c r="X3" s="46" t="s">
        <v>26</v>
      </c>
      <c r="Y3" s="46" t="s">
        <v>28</v>
      </c>
      <c r="Z3" s="46" t="s">
        <v>30</v>
      </c>
      <c r="AA3" s="46" t="s">
        <v>32</v>
      </c>
      <c r="AB3" s="46" t="s">
        <v>34</v>
      </c>
      <c r="AC3" s="46" t="s">
        <v>42</v>
      </c>
      <c r="AD3" s="46" t="s">
        <v>149</v>
      </c>
    </row>
    <row r="4" spans="1:30" x14ac:dyDescent="0.15">
      <c r="A4" s="49" t="s">
        <v>278</v>
      </c>
      <c r="B4" s="45" t="s">
        <v>89</v>
      </c>
      <c r="C4" s="50">
        <v>48014</v>
      </c>
      <c r="D4" s="45" t="s">
        <v>85</v>
      </c>
      <c r="E4" s="44" t="str">
        <f>B4&amp;C4&amp;D4</f>
        <v>enemy_habitat_S_48014.tmp</v>
      </c>
      <c r="F4" s="45" t="s">
        <v>90</v>
      </c>
      <c r="G4" s="46" t="s">
        <v>0</v>
      </c>
      <c r="H4" s="46" t="s">
        <v>1</v>
      </c>
      <c r="I4" s="46" t="s">
        <v>12</v>
      </c>
      <c r="J4" s="46" t="s">
        <v>42</v>
      </c>
      <c r="K4" s="46" t="s">
        <v>43</v>
      </c>
      <c r="L4" s="46" t="s">
        <v>44</v>
      </c>
      <c r="M4" s="46" t="s">
        <v>45</v>
      </c>
      <c r="N4" s="46" t="s">
        <v>46</v>
      </c>
      <c r="O4" s="46" t="s">
        <v>47</v>
      </c>
      <c r="P4" s="46" t="s">
        <v>36</v>
      </c>
      <c r="Q4" s="46" t="s">
        <v>38</v>
      </c>
      <c r="R4" s="46" t="s">
        <v>40</v>
      </c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</row>
    <row r="5" spans="1:30" x14ac:dyDescent="0.15">
      <c r="A5" s="49" t="s">
        <v>278</v>
      </c>
      <c r="B5" s="45" t="s">
        <v>91</v>
      </c>
      <c r="C5" s="50">
        <v>48014</v>
      </c>
      <c r="D5" s="45" t="s">
        <v>85</v>
      </c>
      <c r="E5" s="44" t="str">
        <f>B5&amp;C5&amp;D5</f>
        <v>enemy_skill_sets_48014.tmp</v>
      </c>
      <c r="F5" s="45" t="s">
        <v>92</v>
      </c>
      <c r="G5" s="47" t="s">
        <v>17</v>
      </c>
      <c r="H5" s="47" t="s">
        <v>77</v>
      </c>
      <c r="I5" s="47" t="s">
        <v>72</v>
      </c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</row>
    <row r="6" spans="1:30" x14ac:dyDescent="0.15">
      <c r="A6" s="49" t="s">
        <v>278</v>
      </c>
      <c r="B6" s="45" t="s">
        <v>93</v>
      </c>
      <c r="C6" s="50">
        <v>48014</v>
      </c>
      <c r="D6" s="45" t="s">
        <v>94</v>
      </c>
      <c r="E6" s="44" t="str">
        <f t="shared" ref="E6:E10" si="0">B6&amp;C6&amp;D6</f>
        <v>enemy_skills_tmp_48014.tmp</v>
      </c>
      <c r="F6" s="45" t="s">
        <v>68</v>
      </c>
      <c r="G6" s="46" t="s">
        <v>64</v>
      </c>
      <c r="H6" s="46" t="s">
        <v>65</v>
      </c>
      <c r="I6" s="46" t="s">
        <v>66</v>
      </c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</row>
    <row r="7" spans="1:30" x14ac:dyDescent="0.15">
      <c r="A7" s="49" t="s">
        <v>278</v>
      </c>
      <c r="B7" s="45" t="s">
        <v>95</v>
      </c>
      <c r="C7" s="50">
        <v>48014</v>
      </c>
      <c r="D7" s="45" t="s">
        <v>85</v>
      </c>
      <c r="E7" s="44" t="str">
        <f>B7&amp;C7&amp;D7</f>
        <v>enemy_skills_i18n_48014.tmp</v>
      </c>
      <c r="F7" s="45" t="s">
        <v>96</v>
      </c>
      <c r="G7" s="46" t="s">
        <v>64</v>
      </c>
      <c r="H7" s="46" t="s">
        <v>69</v>
      </c>
      <c r="I7" s="46" t="s">
        <v>70</v>
      </c>
      <c r="J7" s="46" t="s">
        <v>71</v>
      </c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</row>
    <row r="8" spans="1:30" x14ac:dyDescent="0.15">
      <c r="A8" s="49" t="s">
        <v>278</v>
      </c>
      <c r="B8" s="45" t="s">
        <v>97</v>
      </c>
      <c r="C8" s="50">
        <v>48014</v>
      </c>
      <c r="D8" s="45" t="s">
        <v>98</v>
      </c>
      <c r="E8" s="44" t="str">
        <f t="shared" si="0"/>
        <v>enemy_skill_triggers_48014.tmp</v>
      </c>
      <c r="F8" s="45" t="s">
        <v>99</v>
      </c>
      <c r="G8" s="46" t="s">
        <v>72</v>
      </c>
      <c r="H8" s="46" t="s">
        <v>73</v>
      </c>
      <c r="I8" s="46" t="s">
        <v>74</v>
      </c>
      <c r="J8" s="46" t="s">
        <v>75</v>
      </c>
      <c r="K8" s="46" t="s">
        <v>100</v>
      </c>
      <c r="L8" s="46" t="s">
        <v>76</v>
      </c>
      <c r="M8" s="46" t="s">
        <v>101</v>
      </c>
      <c r="N8" s="46" t="s">
        <v>102</v>
      </c>
      <c r="O8" s="46" t="s">
        <v>103</v>
      </c>
      <c r="P8" s="46" t="s">
        <v>55</v>
      </c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</row>
    <row r="9" spans="1:30" x14ac:dyDescent="0.15">
      <c r="A9" s="49" t="s">
        <v>278</v>
      </c>
      <c r="B9" s="55" t="s">
        <v>148</v>
      </c>
      <c r="C9" s="50">
        <v>48014</v>
      </c>
      <c r="D9" s="55" t="s">
        <v>142</v>
      </c>
      <c r="E9" s="56" t="str">
        <f t="shared" si="0"/>
        <v>stage_bug_bonuses_48014.tmp</v>
      </c>
      <c r="F9" s="55" t="s">
        <v>143</v>
      </c>
      <c r="G9" s="52" t="s">
        <v>125</v>
      </c>
      <c r="H9" s="52" t="s">
        <v>144</v>
      </c>
      <c r="I9" s="52" t="s">
        <v>145</v>
      </c>
      <c r="J9" s="54" t="s">
        <v>146</v>
      </c>
      <c r="K9" s="52" t="s">
        <v>147</v>
      </c>
      <c r="L9" s="52" t="s">
        <v>130</v>
      </c>
      <c r="M9" s="52" t="s">
        <v>131</v>
      </c>
      <c r="N9" s="52" t="s">
        <v>132</v>
      </c>
      <c r="O9" s="52" t="s">
        <v>133</v>
      </c>
      <c r="P9" s="52" t="s">
        <v>134</v>
      </c>
      <c r="Q9" s="52" t="s">
        <v>135</v>
      </c>
      <c r="R9" s="52" t="s">
        <v>136</v>
      </c>
      <c r="S9" s="52" t="s">
        <v>137</v>
      </c>
      <c r="T9" s="52" t="s">
        <v>138</v>
      </c>
      <c r="U9" s="52" t="s">
        <v>139</v>
      </c>
      <c r="V9" s="52" t="s">
        <v>140</v>
      </c>
      <c r="W9" s="52" t="s">
        <v>141</v>
      </c>
      <c r="X9" s="45"/>
      <c r="Y9" s="45"/>
      <c r="Z9" s="45"/>
      <c r="AA9" s="45"/>
      <c r="AB9" s="45"/>
      <c r="AC9" s="45"/>
      <c r="AD9" s="45"/>
    </row>
    <row r="10" spans="1:30" s="63" customFormat="1" x14ac:dyDescent="0.15">
      <c r="A10" s="49" t="s">
        <v>278</v>
      </c>
      <c r="B10" s="55" t="s">
        <v>160</v>
      </c>
      <c r="C10" s="50">
        <v>48014</v>
      </c>
      <c r="D10" s="55" t="s">
        <v>150</v>
      </c>
      <c r="E10" s="56" t="str">
        <f t="shared" si="0"/>
        <v>stage_hints_data_c_48014.tmp</v>
      </c>
      <c r="F10" s="55" t="s">
        <v>168</v>
      </c>
      <c r="G10" s="61" t="s">
        <v>151</v>
      </c>
      <c r="H10" s="61" t="s">
        <v>144</v>
      </c>
      <c r="I10" s="62" t="s">
        <v>152</v>
      </c>
      <c r="J10" s="54" t="s">
        <v>153</v>
      </c>
      <c r="K10" s="54" t="s">
        <v>154</v>
      </c>
      <c r="L10" s="88"/>
      <c r="M10" s="88"/>
      <c r="N10" s="88"/>
      <c r="O10" s="88"/>
      <c r="P10" s="88"/>
      <c r="Q10" s="88"/>
      <c r="R10" s="88"/>
      <c r="S10" s="88"/>
      <c r="T10" s="88"/>
      <c r="U10" s="88"/>
      <c r="V10" s="88"/>
      <c r="W10" s="88"/>
      <c r="X10" s="88"/>
      <c r="Y10" s="88"/>
      <c r="Z10" s="88"/>
      <c r="AA10" s="88"/>
      <c r="AB10" s="88"/>
      <c r="AC10" s="88"/>
      <c r="AD10" s="88"/>
    </row>
    <row r="11" spans="1:30" s="63" customFormat="1" x14ac:dyDescent="0.15">
      <c r="A11" s="49" t="s">
        <v>278</v>
      </c>
      <c r="B11" s="55" t="s">
        <v>161</v>
      </c>
      <c r="C11" s="50">
        <v>48014</v>
      </c>
      <c r="D11" s="55" t="s">
        <v>142</v>
      </c>
      <c r="E11" s="56" t="str">
        <f t="shared" ref="E11:E13" si="1">B11&amp;C11&amp;D11</f>
        <v>stage_hints_data_f_48014.tmp</v>
      </c>
      <c r="F11" s="55" t="s">
        <v>169</v>
      </c>
      <c r="G11" s="61" t="s">
        <v>151</v>
      </c>
      <c r="H11" s="61" t="s">
        <v>144</v>
      </c>
      <c r="I11" s="62" t="s">
        <v>152</v>
      </c>
      <c r="J11" s="54" t="s">
        <v>153</v>
      </c>
      <c r="K11" s="54" t="s">
        <v>154</v>
      </c>
      <c r="L11" s="88"/>
      <c r="M11" s="88"/>
      <c r="N11" s="88"/>
      <c r="O11" s="88"/>
      <c r="P11" s="88"/>
      <c r="Q11" s="88"/>
      <c r="R11" s="88"/>
      <c r="S11" s="88"/>
      <c r="T11" s="88"/>
      <c r="U11" s="88"/>
      <c r="V11" s="88"/>
      <c r="W11" s="88"/>
      <c r="X11" s="88"/>
      <c r="Y11" s="88"/>
      <c r="Z11" s="88"/>
      <c r="AA11" s="88"/>
      <c r="AB11" s="88"/>
      <c r="AC11" s="88"/>
      <c r="AD11" s="88"/>
    </row>
    <row r="12" spans="1:30" s="63" customFormat="1" x14ac:dyDescent="0.15">
      <c r="A12" s="49" t="s">
        <v>278</v>
      </c>
      <c r="B12" s="55" t="s">
        <v>162</v>
      </c>
      <c r="C12" s="50">
        <v>48014</v>
      </c>
      <c r="D12" s="55" t="s">
        <v>142</v>
      </c>
      <c r="E12" s="56" t="str">
        <f t="shared" si="1"/>
        <v>stage_hints_i18n_48014.tmp</v>
      </c>
      <c r="F12" s="55" t="s">
        <v>170</v>
      </c>
      <c r="G12" s="62" t="s">
        <v>163</v>
      </c>
      <c r="H12" s="81" t="s">
        <v>164</v>
      </c>
      <c r="I12" s="61" t="s">
        <v>165</v>
      </c>
      <c r="J12" s="89" t="s">
        <v>166</v>
      </c>
      <c r="K12" s="54" t="s">
        <v>167</v>
      </c>
      <c r="L12" s="88"/>
      <c r="M12" s="88"/>
      <c r="N12" s="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</row>
    <row r="13" spans="1:30" s="63" customFormat="1" x14ac:dyDescent="0.15">
      <c r="A13" s="49" t="s">
        <v>278</v>
      </c>
      <c r="B13" s="55" t="s">
        <v>194</v>
      </c>
      <c r="C13" s="50">
        <v>48014</v>
      </c>
      <c r="D13" s="55" t="s">
        <v>175</v>
      </c>
      <c r="E13" s="56" t="str">
        <f t="shared" si="1"/>
        <v>stage_bonuses_48014.tmp</v>
      </c>
      <c r="F13" s="55" t="s">
        <v>174</v>
      </c>
      <c r="G13" s="61" t="s">
        <v>176</v>
      </c>
      <c r="H13" s="61" t="s">
        <v>177</v>
      </c>
      <c r="I13" s="61" t="s">
        <v>178</v>
      </c>
      <c r="J13" s="61" t="s">
        <v>179</v>
      </c>
      <c r="K13" s="61" t="s">
        <v>180</v>
      </c>
      <c r="L13" s="61" t="s">
        <v>181</v>
      </c>
      <c r="M13" s="61" t="s">
        <v>182</v>
      </c>
      <c r="N13" s="61" t="s">
        <v>183</v>
      </c>
      <c r="O13" s="61" t="s">
        <v>184</v>
      </c>
      <c r="P13" s="61" t="s">
        <v>185</v>
      </c>
      <c r="Q13" s="61" t="s">
        <v>186</v>
      </c>
      <c r="R13" s="61" t="s">
        <v>187</v>
      </c>
      <c r="S13" s="61" t="s">
        <v>188</v>
      </c>
      <c r="T13" s="61" t="s">
        <v>189</v>
      </c>
      <c r="U13" s="61" t="s">
        <v>190</v>
      </c>
      <c r="V13" s="61" t="s">
        <v>191</v>
      </c>
      <c r="W13" s="61" t="s">
        <v>192</v>
      </c>
      <c r="X13" s="61" t="s">
        <v>193</v>
      </c>
      <c r="Y13" s="88"/>
      <c r="Z13" s="88"/>
      <c r="AA13" s="88"/>
      <c r="AB13" s="88"/>
      <c r="AC13" s="88"/>
      <c r="AD13" s="88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9"/>
  <sheetViews>
    <sheetView showGridLines="0" workbookViewId="0">
      <pane ySplit="1" topLeftCell="A2" activePane="bottomLeft" state="frozen"/>
      <selection activeCell="V2" sqref="V2:X34"/>
      <selection pane="bottomLeft" activeCell="H8" sqref="H8"/>
    </sheetView>
  </sheetViews>
  <sheetFormatPr baseColWidth="12" defaultColWidth="13" defaultRowHeight="21" customHeight="1" outlineLevelCol="1" x14ac:dyDescent="0.15"/>
  <cols>
    <col min="1" max="1" width="8.83203125" style="14" bestFit="1" customWidth="1"/>
    <col min="2" max="2" width="5" style="14" bestFit="1" customWidth="1"/>
    <col min="3" max="3" width="7.1640625" style="1" bestFit="1" customWidth="1"/>
    <col min="4" max="5" width="10.33203125" style="1" customWidth="1" outlineLevel="1"/>
    <col min="6" max="6" width="7" style="1" bestFit="1" customWidth="1"/>
    <col min="7" max="7" width="8.83203125" style="14" customWidth="1" outlineLevel="1"/>
    <col min="8" max="8" width="16.1640625" style="1" customWidth="1" outlineLevel="1"/>
    <col min="9" max="9" width="6.5" style="1" bestFit="1" customWidth="1"/>
    <col min="10" max="10" width="11" style="1" bestFit="1" customWidth="1"/>
    <col min="11" max="11" width="11.33203125" style="1" bestFit="1" customWidth="1"/>
    <col min="12" max="16384" width="13" style="1"/>
  </cols>
  <sheetData>
    <row r="1" spans="1:11" ht="21" customHeight="1" x14ac:dyDescent="0.15">
      <c r="A1" s="11" t="s">
        <v>23</v>
      </c>
      <c r="B1" s="11" t="s">
        <v>198</v>
      </c>
      <c r="C1" s="93" t="s">
        <v>0</v>
      </c>
      <c r="D1" s="10" t="s">
        <v>15</v>
      </c>
      <c r="E1" s="10" t="s">
        <v>25</v>
      </c>
      <c r="F1" s="93" t="s">
        <v>1</v>
      </c>
      <c r="G1" s="15" t="s">
        <v>22</v>
      </c>
      <c r="H1" s="10" t="s">
        <v>15</v>
      </c>
      <c r="I1" s="93" t="s">
        <v>12</v>
      </c>
      <c r="J1" s="93" t="s">
        <v>13</v>
      </c>
      <c r="K1" s="93" t="s">
        <v>14</v>
      </c>
    </row>
    <row r="2" spans="1:11" ht="21" customHeight="1" x14ac:dyDescent="0.15">
      <c r="A2" s="11" t="str">
        <f>G2&amp;"-"&amp;I2</f>
        <v>48014_1-1</v>
      </c>
      <c r="B2" s="11" t="str">
        <f>IF(COUNTIF(enemy_habitats!$H:$H,A2),"OK","NG")</f>
        <v>OK</v>
      </c>
      <c r="C2" s="94">
        <v>48014</v>
      </c>
      <c r="D2" s="13" t="str">
        <f ca="1">VLOOKUP($C2,OFFSET([2]quests!$A$1,0,0,COUNTA([2]quests!$A:$A),MATCH(D$1,[2]quests!$1:$1,0)-MATCH($C$1,[2]quests!$1:$1,0)+1),MATCH(D$1,[2]quests!$1:$1,0)-MATCH($C$1,[2]quests!$1:$1,0)+1,FALSE)</f>
        <v>藍采和襲来！</v>
      </c>
      <c r="E2" s="13" t="str">
        <f ca="1">VLOOKUP($C2,OFFSET([2]quests!$A$1,0,0,COUNTA([2]quests!$A:$A),MATCH(E$1,[2]quests!$1:$1,0)-MATCH($C$1,[2]quests!$1:$1,0)+1),MATCH(E$1,[2]quests!$1:$1,0)-MATCH($C$1,[2]quests!$1:$1,0)+1,FALSE)</f>
        <v>台湾版降臨10</v>
      </c>
      <c r="F2" s="95">
        <v>1</v>
      </c>
      <c r="G2" s="15" t="str">
        <f>C2&amp;"_"&amp;F2</f>
        <v>48014_1</v>
      </c>
      <c r="H2" s="10" t="str">
        <f ca="1">VLOOKUP($G2,OFFSET([2]stages!$A$1,0,0,COUNTA([2]stages!$A:$A),MATCH(H$1,[2]stages!$2:$2,0)-MATCH($G$1,[2]stages!$2:$2,0)+1),MATCH(H$1,[2]stages!$2:$2,0)-MATCH($G$1,[2]stages!$2:$2,0)+1,FALSE)</f>
        <v>【超絶級】藍采和襲来</v>
      </c>
      <c r="I2" s="95">
        <v>1</v>
      </c>
      <c r="J2" s="26">
        <v>60</v>
      </c>
      <c r="K2" s="26">
        <v>60</v>
      </c>
    </row>
    <row r="3" spans="1:11" ht="21" customHeight="1" x14ac:dyDescent="0.15">
      <c r="A3" s="11" t="str">
        <f t="shared" ref="A3:A5" si="0">G3&amp;"-"&amp;I3</f>
        <v>48014_1-2</v>
      </c>
      <c r="B3" s="11" t="str">
        <f>IF(COUNTIF(enemy_habitats!$H:$H,A3),"OK","NG")</f>
        <v>OK</v>
      </c>
      <c r="C3" s="94">
        <v>48014</v>
      </c>
      <c r="D3" s="13" t="str">
        <f ca="1">VLOOKUP($C3,OFFSET([2]quests!$A$1,0,0,COUNTA([2]quests!$A:$A),MATCH(D$1,[2]quests!$1:$1,0)-MATCH($C$1,[2]quests!$1:$1,0)+1),MATCH(D$1,[2]quests!$1:$1,0)-MATCH($C$1,[2]quests!$1:$1,0)+1,FALSE)</f>
        <v>藍采和襲来！</v>
      </c>
      <c r="E3" s="13" t="str">
        <f ca="1">VLOOKUP($C3,OFFSET([2]quests!$A$1,0,0,COUNTA([2]quests!$A:$A),MATCH(E$1,[2]quests!$1:$1,0)-MATCH($C$1,[2]quests!$1:$1,0)+1),MATCH(E$1,[2]quests!$1:$1,0)-MATCH($C$1,[2]quests!$1:$1,0)+1,FALSE)</f>
        <v>台湾版降臨10</v>
      </c>
      <c r="F3" s="95">
        <v>1</v>
      </c>
      <c r="G3" s="15" t="str">
        <f t="shared" ref="G3:G5" si="1">C3&amp;"_"&amp;F3</f>
        <v>48014_1</v>
      </c>
      <c r="H3" s="10" t="str">
        <f ca="1">VLOOKUP($G3,OFFSET([2]stages!$A$1,0,0,COUNTA([2]stages!$A:$A),MATCH(H$1,[2]stages!$2:$2,0)-MATCH($G$1,[2]stages!$2:$2,0)+1),MATCH(H$1,[2]stages!$2:$2,0)-MATCH($G$1,[2]stages!$2:$2,0)+1,FALSE)</f>
        <v>【超絶級】藍采和襲来</v>
      </c>
      <c r="I3" s="95">
        <v>2</v>
      </c>
      <c r="J3" s="26">
        <v>60</v>
      </c>
      <c r="K3" s="26">
        <v>60</v>
      </c>
    </row>
    <row r="4" spans="1:11" ht="21" customHeight="1" x14ac:dyDescent="0.15">
      <c r="A4" s="11" t="str">
        <f t="shared" si="0"/>
        <v>48014_1-3</v>
      </c>
      <c r="B4" s="11" t="str">
        <f>IF(COUNTIF(enemy_habitats!$H:$H,A4),"OK","NG")</f>
        <v>OK</v>
      </c>
      <c r="C4" s="94">
        <v>48014</v>
      </c>
      <c r="D4" s="13" t="str">
        <f ca="1">VLOOKUP($C4,OFFSET([2]quests!$A$1,0,0,COUNTA([2]quests!$A:$A),MATCH(D$1,[2]quests!$1:$1,0)-MATCH($C$1,[2]quests!$1:$1,0)+1),MATCH(D$1,[2]quests!$1:$1,0)-MATCH($C$1,[2]quests!$1:$1,0)+1,FALSE)</f>
        <v>藍采和襲来！</v>
      </c>
      <c r="E4" s="13" t="str">
        <f ca="1">VLOOKUP($C4,OFFSET([2]quests!$A$1,0,0,COUNTA([2]quests!$A:$A),MATCH(E$1,[2]quests!$1:$1,0)-MATCH($C$1,[2]quests!$1:$1,0)+1),MATCH(E$1,[2]quests!$1:$1,0)-MATCH($C$1,[2]quests!$1:$1,0)+1,FALSE)</f>
        <v>台湾版降臨10</v>
      </c>
      <c r="F4" s="95">
        <v>1</v>
      </c>
      <c r="G4" s="15" t="str">
        <f t="shared" si="1"/>
        <v>48014_1</v>
      </c>
      <c r="H4" s="10" t="str">
        <f ca="1">VLOOKUP($G4,OFFSET([2]stages!$A$1,0,0,COUNTA([2]stages!$A:$A),MATCH(H$1,[2]stages!$2:$2,0)-MATCH($G$1,[2]stages!$2:$2,0)+1),MATCH(H$1,[2]stages!$2:$2,0)-MATCH($G$1,[2]stages!$2:$2,0)+1,FALSE)</f>
        <v>【超絶級】藍采和襲来</v>
      </c>
      <c r="I4" s="95">
        <v>3</v>
      </c>
      <c r="J4" s="26">
        <v>60</v>
      </c>
      <c r="K4" s="26">
        <v>60</v>
      </c>
    </row>
    <row r="5" spans="1:11" ht="21" customHeight="1" thickBot="1" x14ac:dyDescent="0.2">
      <c r="A5" s="11" t="str">
        <f t="shared" si="0"/>
        <v>48014_1-4</v>
      </c>
      <c r="B5" s="106" t="str">
        <f>IF(COUNTIF(enemy_habitats!$H:$H,A5),"OK","NG")</f>
        <v>OK</v>
      </c>
      <c r="C5" s="107">
        <v>48014</v>
      </c>
      <c r="D5" s="108" t="str">
        <f ca="1">VLOOKUP($C5,OFFSET([2]quests!$A$1,0,0,COUNTA([2]quests!$A:$A),MATCH(D$1,[2]quests!$1:$1,0)-MATCH($C$1,[2]quests!$1:$1,0)+1),MATCH(D$1,[2]quests!$1:$1,0)-MATCH($C$1,[2]quests!$1:$1,0)+1,FALSE)</f>
        <v>藍采和襲来！</v>
      </c>
      <c r="E5" s="108" t="str">
        <f ca="1">VLOOKUP($C5,OFFSET([2]quests!$A$1,0,0,COUNTA([2]quests!$A:$A),MATCH(E$1,[2]quests!$1:$1,0)-MATCH($C$1,[2]quests!$1:$1,0)+1),MATCH(E$1,[2]quests!$1:$1,0)-MATCH($C$1,[2]quests!$1:$1,0)+1,FALSE)</f>
        <v>台湾版降臨10</v>
      </c>
      <c r="F5" s="109">
        <v>1</v>
      </c>
      <c r="G5" s="110" t="str">
        <f t="shared" si="1"/>
        <v>48014_1</v>
      </c>
      <c r="H5" s="111" t="str">
        <f ca="1">VLOOKUP($G5,OFFSET([2]stages!$A$1,0,0,COUNTA([2]stages!$A:$A),MATCH(H$1,[2]stages!$2:$2,0)-MATCH($G$1,[2]stages!$2:$2,0)+1),MATCH(H$1,[2]stages!$2:$2,0)-MATCH($G$1,[2]stages!$2:$2,0)+1,FALSE)</f>
        <v>【超絶級】藍采和襲来</v>
      </c>
      <c r="I5" s="109">
        <v>4</v>
      </c>
      <c r="J5" s="112">
        <v>60</v>
      </c>
      <c r="K5" s="112">
        <v>60</v>
      </c>
    </row>
    <row r="6" spans="1:11" ht="21" customHeight="1" x14ac:dyDescent="0.15">
      <c r="A6" s="11" t="str">
        <f>G6&amp;"-"&amp;I6</f>
        <v>48014_2-1</v>
      </c>
      <c r="B6" s="11" t="str">
        <f>IF(COUNTIF(enemy_habitats!$H:$H,A6),"OK","NG")</f>
        <v>OK</v>
      </c>
      <c r="C6" s="100">
        <v>48014</v>
      </c>
      <c r="D6" s="101" t="str">
        <f ca="1">VLOOKUP($C6,OFFSET([2]quests!$A$1,0,0,COUNTA([2]quests!$A:$A),MATCH(D$1,[2]quests!$1:$1,0)-MATCH($C$1,[2]quests!$1:$1,0)+1),MATCH(D$1,[2]quests!$1:$1,0)-MATCH($C$1,[2]quests!$1:$1,0)+1,FALSE)</f>
        <v>藍采和襲来！</v>
      </c>
      <c r="E6" s="101" t="str">
        <f ca="1">VLOOKUP($C6,OFFSET([2]quests!$A$1,0,0,COUNTA([2]quests!$A:$A),MATCH(E$1,[2]quests!$1:$1,0)-MATCH($C$1,[2]quests!$1:$1,0)+1),MATCH(E$1,[2]quests!$1:$1,0)-MATCH($C$1,[2]quests!$1:$1,0)+1,FALSE)</f>
        <v>台湾版降臨10</v>
      </c>
      <c r="F6" s="102">
        <v>2</v>
      </c>
      <c r="G6" s="103" t="str">
        <f>C6&amp;"_"&amp;F6</f>
        <v>48014_2</v>
      </c>
      <c r="H6" s="104" t="str">
        <f ca="1">VLOOKUP($G6,OFFSET([2]stages!$A$1,0,0,COUNTA([2]stages!$A:$A),MATCH(H$1,[2]stages!$2:$2,0)-MATCH($G$1,[2]stages!$2:$2,0)+1),MATCH(H$1,[2]stages!$2:$2,0)-MATCH($G$1,[2]stages!$2:$2,0)+1,FALSE)</f>
        <v>【ウィザード級】藍采和襲来</v>
      </c>
      <c r="I6" s="102">
        <v>1</v>
      </c>
      <c r="J6" s="105">
        <v>60</v>
      </c>
      <c r="K6" s="105">
        <v>60</v>
      </c>
    </row>
    <row r="7" spans="1:11" ht="21" customHeight="1" x14ac:dyDescent="0.15">
      <c r="A7" s="11" t="str">
        <f t="shared" ref="A7:A9" si="2">G7&amp;"-"&amp;I7</f>
        <v>48014_2-2</v>
      </c>
      <c r="B7" s="11" t="str">
        <f>IF(COUNTIF(enemy_habitats!$H:$H,A7),"OK","NG")</f>
        <v>OK</v>
      </c>
      <c r="C7" s="94">
        <v>48014</v>
      </c>
      <c r="D7" s="13" t="str">
        <f ca="1">VLOOKUP($C7,OFFSET([2]quests!$A$1,0,0,COUNTA([2]quests!$A:$A),MATCH(D$1,[2]quests!$1:$1,0)-MATCH($C$1,[2]quests!$1:$1,0)+1),MATCH(D$1,[2]quests!$1:$1,0)-MATCH($C$1,[2]quests!$1:$1,0)+1,FALSE)</f>
        <v>藍采和襲来！</v>
      </c>
      <c r="E7" s="13" t="str">
        <f ca="1">VLOOKUP($C7,OFFSET([2]quests!$A$1,0,0,COUNTA([2]quests!$A:$A),MATCH(E$1,[2]quests!$1:$1,0)-MATCH($C$1,[2]quests!$1:$1,0)+1),MATCH(E$1,[2]quests!$1:$1,0)-MATCH($C$1,[2]quests!$1:$1,0)+1,FALSE)</f>
        <v>台湾版降臨10</v>
      </c>
      <c r="F7" s="95">
        <v>2</v>
      </c>
      <c r="G7" s="15" t="str">
        <f t="shared" ref="G7:G9" si="3">C7&amp;"_"&amp;F7</f>
        <v>48014_2</v>
      </c>
      <c r="H7" s="10" t="str">
        <f ca="1">VLOOKUP($G7,OFFSET([2]stages!$A$1,0,0,COUNTA([2]stages!$A:$A),MATCH(H$1,[2]stages!$2:$2,0)-MATCH($G$1,[2]stages!$2:$2,0)+1),MATCH(H$1,[2]stages!$2:$2,0)-MATCH($G$1,[2]stages!$2:$2,0)+1,FALSE)</f>
        <v>【ウィザード級】藍采和襲来</v>
      </c>
      <c r="I7" s="95">
        <v>2</v>
      </c>
      <c r="J7" s="26">
        <v>60</v>
      </c>
      <c r="K7" s="26">
        <v>60</v>
      </c>
    </row>
    <row r="8" spans="1:11" ht="21" customHeight="1" x14ac:dyDescent="0.15">
      <c r="A8" s="11" t="str">
        <f t="shared" si="2"/>
        <v>48014_2-3</v>
      </c>
      <c r="B8" s="11" t="str">
        <f>IF(COUNTIF(enemy_habitats!$H:$H,A8),"OK","NG")</f>
        <v>OK</v>
      </c>
      <c r="C8" s="94">
        <v>48014</v>
      </c>
      <c r="D8" s="13" t="str">
        <f ca="1">VLOOKUP($C8,OFFSET([2]quests!$A$1,0,0,COUNTA([2]quests!$A:$A),MATCH(D$1,[2]quests!$1:$1,0)-MATCH($C$1,[2]quests!$1:$1,0)+1),MATCH(D$1,[2]quests!$1:$1,0)-MATCH($C$1,[2]quests!$1:$1,0)+1,FALSE)</f>
        <v>藍采和襲来！</v>
      </c>
      <c r="E8" s="13" t="str">
        <f ca="1">VLOOKUP($C8,OFFSET([2]quests!$A$1,0,0,COUNTA([2]quests!$A:$A),MATCH(E$1,[2]quests!$1:$1,0)-MATCH($C$1,[2]quests!$1:$1,0)+1),MATCH(E$1,[2]quests!$1:$1,0)-MATCH($C$1,[2]quests!$1:$1,0)+1,FALSE)</f>
        <v>台湾版降臨10</v>
      </c>
      <c r="F8" s="95">
        <v>2</v>
      </c>
      <c r="G8" s="15" t="str">
        <f t="shared" si="3"/>
        <v>48014_2</v>
      </c>
      <c r="H8" s="10" t="str">
        <f ca="1">VLOOKUP($G8,OFFSET([2]stages!$A$1,0,0,COUNTA([2]stages!$A:$A),MATCH(H$1,[2]stages!$2:$2,0)-MATCH($G$1,[2]stages!$2:$2,0)+1),MATCH(H$1,[2]stages!$2:$2,0)-MATCH($G$1,[2]stages!$2:$2,0)+1,FALSE)</f>
        <v>【ウィザード級】藍采和襲来</v>
      </c>
      <c r="I8" s="95">
        <v>3</v>
      </c>
      <c r="J8" s="26">
        <v>60</v>
      </c>
      <c r="K8" s="26">
        <v>60</v>
      </c>
    </row>
    <row r="9" spans="1:11" ht="21" customHeight="1" x14ac:dyDescent="0.15">
      <c r="A9" s="11" t="str">
        <f t="shared" si="2"/>
        <v>48014_2-4</v>
      </c>
      <c r="B9" s="11" t="str">
        <f>IF(COUNTIF(enemy_habitats!$H:$H,A9),"OK","NG")</f>
        <v>OK</v>
      </c>
      <c r="C9" s="94">
        <v>48014</v>
      </c>
      <c r="D9" s="13" t="str">
        <f ca="1">VLOOKUP($C9,OFFSET([2]quests!$A$1,0,0,COUNTA([2]quests!$A:$A),MATCH(D$1,[2]quests!$1:$1,0)-MATCH($C$1,[2]quests!$1:$1,0)+1),MATCH(D$1,[2]quests!$1:$1,0)-MATCH($C$1,[2]quests!$1:$1,0)+1,FALSE)</f>
        <v>藍采和襲来！</v>
      </c>
      <c r="E9" s="13" t="str">
        <f ca="1">VLOOKUP($C9,OFFSET([2]quests!$A$1,0,0,COUNTA([2]quests!$A:$A),MATCH(E$1,[2]quests!$1:$1,0)-MATCH($C$1,[2]quests!$1:$1,0)+1),MATCH(E$1,[2]quests!$1:$1,0)-MATCH($C$1,[2]quests!$1:$1,0)+1,FALSE)</f>
        <v>台湾版降臨10</v>
      </c>
      <c r="F9" s="95">
        <v>2</v>
      </c>
      <c r="G9" s="15" t="str">
        <f t="shared" si="3"/>
        <v>48014_2</v>
      </c>
      <c r="H9" s="10" t="str">
        <f ca="1">VLOOKUP($G9,OFFSET([2]stages!$A$1,0,0,COUNTA([2]stages!$A:$A),MATCH(H$1,[2]stages!$2:$2,0)-MATCH($G$1,[2]stages!$2:$2,0)+1),MATCH(H$1,[2]stages!$2:$2,0)-MATCH($G$1,[2]stages!$2:$2,0)+1,FALSE)</f>
        <v>【ウィザード級】藍采和襲来</v>
      </c>
      <c r="I9" s="95">
        <v>4</v>
      </c>
      <c r="J9" s="26">
        <v>60</v>
      </c>
      <c r="K9" s="26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13"/>
  <sheetViews>
    <sheetView showGridLines="0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AA9" sqref="AA9"/>
    </sheetView>
  </sheetViews>
  <sheetFormatPr baseColWidth="12" defaultColWidth="13" defaultRowHeight="21" customHeight="1" outlineLevelCol="1" x14ac:dyDescent="0.15"/>
  <cols>
    <col min="1" max="1" width="15.83203125" style="14" bestFit="1" customWidth="1"/>
    <col min="2" max="2" width="10.83203125" style="1" bestFit="1" customWidth="1"/>
    <col min="3" max="3" width="10.6640625" style="1" bestFit="1" customWidth="1" collapsed="1"/>
    <col min="4" max="4" width="13" style="9" hidden="1" customWidth="1" outlineLevel="1"/>
    <col min="5" max="5" width="11.6640625" style="1" hidden="1" customWidth="1" outlineLevel="1"/>
    <col min="6" max="6" width="16.1640625" style="1" hidden="1" customWidth="1" outlineLevel="1"/>
    <col min="7" max="7" width="10" style="1" bestFit="1" customWidth="1" collapsed="1"/>
    <col min="8" max="10" width="12.33203125" style="1" hidden="1" customWidth="1" outlineLevel="1"/>
    <col min="11" max="11" width="12.33203125" style="1" customWidth="1"/>
    <col min="12" max="12" width="13.5" style="6" bestFit="1" customWidth="1" collapsed="1"/>
    <col min="13" max="13" width="8.83203125" style="1" hidden="1" customWidth="1" outlineLevel="1"/>
    <col min="14" max="14" width="8.6640625" style="1" hidden="1" customWidth="1" outlineLevel="1"/>
    <col min="15" max="15" width="12" style="1" hidden="1" customWidth="1" outlineLevel="1"/>
    <col min="16" max="16" width="21" style="1" hidden="1" customWidth="1" outlineLevel="1"/>
    <col min="17" max="17" width="8" style="1" hidden="1" customWidth="1" outlineLevel="1"/>
    <col min="18" max="18" width="8.33203125" style="1" bestFit="1" customWidth="1"/>
    <col min="19" max="19" width="14.83203125" style="1" bestFit="1" customWidth="1"/>
    <col min="20" max="20" width="14.83203125" style="92" customWidth="1"/>
    <col min="21" max="21" width="17.5" style="1" bestFit="1" customWidth="1"/>
    <col min="22" max="22" width="17.5" style="1" customWidth="1"/>
    <col min="23" max="23" width="18.33203125" style="1" bestFit="1" customWidth="1"/>
    <col min="24" max="24" width="10" style="1" customWidth="1"/>
    <col min="25" max="25" width="12.1640625" style="1" customWidth="1" outlineLevel="1"/>
    <col min="26" max="26" width="11.33203125" style="1" bestFit="1" customWidth="1"/>
    <col min="27" max="27" width="11.6640625" style="1" bestFit="1" customWidth="1"/>
    <col min="28" max="28" width="10.6640625" style="1" bestFit="1" customWidth="1"/>
    <col min="29" max="29" width="9.33203125" style="1" bestFit="1" customWidth="1"/>
    <col min="30" max="30" width="13" style="1" bestFit="1" customWidth="1"/>
    <col min="31" max="31" width="8.83203125" style="8" bestFit="1" customWidth="1" outlineLevel="1"/>
    <col min="32" max="32" width="8" style="9" bestFit="1" customWidth="1" outlineLevel="1"/>
    <col min="33" max="33" width="12" style="9" bestFit="1" customWidth="1" outlineLevel="1"/>
    <col min="34" max="34" width="15" style="7" bestFit="1" customWidth="1" collapsed="1"/>
    <col min="35" max="36" width="14.83203125" style="1" bestFit="1" customWidth="1"/>
    <col min="37" max="37" width="6.6640625" style="1" bestFit="1" customWidth="1"/>
    <col min="38" max="38" width="9.33203125" style="1" bestFit="1" customWidth="1"/>
    <col min="39" max="39" width="10.33203125" style="1" bestFit="1" customWidth="1"/>
    <col min="40" max="40" width="7.6640625" style="1" bestFit="1" customWidth="1"/>
    <col min="41" max="41" width="4" style="1" bestFit="1" customWidth="1"/>
    <col min="42" max="16384" width="13" style="1"/>
  </cols>
  <sheetData>
    <row r="1" spans="1:42" s="24" customFormat="1" ht="21" customHeight="1" x14ac:dyDescent="0.15">
      <c r="A1" s="18" t="s">
        <v>199</v>
      </c>
      <c r="B1" s="17" t="s">
        <v>0</v>
      </c>
      <c r="C1" s="17" t="s">
        <v>1</v>
      </c>
      <c r="D1" s="19" t="s">
        <v>22</v>
      </c>
      <c r="E1" s="19" t="s">
        <v>15</v>
      </c>
      <c r="F1" s="19" t="s">
        <v>15</v>
      </c>
      <c r="G1" s="17" t="s">
        <v>16</v>
      </c>
      <c r="H1" s="19" t="s">
        <v>23</v>
      </c>
      <c r="I1" s="19" t="s">
        <v>13</v>
      </c>
      <c r="J1" s="19" t="s">
        <v>14</v>
      </c>
      <c r="K1" s="25" t="s">
        <v>42</v>
      </c>
      <c r="L1" s="25" t="s">
        <v>2</v>
      </c>
      <c r="M1" s="20" t="s">
        <v>15</v>
      </c>
      <c r="N1" s="19" t="s">
        <v>200</v>
      </c>
      <c r="O1" s="19" t="s">
        <v>18</v>
      </c>
      <c r="P1" s="21" t="s">
        <v>20</v>
      </c>
      <c r="Q1" s="19" t="s">
        <v>19</v>
      </c>
      <c r="R1" s="17" t="s">
        <v>3</v>
      </c>
      <c r="S1" s="17" t="s">
        <v>201</v>
      </c>
      <c r="T1" s="90" t="s">
        <v>195</v>
      </c>
      <c r="U1" s="17" t="s">
        <v>38</v>
      </c>
      <c r="V1" s="90" t="s">
        <v>196</v>
      </c>
      <c r="W1" s="17" t="s">
        <v>40</v>
      </c>
      <c r="X1" s="19" t="s">
        <v>24</v>
      </c>
      <c r="Y1" s="17" t="s">
        <v>47</v>
      </c>
      <c r="Z1" s="17" t="s">
        <v>4</v>
      </c>
      <c r="AA1" s="17" t="s">
        <v>5</v>
      </c>
      <c r="AB1" s="17" t="s">
        <v>6</v>
      </c>
      <c r="AC1" s="17" t="s">
        <v>7</v>
      </c>
      <c r="AD1" s="22" t="s">
        <v>8</v>
      </c>
      <c r="AE1" s="23" t="s">
        <v>15</v>
      </c>
      <c r="AF1" s="23" t="s">
        <v>202</v>
      </c>
      <c r="AG1" s="23" t="s">
        <v>21</v>
      </c>
      <c r="AH1" s="22" t="s">
        <v>9</v>
      </c>
      <c r="AI1" s="17" t="s">
        <v>10</v>
      </c>
      <c r="AJ1" s="17" t="s">
        <v>11</v>
      </c>
      <c r="AK1" s="17" t="s">
        <v>27</v>
      </c>
      <c r="AL1" s="17" t="s">
        <v>29</v>
      </c>
      <c r="AM1" s="17" t="s">
        <v>31</v>
      </c>
      <c r="AN1" s="17" t="s">
        <v>33</v>
      </c>
      <c r="AO1" s="17" t="s">
        <v>138</v>
      </c>
      <c r="AP1" s="25" t="s">
        <v>185</v>
      </c>
    </row>
    <row r="2" spans="1:42" ht="21" customHeight="1" x14ac:dyDescent="0.15">
      <c r="A2" s="11" t="str">
        <f>B2&amp;"_"&amp;C2&amp;"-"&amp;G2&amp;"/"&amp;L2&amp;"&lt;lv"&amp;R2&amp;"&gt;s"&amp;AC2</f>
        <v>48014_1-1/370&lt;lv60&gt;s2</v>
      </c>
      <c r="B2" s="94">
        <v>48014</v>
      </c>
      <c r="C2" s="95">
        <v>1</v>
      </c>
      <c r="D2" s="10" t="str">
        <f>B2&amp;"_"&amp;C2</f>
        <v>48014_1</v>
      </c>
      <c r="E2" s="2" t="str">
        <f ca="1">VLOOKUP($B2,OFFSET([2]quests!$A$1,0,0,COUNTA([2]quests!$A:$A),MATCH(E$1,[2]quests!$1:$1,0)-MATCH($B$1,[2]quests!$1:$1,0)+1),MATCH(E$1,[2]quests!$1:$1,0)-MATCH($B$1,[2]quests!$1:$1,0)+1,FALSE)</f>
        <v>藍采和襲来！</v>
      </c>
      <c r="F2" s="2" t="str">
        <f ca="1">VLOOKUP($D2,OFFSET([2]stages!$A$1,0,0,COUNTA([2]stages!$A:$A),MATCH(F$1,[2]stages!$2:$2,0)-MATCH($D$1,[2]stages!$2:$2,0)+1),MATCH(F$1,[2]stages!$2:$2,0)-MATCH($D$1,[2]stages!$2:$2,0)+1,FALSE)</f>
        <v>【超絶級】藍采和襲来</v>
      </c>
      <c r="G2" s="95">
        <v>1</v>
      </c>
      <c r="H2" s="10" t="str">
        <f>B2&amp;"_"&amp;C2&amp;"-"&amp;G2</f>
        <v>48014_1-1</v>
      </c>
      <c r="I2" s="2">
        <f ca="1">VLOOKUP($H2,OFFSET(floors!$A$1,0,0,COUNTA(floors!$A:$A),MATCH(I$1,floors!$1:$1,0)-MATCH($H$1,floors!$1:$1,0)+1),MATCH(I$1,floors!$1:$1,0)-MATCH($H$1,floors!$1:$1,0)+1,FALSE)</f>
        <v>60</v>
      </c>
      <c r="J2" s="2">
        <f ca="1">VLOOKUP($H2,OFFSET(floors!$A$1,0,0,COUNTA(floors!$A:$A),MATCH(J$1,floors!$1:$1,0)-MATCH($H$1,floors!$1:$1,0)+1),MATCH(J$1,floors!$1:$1,0)-MATCH($H$1,floors!$1:$1,0)+1,FALSE)</f>
        <v>60</v>
      </c>
      <c r="K2" s="26" t="s">
        <v>41</v>
      </c>
      <c r="L2" s="96">
        <v>370</v>
      </c>
      <c r="M2" s="12" t="str">
        <f ca="1">VLOOKUP($L2,OFFSET([3]enemies!$A$1,0,0,COUNTA([3]enemies!$A:$A),MATCH(M$1,[3]enemies!$1:$1,0)-MATCH($L$1,[3]enemies!$1:$1,0)+1),MATCH(M$1,[3]enemies!$1:$1,0)-MATCH($L$1,[3]enemies!$1:$1,0)+1,FALSE)</f>
        <v>タイチ</v>
      </c>
      <c r="N2" s="12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2" t="str">
        <f ca="1">VLOOKUP($L2,OFFSET([4]characters!$A$1,0,0,COUNTA([4]characters!$A:$A),MATCH(O$1,[4]characters!$1:$1,0)-MATCH($L$1,[4]characters!$1:$1,0)+1),MATCH(O$1,[4]characters!$1:$1,0)-MATCH($L$1,[4]characters!$1:$1,0)+1,FALSE)</f>
        <v>Drop1S</v>
      </c>
      <c r="P2" s="12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2">
        <f ca="1">VLOOKUP($L2,OFFSET([3]enemies!$A$1,0,0,COUNTA([3]enemies!$A:$A),MATCH(Q$1,[3]enemies!$1:$1,0)-MATCH($L$1,[3]enemies!$1:$1,0)+1),MATCH(Q$1,[3]enemies!$1:$1,0)-MATCH($L$1,[3]enemies!$1:$1,0)+1,FALSE)</f>
        <v>15</v>
      </c>
      <c r="R2" s="3">
        <v>60</v>
      </c>
      <c r="S2" s="16">
        <v>3.8</v>
      </c>
      <c r="T2" s="91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46740</v>
      </c>
      <c r="U2" s="160">
        <v>0.5</v>
      </c>
      <c r="V2" s="91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2503</v>
      </c>
      <c r="W2" s="3">
        <v>0</v>
      </c>
      <c r="X2" s="2" t="e">
        <f ca="1">VLOOKUP($Y2,OFFSET([5]enemy_skill_sets!$B$1,0,0,COUNTA([5]enemy_skill_sets!$B:$B),MATCH(M$1,[5]enemy_skill_sets!$1:$1,0)-MATCH($Y$1,[5]enemy_skill_sets!$1:$1,0)+2),MATCH(M$1,[5]enemy_skill_sets!$1:$1,0)-MATCH($Y$1,[5]enemy_skill_sets!$1:$1,0)+2,FALSE)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2" s="35">
        <v>48014100</v>
      </c>
      <c r="Z2" s="4">
        <v>1</v>
      </c>
      <c r="AA2" s="4">
        <v>100</v>
      </c>
      <c r="AB2" s="4">
        <v>1</v>
      </c>
      <c r="AC2" s="12">
        <v>2</v>
      </c>
      <c r="AD2" s="97">
        <f>L2</f>
        <v>370</v>
      </c>
      <c r="AE2" s="2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タイチ</v>
      </c>
      <c r="AF2" s="2">
        <f ca="1">VLOOKUP($AD2,OFFSET([4]characters!$A$1,0,0,COUNTA([4]characters!$A:$A),MATCH(AF$1,[4]characters!$1:$1,0)-MATCH("character_id",[4]characters!$1:$1,0)+1),MATCH(AF$1,[4]characters!$1:$1,0)-MATCH("character_id",[4]characters!$1:$1,0)+1,FALSE)</f>
        <v>2</v>
      </c>
      <c r="AG2" s="2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Drop1S</v>
      </c>
      <c r="AH2" s="94">
        <v>1</v>
      </c>
      <c r="AI2" s="97">
        <f ca="1">AF2</f>
        <v>2</v>
      </c>
      <c r="AJ2" s="5">
        <v>0</v>
      </c>
      <c r="AK2" s="94">
        <v>0</v>
      </c>
      <c r="AL2" s="94">
        <v>0</v>
      </c>
      <c r="AM2" s="94">
        <v>0</v>
      </c>
      <c r="AN2" s="94">
        <v>0</v>
      </c>
      <c r="AO2" s="94">
        <v>1</v>
      </c>
      <c r="AP2" s="57">
        <v>1</v>
      </c>
    </row>
    <row r="3" spans="1:42" ht="21" customHeight="1" x14ac:dyDescent="0.15">
      <c r="A3" s="11" t="str">
        <f>B3&amp;"_"&amp;C3&amp;"-"&amp;G3&amp;"/"&amp;L3&amp;"&lt;lv"&amp;R3&amp;"&gt;s"&amp;AC3</f>
        <v>48014_1-1/364&lt;lv60&gt;s2</v>
      </c>
      <c r="B3" s="94">
        <v>48014</v>
      </c>
      <c r="C3" s="95">
        <v>1</v>
      </c>
      <c r="D3" s="10" t="str">
        <f>B3&amp;"_"&amp;C3</f>
        <v>48014_1</v>
      </c>
      <c r="E3" s="2" t="str">
        <f ca="1">VLOOKUP($B3,OFFSET([2]quests!$A$1,0,0,COUNTA([2]quests!$A:$A),MATCH(E$1,[2]quests!$1:$1,0)-MATCH($B$1,[2]quests!$1:$1,0)+1),MATCH(E$1,[2]quests!$1:$1,0)-MATCH($B$1,[2]quests!$1:$1,0)+1,FALSE)</f>
        <v>藍采和襲来！</v>
      </c>
      <c r="F3" s="2" t="str">
        <f ca="1">VLOOKUP($D3,OFFSET([2]stages!$A$1,0,0,COUNTA([2]stages!$A:$A),MATCH(F$1,[2]stages!$2:$2,0)-MATCH($D$1,[2]stages!$2:$2,0)+1),MATCH(F$1,[2]stages!$2:$2,0)-MATCH($D$1,[2]stages!$2:$2,0)+1,FALSE)</f>
        <v>【超絶級】藍采和襲来</v>
      </c>
      <c r="G3" s="95">
        <v>1</v>
      </c>
      <c r="H3" s="10" t="str">
        <f>B3&amp;"_"&amp;C3&amp;"-"&amp;G3</f>
        <v>48014_1-1</v>
      </c>
      <c r="I3" s="2">
        <f ca="1">VLOOKUP($H3,OFFSET(floors!$A$1,0,0,COUNTA(floors!$A:$A),MATCH(I$1,floors!$1:$1,0)-MATCH($H$1,floors!$1:$1,0)+1),MATCH(I$1,floors!$1:$1,0)-MATCH($H$1,floors!$1:$1,0)+1,FALSE)</f>
        <v>60</v>
      </c>
      <c r="J3" s="2">
        <f ca="1">VLOOKUP($H3,OFFSET(floors!$A$1,0,0,COUNTA(floors!$A:$A),MATCH(J$1,floors!$1:$1,0)-MATCH($H$1,floors!$1:$1,0)+1),MATCH(J$1,floors!$1:$1,0)-MATCH($H$1,floors!$1:$1,0)+1,FALSE)</f>
        <v>60</v>
      </c>
      <c r="K3" s="26" t="s">
        <v>41</v>
      </c>
      <c r="L3" s="96">
        <v>364</v>
      </c>
      <c r="M3" s="12" t="str">
        <f ca="1">VLOOKUP($L3,OFFSET([3]enemies!$A$1,0,0,COUNTA([3]enemies!$A:$A),MATCH(M$1,[3]enemies!$1:$1,0)-MATCH($L$1,[3]enemies!$1:$1,0)+1),MATCH(M$1,[3]enemies!$1:$1,0)-MATCH($L$1,[3]enemies!$1:$1,0)+1,FALSE)</f>
        <v>ノエル</v>
      </c>
      <c r="N3" s="12" t="str">
        <f ca="1">VLOOKUP($L3,OFFSET([3]enemies!$A$1,0,0,COUNTA([3]enemies!$A:$A),MATCH(N$1,[3]enemies!$1:$1,0)-MATCH($L$1,[3]enemies!$1:$1,0)+1),MATCH(N$1,[3]enemies!$1:$1,0)-MATCH($L$1,[3]enemies!$1:$1,0)+1,FALSE)</f>
        <v>blue</v>
      </c>
      <c r="O3" s="12" t="str">
        <f ca="1">VLOOKUP($L3,OFFSET([4]characters!$A$1,0,0,COUNTA([4]characters!$A:$A),MATCH(O$1,[4]characters!$1:$1,0)-MATCH($L$1,[4]characters!$1:$1,0)+1),MATCH(O$1,[4]characters!$1:$1,0)-MATCH($L$1,[4]characters!$1:$1,0)+1,FALSE)</f>
        <v>Drop1S</v>
      </c>
      <c r="P3" s="12" t="str">
        <f ca="1">VLOOKUP($L3,OFFSET([3]enemies!$A$1,0,0,COUNTA([3]enemies!$A:$A),MATCH(P$1,[3]enemies!$1:$1,0)-MATCH($L$1,[3]enemies!$1:$1,0)+1),MATCH(P$1,[3]enemies!$1:$1,0)-MATCH($L$1,[3]enemies!$1:$1,0)+1,FALSE)</f>
        <v>animal</v>
      </c>
      <c r="Q3" s="12">
        <f ca="1">VLOOKUP($L3,OFFSET([3]enemies!$A$1,0,0,COUNTA([3]enemies!$A:$A),MATCH(Q$1,[3]enemies!$1:$1,0)-MATCH($L$1,[3]enemies!$1:$1,0)+1),MATCH(Q$1,[3]enemies!$1:$1,0)-MATCH($L$1,[3]enemies!$1:$1,0)+1,FALSE)</f>
        <v>15</v>
      </c>
      <c r="R3" s="3">
        <v>60</v>
      </c>
      <c r="S3" s="16">
        <v>4</v>
      </c>
      <c r="T3" s="91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49200</v>
      </c>
      <c r="U3" s="160">
        <v>0.4</v>
      </c>
      <c r="V3" s="91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2116.4</v>
      </c>
      <c r="W3" s="3">
        <v>0</v>
      </c>
      <c r="X3" s="2" t="str">
        <f ca="1">VLOOKUP($Y3,OFFSET(enemy_skill_sets!$B$1,0,0,COUNTA(enemy_skill_sets!$B:$B),MATCH(M$1,enemy_skill_sets!$1:$1,0)-MATCH($Y$1,enemy_skill_sets!$1:$1,0)+2),MATCH(M$1,enemy_skill_sets!$1:$1,0)-MATCH($Y$1,enemy_skill_sets!$1:$1,0)+2,FALSE)</f>
        <v>4ターンユニット1体の回復力50%DOWN</v>
      </c>
      <c r="Y3" s="35">
        <v>48014101</v>
      </c>
      <c r="Z3" s="4">
        <v>2</v>
      </c>
      <c r="AA3" s="4">
        <v>100</v>
      </c>
      <c r="AB3" s="4">
        <v>0</v>
      </c>
      <c r="AC3" s="12">
        <v>2</v>
      </c>
      <c r="AD3" s="97">
        <f>L3</f>
        <v>364</v>
      </c>
      <c r="AE3" s="2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ノエル</v>
      </c>
      <c r="AF3" s="2">
        <f ca="1">VLOOKUP($AD3,OFFSET([4]characters!$A$1,0,0,COUNTA([4]characters!$A:$A),MATCH(AF$1,[4]characters!$1:$1,0)-MATCH("character_id",[4]characters!$1:$1,0)+1),MATCH(AF$1,[4]characters!$1:$1,0)-MATCH("character_id",[4]characters!$1:$1,0)+1,FALSE)</f>
        <v>2</v>
      </c>
      <c r="AG3" s="2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Drop1S</v>
      </c>
      <c r="AH3" s="94">
        <v>1</v>
      </c>
      <c r="AI3" s="97">
        <f ca="1">AF3</f>
        <v>2</v>
      </c>
      <c r="AJ3" s="5">
        <v>0</v>
      </c>
      <c r="AK3" s="94">
        <v>0</v>
      </c>
      <c r="AL3" s="94">
        <v>0</v>
      </c>
      <c r="AM3" s="94">
        <v>0</v>
      </c>
      <c r="AN3" s="94">
        <v>0</v>
      </c>
      <c r="AO3" s="94">
        <v>1</v>
      </c>
      <c r="AP3" s="57">
        <v>1</v>
      </c>
    </row>
    <row r="4" spans="1:42" ht="21" customHeight="1" x14ac:dyDescent="0.15">
      <c r="A4" s="11" t="str">
        <f t="shared" ref="A4:A6" si="0">B4&amp;"_"&amp;C4&amp;"-"&amp;G4&amp;"/"&amp;L4&amp;"&lt;lv"&amp;R4&amp;"&gt;s"&amp;AC4</f>
        <v>48014_1-2/92&lt;lv65&gt;s2</v>
      </c>
      <c r="B4" s="94">
        <v>48014</v>
      </c>
      <c r="C4" s="95">
        <v>1</v>
      </c>
      <c r="D4" s="10" t="str">
        <f t="shared" ref="D4:D6" si="1">B4&amp;"_"&amp;C4</f>
        <v>48014_1</v>
      </c>
      <c r="E4" s="2" t="str">
        <f ca="1">VLOOKUP($B4,OFFSET([2]quests!$A$1,0,0,COUNTA([2]quests!$A:$A),MATCH(E$1,[2]quests!$1:$1,0)-MATCH($B$1,[2]quests!$1:$1,0)+1),MATCH(E$1,[2]quests!$1:$1,0)-MATCH($B$1,[2]quests!$1:$1,0)+1,FALSE)</f>
        <v>藍采和襲来！</v>
      </c>
      <c r="F4" s="2" t="str">
        <f ca="1">VLOOKUP($D4,OFFSET([2]stages!$A$1,0,0,COUNTA([2]stages!$A:$A),MATCH(F$1,[2]stages!$2:$2,0)-MATCH($D$1,[2]stages!$2:$2,0)+1),MATCH(F$1,[2]stages!$2:$2,0)-MATCH($D$1,[2]stages!$2:$2,0)+1,FALSE)</f>
        <v>【超絶級】藍采和襲来</v>
      </c>
      <c r="G4" s="95">
        <v>2</v>
      </c>
      <c r="H4" s="10" t="str">
        <f t="shared" ref="H4:H6" si="2">B4&amp;"_"&amp;C4&amp;"-"&amp;G4</f>
        <v>48014_1-2</v>
      </c>
      <c r="I4" s="2">
        <f ca="1">VLOOKUP($H4,OFFSET(floors!$A$1,0,0,COUNTA(floors!$A:$A),MATCH(I$1,floors!$1:$1,0)-MATCH($H$1,floors!$1:$1,0)+1),MATCH(I$1,floors!$1:$1,0)-MATCH($H$1,floors!$1:$1,0)+1,FALSE)</f>
        <v>60</v>
      </c>
      <c r="J4" s="2">
        <f ca="1">VLOOKUP($H4,OFFSET(floors!$A$1,0,0,COUNTA(floors!$A:$A),MATCH(J$1,floors!$1:$1,0)-MATCH($H$1,floors!$1:$1,0)+1),MATCH(J$1,floors!$1:$1,0)-MATCH($H$1,floors!$1:$1,0)+1,FALSE)</f>
        <v>60</v>
      </c>
      <c r="K4" s="26">
        <v>1</v>
      </c>
      <c r="L4" s="96">
        <v>92</v>
      </c>
      <c r="M4" s="12" t="str">
        <f ca="1">VLOOKUP($L4,OFFSET([3]enemies!$A$1,0,0,COUNTA([3]enemies!$A:$A),MATCH(M$1,[3]enemies!$1:$1,0)-MATCH($L$1,[3]enemies!$1:$1,0)+1),MATCH(M$1,[3]enemies!$1:$1,0)-MATCH($L$1,[3]enemies!$1:$1,0)+1,FALSE)</f>
        <v>守護者 青龍</v>
      </c>
      <c r="N4" s="12" t="str">
        <f ca="1">VLOOKUP($L4,OFFSET([3]enemies!$A$1,0,0,COUNTA([3]enemies!$A:$A),MATCH(N$1,[3]enemies!$1:$1,0)-MATCH($L$1,[3]enemies!$1:$1,0)+1),MATCH(N$1,[3]enemies!$1:$1,0)-MATCH($L$1,[3]enemies!$1:$1,0)+1,FALSE)</f>
        <v>blue</v>
      </c>
      <c r="O4" s="12" t="str">
        <f ca="1">VLOOKUP($L4,OFFSET([4]characters!$A$1,0,0,COUNTA([4]characters!$A:$A),MATCH(O$1,[4]characters!$1:$1,0)-MATCH($L$1,[4]characters!$1:$1,0)+1),MATCH(O$1,[4]characters!$1:$1,0)-MATCH($L$1,[4]characters!$1:$1,0)+1,FALSE)</f>
        <v>Drop2N</v>
      </c>
      <c r="P4" s="12" t="str">
        <f ca="1">VLOOKUP($L4,OFFSET([3]enemies!$A$1,0,0,COUNTA([3]enemies!$A:$A),MATCH(P$1,[3]enemies!$1:$1,0)-MATCH($L$1,[3]enemies!$1:$1,0)+1),MATCH(P$1,[3]enemies!$1:$1,0)-MATCH($L$1,[3]enemies!$1:$1,0)+1,FALSE)</f>
        <v>dragon</v>
      </c>
      <c r="Q4" s="12">
        <f ca="1">VLOOKUP($L4,OFFSET([3]enemies!$A$1,0,0,COUNTA([3]enemies!$A:$A),MATCH(Q$1,[3]enemies!$1:$1,0)-MATCH($L$1,[3]enemies!$1:$1,0)+1),MATCH(Q$1,[3]enemies!$1:$1,0)-MATCH($L$1,[3]enemies!$1:$1,0)+1,FALSE)</f>
        <v>30</v>
      </c>
      <c r="R4" s="3">
        <v>65</v>
      </c>
      <c r="S4" s="16">
        <v>1.7</v>
      </c>
      <c r="T4" s="91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169010.6</v>
      </c>
      <c r="U4" s="160">
        <v>0.6</v>
      </c>
      <c r="V4" s="91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4361.3999999999996</v>
      </c>
      <c r="W4" s="3">
        <v>0</v>
      </c>
      <c r="X4" s="2" t="str">
        <f ca="1">VLOOKUP($Y4,OFFSET(enemy_skill_sets!$B$1,0,0,COUNTA(enemy_skill_sets!$B:$B),MATCH(M$1,enemy_skill_sets!$1:$1,0)-MATCH($Y$1,enemy_skill_sets!$1:$1,0)+2),MATCH(M$1,enemy_skill_sets!$1:$1,0)-MATCH($Y$1,enemy_skill_sets!$1:$1,0)+2,FALSE)</f>
        <v>3ターン全ユニットのCパネル生成延長(効果特大)</v>
      </c>
      <c r="Y4" s="35">
        <v>48014102</v>
      </c>
      <c r="Z4" s="4">
        <v>1</v>
      </c>
      <c r="AA4" s="4">
        <v>100</v>
      </c>
      <c r="AB4" s="4">
        <v>1</v>
      </c>
      <c r="AC4" s="12">
        <v>2</v>
      </c>
      <c r="AD4" s="97">
        <v>91</v>
      </c>
      <c r="AE4" s="2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青龍</v>
      </c>
      <c r="AF4" s="2">
        <f ca="1">VLOOKUP($AD4,OFFSET([4]characters!$A$1,0,0,COUNTA([4]characters!$A:$A),MATCH(AF$1,[4]characters!$1:$1,0)-MATCH("character_id",[4]characters!$1:$1,0)+1),MATCH(AF$1,[4]characters!$1:$1,0)-MATCH("character_id",[4]characters!$1:$1,0)+1,FALSE)</f>
        <v>3</v>
      </c>
      <c r="AG4" s="2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Drop2N</v>
      </c>
      <c r="AH4" s="94">
        <v>1</v>
      </c>
      <c r="AI4" s="97">
        <f t="shared" ref="AI4:AI6" ca="1" si="3">AF4</f>
        <v>3</v>
      </c>
      <c r="AJ4" s="5">
        <v>0</v>
      </c>
      <c r="AK4" s="94">
        <v>0</v>
      </c>
      <c r="AL4" s="94">
        <v>0</v>
      </c>
      <c r="AM4" s="94">
        <v>0</v>
      </c>
      <c r="AN4" s="94">
        <v>0</v>
      </c>
      <c r="AO4" s="94">
        <v>1</v>
      </c>
      <c r="AP4" s="57">
        <v>1</v>
      </c>
    </row>
    <row r="5" spans="1:42" ht="21" customHeight="1" x14ac:dyDescent="0.15">
      <c r="A5" s="11" t="str">
        <f t="shared" si="0"/>
        <v>48014_1-3/138&lt;lv60&gt;s1</v>
      </c>
      <c r="B5" s="94">
        <v>48014</v>
      </c>
      <c r="C5" s="95">
        <v>1</v>
      </c>
      <c r="D5" s="10" t="str">
        <f t="shared" si="1"/>
        <v>48014_1</v>
      </c>
      <c r="E5" s="2" t="str">
        <f ca="1">VLOOKUP($B5,OFFSET([2]quests!$A$1,0,0,COUNTA([2]quests!$A:$A),MATCH(E$1,[2]quests!$1:$1,0)-MATCH($B$1,[2]quests!$1:$1,0)+1),MATCH(E$1,[2]quests!$1:$1,0)-MATCH($B$1,[2]quests!$1:$1,0)+1,FALSE)</f>
        <v>藍采和襲来！</v>
      </c>
      <c r="F5" s="2" t="str">
        <f ca="1">VLOOKUP($D5,OFFSET([2]stages!$A$1,0,0,COUNTA([2]stages!$A:$A),MATCH(F$1,[2]stages!$2:$2,0)-MATCH($D$1,[2]stages!$2:$2,0)+1),MATCH(F$1,[2]stages!$2:$2,0)-MATCH($D$1,[2]stages!$2:$2,0)+1,FALSE)</f>
        <v>【超絶級】藍采和襲来</v>
      </c>
      <c r="G5" s="95">
        <v>3</v>
      </c>
      <c r="H5" s="10" t="str">
        <f t="shared" si="2"/>
        <v>48014_1-3</v>
      </c>
      <c r="I5" s="2">
        <f ca="1">VLOOKUP($H5,OFFSET(floors!$A$1,0,0,COUNTA(floors!$A:$A),MATCH(I$1,floors!$1:$1,0)-MATCH($H$1,floors!$1:$1,0)+1),MATCH(I$1,floors!$1:$1,0)-MATCH($H$1,floors!$1:$1,0)+1,FALSE)</f>
        <v>60</v>
      </c>
      <c r="J5" s="2">
        <f ca="1">VLOOKUP($H5,OFFSET(floors!$A$1,0,0,COUNTA(floors!$A:$A),MATCH(J$1,floors!$1:$1,0)-MATCH($H$1,floors!$1:$1,0)+1),MATCH(J$1,floors!$1:$1,0)-MATCH($H$1,floors!$1:$1,0)+1,FALSE)</f>
        <v>60</v>
      </c>
      <c r="K5" s="26" t="s">
        <v>41</v>
      </c>
      <c r="L5" s="96">
        <v>138</v>
      </c>
      <c r="M5" s="12" t="str">
        <f ca="1">VLOOKUP($L5,OFFSET([3]enemies!$A$1,0,0,COUNTA([3]enemies!$A:$A),MATCH(M$1,[3]enemies!$1:$1,0)-MATCH($L$1,[3]enemies!$1:$1,0)+1),MATCH(M$1,[3]enemies!$1:$1,0)-MATCH($L$1,[3]enemies!$1:$1,0)+1,FALSE)</f>
        <v>蒼薙のトモエ</v>
      </c>
      <c r="N5" s="12" t="str">
        <f ca="1">VLOOKUP($L5,OFFSET([3]enemies!$A$1,0,0,COUNTA([3]enemies!$A:$A),MATCH(N$1,[3]enemies!$1:$1,0)-MATCH($L$1,[3]enemies!$1:$1,0)+1),MATCH(N$1,[3]enemies!$1:$1,0)-MATCH($L$1,[3]enemies!$1:$1,0)+1,FALSE)</f>
        <v>blue</v>
      </c>
      <c r="O5" s="12" t="str">
        <f ca="1">VLOOKUP($L5,OFFSET([4]characters!$A$1,0,0,COUNTA([4]characters!$A:$A),MATCH(O$1,[4]characters!$1:$1,0)-MATCH($L$1,[4]characters!$1:$1,0)+1),MATCH(O$1,[4]characters!$1:$1,0)-MATCH($L$1,[4]characters!$1:$1,0)+1,FALSE)</f>
        <v>PremiumW</v>
      </c>
      <c r="P5" s="12" t="str">
        <f ca="1">VLOOKUP($L5,OFFSET([3]enemies!$A$1,0,0,COUNTA([3]enemies!$A:$A),MATCH(P$1,[3]enemies!$1:$1,0)-MATCH($L$1,[3]enemies!$1:$1,0)+1),MATCH(P$1,[3]enemies!$1:$1,0)-MATCH($L$1,[3]enemies!$1:$1,0)+1,FALSE)</f>
        <v>human</v>
      </c>
      <c r="Q5" s="12">
        <f ca="1">VLOOKUP($L5,OFFSET([3]enemies!$A$1,0,0,COUNTA([3]enemies!$A:$A),MATCH(Q$1,[3]enemies!$1:$1,0)-MATCH($L$1,[3]enemies!$1:$1,0)+1),MATCH(Q$1,[3]enemies!$1:$1,0)-MATCH($L$1,[3]enemies!$1:$1,0)+1,FALSE)</f>
        <v>20</v>
      </c>
      <c r="R5" s="3">
        <v>60</v>
      </c>
      <c r="S5" s="16">
        <v>4</v>
      </c>
      <c r="T5" s="91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254364</v>
      </c>
      <c r="U5" s="160">
        <v>0.6</v>
      </c>
      <c r="V5" s="91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3351</v>
      </c>
      <c r="W5" s="3">
        <v>0</v>
      </c>
      <c r="X5" s="2" t="str">
        <f ca="1">VLOOKUP($Y5,OFFSET(enemy_skill_sets!$B$1,0,0,COUNTA(enemy_skill_sets!$B:$B),MATCH(M$1,enemy_skill_sets!$1:$1,0)-MATCH($Y$1,enemy_skill_sets!$1:$1,0)+2),MATCH(M$1,enemy_skill_sets!$1:$1,0)-MATCH($Y$1,enemy_skill_sets!$1:$1,0)+2,FALSE)</f>
        <v>全体攻撃</v>
      </c>
      <c r="Y5" s="35">
        <v>48014104</v>
      </c>
      <c r="Z5" s="4">
        <v>1</v>
      </c>
      <c r="AA5" s="4">
        <v>100</v>
      </c>
      <c r="AB5" s="4">
        <v>1</v>
      </c>
      <c r="AC5" s="12">
        <v>1</v>
      </c>
      <c r="AD5" s="97">
        <v>138</v>
      </c>
      <c r="AE5" s="2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蒼薙のトモエ</v>
      </c>
      <c r="AF5" s="2">
        <f ca="1">VLOOKUP($AD5,OFFSET([4]characters!$A$1,0,0,COUNTA([4]characters!$A:$A),MATCH(AF$1,[4]characters!$1:$1,0)-MATCH("character_id",[4]characters!$1:$1,0)+1),MATCH(AF$1,[4]characters!$1:$1,0)-MATCH("character_id",[4]characters!$1:$1,0)+1,FALSE)</f>
        <v>3</v>
      </c>
      <c r="AG5" s="2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5" s="94">
        <v>1</v>
      </c>
      <c r="AI5" s="97">
        <f t="shared" ca="1" si="3"/>
        <v>3</v>
      </c>
      <c r="AJ5" s="5">
        <v>0</v>
      </c>
      <c r="AK5" s="94">
        <v>0</v>
      </c>
      <c r="AL5" s="94">
        <v>0</v>
      </c>
      <c r="AM5" s="94">
        <v>0</v>
      </c>
      <c r="AN5" s="94">
        <v>0</v>
      </c>
      <c r="AO5" s="94">
        <v>1</v>
      </c>
      <c r="AP5" s="57">
        <v>1</v>
      </c>
    </row>
    <row r="6" spans="1:42" ht="21" customHeight="1" x14ac:dyDescent="0.15">
      <c r="A6" s="122" t="str">
        <f t="shared" si="0"/>
        <v>48014_1-3/61&lt;lv60&gt;s2</v>
      </c>
      <c r="B6" s="94">
        <v>48014</v>
      </c>
      <c r="C6" s="95">
        <v>1</v>
      </c>
      <c r="D6" s="10" t="str">
        <f t="shared" si="1"/>
        <v>48014_1</v>
      </c>
      <c r="E6" s="2" t="str">
        <f ca="1">VLOOKUP($B6,OFFSET([2]quests!$A$1,0,0,COUNTA([2]quests!$A:$A),MATCH(E$1,[2]quests!$1:$1,0)-MATCH($B$1,[2]quests!$1:$1,0)+1),MATCH(E$1,[2]quests!$1:$1,0)-MATCH($B$1,[2]quests!$1:$1,0)+1,FALSE)</f>
        <v>藍采和襲来！</v>
      </c>
      <c r="F6" s="2" t="str">
        <f ca="1">VLOOKUP($D6,OFFSET([2]stages!$A$1,0,0,COUNTA([2]stages!$A:$A),MATCH(F$1,[2]stages!$2:$2,0)-MATCH($D$1,[2]stages!$2:$2,0)+1),MATCH(F$1,[2]stages!$2:$2,0)-MATCH($D$1,[2]stages!$2:$2,0)+1,FALSE)</f>
        <v>【超絶級】藍采和襲来</v>
      </c>
      <c r="G6" s="95">
        <v>3</v>
      </c>
      <c r="H6" s="10" t="str">
        <f t="shared" si="2"/>
        <v>48014_1-3</v>
      </c>
      <c r="I6" s="2">
        <f ca="1">VLOOKUP($H6,OFFSET(floors!$A$1,0,0,COUNTA(floors!$A:$A),MATCH(I$1,floors!$1:$1,0)-MATCH($H$1,floors!$1:$1,0)+1),MATCH(I$1,floors!$1:$1,0)-MATCH($H$1,floors!$1:$1,0)+1,FALSE)</f>
        <v>60</v>
      </c>
      <c r="J6" s="2">
        <f ca="1">VLOOKUP($H6,OFFSET(floors!$A$1,0,0,COUNTA(floors!$A:$A),MATCH(J$1,floors!$1:$1,0)-MATCH($H$1,floors!$1:$1,0)+1),MATCH(J$1,floors!$1:$1,0)-MATCH($H$1,floors!$1:$1,0)+1,FALSE)</f>
        <v>60</v>
      </c>
      <c r="K6" s="26" t="s">
        <v>41</v>
      </c>
      <c r="L6" s="96">
        <v>61</v>
      </c>
      <c r="M6" s="12" t="str">
        <f ca="1">VLOOKUP($L6,OFFSET([3]enemies!$A$1,0,0,COUNTA([3]enemies!$A:$A),MATCH(M$1,[3]enemies!$1:$1,0)-MATCH($L$1,[3]enemies!$1:$1,0)+1),MATCH(M$1,[3]enemies!$1:$1,0)-MATCH($L$1,[3]enemies!$1:$1,0)+1,FALSE)</f>
        <v>クロウ</v>
      </c>
      <c r="N6" s="12" t="str">
        <f ca="1">VLOOKUP($L6,OFFSET([3]enemies!$A$1,0,0,COUNTA([3]enemies!$A:$A),MATCH(N$1,[3]enemies!$1:$1,0)-MATCH($L$1,[3]enemies!$1:$1,0)+1),MATCH(N$1,[3]enemies!$1:$1,0)-MATCH($L$1,[3]enemies!$1:$1,0)+1,FALSE)</f>
        <v>blue</v>
      </c>
      <c r="O6" s="12" t="str">
        <f ca="1">VLOOKUP($L6,OFFSET([4]characters!$A$1,0,0,COUNTA([4]characters!$A:$A),MATCH(O$1,[4]characters!$1:$1,0)-MATCH($L$1,[4]characters!$1:$1,0)+1),MATCH(O$1,[4]characters!$1:$1,0)-MATCH($L$1,[4]characters!$1:$1,0)+1,FALSE)</f>
        <v>Drop1N</v>
      </c>
      <c r="P6" s="12" t="str">
        <f ca="1">VLOOKUP($L6,OFFSET([3]enemies!$A$1,0,0,COUNTA([3]enemies!$A:$A),MATCH(P$1,[3]enemies!$1:$1,0)-MATCH($L$1,[3]enemies!$1:$1,0)+1),MATCH(P$1,[3]enemies!$1:$1,0)-MATCH($L$1,[3]enemies!$1:$1,0)+1,FALSE)</f>
        <v>animal</v>
      </c>
      <c r="Q6" s="12">
        <f ca="1">VLOOKUP($L6,OFFSET([3]enemies!$A$1,0,0,COUNTA([3]enemies!$A:$A),MATCH(Q$1,[3]enemies!$1:$1,0)-MATCH($L$1,[3]enemies!$1:$1,0)+1),MATCH(Q$1,[3]enemies!$1:$1,0)-MATCH($L$1,[3]enemies!$1:$1,0)+1,FALSE)</f>
        <v>15</v>
      </c>
      <c r="R6" s="3">
        <v>60</v>
      </c>
      <c r="S6" s="16">
        <v>8</v>
      </c>
      <c r="T6" s="91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78720</v>
      </c>
      <c r="U6" s="160">
        <v>0.8</v>
      </c>
      <c r="V6" s="91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2482.4</v>
      </c>
      <c r="W6" s="3">
        <v>0</v>
      </c>
      <c r="X6" s="2" t="str">
        <f ca="1">VLOOKUP($Y6,OFFSET(enemy_skill_sets!$B$1,0,0,COUNTA(enemy_skill_sets!$B:$B),MATCH(M$1,enemy_skill_sets!$1:$1,0)-MATCH($Y$1,enemy_skill_sets!$1:$1,0)+2),MATCH(M$1,enemy_skill_sets!$1:$1,0)-MATCH($Y$1,enemy_skill_sets!$1:$1,0)+2,FALSE)</f>
        <v>1ターンユニット1体にスリープ+クリティカル！</v>
      </c>
      <c r="Y6" s="35">
        <v>48014105</v>
      </c>
      <c r="Z6" s="4">
        <v>2</v>
      </c>
      <c r="AA6" s="4">
        <v>100</v>
      </c>
      <c r="AB6" s="4">
        <v>0</v>
      </c>
      <c r="AC6" s="12">
        <v>2</v>
      </c>
      <c r="AD6" s="97">
        <f t="shared" ref="AD6" si="4">L6</f>
        <v>61</v>
      </c>
      <c r="AE6" s="2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クロウ</v>
      </c>
      <c r="AF6" s="2">
        <f ca="1">VLOOKUP($AD6,OFFSET([4]characters!$A$1,0,0,COUNTA([4]characters!$A:$A),MATCH(AF$1,[4]characters!$1:$1,0)-MATCH("character_id",[4]characters!$1:$1,0)+1),MATCH(AF$1,[4]characters!$1:$1,0)-MATCH("character_id",[4]characters!$1:$1,0)+1,FALSE)</f>
        <v>2</v>
      </c>
      <c r="AG6" s="2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Drop1N</v>
      </c>
      <c r="AH6" s="94">
        <v>1</v>
      </c>
      <c r="AI6" s="97">
        <f t="shared" ca="1" si="3"/>
        <v>2</v>
      </c>
      <c r="AJ6" s="5">
        <v>0</v>
      </c>
      <c r="AK6" s="94">
        <v>0</v>
      </c>
      <c r="AL6" s="94">
        <v>0</v>
      </c>
      <c r="AM6" s="94">
        <v>0</v>
      </c>
      <c r="AN6" s="94">
        <v>0</v>
      </c>
      <c r="AO6" s="94">
        <v>1</v>
      </c>
      <c r="AP6" s="57">
        <v>1</v>
      </c>
    </row>
    <row r="7" spans="1:42" ht="21" customHeight="1" thickBot="1" x14ac:dyDescent="0.2">
      <c r="A7" s="106" t="str">
        <f>B7&amp;"_"&amp;C7&amp;"-"&amp;G7&amp;"/"&amp;L7&amp;"&lt;lv"&amp;R7&amp;"&gt;s"&amp;AC7</f>
        <v>48014_1-4/8041&lt;lv65&gt;s2</v>
      </c>
      <c r="B7" s="107">
        <v>48014</v>
      </c>
      <c r="C7" s="109">
        <v>1</v>
      </c>
      <c r="D7" s="111" t="str">
        <f>B7&amp;"_"&amp;C7</f>
        <v>48014_1</v>
      </c>
      <c r="E7" s="123" t="str">
        <f ca="1">VLOOKUP($B7,OFFSET([2]quests!$A$1,0,0,COUNTA([2]quests!$A:$A),MATCH(E$1,[2]quests!$1:$1,0)-MATCH($B$1,[2]quests!$1:$1,0)+1),MATCH(E$1,[2]quests!$1:$1,0)-MATCH($B$1,[2]quests!$1:$1,0)+1,FALSE)</f>
        <v>藍采和襲来！</v>
      </c>
      <c r="F7" s="123" t="str">
        <f ca="1">VLOOKUP($D7,OFFSET([2]stages!$A$1,0,0,COUNTA([2]stages!$A:$A),MATCH(F$1,[2]stages!$2:$2,0)-MATCH($D$1,[2]stages!$2:$2,0)+1),MATCH(F$1,[2]stages!$2:$2,0)-MATCH($D$1,[2]stages!$2:$2,0)+1,FALSE)</f>
        <v>【超絶級】藍采和襲来</v>
      </c>
      <c r="G7" s="109">
        <v>4</v>
      </c>
      <c r="H7" s="111" t="str">
        <f>B7&amp;"_"&amp;C7&amp;"-"&amp;G7</f>
        <v>48014_1-4</v>
      </c>
      <c r="I7" s="123">
        <f ca="1">VLOOKUP($H7,OFFSET(floors!$A$1,0,0,COUNTA(floors!$A:$A),MATCH(I$1,floors!$1:$1,0)-MATCH($H$1,floors!$1:$1,0)+1),MATCH(I$1,floors!$1:$1,0)-MATCH($H$1,floors!$1:$1,0)+1,FALSE)</f>
        <v>60</v>
      </c>
      <c r="J7" s="123">
        <f ca="1">VLOOKUP($H7,OFFSET(floors!$A$1,0,0,COUNTA(floors!$A:$A),MATCH(J$1,floors!$1:$1,0)-MATCH($H$1,floors!$1:$1,0)+1),MATCH(J$1,floors!$1:$1,0)-MATCH($H$1,floors!$1:$1,0)+1,FALSE)</f>
        <v>60</v>
      </c>
      <c r="K7" s="112">
        <v>2</v>
      </c>
      <c r="L7" s="124">
        <v>8041</v>
      </c>
      <c r="M7" s="125" t="str">
        <f ca="1">VLOOKUP($L7,OFFSET([3]enemies!$A$1,0,0,COUNTA([3]enemies!$A:$A),MATCH(M$1,[3]enemies!$1:$1,0)-MATCH($L$1,[3]enemies!$1:$1,0)+1),MATCH(M$1,[3]enemies!$1:$1,0)-MATCH($L$1,[3]enemies!$1:$1,0)+1,FALSE)</f>
        <v>藍采和</v>
      </c>
      <c r="N7" s="125" t="str">
        <f ca="1">VLOOKUP($L7,OFFSET([3]enemies!$A$1,0,0,COUNTA([3]enemies!$A:$A),MATCH(N$1,[3]enemies!$1:$1,0)-MATCH($L$1,[3]enemies!$1:$1,0)+1),MATCH(N$1,[3]enemies!$1:$1,0)-MATCH($L$1,[3]enemies!$1:$1,0)+1,FALSE)</f>
        <v>blue</v>
      </c>
      <c r="O7" s="125" t="str">
        <f ca="1">VLOOKUP($L7,OFFSET([4]characters!$A$1,0,0,COUNTA([4]characters!$A:$A),MATCH(O$1,[4]characters!$1:$1,0)-MATCH($L$1,[4]characters!$1:$1,0)+1),MATCH(O$1,[4]characters!$1:$1,0)-MATCH($L$1,[4]characters!$1:$1,0)+1,FALSE)</f>
        <v>DropWizS</v>
      </c>
      <c r="P7" s="125" t="str">
        <f ca="1">VLOOKUP($L7,OFFSET([3]enemies!$A$1,0,0,COUNTA([3]enemies!$A:$A),MATCH(P$1,[3]enemies!$1:$1,0)-MATCH($L$1,[3]enemies!$1:$1,0)+1),MATCH(P$1,[3]enemies!$1:$1,0)-MATCH($L$1,[3]enemies!$1:$1,0)+1,FALSE)</f>
        <v>god</v>
      </c>
      <c r="Q7" s="125">
        <f ca="1">VLOOKUP($L7,OFFSET([3]enemies!$A$1,0,0,COUNTA([3]enemies!$A:$A),MATCH(Q$1,[3]enemies!$1:$1,0)-MATCH($L$1,[3]enemies!$1:$1,0)+1),MATCH(Q$1,[3]enemies!$1:$1,0)-MATCH($L$1,[3]enemies!$1:$1,0)+1,FALSE)</f>
        <v>60</v>
      </c>
      <c r="R7" s="126">
        <v>65</v>
      </c>
      <c r="S7" s="127">
        <v>2.6</v>
      </c>
      <c r="T7" s="128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0</v>
      </c>
      <c r="U7" s="161">
        <v>0.7</v>
      </c>
      <c r="V7" s="128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0</v>
      </c>
      <c r="W7" s="126">
        <v>0</v>
      </c>
      <c r="X7" s="123" t="e">
        <f ca="1">VLOOKUP($Y7,OFFSET([5]enemy_skill_sets!$B$1,0,0,COUNTA([5]enemy_skill_sets!$B:$B),MATCH(M$1,[5]enemy_skill_sets!$1:$1,0)-MATCH($Y$1,[5]enemy_skill_sets!$1:$1,0)+2),MATCH(M$1,[5]enemy_skill_sets!$1:$1,0)-MATCH($Y$1,[5]enemy_skill_sets!$1:$1,0)+2,FALSE)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7" s="129">
        <v>48014106</v>
      </c>
      <c r="Z7" s="130">
        <v>1</v>
      </c>
      <c r="AA7" s="130">
        <v>100</v>
      </c>
      <c r="AB7" s="130">
        <v>1</v>
      </c>
      <c r="AC7" s="125">
        <v>2</v>
      </c>
      <c r="AD7" s="131">
        <f>L7</f>
        <v>8041</v>
      </c>
      <c r="AE7" s="123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藍采和</v>
      </c>
      <c r="AF7" s="123">
        <f ca="1">VLOOKUP($AD7,OFFSET([4]characters!$A$1,0,0,COUNTA([4]characters!$A:$A),MATCH(AF$1,[4]characters!$1:$1,0)-MATCH("character_id",[4]characters!$1:$1,0)+1),MATCH(AF$1,[4]characters!$1:$1,0)-MATCH("character_id",[4]characters!$1:$1,0)+1,FALSE)</f>
        <v>5</v>
      </c>
      <c r="AG7" s="123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7" s="107">
        <v>1</v>
      </c>
      <c r="AI7" s="131">
        <f ca="1">AF7</f>
        <v>5</v>
      </c>
      <c r="AJ7" s="132">
        <v>15</v>
      </c>
      <c r="AK7" s="107">
        <v>0</v>
      </c>
      <c r="AL7" s="107">
        <v>0</v>
      </c>
      <c r="AM7" s="107">
        <v>0</v>
      </c>
      <c r="AN7" s="107">
        <v>0</v>
      </c>
      <c r="AO7" s="107">
        <v>1</v>
      </c>
      <c r="AP7" s="133">
        <v>1</v>
      </c>
    </row>
    <row r="8" spans="1:42" ht="21" customHeight="1" x14ac:dyDescent="0.15">
      <c r="A8" s="11" t="str">
        <f>B8&amp;"_"&amp;C8&amp;"-"&amp;G8&amp;"/"&amp;L8&amp;"&lt;lv"&amp;R8&amp;"&gt;s"&amp;AC8</f>
        <v>48014_2-1/370&lt;lv80&gt;s2</v>
      </c>
      <c r="B8" s="100">
        <v>48014</v>
      </c>
      <c r="C8" s="102">
        <v>2</v>
      </c>
      <c r="D8" s="104" t="str">
        <f>B8&amp;"_"&amp;C8</f>
        <v>48014_2</v>
      </c>
      <c r="E8" s="2" t="str">
        <f ca="1">VLOOKUP($B8,OFFSET([2]quests!$A$1,0,0,COUNTA([2]quests!$A:$A),MATCH(E$1,[2]quests!$1:$1,0)-MATCH($B$1,[2]quests!$1:$1,0)+1),MATCH(E$1,[2]quests!$1:$1,0)-MATCH($B$1,[2]quests!$1:$1,0)+1,FALSE)</f>
        <v>藍采和襲来！</v>
      </c>
      <c r="F8" s="2" t="str">
        <f ca="1">VLOOKUP($D8,OFFSET([2]stages!$A$1,0,0,COUNTA([2]stages!$A:$A),MATCH(F$1,[2]stages!$2:$2,0)-MATCH($D$1,[2]stages!$2:$2,0)+1),MATCH(F$1,[2]stages!$2:$2,0)-MATCH($D$1,[2]stages!$2:$2,0)+1,FALSE)</f>
        <v>【ウィザード級】藍采和襲来</v>
      </c>
      <c r="G8" s="102">
        <v>1</v>
      </c>
      <c r="H8" s="104" t="str">
        <f>B8&amp;"_"&amp;C8&amp;"-"&amp;G8</f>
        <v>48014_2-1</v>
      </c>
      <c r="I8" s="2">
        <f ca="1">VLOOKUP($H8,OFFSET(floors!$A$1,0,0,COUNTA(floors!$A:$A),MATCH(I$1,floors!$1:$1,0)-MATCH($H$1,floors!$1:$1,0)+1),MATCH(I$1,floors!$1:$1,0)-MATCH($H$1,floors!$1:$1,0)+1,FALSE)</f>
        <v>60</v>
      </c>
      <c r="J8" s="2">
        <f ca="1">VLOOKUP($H8,OFFSET(floors!$A$1,0,0,COUNTA(floors!$A:$A),MATCH(J$1,floors!$1:$1,0)-MATCH($H$1,floors!$1:$1,0)+1),MATCH(J$1,floors!$1:$1,0)-MATCH($H$1,floors!$1:$1,0)+1,FALSE)</f>
        <v>60</v>
      </c>
      <c r="K8" s="105" t="s">
        <v>41</v>
      </c>
      <c r="L8" s="113">
        <v>370</v>
      </c>
      <c r="M8" s="12" t="str">
        <f ca="1">VLOOKUP($L8,OFFSET([3]enemies!$A$1,0,0,COUNTA([3]enemies!$A:$A),MATCH(M$1,[3]enemies!$1:$1,0)-MATCH($L$1,[3]enemies!$1:$1,0)+1),MATCH(M$1,[3]enemies!$1:$1,0)-MATCH($L$1,[3]enemies!$1:$1,0)+1,FALSE)</f>
        <v>タイチ</v>
      </c>
      <c r="N8" s="12" t="str">
        <f ca="1">VLOOKUP($L8,OFFSET([3]enemies!$A$1,0,0,COUNTA([3]enemies!$A:$A),MATCH(N$1,[3]enemies!$1:$1,0)-MATCH($L$1,[3]enemies!$1:$1,0)+1),MATCH(N$1,[3]enemies!$1:$1,0)-MATCH($L$1,[3]enemies!$1:$1,0)+1,FALSE)</f>
        <v>red</v>
      </c>
      <c r="O8" s="12" t="str">
        <f ca="1">VLOOKUP($L8,OFFSET([4]characters!$A$1,0,0,COUNTA([4]characters!$A:$A),MATCH(O$1,[4]characters!$1:$1,0)-MATCH($L$1,[4]characters!$1:$1,0)+1),MATCH(O$1,[4]characters!$1:$1,0)-MATCH($L$1,[4]characters!$1:$1,0)+1,FALSE)</f>
        <v>Drop1S</v>
      </c>
      <c r="P8" s="12" t="str">
        <f ca="1">VLOOKUP($L8,OFFSET([3]enemies!$A$1,0,0,COUNTA([3]enemies!$A:$A),MATCH(P$1,[3]enemies!$1:$1,0)-MATCH($L$1,[3]enemies!$1:$1,0)+1),MATCH(P$1,[3]enemies!$1:$1,0)-MATCH($L$1,[3]enemies!$1:$1,0)+1,FALSE)</f>
        <v>unknown</v>
      </c>
      <c r="Q8" s="12">
        <f ca="1">VLOOKUP($L8,OFFSET([3]enemies!$A$1,0,0,COUNTA([3]enemies!$A:$A),MATCH(Q$1,[3]enemies!$1:$1,0)-MATCH($L$1,[3]enemies!$1:$1,0)+1),MATCH(Q$1,[3]enemies!$1:$1,0)-MATCH($L$1,[3]enemies!$1:$1,0)+1,FALSE)</f>
        <v>15</v>
      </c>
      <c r="R8" s="114">
        <v>80</v>
      </c>
      <c r="S8" s="115">
        <v>3.8</v>
      </c>
      <c r="T8" s="116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61940</v>
      </c>
      <c r="U8" s="115">
        <v>0.5</v>
      </c>
      <c r="V8" s="116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3317</v>
      </c>
      <c r="W8" s="114">
        <v>0</v>
      </c>
      <c r="X8" s="2" t="e">
        <f ca="1">VLOOKUP($Y8,OFFSET([5]enemy_skill_sets!$B$1,0,0,COUNTA([5]enemy_skill_sets!$B:$B),MATCH(M$1,[5]enemy_skill_sets!$1:$1,0)-MATCH($Y$1,[5]enemy_skill_sets!$1:$1,0)+2),MATCH(M$1,[5]enemy_skill_sets!$1:$1,0)-MATCH($Y$1,[5]enemy_skill_sets!$1:$1,0)+2,FALSE)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8" s="117">
        <v>48014100</v>
      </c>
      <c r="Z8" s="118">
        <v>1</v>
      </c>
      <c r="AA8" s="118">
        <v>100</v>
      </c>
      <c r="AB8" s="118">
        <v>1</v>
      </c>
      <c r="AC8" s="12">
        <v>2</v>
      </c>
      <c r="AD8" s="119">
        <f>L8</f>
        <v>370</v>
      </c>
      <c r="AE8" s="2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タイチ</v>
      </c>
      <c r="AF8" s="2">
        <f ca="1">VLOOKUP($AD8,OFFSET([4]characters!$A$1,0,0,COUNTA([4]characters!$A:$A),MATCH(AF$1,[4]characters!$1:$1,0)-MATCH("character_id",[4]characters!$1:$1,0)+1),MATCH(AF$1,[4]characters!$1:$1,0)-MATCH("character_id",[4]characters!$1:$1,0)+1,FALSE)</f>
        <v>2</v>
      </c>
      <c r="AG8" s="2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Drop1S</v>
      </c>
      <c r="AH8" s="100">
        <v>1</v>
      </c>
      <c r="AI8" s="119">
        <f ca="1">AF8</f>
        <v>2</v>
      </c>
      <c r="AJ8" s="120">
        <v>0</v>
      </c>
      <c r="AK8" s="100">
        <v>0</v>
      </c>
      <c r="AL8" s="100">
        <v>0</v>
      </c>
      <c r="AM8" s="100">
        <v>0</v>
      </c>
      <c r="AN8" s="100">
        <v>0</v>
      </c>
      <c r="AO8" s="100">
        <v>1</v>
      </c>
      <c r="AP8" s="121">
        <v>1</v>
      </c>
    </row>
    <row r="9" spans="1:42" ht="21" customHeight="1" x14ac:dyDescent="0.15">
      <c r="A9" s="11" t="str">
        <f>B9&amp;"_"&amp;C9&amp;"-"&amp;G9&amp;"/"&amp;L9&amp;"&lt;lv"&amp;R9&amp;"&gt;s"&amp;AC9</f>
        <v>48014_2-1/364&lt;lv80&gt;s2</v>
      </c>
      <c r="B9" s="94">
        <v>48014</v>
      </c>
      <c r="C9" s="95">
        <v>2</v>
      </c>
      <c r="D9" s="10" t="str">
        <f>B9&amp;"_"&amp;C9</f>
        <v>48014_2</v>
      </c>
      <c r="E9" s="2" t="str">
        <f ca="1">VLOOKUP($B9,OFFSET([2]quests!$A$1,0,0,COUNTA([2]quests!$A:$A),MATCH(E$1,[2]quests!$1:$1,0)-MATCH($B$1,[2]quests!$1:$1,0)+1),MATCH(E$1,[2]quests!$1:$1,0)-MATCH($B$1,[2]quests!$1:$1,0)+1,FALSE)</f>
        <v>藍采和襲来！</v>
      </c>
      <c r="F9" s="2" t="str">
        <f ca="1">VLOOKUP($D9,OFFSET([2]stages!$A$1,0,0,COUNTA([2]stages!$A:$A),MATCH(F$1,[2]stages!$2:$2,0)-MATCH($D$1,[2]stages!$2:$2,0)+1),MATCH(F$1,[2]stages!$2:$2,0)-MATCH($D$1,[2]stages!$2:$2,0)+1,FALSE)</f>
        <v>【ウィザード級】藍采和襲来</v>
      </c>
      <c r="G9" s="95">
        <v>1</v>
      </c>
      <c r="H9" s="10" t="str">
        <f>B9&amp;"_"&amp;C9&amp;"-"&amp;G9</f>
        <v>48014_2-1</v>
      </c>
      <c r="I9" s="2">
        <f ca="1">VLOOKUP($H9,OFFSET(floors!$A$1,0,0,COUNTA(floors!$A:$A),MATCH(I$1,floors!$1:$1,0)-MATCH($H$1,floors!$1:$1,0)+1),MATCH(I$1,floors!$1:$1,0)-MATCH($H$1,floors!$1:$1,0)+1,FALSE)</f>
        <v>60</v>
      </c>
      <c r="J9" s="2">
        <f ca="1">VLOOKUP($H9,OFFSET(floors!$A$1,0,0,COUNTA(floors!$A:$A),MATCH(J$1,floors!$1:$1,0)-MATCH($H$1,floors!$1:$1,0)+1),MATCH(J$1,floors!$1:$1,0)-MATCH($H$1,floors!$1:$1,0)+1,FALSE)</f>
        <v>60</v>
      </c>
      <c r="K9" s="26" t="s">
        <v>41</v>
      </c>
      <c r="L9" s="96">
        <v>364</v>
      </c>
      <c r="M9" s="12" t="str">
        <f ca="1">VLOOKUP($L9,OFFSET([3]enemies!$A$1,0,0,COUNTA([3]enemies!$A:$A),MATCH(M$1,[3]enemies!$1:$1,0)-MATCH($L$1,[3]enemies!$1:$1,0)+1),MATCH(M$1,[3]enemies!$1:$1,0)-MATCH($L$1,[3]enemies!$1:$1,0)+1,FALSE)</f>
        <v>ノエル</v>
      </c>
      <c r="N9" s="12" t="str">
        <f ca="1">VLOOKUP($L9,OFFSET([3]enemies!$A$1,0,0,COUNTA([3]enemies!$A:$A),MATCH(N$1,[3]enemies!$1:$1,0)-MATCH($L$1,[3]enemies!$1:$1,0)+1),MATCH(N$1,[3]enemies!$1:$1,0)-MATCH($L$1,[3]enemies!$1:$1,0)+1,FALSE)</f>
        <v>blue</v>
      </c>
      <c r="O9" s="12" t="str">
        <f ca="1">VLOOKUP($L9,OFFSET([4]characters!$A$1,0,0,COUNTA([4]characters!$A:$A),MATCH(O$1,[4]characters!$1:$1,0)-MATCH($L$1,[4]characters!$1:$1,0)+1),MATCH(O$1,[4]characters!$1:$1,0)-MATCH($L$1,[4]characters!$1:$1,0)+1,FALSE)</f>
        <v>Drop1S</v>
      </c>
      <c r="P9" s="12" t="str">
        <f ca="1">VLOOKUP($L9,OFFSET([3]enemies!$A$1,0,0,COUNTA([3]enemies!$A:$A),MATCH(P$1,[3]enemies!$1:$1,0)-MATCH($L$1,[3]enemies!$1:$1,0)+1),MATCH(P$1,[3]enemies!$1:$1,0)-MATCH($L$1,[3]enemies!$1:$1,0)+1,FALSE)</f>
        <v>animal</v>
      </c>
      <c r="Q9" s="12">
        <f ca="1">VLOOKUP($L9,OFFSET([3]enemies!$A$1,0,0,COUNTA([3]enemies!$A:$A),MATCH(Q$1,[3]enemies!$1:$1,0)-MATCH($L$1,[3]enemies!$1:$1,0)+1),MATCH(Q$1,[3]enemies!$1:$1,0)-MATCH($L$1,[3]enemies!$1:$1,0)+1,FALSE)</f>
        <v>15</v>
      </c>
      <c r="R9" s="3">
        <v>80</v>
      </c>
      <c r="S9" s="16">
        <v>4</v>
      </c>
      <c r="T9" s="91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65200</v>
      </c>
      <c r="U9" s="16">
        <v>0.4</v>
      </c>
      <c r="V9" s="91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2804.4</v>
      </c>
      <c r="W9" s="3">
        <v>0</v>
      </c>
      <c r="X9" s="2" t="str">
        <f ca="1">VLOOKUP($Y9,OFFSET(enemy_skill_sets!$B$1,0,0,COUNTA(enemy_skill_sets!$B:$B),MATCH(M$1,enemy_skill_sets!$1:$1,0)-MATCH($Y$1,enemy_skill_sets!$1:$1,0)+2),MATCH(M$1,enemy_skill_sets!$1:$1,0)-MATCH($Y$1,enemy_skill_sets!$1:$1,0)+2,FALSE)</f>
        <v>4ターンユニット1体の回復力50%DOWN</v>
      </c>
      <c r="Y9" s="35">
        <v>48014101</v>
      </c>
      <c r="Z9" s="4">
        <v>2</v>
      </c>
      <c r="AA9" s="4">
        <v>100</v>
      </c>
      <c r="AB9" s="4">
        <v>0</v>
      </c>
      <c r="AC9" s="12">
        <v>2</v>
      </c>
      <c r="AD9" s="97">
        <f>L9</f>
        <v>364</v>
      </c>
      <c r="AE9" s="2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ノエル</v>
      </c>
      <c r="AF9" s="2">
        <f ca="1">VLOOKUP($AD9,OFFSET([4]characters!$A$1,0,0,COUNTA([4]characters!$A:$A),MATCH(AF$1,[4]characters!$1:$1,0)-MATCH("character_id",[4]characters!$1:$1,0)+1),MATCH(AF$1,[4]characters!$1:$1,0)-MATCH("character_id",[4]characters!$1:$1,0)+1,FALSE)</f>
        <v>2</v>
      </c>
      <c r="AG9" s="2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Drop1S</v>
      </c>
      <c r="AH9" s="94">
        <v>1</v>
      </c>
      <c r="AI9" s="97">
        <f ca="1">AF9</f>
        <v>2</v>
      </c>
      <c r="AJ9" s="5">
        <v>0</v>
      </c>
      <c r="AK9" s="94">
        <v>0</v>
      </c>
      <c r="AL9" s="94">
        <v>0</v>
      </c>
      <c r="AM9" s="94">
        <v>0</v>
      </c>
      <c r="AN9" s="94">
        <v>0</v>
      </c>
      <c r="AO9" s="94">
        <v>1</v>
      </c>
      <c r="AP9" s="57">
        <v>1</v>
      </c>
    </row>
    <row r="10" spans="1:42" ht="21" customHeight="1" x14ac:dyDescent="0.15">
      <c r="A10" s="11" t="str">
        <f t="shared" ref="A10:A12" si="5">B10&amp;"_"&amp;C10&amp;"-"&amp;G10&amp;"/"&amp;L10&amp;"&lt;lv"&amp;R10&amp;"&gt;s"&amp;AC10</f>
        <v>48014_2-2/92&lt;lv80&gt;s2</v>
      </c>
      <c r="B10" s="94">
        <v>48014</v>
      </c>
      <c r="C10" s="95">
        <v>2</v>
      </c>
      <c r="D10" s="10" t="str">
        <f t="shared" ref="D10:D12" si="6">B10&amp;"_"&amp;C10</f>
        <v>48014_2</v>
      </c>
      <c r="E10" s="2" t="str">
        <f ca="1">VLOOKUP($B10,OFFSET([2]quests!$A$1,0,0,COUNTA([2]quests!$A:$A),MATCH(E$1,[2]quests!$1:$1,0)-MATCH($B$1,[2]quests!$1:$1,0)+1),MATCH(E$1,[2]quests!$1:$1,0)-MATCH($B$1,[2]quests!$1:$1,0)+1,FALSE)</f>
        <v>藍采和襲来！</v>
      </c>
      <c r="F10" s="2" t="str">
        <f ca="1">VLOOKUP($D10,OFFSET([2]stages!$A$1,0,0,COUNTA([2]stages!$A:$A),MATCH(F$1,[2]stages!$2:$2,0)-MATCH($D$1,[2]stages!$2:$2,0)+1),MATCH(F$1,[2]stages!$2:$2,0)-MATCH($D$1,[2]stages!$2:$2,0)+1,FALSE)</f>
        <v>【ウィザード級】藍采和襲来</v>
      </c>
      <c r="G10" s="95">
        <v>2</v>
      </c>
      <c r="H10" s="10" t="str">
        <f t="shared" ref="H10:H12" si="7">B10&amp;"_"&amp;C10&amp;"-"&amp;G10</f>
        <v>48014_2-2</v>
      </c>
      <c r="I10" s="2">
        <f ca="1">VLOOKUP($H10,OFFSET(floors!$A$1,0,0,COUNTA(floors!$A:$A),MATCH(I$1,floors!$1:$1,0)-MATCH($H$1,floors!$1:$1,0)+1),MATCH(I$1,floors!$1:$1,0)-MATCH($H$1,floors!$1:$1,0)+1,FALSE)</f>
        <v>60</v>
      </c>
      <c r="J10" s="2">
        <f ca="1">VLOOKUP($H10,OFFSET(floors!$A$1,0,0,COUNTA(floors!$A:$A),MATCH(J$1,floors!$1:$1,0)-MATCH($H$1,floors!$1:$1,0)+1),MATCH(J$1,floors!$1:$1,0)-MATCH($H$1,floors!$1:$1,0)+1,FALSE)</f>
        <v>60</v>
      </c>
      <c r="K10" s="26">
        <v>3</v>
      </c>
      <c r="L10" s="96">
        <v>92</v>
      </c>
      <c r="M10" s="12" t="str">
        <f ca="1">VLOOKUP($L10,OFFSET([3]enemies!$A$1,0,0,COUNTA([3]enemies!$A:$A),MATCH(M$1,[3]enemies!$1:$1,0)-MATCH($L$1,[3]enemies!$1:$1,0)+1),MATCH(M$1,[3]enemies!$1:$1,0)-MATCH($L$1,[3]enemies!$1:$1,0)+1,FALSE)</f>
        <v>守護者 青龍</v>
      </c>
      <c r="N10" s="12" t="str">
        <f ca="1">VLOOKUP($L10,OFFSET([3]enemies!$A$1,0,0,COUNTA([3]enemies!$A:$A),MATCH(N$1,[3]enemies!$1:$1,0)-MATCH($L$1,[3]enemies!$1:$1,0)+1),MATCH(N$1,[3]enemies!$1:$1,0)-MATCH($L$1,[3]enemies!$1:$1,0)+1,FALSE)</f>
        <v>blue</v>
      </c>
      <c r="O10" s="12" t="str">
        <f ca="1">VLOOKUP($L10,OFFSET([4]characters!$A$1,0,0,COUNTA([4]characters!$A:$A),MATCH(O$1,[4]characters!$1:$1,0)-MATCH($L$1,[4]characters!$1:$1,0)+1),MATCH(O$1,[4]characters!$1:$1,0)-MATCH($L$1,[4]characters!$1:$1,0)+1,FALSE)</f>
        <v>Drop2N</v>
      </c>
      <c r="P10" s="12" t="str">
        <f ca="1">VLOOKUP($L10,OFFSET([3]enemies!$A$1,0,0,COUNTA([3]enemies!$A:$A),MATCH(P$1,[3]enemies!$1:$1,0)-MATCH($L$1,[3]enemies!$1:$1,0)+1),MATCH(P$1,[3]enemies!$1:$1,0)-MATCH($L$1,[3]enemies!$1:$1,0)+1,FALSE)</f>
        <v>dragon</v>
      </c>
      <c r="Q10" s="12">
        <f ca="1">VLOOKUP($L10,OFFSET([3]enemies!$A$1,0,0,COUNTA([3]enemies!$A:$A),MATCH(Q$1,[3]enemies!$1:$1,0)-MATCH($L$1,[3]enemies!$1:$1,0)+1),MATCH(Q$1,[3]enemies!$1:$1,0)-MATCH($L$1,[3]enemies!$1:$1,0)+1,FALSE)</f>
        <v>30</v>
      </c>
      <c r="R10" s="3">
        <v>80</v>
      </c>
      <c r="S10" s="16">
        <v>1.7</v>
      </c>
      <c r="T10" s="91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207133.1</v>
      </c>
      <c r="U10" s="16">
        <v>0.6</v>
      </c>
      <c r="V10" s="91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5345.4</v>
      </c>
      <c r="W10" s="3">
        <v>0</v>
      </c>
      <c r="X10" s="2" t="str">
        <f ca="1">VLOOKUP($Y10,OFFSET(enemy_skill_sets!$B$1,0,0,COUNTA(enemy_skill_sets!$B:$B),MATCH(M$1,enemy_skill_sets!$1:$1,0)-MATCH($Y$1,enemy_skill_sets!$1:$1,0)+2),MATCH(M$1,enemy_skill_sets!$1:$1,0)-MATCH($Y$1,enemy_skill_sets!$1:$1,0)+2,FALSE)</f>
        <v>3ターン全ユニットのCパネル生成延長(効果特大)</v>
      </c>
      <c r="Y10" s="35">
        <v>48014102</v>
      </c>
      <c r="Z10" s="4">
        <v>1</v>
      </c>
      <c r="AA10" s="4">
        <v>100</v>
      </c>
      <c r="AB10" s="4">
        <v>1</v>
      </c>
      <c r="AC10" s="12">
        <v>2</v>
      </c>
      <c r="AD10" s="97">
        <v>91</v>
      </c>
      <c r="AE10" s="2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青龍</v>
      </c>
      <c r="AF10" s="2">
        <f ca="1">VLOOKUP($AD10,OFFSET([4]characters!$A$1,0,0,COUNTA([4]characters!$A:$A),MATCH(AF$1,[4]characters!$1:$1,0)-MATCH("character_id",[4]characters!$1:$1,0)+1),MATCH(AF$1,[4]characters!$1:$1,0)-MATCH("character_id",[4]characters!$1:$1,0)+1,FALSE)</f>
        <v>3</v>
      </c>
      <c r="AG10" s="2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Drop2N</v>
      </c>
      <c r="AH10" s="94">
        <v>1</v>
      </c>
      <c r="AI10" s="97">
        <f t="shared" ref="AI10:AI12" ca="1" si="8">AF10</f>
        <v>3</v>
      </c>
      <c r="AJ10" s="5">
        <v>0</v>
      </c>
      <c r="AK10" s="94">
        <v>0</v>
      </c>
      <c r="AL10" s="94">
        <v>0</v>
      </c>
      <c r="AM10" s="94">
        <v>0</v>
      </c>
      <c r="AN10" s="94">
        <v>0</v>
      </c>
      <c r="AO10" s="94">
        <v>1</v>
      </c>
      <c r="AP10" s="57">
        <v>1</v>
      </c>
    </row>
    <row r="11" spans="1:42" ht="21" customHeight="1" x14ac:dyDescent="0.15">
      <c r="A11" s="11" t="str">
        <f t="shared" si="5"/>
        <v>48014_2-3/138&lt;lv80&gt;s1</v>
      </c>
      <c r="B11" s="94">
        <v>48014</v>
      </c>
      <c r="C11" s="95">
        <v>2</v>
      </c>
      <c r="D11" s="10" t="str">
        <f t="shared" si="6"/>
        <v>48014_2</v>
      </c>
      <c r="E11" s="2" t="str">
        <f ca="1">VLOOKUP($B11,OFFSET([2]quests!$A$1,0,0,COUNTA([2]quests!$A:$A),MATCH(E$1,[2]quests!$1:$1,0)-MATCH($B$1,[2]quests!$1:$1,0)+1),MATCH(E$1,[2]quests!$1:$1,0)-MATCH($B$1,[2]quests!$1:$1,0)+1,FALSE)</f>
        <v>藍采和襲来！</v>
      </c>
      <c r="F11" s="2" t="str">
        <f ca="1">VLOOKUP($D11,OFFSET([2]stages!$A$1,0,0,COUNTA([2]stages!$A:$A),MATCH(F$1,[2]stages!$2:$2,0)-MATCH($D$1,[2]stages!$2:$2,0)+1),MATCH(F$1,[2]stages!$2:$2,0)-MATCH($D$1,[2]stages!$2:$2,0)+1,FALSE)</f>
        <v>【ウィザード級】藍采和襲来</v>
      </c>
      <c r="G11" s="95">
        <v>3</v>
      </c>
      <c r="H11" s="10" t="str">
        <f t="shared" si="7"/>
        <v>48014_2-3</v>
      </c>
      <c r="I11" s="2">
        <f ca="1">VLOOKUP($H11,OFFSET(floors!$A$1,0,0,COUNTA(floors!$A:$A),MATCH(I$1,floors!$1:$1,0)-MATCH($H$1,floors!$1:$1,0)+1),MATCH(I$1,floors!$1:$1,0)-MATCH($H$1,floors!$1:$1,0)+1,FALSE)</f>
        <v>60</v>
      </c>
      <c r="J11" s="2">
        <f ca="1">VLOOKUP($H11,OFFSET(floors!$A$1,0,0,COUNTA(floors!$A:$A),MATCH(J$1,floors!$1:$1,0)-MATCH($H$1,floors!$1:$1,0)+1),MATCH(J$1,floors!$1:$1,0)-MATCH($H$1,floors!$1:$1,0)+1,FALSE)</f>
        <v>60</v>
      </c>
      <c r="K11" s="26" t="s">
        <v>41</v>
      </c>
      <c r="L11" s="96">
        <v>138</v>
      </c>
      <c r="M11" s="12" t="str">
        <f ca="1">VLOOKUP($L11,OFFSET([3]enemies!$A$1,0,0,COUNTA([3]enemies!$A:$A),MATCH(M$1,[3]enemies!$1:$1,0)-MATCH($L$1,[3]enemies!$1:$1,0)+1),MATCH(M$1,[3]enemies!$1:$1,0)-MATCH($L$1,[3]enemies!$1:$1,0)+1,FALSE)</f>
        <v>蒼薙のトモエ</v>
      </c>
      <c r="N11" s="12" t="str">
        <f ca="1">VLOOKUP($L11,OFFSET([3]enemies!$A$1,0,0,COUNTA([3]enemies!$A:$A),MATCH(N$1,[3]enemies!$1:$1,0)-MATCH($L$1,[3]enemies!$1:$1,0)+1),MATCH(N$1,[3]enemies!$1:$1,0)-MATCH($L$1,[3]enemies!$1:$1,0)+1,FALSE)</f>
        <v>blue</v>
      </c>
      <c r="O11" s="12" t="str">
        <f ca="1">VLOOKUP($L11,OFFSET([4]characters!$A$1,0,0,COUNTA([4]characters!$A:$A),MATCH(O$1,[4]characters!$1:$1,0)-MATCH($L$1,[4]characters!$1:$1,0)+1),MATCH(O$1,[4]characters!$1:$1,0)-MATCH($L$1,[4]characters!$1:$1,0)+1,FALSE)</f>
        <v>PremiumW</v>
      </c>
      <c r="P11" s="12" t="str">
        <f ca="1">VLOOKUP($L11,OFFSET([3]enemies!$A$1,0,0,COUNTA([3]enemies!$A:$A),MATCH(P$1,[3]enemies!$1:$1,0)-MATCH($L$1,[3]enemies!$1:$1,0)+1),MATCH(P$1,[3]enemies!$1:$1,0)-MATCH($L$1,[3]enemies!$1:$1,0)+1,FALSE)</f>
        <v>human</v>
      </c>
      <c r="Q11" s="12">
        <f ca="1">VLOOKUP($L11,OFFSET([3]enemies!$A$1,0,0,COUNTA([3]enemies!$A:$A),MATCH(Q$1,[3]enemies!$1:$1,0)-MATCH($L$1,[3]enemies!$1:$1,0)+1),MATCH(Q$1,[3]enemies!$1:$1,0)-MATCH($L$1,[3]enemies!$1:$1,0)+1,FALSE)</f>
        <v>20</v>
      </c>
      <c r="R11" s="3">
        <v>80</v>
      </c>
      <c r="S11" s="16">
        <v>4</v>
      </c>
      <c r="T11" s="91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337084</v>
      </c>
      <c r="U11" s="16">
        <v>0.6</v>
      </c>
      <c r="V11" s="91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4440.5999999999995</v>
      </c>
      <c r="W11" s="3">
        <v>0</v>
      </c>
      <c r="X11" s="2" t="str">
        <f ca="1">VLOOKUP($Y11,OFFSET(enemy_skill_sets!$B$1,0,0,COUNTA(enemy_skill_sets!$B:$B),MATCH(M$1,enemy_skill_sets!$1:$1,0)-MATCH($Y$1,enemy_skill_sets!$1:$1,0)+2),MATCH(M$1,enemy_skill_sets!$1:$1,0)-MATCH($Y$1,enemy_skill_sets!$1:$1,0)+2,FALSE)</f>
        <v>全体攻撃</v>
      </c>
      <c r="Y11" s="35">
        <v>48014104</v>
      </c>
      <c r="Z11" s="4">
        <v>1</v>
      </c>
      <c r="AA11" s="4">
        <v>100</v>
      </c>
      <c r="AB11" s="4">
        <v>1</v>
      </c>
      <c r="AC11" s="12">
        <v>1</v>
      </c>
      <c r="AD11" s="97">
        <v>138</v>
      </c>
      <c r="AE11" s="2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蒼薙のトモエ</v>
      </c>
      <c r="AF11" s="2">
        <f ca="1">VLOOKUP($AD11,OFFSET([4]characters!$A$1,0,0,COUNTA([4]characters!$A:$A),MATCH(AF$1,[4]characters!$1:$1,0)-MATCH("character_id",[4]characters!$1:$1,0)+1),MATCH(AF$1,[4]characters!$1:$1,0)-MATCH("character_id",[4]characters!$1:$1,0)+1,FALSE)</f>
        <v>3</v>
      </c>
      <c r="AG11" s="2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11" s="94">
        <v>1</v>
      </c>
      <c r="AI11" s="97">
        <f t="shared" ca="1" si="8"/>
        <v>3</v>
      </c>
      <c r="AJ11" s="5">
        <v>0</v>
      </c>
      <c r="AK11" s="94">
        <v>0</v>
      </c>
      <c r="AL11" s="94">
        <v>0</v>
      </c>
      <c r="AM11" s="94">
        <v>0</v>
      </c>
      <c r="AN11" s="94">
        <v>0</v>
      </c>
      <c r="AO11" s="94">
        <v>1</v>
      </c>
      <c r="AP11" s="57">
        <v>1</v>
      </c>
    </row>
    <row r="12" spans="1:42" ht="21" customHeight="1" x14ac:dyDescent="0.15">
      <c r="A12" s="11" t="str">
        <f t="shared" si="5"/>
        <v>48014_2-3/61&lt;lv80&gt;s2</v>
      </c>
      <c r="B12" s="94">
        <v>48014</v>
      </c>
      <c r="C12" s="95">
        <v>2</v>
      </c>
      <c r="D12" s="10" t="str">
        <f t="shared" si="6"/>
        <v>48014_2</v>
      </c>
      <c r="E12" s="2" t="str">
        <f ca="1">VLOOKUP($B12,OFFSET([2]quests!$A$1,0,0,COUNTA([2]quests!$A:$A),MATCH(E$1,[2]quests!$1:$1,0)-MATCH($B$1,[2]quests!$1:$1,0)+1),MATCH(E$1,[2]quests!$1:$1,0)-MATCH($B$1,[2]quests!$1:$1,0)+1,FALSE)</f>
        <v>藍采和襲来！</v>
      </c>
      <c r="F12" s="2" t="str">
        <f ca="1">VLOOKUP($D12,OFFSET([2]stages!$A$1,0,0,COUNTA([2]stages!$A:$A),MATCH(F$1,[2]stages!$2:$2,0)-MATCH($D$1,[2]stages!$2:$2,0)+1),MATCH(F$1,[2]stages!$2:$2,0)-MATCH($D$1,[2]stages!$2:$2,0)+1,FALSE)</f>
        <v>【ウィザード級】藍采和襲来</v>
      </c>
      <c r="G12" s="95">
        <v>3</v>
      </c>
      <c r="H12" s="10" t="str">
        <f t="shared" si="7"/>
        <v>48014_2-3</v>
      </c>
      <c r="I12" s="2">
        <f ca="1">VLOOKUP($H12,OFFSET(floors!$A$1,0,0,COUNTA(floors!$A:$A),MATCH(I$1,floors!$1:$1,0)-MATCH($H$1,floors!$1:$1,0)+1),MATCH(I$1,floors!$1:$1,0)-MATCH($H$1,floors!$1:$1,0)+1,FALSE)</f>
        <v>60</v>
      </c>
      <c r="J12" s="2">
        <f ca="1">VLOOKUP($H12,OFFSET(floors!$A$1,0,0,COUNTA(floors!$A:$A),MATCH(J$1,floors!$1:$1,0)-MATCH($H$1,floors!$1:$1,0)+1),MATCH(J$1,floors!$1:$1,0)-MATCH($H$1,floors!$1:$1,0)+1,FALSE)</f>
        <v>60</v>
      </c>
      <c r="K12" s="26" t="s">
        <v>41</v>
      </c>
      <c r="L12" s="96">
        <v>61</v>
      </c>
      <c r="M12" s="12" t="str">
        <f ca="1">VLOOKUP($L12,OFFSET([3]enemies!$A$1,0,0,COUNTA([3]enemies!$A:$A),MATCH(M$1,[3]enemies!$1:$1,0)-MATCH($L$1,[3]enemies!$1:$1,0)+1),MATCH(M$1,[3]enemies!$1:$1,0)-MATCH($L$1,[3]enemies!$1:$1,0)+1,FALSE)</f>
        <v>クロウ</v>
      </c>
      <c r="N12" s="12" t="str">
        <f ca="1">VLOOKUP($L12,OFFSET([3]enemies!$A$1,0,0,COUNTA([3]enemies!$A:$A),MATCH(N$1,[3]enemies!$1:$1,0)-MATCH($L$1,[3]enemies!$1:$1,0)+1),MATCH(N$1,[3]enemies!$1:$1,0)-MATCH($L$1,[3]enemies!$1:$1,0)+1,FALSE)</f>
        <v>blue</v>
      </c>
      <c r="O12" s="12" t="str">
        <f ca="1">VLOOKUP($L12,OFFSET([4]characters!$A$1,0,0,COUNTA([4]characters!$A:$A),MATCH(O$1,[4]characters!$1:$1,0)-MATCH($L$1,[4]characters!$1:$1,0)+1),MATCH(O$1,[4]characters!$1:$1,0)-MATCH($L$1,[4]characters!$1:$1,0)+1,FALSE)</f>
        <v>Drop1N</v>
      </c>
      <c r="P12" s="12" t="str">
        <f ca="1">VLOOKUP($L12,OFFSET([3]enemies!$A$1,0,0,COUNTA([3]enemies!$A:$A),MATCH(P$1,[3]enemies!$1:$1,0)-MATCH($L$1,[3]enemies!$1:$1,0)+1),MATCH(P$1,[3]enemies!$1:$1,0)-MATCH($L$1,[3]enemies!$1:$1,0)+1,FALSE)</f>
        <v>animal</v>
      </c>
      <c r="Q12" s="12">
        <f ca="1">VLOOKUP($L12,OFFSET([3]enemies!$A$1,0,0,COUNTA([3]enemies!$A:$A),MATCH(Q$1,[3]enemies!$1:$1,0)-MATCH($L$1,[3]enemies!$1:$1,0)+1),MATCH(Q$1,[3]enemies!$1:$1,0)-MATCH($L$1,[3]enemies!$1:$1,0)+1,FALSE)</f>
        <v>15</v>
      </c>
      <c r="R12" s="3">
        <v>80</v>
      </c>
      <c r="S12" s="16">
        <v>8</v>
      </c>
      <c r="T12" s="91">
        <f ca="1">ROUND(VLOOKUP(R12,[3]enemy_base_stats!$A:$F,2,FALSE) *INDIRECT("[EnemyMasterData.xlsm]enemies!Y"&amp;(L12+1))*  INDIRECT("[EnemyMasterData.xlsm]enemies!J"&amp;(L12+1))* INDIRECT("[EnemyMasterData.xlsm]enemies!O"&amp;(L12+1))* INDIRECT("[EnemyMasterData.xlsm]enemies!E"&amp;(L12+1))* INDIRECT("[EnemyMasterData.xlsm]enemies!S"&amp;(L12+1))* INDIRECT("[EnemyMasterData.xlsm]enemies!AD"&amp;(L12+1))*[4]ステータス!$B$2,0)*S12</f>
        <v>104320</v>
      </c>
      <c r="U12" s="16">
        <v>0.8</v>
      </c>
      <c r="V12" s="91">
        <f ca="1">ROUND(VLOOKUP(R12,[3]enemy_base_stats!$A:$F,3,FALSE) *INDIRECT("[EnemyMasterData.xlsm]enemies!Z"&amp;(L12+1))*  INDIRECT("[EnemyMasterData.xlsm]enemies!K"&amp;(L12+1))* INDIRECT("[EnemyMasterData.xlsm]enemies!P"&amp;(L12+1))* INDIRECT("[EnemyMasterData.xlsm]enemies!F"&amp;(L12+1))* INDIRECT("[EnemyMasterData.xlsm]enemies!T"&amp;(L12+1))* INDIRECT("[EnemyMasterData.xlsm]enemies!AE"&amp;(L12+1))*[4]ステータス!$C$2,0)*U12</f>
        <v>3289.6000000000004</v>
      </c>
      <c r="W12" s="3">
        <v>0</v>
      </c>
      <c r="X12" s="2" t="str">
        <f ca="1">VLOOKUP($Y12,OFFSET(enemy_skill_sets!$B$1,0,0,COUNTA(enemy_skill_sets!$B:$B),MATCH(M$1,enemy_skill_sets!$1:$1,0)-MATCH($Y$1,enemy_skill_sets!$1:$1,0)+2),MATCH(M$1,enemy_skill_sets!$1:$1,0)-MATCH($Y$1,enemy_skill_sets!$1:$1,0)+2,FALSE)</f>
        <v>1ターンユニット1体にスリープ+クリティカル！</v>
      </c>
      <c r="Y12" s="35">
        <v>48014105</v>
      </c>
      <c r="Z12" s="4">
        <v>2</v>
      </c>
      <c r="AA12" s="4">
        <v>100</v>
      </c>
      <c r="AB12" s="4">
        <v>0</v>
      </c>
      <c r="AC12" s="12">
        <v>2</v>
      </c>
      <c r="AD12" s="97">
        <f t="shared" ref="AD12" si="9">L12</f>
        <v>61</v>
      </c>
      <c r="AE12" s="2" t="str">
        <f ca="1">VLOOKUP($AD12,OFFSET([4]characters!$A$1,0,0,COUNTA([4]characters!$A:$A),MATCH(AE$1,[4]characters!$1:$1,0)-MATCH("character_id",[4]characters!$1:$1,0)+1),MATCH(AE$1,[4]characters!$1:$1,0)-MATCH("character_id",[4]characters!$1:$1,0)+1,FALSE)</f>
        <v>クロウ</v>
      </c>
      <c r="AF12" s="2">
        <f ca="1">VLOOKUP($AD12,OFFSET([4]characters!$A$1,0,0,COUNTA([4]characters!$A:$A),MATCH(AF$1,[4]characters!$1:$1,0)-MATCH("character_id",[4]characters!$1:$1,0)+1),MATCH(AF$1,[4]characters!$1:$1,0)-MATCH("character_id",[4]characters!$1:$1,0)+1,FALSE)</f>
        <v>2</v>
      </c>
      <c r="AG12" s="2" t="str">
        <f ca="1">VLOOKUP($AD12,OFFSET([4]characters!$A$1,0,0,COUNTA([4]characters!$A:$A),MATCH(AG$1,[4]characters!$1:$1,0)-MATCH("character_id",[4]characters!$1:$1,0)+1),MATCH(AG$1,[4]characters!$1:$1,0)-MATCH("character_id",[4]characters!$1:$1,0)+1,FALSE)</f>
        <v>Drop1N</v>
      </c>
      <c r="AH12" s="94">
        <v>1</v>
      </c>
      <c r="AI12" s="97">
        <f t="shared" ca="1" si="8"/>
        <v>2</v>
      </c>
      <c r="AJ12" s="5">
        <v>0</v>
      </c>
      <c r="AK12" s="94">
        <v>0</v>
      </c>
      <c r="AL12" s="94">
        <v>0</v>
      </c>
      <c r="AM12" s="94">
        <v>0</v>
      </c>
      <c r="AN12" s="94">
        <v>0</v>
      </c>
      <c r="AO12" s="94">
        <v>1</v>
      </c>
      <c r="AP12" s="57">
        <v>1</v>
      </c>
    </row>
    <row r="13" spans="1:42" ht="21" customHeight="1" x14ac:dyDescent="0.15">
      <c r="A13" s="11" t="str">
        <f>B13&amp;"_"&amp;C13&amp;"-"&amp;G13&amp;"/"&amp;L13&amp;"&lt;lv"&amp;R13&amp;"&gt;s"&amp;AC13</f>
        <v>48014_2-4/8041&lt;lv80&gt;s2</v>
      </c>
      <c r="B13" s="94">
        <v>48014</v>
      </c>
      <c r="C13" s="95">
        <v>2</v>
      </c>
      <c r="D13" s="10" t="str">
        <f>B13&amp;"_"&amp;C13</f>
        <v>48014_2</v>
      </c>
      <c r="E13" s="2" t="str">
        <f ca="1">VLOOKUP($B13,OFFSET([2]quests!$A$1,0,0,COUNTA([2]quests!$A:$A),MATCH(E$1,[2]quests!$1:$1,0)-MATCH($B$1,[2]quests!$1:$1,0)+1),MATCH(E$1,[2]quests!$1:$1,0)-MATCH($B$1,[2]quests!$1:$1,0)+1,FALSE)</f>
        <v>藍采和襲来！</v>
      </c>
      <c r="F13" s="2" t="str">
        <f ca="1">VLOOKUP($D13,OFFSET([2]stages!$A$1,0,0,COUNTA([2]stages!$A:$A),MATCH(F$1,[2]stages!$2:$2,0)-MATCH($D$1,[2]stages!$2:$2,0)+1),MATCH(F$1,[2]stages!$2:$2,0)-MATCH($D$1,[2]stages!$2:$2,0)+1,FALSE)</f>
        <v>【ウィザード級】藍采和襲来</v>
      </c>
      <c r="G13" s="95">
        <v>4</v>
      </c>
      <c r="H13" s="10" t="str">
        <f>B13&amp;"_"&amp;C13&amp;"-"&amp;G13</f>
        <v>48014_2-4</v>
      </c>
      <c r="I13" s="2">
        <f ca="1">VLOOKUP($H13,OFFSET(floors!$A$1,0,0,COUNTA(floors!$A:$A),MATCH(I$1,floors!$1:$1,0)-MATCH($H$1,floors!$1:$1,0)+1),MATCH(I$1,floors!$1:$1,0)-MATCH($H$1,floors!$1:$1,0)+1,FALSE)</f>
        <v>60</v>
      </c>
      <c r="J13" s="2">
        <f ca="1">VLOOKUP($H13,OFFSET(floors!$A$1,0,0,COUNTA(floors!$A:$A),MATCH(J$1,floors!$1:$1,0)-MATCH($H$1,floors!$1:$1,0)+1),MATCH(J$1,floors!$1:$1,0)-MATCH($H$1,floors!$1:$1,0)+1,FALSE)</f>
        <v>60</v>
      </c>
      <c r="K13" s="26">
        <v>4</v>
      </c>
      <c r="L13" s="96">
        <v>8041</v>
      </c>
      <c r="M13" s="12" t="str">
        <f ca="1">VLOOKUP($L13,OFFSET([3]enemies!$A$1,0,0,COUNTA([3]enemies!$A:$A),MATCH(M$1,[3]enemies!$1:$1,0)-MATCH($L$1,[3]enemies!$1:$1,0)+1),MATCH(M$1,[3]enemies!$1:$1,0)-MATCH($L$1,[3]enemies!$1:$1,0)+1,FALSE)</f>
        <v>藍采和</v>
      </c>
      <c r="N13" s="12" t="str">
        <f ca="1">VLOOKUP($L13,OFFSET([3]enemies!$A$1,0,0,COUNTA([3]enemies!$A:$A),MATCH(N$1,[3]enemies!$1:$1,0)-MATCH($L$1,[3]enemies!$1:$1,0)+1),MATCH(N$1,[3]enemies!$1:$1,0)-MATCH($L$1,[3]enemies!$1:$1,0)+1,FALSE)</f>
        <v>blue</v>
      </c>
      <c r="O13" s="12" t="str">
        <f ca="1">VLOOKUP($L13,OFFSET([4]characters!$A$1,0,0,COUNTA([4]characters!$A:$A),MATCH(O$1,[4]characters!$1:$1,0)-MATCH($L$1,[4]characters!$1:$1,0)+1),MATCH(O$1,[4]characters!$1:$1,0)-MATCH($L$1,[4]characters!$1:$1,0)+1,FALSE)</f>
        <v>DropWizS</v>
      </c>
      <c r="P13" s="12" t="str">
        <f ca="1">VLOOKUP($L13,OFFSET([3]enemies!$A$1,0,0,COUNTA([3]enemies!$A:$A),MATCH(P$1,[3]enemies!$1:$1,0)-MATCH($L$1,[3]enemies!$1:$1,0)+1),MATCH(P$1,[3]enemies!$1:$1,0)-MATCH($L$1,[3]enemies!$1:$1,0)+1,FALSE)</f>
        <v>god</v>
      </c>
      <c r="Q13" s="12">
        <f ca="1">VLOOKUP($L13,OFFSET([3]enemies!$A$1,0,0,COUNTA([3]enemies!$A:$A),MATCH(Q$1,[3]enemies!$1:$1,0)-MATCH($L$1,[3]enemies!$1:$1,0)+1),MATCH(Q$1,[3]enemies!$1:$1,0)-MATCH($L$1,[3]enemies!$1:$1,0)+1,FALSE)</f>
        <v>60</v>
      </c>
      <c r="R13" s="3">
        <v>80</v>
      </c>
      <c r="S13" s="16">
        <v>2.6</v>
      </c>
      <c r="T13" s="91">
        <f ca="1">ROUND(VLOOKUP(R13,[3]enemy_base_stats!$A:$F,2,FALSE) *INDIRECT("[EnemyMasterData.xlsm]enemies!Y"&amp;(L13+1))*  INDIRECT("[EnemyMasterData.xlsm]enemies!J"&amp;(L13+1))* INDIRECT("[EnemyMasterData.xlsm]enemies!O"&amp;(L13+1))* INDIRECT("[EnemyMasterData.xlsm]enemies!E"&amp;(L13+1))* INDIRECT("[EnemyMasterData.xlsm]enemies!S"&amp;(L13+1))* INDIRECT("[EnemyMasterData.xlsm]enemies!AD"&amp;(L13+1))*[4]ステータス!$B$2,0)*S13</f>
        <v>0</v>
      </c>
      <c r="U13" s="16">
        <v>0.7</v>
      </c>
      <c r="V13" s="91">
        <f ca="1">ROUND(VLOOKUP(R13,[3]enemy_base_stats!$A:$F,3,FALSE) *INDIRECT("[EnemyMasterData.xlsm]enemies!Z"&amp;(L13+1))*  INDIRECT("[EnemyMasterData.xlsm]enemies!K"&amp;(L13+1))* INDIRECT("[EnemyMasterData.xlsm]enemies!P"&amp;(L13+1))* INDIRECT("[EnemyMasterData.xlsm]enemies!F"&amp;(L13+1))* INDIRECT("[EnemyMasterData.xlsm]enemies!T"&amp;(L13+1))* INDIRECT("[EnemyMasterData.xlsm]enemies!AE"&amp;(L13+1))*[4]ステータス!$C$2,0)*U13</f>
        <v>0</v>
      </c>
      <c r="W13" s="3">
        <v>0</v>
      </c>
      <c r="X13" s="2" t="e">
        <f ca="1">VLOOKUP($Y13,OFFSET([5]enemy_skill_sets!$B$1,0,0,COUNTA([5]enemy_skill_sets!$B:$B),MATCH(M$1,[5]enemy_skill_sets!$1:$1,0)-MATCH($Y$1,[5]enemy_skill_sets!$1:$1,0)+2),MATCH(M$1,[5]enemy_skill_sets!$1:$1,0)-MATCH($Y$1,[5]enemy_skill_sets!$1:$1,0)+2,FALSE)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13" s="35">
        <v>48014106</v>
      </c>
      <c r="Z13" s="4">
        <v>1</v>
      </c>
      <c r="AA13" s="4">
        <v>100</v>
      </c>
      <c r="AB13" s="4">
        <v>1</v>
      </c>
      <c r="AC13" s="12">
        <v>2</v>
      </c>
      <c r="AD13" s="97">
        <f>L13</f>
        <v>8041</v>
      </c>
      <c r="AE13" s="2" t="str">
        <f ca="1">VLOOKUP($AD13,OFFSET([4]characters!$A$1,0,0,COUNTA([4]characters!$A:$A),MATCH(AE$1,[4]characters!$1:$1,0)-MATCH("character_id",[4]characters!$1:$1,0)+1),MATCH(AE$1,[4]characters!$1:$1,0)-MATCH("character_id",[4]characters!$1:$1,0)+1,FALSE)</f>
        <v>藍采和</v>
      </c>
      <c r="AF13" s="2">
        <f ca="1">VLOOKUP($AD13,OFFSET([4]characters!$A$1,0,0,COUNTA([4]characters!$A:$A),MATCH(AF$1,[4]characters!$1:$1,0)-MATCH("character_id",[4]characters!$1:$1,0)+1),MATCH(AF$1,[4]characters!$1:$1,0)-MATCH("character_id",[4]characters!$1:$1,0)+1,FALSE)</f>
        <v>5</v>
      </c>
      <c r="AG13" s="2" t="str">
        <f ca="1">VLOOKUP($AD13,OFFSET([4]characters!$A$1,0,0,COUNTA([4]characters!$A:$A),MATCH(AG$1,[4]characters!$1:$1,0)-MATCH("character_id",[4]characters!$1:$1,0)+1),MATCH(AG$1,[4]characters!$1:$1,0)-MATCH("character_id",[4]characters!$1:$1,0)+1,FALSE)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3" s="94">
        <v>1</v>
      </c>
      <c r="AI13" s="97">
        <f ca="1">AF13</f>
        <v>5</v>
      </c>
      <c r="AJ13" s="5">
        <v>30</v>
      </c>
      <c r="AK13" s="94">
        <v>0</v>
      </c>
      <c r="AL13" s="94">
        <v>0</v>
      </c>
      <c r="AM13" s="94">
        <v>0</v>
      </c>
      <c r="AN13" s="94">
        <v>0</v>
      </c>
      <c r="AO13" s="94">
        <v>1</v>
      </c>
      <c r="AP13" s="57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7"/>
  <sheetViews>
    <sheetView showGridLines="0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V3" sqref="V3"/>
    </sheetView>
  </sheetViews>
  <sheetFormatPr baseColWidth="12" defaultColWidth="13" defaultRowHeight="21" customHeight="1" outlineLevelCol="1" x14ac:dyDescent="0.15"/>
  <cols>
    <col min="1" max="1" width="17" style="14" bestFit="1" customWidth="1"/>
    <col min="2" max="2" width="10.83203125" style="1" bestFit="1" customWidth="1"/>
    <col min="3" max="3" width="10.6640625" style="1" bestFit="1" customWidth="1" collapsed="1"/>
    <col min="4" max="4" width="13" style="9" hidden="1" customWidth="1" outlineLevel="1"/>
    <col min="5" max="5" width="11.6640625" style="1" hidden="1" customWidth="1" outlineLevel="1"/>
    <col min="6" max="6" width="16.1640625" style="1" hidden="1" customWidth="1" outlineLevel="1"/>
    <col min="7" max="7" width="10" style="1" bestFit="1" customWidth="1" collapsed="1"/>
    <col min="8" max="10" width="12.33203125" style="1" hidden="1" customWidth="1" outlineLevel="1"/>
    <col min="11" max="11" width="12.33203125" style="1" customWidth="1"/>
    <col min="12" max="12" width="11" style="1" bestFit="1" customWidth="1"/>
    <col min="13" max="13" width="13.5" style="6" bestFit="1" customWidth="1"/>
    <col min="14" max="14" width="8.83203125" style="1" customWidth="1" outlineLevel="1"/>
    <col min="15" max="15" width="8.6640625" style="1" customWidth="1" outlineLevel="1"/>
    <col min="16" max="16" width="12" style="1" customWidth="1" outlineLevel="1"/>
    <col min="17" max="17" width="21" style="1" customWidth="1" outlineLevel="1"/>
    <col min="18" max="18" width="8" style="1" customWidth="1" outlineLevel="1"/>
    <col min="19" max="19" width="8.33203125" style="1" bestFit="1" customWidth="1"/>
    <col min="20" max="20" width="14.83203125" style="1" bestFit="1" customWidth="1"/>
    <col min="21" max="21" width="14.83203125" style="1" customWidth="1"/>
    <col min="22" max="22" width="17.5" style="1" bestFit="1" customWidth="1"/>
    <col min="23" max="23" width="17.5" style="1" customWidth="1"/>
    <col min="24" max="24" width="18.33203125" style="1" bestFit="1" customWidth="1"/>
    <col min="25" max="25" width="16.6640625" style="1" customWidth="1"/>
    <col min="26" max="26" width="10" style="1" bestFit="1" customWidth="1" outlineLevel="1"/>
    <col min="27" max="27" width="9.33203125" style="1" bestFit="1" customWidth="1"/>
    <col min="28" max="16384" width="13" style="1"/>
  </cols>
  <sheetData>
    <row r="1" spans="1:27" s="24" customFormat="1" ht="21" customHeight="1" x14ac:dyDescent="0.15">
      <c r="A1" s="18" t="s">
        <v>199</v>
      </c>
      <c r="B1" s="17" t="s">
        <v>0</v>
      </c>
      <c r="C1" s="17" t="s">
        <v>1</v>
      </c>
      <c r="D1" s="19" t="s">
        <v>22</v>
      </c>
      <c r="E1" s="19" t="s">
        <v>15</v>
      </c>
      <c r="F1" s="19" t="s">
        <v>15</v>
      </c>
      <c r="G1" s="17" t="s">
        <v>16</v>
      </c>
      <c r="H1" s="19" t="s">
        <v>23</v>
      </c>
      <c r="I1" s="19" t="s">
        <v>13</v>
      </c>
      <c r="J1" s="19" t="s">
        <v>14</v>
      </c>
      <c r="K1" s="25" t="s">
        <v>42</v>
      </c>
      <c r="L1" s="25" t="s">
        <v>43</v>
      </c>
      <c r="M1" s="25" t="s">
        <v>2</v>
      </c>
      <c r="N1" s="20" t="s">
        <v>15</v>
      </c>
      <c r="O1" s="19" t="s">
        <v>200</v>
      </c>
      <c r="P1" s="19" t="s">
        <v>18</v>
      </c>
      <c r="Q1" s="21" t="s">
        <v>20</v>
      </c>
      <c r="R1" s="19" t="s">
        <v>19</v>
      </c>
      <c r="S1" s="17" t="s">
        <v>3</v>
      </c>
      <c r="T1" s="17" t="s">
        <v>201</v>
      </c>
      <c r="U1" s="90" t="s">
        <v>195</v>
      </c>
      <c r="V1" s="17" t="s">
        <v>38</v>
      </c>
      <c r="W1" s="90" t="s">
        <v>196</v>
      </c>
      <c r="X1" s="17" t="s">
        <v>40</v>
      </c>
      <c r="Y1" s="17" t="s">
        <v>24</v>
      </c>
      <c r="Z1" s="19" t="s">
        <v>47</v>
      </c>
      <c r="AA1" s="17" t="s">
        <v>7</v>
      </c>
    </row>
    <row r="2" spans="1:27" ht="21" customHeight="1" x14ac:dyDescent="0.15">
      <c r="A2" s="11" t="str">
        <f>B2&amp;"_"&amp;C2&amp;"-"&amp;G2&amp;"/"&amp;M2&amp;"&lt;lv"&amp;S2&amp;"&gt;sq"&amp;K2&amp;"st"&amp;L2</f>
        <v>48014_1-2/93&lt;lv65&gt;sq1st2</v>
      </c>
      <c r="B2" s="94">
        <v>48014</v>
      </c>
      <c r="C2" s="95">
        <v>1</v>
      </c>
      <c r="D2" s="10" t="str">
        <f>B2&amp;"_"&amp;C2</f>
        <v>48014_1</v>
      </c>
      <c r="E2" s="2" t="str">
        <f ca="1">VLOOKUP($B2,OFFSET([2]quests!$A$1,0,0,COUNTA([2]quests!$A:$A),MATCH(E$1,[2]quests!$1:$1,0)-MATCH($B$1,[2]quests!$1:$1,0)+1),MATCH(E$1,[2]quests!$1:$1,0)-MATCH($B$1,[2]quests!$1:$1,0)+1,FALSE)</f>
        <v>藍采和襲来！</v>
      </c>
      <c r="F2" s="2" t="str">
        <f ca="1">VLOOKUP($D2,OFFSET([2]stages!$A$1,0,0,COUNTA([2]stages!$A:$A),MATCH(F$1,[2]stages!$2:$2,0)-MATCH($D$1,[2]stages!$2:$2,0)+1),MATCH(F$1,[2]stages!$2:$2,0)-MATCH($D$1,[2]stages!$2:$2,0)+1,FALSE)</f>
        <v>【超絶級】藍采和襲来</v>
      </c>
      <c r="G2" s="95">
        <v>2</v>
      </c>
      <c r="H2" s="10" t="str">
        <f>B2&amp;"_"&amp;C2&amp;"-"&amp;G2</f>
        <v>48014_1-2</v>
      </c>
      <c r="I2" s="2">
        <f ca="1">VLOOKUP($H2,OFFSET(floors!$A$1,0,0,COUNTA(floors!$A:$A),MATCH(I$1,floors!$1:$1,0)-MATCH($H$1,floors!$1:$1,0)+1),MATCH(I$1,floors!$1:$1,0)-MATCH($H$1,floors!$1:$1,0)+1,FALSE)</f>
        <v>60</v>
      </c>
      <c r="J2" s="2">
        <f ca="1">VLOOKUP($H2,OFFSET(floors!$A$1,0,0,COUNTA(floors!$A:$A),MATCH(J$1,floors!$1:$1,0)-MATCH($H$1,floors!$1:$1,0)+1),MATCH(J$1,floors!$1:$1,0)-MATCH($H$1,floors!$1:$1,0)+1,FALSE)</f>
        <v>60</v>
      </c>
      <c r="K2" s="26">
        <v>1</v>
      </c>
      <c r="L2" s="26">
        <v>2</v>
      </c>
      <c r="M2" s="96">
        <v>93</v>
      </c>
      <c r="N2" s="12" t="str">
        <f ca="1">VLOOKUP($M2,OFFSET([3]enemies!$A$1,0,0,COUNTA([3]enemies!$A:$A),MATCH(N$1,[3]enemies!$1:$1,0)-MATCH($M$1,[3]enemies!$1:$1,0)+1),MATCH(N$1,[3]enemies!$1:$1,0)-MATCH($M$1,[3]enemies!$1:$1,0)+1,FALSE)</f>
        <v>碧東の守護神 青龍</v>
      </c>
      <c r="O2" s="12" t="str">
        <f ca="1">VLOOKUP($M2,OFFSET([3]enemies!$A$1,0,0,COUNTA([3]enemies!$A:$A),MATCH(O$1,[3]enemies!$1:$1,0)-MATCH($M$1,[3]enemies!$1:$1,0)+1),MATCH(O$1,[3]enemies!$1:$1,0)-MATCH($M$1,[3]enemies!$1:$1,0)+1,FALSE)</f>
        <v>blue</v>
      </c>
      <c r="P2" s="12" t="str">
        <f ca="1">VLOOKUP($M2,OFFSET([4]characters!$A$1,0,0,COUNTA([4]characters!$A:$A),MATCH(P$1,[4]characters!$1:$1,0)-MATCH($M$1,[4]characters!$1:$1,0)+1),MATCH(P$1,[4]characters!$1:$1,0)-MATCH($M$1,[4]characters!$1:$1,0)+1,FALSE)</f>
        <v>Drop2N</v>
      </c>
      <c r="Q2" s="12" t="str">
        <f ca="1">VLOOKUP($M2,OFFSET([3]enemies!$A$1,0,0,COUNTA([3]enemies!$A:$A),MATCH(Q$1,[3]enemies!$1:$1,0)-MATCH($M$1,[3]enemies!$1:$1,0)+1),MATCH(Q$1,[3]enemies!$1:$1,0)-MATCH($M$1,[3]enemies!$1:$1,0)+1,FALSE)</f>
        <v>dragon</v>
      </c>
      <c r="R2" s="12">
        <f ca="1">VLOOKUP($M2,OFFSET([3]enemies!$A$1,0,0,COUNTA([3]enemies!$A:$A),MATCH(R$1,[3]enemies!$1:$1,0)-MATCH($M$1,[3]enemies!$1:$1,0)+1),MATCH(R$1,[3]enemies!$1:$1,0)-MATCH($M$1,[3]enemies!$1:$1,0)+1,FALSE)</f>
        <v>60</v>
      </c>
      <c r="S2" s="3">
        <v>65</v>
      </c>
      <c r="T2" s="16">
        <v>2</v>
      </c>
      <c r="U2" s="91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260016</v>
      </c>
      <c r="V2" s="16">
        <v>0.6</v>
      </c>
      <c r="W2" s="91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4696.8</v>
      </c>
      <c r="X2" s="3">
        <v>0</v>
      </c>
      <c r="Y2" s="2" t="e">
        <f ca="1">VLOOKUP($Z2,OFFSET([5]enemy_skill_sets!$B$1,0,0,COUNTA([5]enemy_skill_sets!$B:$B),MATCH(N$1,[5]enemy_skill_sets!$1:$1,0)-MATCH($Z$1,[5]enemy_skill_sets!$1:$1,0)+2),MATCH(N$1,[5]enemy_skill_sets!$1:$1,0)-MATCH($Z$1,[5]enemy_skill_sets!$1:$1,0)+2,FALSE)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2" s="35">
        <v>48014103</v>
      </c>
      <c r="AA2" s="58">
        <v>1</v>
      </c>
    </row>
    <row r="3" spans="1:27" ht="21" customHeight="1" x14ac:dyDescent="0.15">
      <c r="A3" s="11" t="str">
        <f t="shared" ref="A3:A4" si="0">B3&amp;"_"&amp;C3&amp;"-"&amp;G3&amp;"/"&amp;M3&amp;"&lt;lv"&amp;S3&amp;"&gt;sq"&amp;K3&amp;"st"&amp;L3</f>
        <v>48014_1-4/8042&lt;lv65&gt;sq2st2</v>
      </c>
      <c r="B3" s="94">
        <v>48014</v>
      </c>
      <c r="C3" s="95">
        <v>1</v>
      </c>
      <c r="D3" s="10" t="str">
        <f t="shared" ref="D3:D4" si="1">B3&amp;"_"&amp;C3</f>
        <v>48014_1</v>
      </c>
      <c r="E3" s="2" t="str">
        <f ca="1">VLOOKUP($B3,OFFSET([2]quests!$A$1,0,0,COUNTA([2]quests!$A:$A),MATCH(E$1,[2]quests!$1:$1,0)-MATCH($B$1,[2]quests!$1:$1,0)+1),MATCH(E$1,[2]quests!$1:$1,0)-MATCH($B$1,[2]quests!$1:$1,0)+1,FALSE)</f>
        <v>藍采和襲来！</v>
      </c>
      <c r="F3" s="2" t="str">
        <f ca="1">VLOOKUP($D3,OFFSET([2]stages!$A$1,0,0,COUNTA([2]stages!$A:$A),MATCH(F$1,[2]stages!$2:$2,0)-MATCH($D$1,[2]stages!$2:$2,0)+1),MATCH(F$1,[2]stages!$2:$2,0)-MATCH($D$1,[2]stages!$2:$2,0)+1,FALSE)</f>
        <v>【超絶級】藍采和襲来</v>
      </c>
      <c r="G3" s="95">
        <v>4</v>
      </c>
      <c r="H3" s="10" t="str">
        <f t="shared" ref="H3:H4" si="2">B3&amp;"_"&amp;C3&amp;"-"&amp;G3</f>
        <v>48014_1-4</v>
      </c>
      <c r="I3" s="2">
        <f ca="1">VLOOKUP($H3,OFFSET(floors!$A$1,0,0,COUNTA(floors!$A:$A),MATCH(I$1,floors!$1:$1,0)-MATCH($H$1,floors!$1:$1,0)+1),MATCH(I$1,floors!$1:$1,0)-MATCH($H$1,floors!$1:$1,0)+1,FALSE)</f>
        <v>60</v>
      </c>
      <c r="J3" s="2">
        <f ca="1">VLOOKUP($H3,OFFSET(floors!$A$1,0,0,COUNTA(floors!$A:$A),MATCH(J$1,floors!$1:$1,0)-MATCH($H$1,floors!$1:$1,0)+1),MATCH(J$1,floors!$1:$1,0)-MATCH($H$1,floors!$1:$1,0)+1,FALSE)</f>
        <v>60</v>
      </c>
      <c r="K3" s="26">
        <v>2</v>
      </c>
      <c r="L3" s="26">
        <v>2</v>
      </c>
      <c r="M3" s="96">
        <v>8042</v>
      </c>
      <c r="N3" s="12" t="str">
        <f ca="1">VLOOKUP($M3,OFFSET([3]enemies!$A$1,0,0,COUNTA([3]enemies!$A:$A),MATCH(N$1,[3]enemies!$1:$1,0)-MATCH($M$1,[3]enemies!$1:$1,0)+1),MATCH(N$1,[3]enemies!$1:$1,0)-MATCH($M$1,[3]enemies!$1:$1,0)+1,FALSE)</f>
        <v>天真浪漫 藍采和</v>
      </c>
      <c r="O3" s="12" t="str">
        <f ca="1">VLOOKUP($M3,OFFSET([3]enemies!$A$1,0,0,COUNTA([3]enemies!$A:$A),MATCH(O$1,[3]enemies!$1:$1,0)-MATCH($M$1,[3]enemies!$1:$1,0)+1),MATCH(O$1,[3]enemies!$1:$1,0)-MATCH($M$1,[3]enemies!$1:$1,0)+1,FALSE)</f>
        <v>blue</v>
      </c>
      <c r="P3" s="12" t="str">
        <f ca="1">VLOOKUP($M3,OFFSET([4]characters!$A$1,0,0,COUNTA([4]characters!$A:$A),MATCH(P$1,[4]characters!$1:$1,0)-MATCH($M$1,[4]characters!$1:$1,0)+1),MATCH(P$1,[4]characters!$1:$1,0)-MATCH($M$1,[4]characters!$1:$1,0)+1,FALSE)</f>
        <v>DropWizS</v>
      </c>
      <c r="Q3" s="12" t="str">
        <f ca="1">VLOOKUP($M3,OFFSET([3]enemies!$A$1,0,0,COUNTA([3]enemies!$A:$A),MATCH(Q$1,[3]enemies!$1:$1,0)-MATCH($M$1,[3]enemies!$1:$1,0)+1),MATCH(Q$1,[3]enemies!$1:$1,0)-MATCH($M$1,[3]enemies!$1:$1,0)+1,FALSE)</f>
        <v>god</v>
      </c>
      <c r="R3" s="12">
        <f ca="1">VLOOKUP($M3,OFFSET([3]enemies!$A$1,0,0,COUNTA([3]enemies!$A:$A),MATCH(R$1,[3]enemies!$1:$1,0)-MATCH($M$1,[3]enemies!$1:$1,0)+1),MATCH(R$1,[3]enemies!$1:$1,0)-MATCH($M$1,[3]enemies!$1:$1,0)+1,FALSE)</f>
        <v>60</v>
      </c>
      <c r="S3" s="3">
        <v>65</v>
      </c>
      <c r="T3" s="16">
        <v>3</v>
      </c>
      <c r="U3" s="91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0</v>
      </c>
      <c r="V3" s="16">
        <v>0.7</v>
      </c>
      <c r="W3" s="91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0</v>
      </c>
      <c r="X3" s="3">
        <v>0</v>
      </c>
      <c r="Y3" s="2" t="e">
        <f ca="1">VLOOKUP($Z3,OFFSET([5]enemy_skill_sets!$B$1,0,0,COUNTA([5]enemy_skill_sets!$B:$B),MATCH(N$1,[5]enemy_skill_sets!$1:$1,0)-MATCH($Z$1,[5]enemy_skill_sets!$1:$1,0)+2),MATCH(N$1,[5]enemy_skill_sets!$1:$1,0)-MATCH($Z$1,[5]enemy_skill_sets!$1:$1,0)+2,FALSE)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3" s="35">
        <v>48014107</v>
      </c>
      <c r="AA3" s="58">
        <v>1</v>
      </c>
    </row>
    <row r="4" spans="1:27" ht="21" customHeight="1" thickBot="1" x14ac:dyDescent="0.2">
      <c r="A4" s="11" t="str">
        <f t="shared" si="0"/>
        <v>48014_1-4/8042&lt;lv65&gt;sq2st3</v>
      </c>
      <c r="B4" s="107">
        <v>48014</v>
      </c>
      <c r="C4" s="109">
        <v>1</v>
      </c>
      <c r="D4" s="111" t="str">
        <f t="shared" si="1"/>
        <v>48014_1</v>
      </c>
      <c r="E4" s="123" t="str">
        <f ca="1">VLOOKUP($B4,OFFSET([2]quests!$A$1,0,0,COUNTA([2]quests!$A:$A),MATCH(E$1,[2]quests!$1:$1,0)-MATCH($B$1,[2]quests!$1:$1,0)+1),MATCH(E$1,[2]quests!$1:$1,0)-MATCH($B$1,[2]quests!$1:$1,0)+1,FALSE)</f>
        <v>藍采和襲来！</v>
      </c>
      <c r="F4" s="123" t="str">
        <f ca="1">VLOOKUP($D4,OFFSET([2]stages!$A$1,0,0,COUNTA([2]stages!$A:$A),MATCH(F$1,[2]stages!$2:$2,0)-MATCH($D$1,[2]stages!$2:$2,0)+1),MATCH(F$1,[2]stages!$2:$2,0)-MATCH($D$1,[2]stages!$2:$2,0)+1,FALSE)</f>
        <v>【超絶級】藍采和襲来</v>
      </c>
      <c r="G4" s="109">
        <v>4</v>
      </c>
      <c r="H4" s="111" t="str">
        <f t="shared" si="2"/>
        <v>48014_1-4</v>
      </c>
      <c r="I4" s="123">
        <f ca="1">VLOOKUP($H4,OFFSET(floors!$A$1,0,0,COUNTA(floors!$A:$A),MATCH(I$1,floors!$1:$1,0)-MATCH($H$1,floors!$1:$1,0)+1),MATCH(I$1,floors!$1:$1,0)-MATCH($H$1,floors!$1:$1,0)+1,FALSE)</f>
        <v>60</v>
      </c>
      <c r="J4" s="123">
        <f ca="1">VLOOKUP($H4,OFFSET(floors!$A$1,0,0,COUNTA(floors!$A:$A),MATCH(J$1,floors!$1:$1,0)-MATCH($H$1,floors!$1:$1,0)+1),MATCH(J$1,floors!$1:$1,0)-MATCH($H$1,floors!$1:$1,0)+1,FALSE)</f>
        <v>60</v>
      </c>
      <c r="K4" s="112">
        <v>2</v>
      </c>
      <c r="L4" s="112">
        <v>3</v>
      </c>
      <c r="M4" s="124">
        <v>8042</v>
      </c>
      <c r="N4" s="125" t="str">
        <f ca="1">VLOOKUP($M4,OFFSET([3]enemies!$A$1,0,0,COUNTA([3]enemies!$A:$A),MATCH(N$1,[3]enemies!$1:$1,0)-MATCH($M$1,[3]enemies!$1:$1,0)+1),MATCH(N$1,[3]enemies!$1:$1,0)-MATCH($M$1,[3]enemies!$1:$1,0)+1,FALSE)</f>
        <v>天真浪漫 藍采和</v>
      </c>
      <c r="O4" s="125" t="str">
        <f ca="1">VLOOKUP($M4,OFFSET([3]enemies!$A$1,0,0,COUNTA([3]enemies!$A:$A),MATCH(O$1,[3]enemies!$1:$1,0)-MATCH($M$1,[3]enemies!$1:$1,0)+1),MATCH(O$1,[3]enemies!$1:$1,0)-MATCH($M$1,[3]enemies!$1:$1,0)+1,FALSE)</f>
        <v>blue</v>
      </c>
      <c r="P4" s="125" t="str">
        <f ca="1">VLOOKUP($M4,OFFSET([4]characters!$A$1,0,0,COUNTA([4]characters!$A:$A),MATCH(P$1,[4]characters!$1:$1,0)-MATCH($M$1,[4]characters!$1:$1,0)+1),MATCH(P$1,[4]characters!$1:$1,0)-MATCH($M$1,[4]characters!$1:$1,0)+1,FALSE)</f>
        <v>DropWizS</v>
      </c>
      <c r="Q4" s="125" t="str">
        <f ca="1">VLOOKUP($M4,OFFSET([3]enemies!$A$1,0,0,COUNTA([3]enemies!$A:$A),MATCH(Q$1,[3]enemies!$1:$1,0)-MATCH($M$1,[3]enemies!$1:$1,0)+1),MATCH(Q$1,[3]enemies!$1:$1,0)-MATCH($M$1,[3]enemies!$1:$1,0)+1,FALSE)</f>
        <v>god</v>
      </c>
      <c r="R4" s="125">
        <f ca="1">VLOOKUP($M4,OFFSET([3]enemies!$A$1,0,0,COUNTA([3]enemies!$A:$A),MATCH(R$1,[3]enemies!$1:$1,0)-MATCH($M$1,[3]enemies!$1:$1,0)+1),MATCH(R$1,[3]enemies!$1:$1,0)-MATCH($M$1,[3]enemies!$1:$1,0)+1,FALSE)</f>
        <v>60</v>
      </c>
      <c r="S4" s="126">
        <v>65</v>
      </c>
      <c r="T4" s="127">
        <v>4</v>
      </c>
      <c r="U4" s="128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0</v>
      </c>
      <c r="V4" s="127">
        <v>0.8</v>
      </c>
      <c r="W4" s="128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0</v>
      </c>
      <c r="X4" s="126">
        <v>0</v>
      </c>
      <c r="Y4" s="123" t="e">
        <f ca="1">VLOOKUP($Z4,OFFSET([5]enemy_skill_sets!$B$1,0,0,COUNTA([5]enemy_skill_sets!$B:$B),MATCH(N$1,[5]enemy_skill_sets!$1:$1,0)-MATCH($Z$1,[5]enemy_skill_sets!$1:$1,0)+2),MATCH(N$1,[5]enemy_skill_sets!$1:$1,0)-MATCH($Z$1,[5]enemy_skill_sets!$1:$1,0)+2,FALSE)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4" s="129">
        <v>48014108</v>
      </c>
      <c r="AA4" s="157">
        <v>1</v>
      </c>
    </row>
    <row r="5" spans="1:27" ht="21" customHeight="1" x14ac:dyDescent="0.15">
      <c r="A5" s="11" t="str">
        <f>B5&amp;"_"&amp;C5&amp;"-"&amp;G5&amp;"/"&amp;M5&amp;"&lt;lv"&amp;S5&amp;"&gt;sq"&amp;K5&amp;"st"&amp;L5</f>
        <v>48014_2-2/93&lt;lv80&gt;sq3st2</v>
      </c>
      <c r="B5" s="100">
        <v>48014</v>
      </c>
      <c r="C5" s="102">
        <v>2</v>
      </c>
      <c r="D5" s="104" t="str">
        <f>B5&amp;"_"&amp;C5</f>
        <v>48014_2</v>
      </c>
      <c r="E5" s="2" t="str">
        <f ca="1">VLOOKUP($B5,OFFSET([2]quests!$A$1,0,0,COUNTA([2]quests!$A:$A),MATCH(E$1,[2]quests!$1:$1,0)-MATCH($B$1,[2]quests!$1:$1,0)+1),MATCH(E$1,[2]quests!$1:$1,0)-MATCH($B$1,[2]quests!$1:$1,0)+1,FALSE)</f>
        <v>藍采和襲来！</v>
      </c>
      <c r="F5" s="2" t="str">
        <f ca="1">VLOOKUP($D5,OFFSET([2]stages!$A$1,0,0,COUNTA([2]stages!$A:$A),MATCH(F$1,[2]stages!$2:$2,0)-MATCH($D$1,[2]stages!$2:$2,0)+1),MATCH(F$1,[2]stages!$2:$2,0)-MATCH($D$1,[2]stages!$2:$2,0)+1,FALSE)</f>
        <v>【ウィザード級】藍采和襲来</v>
      </c>
      <c r="G5" s="102">
        <v>2</v>
      </c>
      <c r="H5" s="104" t="str">
        <f>B5&amp;"_"&amp;C5&amp;"-"&amp;G5</f>
        <v>48014_2-2</v>
      </c>
      <c r="I5" s="2">
        <f ca="1">VLOOKUP($H5,OFFSET(floors!$A$1,0,0,COUNTA(floors!$A:$A),MATCH(I$1,floors!$1:$1,0)-MATCH($H$1,floors!$1:$1,0)+1),MATCH(I$1,floors!$1:$1,0)-MATCH($H$1,floors!$1:$1,0)+1,FALSE)</f>
        <v>60</v>
      </c>
      <c r="J5" s="2">
        <f ca="1">VLOOKUP($H5,OFFSET(floors!$A$1,0,0,COUNTA(floors!$A:$A),MATCH(J$1,floors!$1:$1,0)-MATCH($H$1,floors!$1:$1,0)+1),MATCH(J$1,floors!$1:$1,0)-MATCH($H$1,floors!$1:$1,0)+1,FALSE)</f>
        <v>60</v>
      </c>
      <c r="K5" s="105">
        <v>3</v>
      </c>
      <c r="L5" s="105">
        <v>2</v>
      </c>
      <c r="M5" s="113">
        <v>93</v>
      </c>
      <c r="N5" s="12" t="str">
        <f ca="1">VLOOKUP($M5,OFFSET([3]enemies!$A$1,0,0,COUNTA([3]enemies!$A:$A),MATCH(N$1,[3]enemies!$1:$1,0)-MATCH($M$1,[3]enemies!$1:$1,0)+1),MATCH(N$1,[3]enemies!$1:$1,0)-MATCH($M$1,[3]enemies!$1:$1,0)+1,FALSE)</f>
        <v>碧東の守護神 青龍</v>
      </c>
      <c r="O5" s="12" t="str">
        <f ca="1">VLOOKUP($M5,OFFSET([3]enemies!$A$1,0,0,COUNTA([3]enemies!$A:$A),MATCH(O$1,[3]enemies!$1:$1,0)-MATCH($M$1,[3]enemies!$1:$1,0)+1),MATCH(O$1,[3]enemies!$1:$1,0)-MATCH($M$1,[3]enemies!$1:$1,0)+1,FALSE)</f>
        <v>blue</v>
      </c>
      <c r="P5" s="12" t="str">
        <f ca="1">VLOOKUP($M5,OFFSET([4]characters!$A$1,0,0,COUNTA([4]characters!$A:$A),MATCH(P$1,[4]characters!$1:$1,0)-MATCH($M$1,[4]characters!$1:$1,0)+1),MATCH(P$1,[4]characters!$1:$1,0)-MATCH($M$1,[4]characters!$1:$1,0)+1,FALSE)</f>
        <v>Drop2N</v>
      </c>
      <c r="Q5" s="12" t="str">
        <f ca="1">VLOOKUP($M5,OFFSET([3]enemies!$A$1,0,0,COUNTA([3]enemies!$A:$A),MATCH(Q$1,[3]enemies!$1:$1,0)-MATCH($M$1,[3]enemies!$1:$1,0)+1),MATCH(Q$1,[3]enemies!$1:$1,0)-MATCH($M$1,[3]enemies!$1:$1,0)+1,FALSE)</f>
        <v>dragon</v>
      </c>
      <c r="R5" s="12">
        <f ca="1">VLOOKUP($M5,OFFSET([3]enemies!$A$1,0,0,COUNTA([3]enemies!$A:$A),MATCH(R$1,[3]enemies!$1:$1,0)-MATCH($M$1,[3]enemies!$1:$1,0)+1),MATCH(R$1,[3]enemies!$1:$1,0)-MATCH($M$1,[3]enemies!$1:$1,0)+1,FALSE)</f>
        <v>60</v>
      </c>
      <c r="S5" s="114">
        <v>80</v>
      </c>
      <c r="T5" s="115">
        <v>2</v>
      </c>
      <c r="U5" s="116">
        <f ca="1">ROUND(VLOOKUP(S5,[3]enemy_base_stats!$A:$F,2,FALSE) *INDIRECT("[EnemyMasterData.xlsm]enemies!Y"&amp;(M5+1))*  INDIRECT("[EnemyMasterData.xlsm]enemies!J"&amp;(M5+1))* INDIRECT("[EnemyMasterData.xlsm]enemies!O"&amp;(M5+1))* INDIRECT("[EnemyMasterData.xlsm]enemies!E"&amp;(M5+1))* INDIRECT("[EnemyMasterData.xlsm]enemies!S"&amp;(M5+1))* INDIRECT("[EnemyMasterData.xlsm]enemies!AD"&amp;(M5+1))*[4]ステータス!$B$2,0)*T5</f>
        <v>318666</v>
      </c>
      <c r="V5" s="115">
        <v>0.6</v>
      </c>
      <c r="W5" s="116">
        <f ca="1">ROUND(VLOOKUP(S5,[3]enemy_base_stats!$A:$F,3,FALSE) *INDIRECT("[EnemyMasterData.xlsm]enemies!Z"&amp;(M5+1))*  INDIRECT("[EnemyMasterData.xlsm]enemies!K"&amp;(M5+1))* INDIRECT("[EnemyMasterData.xlsm]enemies!P"&amp;(M5+1))* INDIRECT("[EnemyMasterData.xlsm]enemies!F"&amp;(M5+1))* INDIRECT("[EnemyMasterData.xlsm]enemies!T"&amp;(M5+1))* INDIRECT("[EnemyMasterData.xlsm]enemies!AE"&amp;(M5+1))*[4]ステータス!$C$2,0)*V5</f>
        <v>5756.4</v>
      </c>
      <c r="X5" s="114">
        <v>0</v>
      </c>
      <c r="Y5" s="2" t="e">
        <f ca="1">VLOOKUP($Z5,OFFSET([5]enemy_skill_sets!$B$1,0,0,COUNTA([5]enemy_skill_sets!$B:$B),MATCH(N$1,[5]enemy_skill_sets!$1:$1,0)-MATCH($Z$1,[5]enemy_skill_sets!$1:$1,0)+2),MATCH(N$1,[5]enemy_skill_sets!$1:$1,0)-MATCH($Z$1,[5]enemy_skill_sets!$1:$1,0)+2,FALSE)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5" s="117">
        <v>48014103</v>
      </c>
      <c r="AA5" s="156">
        <v>1</v>
      </c>
    </row>
    <row r="6" spans="1:27" ht="21" customHeight="1" x14ac:dyDescent="0.15">
      <c r="A6" s="11" t="str">
        <f t="shared" ref="A6:A7" si="3">B6&amp;"_"&amp;C6&amp;"-"&amp;G6&amp;"/"&amp;M6&amp;"&lt;lv"&amp;S6&amp;"&gt;sq"&amp;K6&amp;"st"&amp;L6</f>
        <v>48014_2-4/8042&lt;lv80&gt;sq4st2</v>
      </c>
      <c r="B6" s="94">
        <v>48014</v>
      </c>
      <c r="C6" s="95">
        <v>2</v>
      </c>
      <c r="D6" s="10" t="str">
        <f t="shared" ref="D6:D7" si="4">B6&amp;"_"&amp;C6</f>
        <v>48014_2</v>
      </c>
      <c r="E6" s="2" t="str">
        <f ca="1">VLOOKUP($B6,OFFSET([2]quests!$A$1,0,0,COUNTA([2]quests!$A:$A),MATCH(E$1,[2]quests!$1:$1,0)-MATCH($B$1,[2]quests!$1:$1,0)+1),MATCH(E$1,[2]quests!$1:$1,0)-MATCH($B$1,[2]quests!$1:$1,0)+1,FALSE)</f>
        <v>藍采和襲来！</v>
      </c>
      <c r="F6" s="2" t="str">
        <f ca="1">VLOOKUP($D6,OFFSET([2]stages!$A$1,0,0,COUNTA([2]stages!$A:$A),MATCH(F$1,[2]stages!$2:$2,0)-MATCH($D$1,[2]stages!$2:$2,0)+1),MATCH(F$1,[2]stages!$2:$2,0)-MATCH($D$1,[2]stages!$2:$2,0)+1,FALSE)</f>
        <v>【ウィザード級】藍采和襲来</v>
      </c>
      <c r="G6" s="95">
        <v>4</v>
      </c>
      <c r="H6" s="10" t="str">
        <f t="shared" ref="H6:H7" si="5">B6&amp;"_"&amp;C6&amp;"-"&amp;G6</f>
        <v>48014_2-4</v>
      </c>
      <c r="I6" s="2">
        <f ca="1">VLOOKUP($H6,OFFSET(floors!$A$1,0,0,COUNTA(floors!$A:$A),MATCH(I$1,floors!$1:$1,0)-MATCH($H$1,floors!$1:$1,0)+1),MATCH(I$1,floors!$1:$1,0)-MATCH($H$1,floors!$1:$1,0)+1,FALSE)</f>
        <v>60</v>
      </c>
      <c r="J6" s="2">
        <f ca="1">VLOOKUP($H6,OFFSET(floors!$A$1,0,0,COUNTA(floors!$A:$A),MATCH(J$1,floors!$1:$1,0)-MATCH($H$1,floors!$1:$1,0)+1),MATCH(J$1,floors!$1:$1,0)-MATCH($H$1,floors!$1:$1,0)+1,FALSE)</f>
        <v>60</v>
      </c>
      <c r="K6" s="26">
        <v>4</v>
      </c>
      <c r="L6" s="26">
        <v>2</v>
      </c>
      <c r="M6" s="96">
        <v>8042</v>
      </c>
      <c r="N6" s="12" t="str">
        <f ca="1">VLOOKUP($M6,OFFSET([3]enemies!$A$1,0,0,COUNTA([3]enemies!$A:$A),MATCH(N$1,[3]enemies!$1:$1,0)-MATCH($M$1,[3]enemies!$1:$1,0)+1),MATCH(N$1,[3]enemies!$1:$1,0)-MATCH($M$1,[3]enemies!$1:$1,0)+1,FALSE)</f>
        <v>天真浪漫 藍采和</v>
      </c>
      <c r="O6" s="12" t="str">
        <f ca="1">VLOOKUP($M6,OFFSET([3]enemies!$A$1,0,0,COUNTA([3]enemies!$A:$A),MATCH(O$1,[3]enemies!$1:$1,0)-MATCH($M$1,[3]enemies!$1:$1,0)+1),MATCH(O$1,[3]enemies!$1:$1,0)-MATCH($M$1,[3]enemies!$1:$1,0)+1,FALSE)</f>
        <v>blue</v>
      </c>
      <c r="P6" s="12" t="str">
        <f ca="1">VLOOKUP($M6,OFFSET([4]characters!$A$1,0,0,COUNTA([4]characters!$A:$A),MATCH(P$1,[4]characters!$1:$1,0)-MATCH($M$1,[4]characters!$1:$1,0)+1),MATCH(P$1,[4]characters!$1:$1,0)-MATCH($M$1,[4]characters!$1:$1,0)+1,FALSE)</f>
        <v>DropWizS</v>
      </c>
      <c r="Q6" s="12" t="str">
        <f ca="1">VLOOKUP($M6,OFFSET([3]enemies!$A$1,0,0,COUNTA([3]enemies!$A:$A),MATCH(Q$1,[3]enemies!$1:$1,0)-MATCH($M$1,[3]enemies!$1:$1,0)+1),MATCH(Q$1,[3]enemies!$1:$1,0)-MATCH($M$1,[3]enemies!$1:$1,0)+1,FALSE)</f>
        <v>god</v>
      </c>
      <c r="R6" s="12">
        <f ca="1">VLOOKUP($M6,OFFSET([3]enemies!$A$1,0,0,COUNTA([3]enemies!$A:$A),MATCH(R$1,[3]enemies!$1:$1,0)-MATCH($M$1,[3]enemies!$1:$1,0)+1),MATCH(R$1,[3]enemies!$1:$1,0)-MATCH($M$1,[3]enemies!$1:$1,0)+1,FALSE)</f>
        <v>60</v>
      </c>
      <c r="S6" s="3">
        <v>80</v>
      </c>
      <c r="T6" s="16">
        <v>3</v>
      </c>
      <c r="U6" s="91">
        <f ca="1">ROUND(VLOOKUP(S6,[3]enemy_base_stats!$A:$F,2,FALSE) *INDIRECT("[EnemyMasterData.xlsm]enemies!Y"&amp;(M6+1))*  INDIRECT("[EnemyMasterData.xlsm]enemies!J"&amp;(M6+1))* INDIRECT("[EnemyMasterData.xlsm]enemies!O"&amp;(M6+1))* INDIRECT("[EnemyMasterData.xlsm]enemies!E"&amp;(M6+1))* INDIRECT("[EnemyMasterData.xlsm]enemies!S"&amp;(M6+1))* INDIRECT("[EnemyMasterData.xlsm]enemies!AD"&amp;(M6+1))*[4]ステータス!$B$2,0)*T6</f>
        <v>0</v>
      </c>
      <c r="V6" s="16">
        <v>0.8</v>
      </c>
      <c r="W6" s="91">
        <f ca="1">ROUND(VLOOKUP(S6,[3]enemy_base_stats!$A:$F,3,FALSE) *INDIRECT("[EnemyMasterData.xlsm]enemies!Z"&amp;(M6+1))*  INDIRECT("[EnemyMasterData.xlsm]enemies!K"&amp;(M6+1))* INDIRECT("[EnemyMasterData.xlsm]enemies!P"&amp;(M6+1))* INDIRECT("[EnemyMasterData.xlsm]enemies!F"&amp;(M6+1))* INDIRECT("[EnemyMasterData.xlsm]enemies!T"&amp;(M6+1))* INDIRECT("[EnemyMasterData.xlsm]enemies!AE"&amp;(M6+1))*[4]ステータス!$C$2,0)*V6</f>
        <v>0</v>
      </c>
      <c r="X6" s="3">
        <v>0</v>
      </c>
      <c r="Y6" s="2" t="e">
        <f ca="1">VLOOKUP($Z6,OFFSET([5]enemy_skill_sets!$B$1,0,0,COUNTA([5]enemy_skill_sets!$B:$B),MATCH(N$1,[5]enemy_skill_sets!$1:$1,0)-MATCH($Z$1,[5]enemy_skill_sets!$1:$1,0)+2),MATCH(N$1,[5]enemy_skill_sets!$1:$1,0)-MATCH($Z$1,[5]enemy_skill_sets!$1:$1,0)+2,FALSE)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6" s="35">
        <v>48014107</v>
      </c>
      <c r="AA6" s="58">
        <v>1</v>
      </c>
    </row>
    <row r="7" spans="1:27" ht="21" customHeight="1" x14ac:dyDescent="0.15">
      <c r="A7" s="11" t="str">
        <f t="shared" si="3"/>
        <v>48014_2-4/8042&lt;lv80&gt;sq4st3</v>
      </c>
      <c r="B7" s="94">
        <v>48014</v>
      </c>
      <c r="C7" s="95">
        <v>2</v>
      </c>
      <c r="D7" s="10" t="str">
        <f t="shared" si="4"/>
        <v>48014_2</v>
      </c>
      <c r="E7" s="2" t="str">
        <f ca="1">VLOOKUP($B7,OFFSET([2]quests!$A$1,0,0,COUNTA([2]quests!$A:$A),MATCH(E$1,[2]quests!$1:$1,0)-MATCH($B$1,[2]quests!$1:$1,0)+1),MATCH(E$1,[2]quests!$1:$1,0)-MATCH($B$1,[2]quests!$1:$1,0)+1,FALSE)</f>
        <v>藍采和襲来！</v>
      </c>
      <c r="F7" s="2" t="str">
        <f ca="1">VLOOKUP($D7,OFFSET([2]stages!$A$1,0,0,COUNTA([2]stages!$A:$A),MATCH(F$1,[2]stages!$2:$2,0)-MATCH($D$1,[2]stages!$2:$2,0)+1),MATCH(F$1,[2]stages!$2:$2,0)-MATCH($D$1,[2]stages!$2:$2,0)+1,FALSE)</f>
        <v>【ウィザード級】藍采和襲来</v>
      </c>
      <c r="G7" s="95">
        <v>4</v>
      </c>
      <c r="H7" s="10" t="str">
        <f t="shared" si="5"/>
        <v>48014_2-4</v>
      </c>
      <c r="I7" s="2">
        <f ca="1">VLOOKUP($H7,OFFSET(floors!$A$1,0,0,COUNTA(floors!$A:$A),MATCH(I$1,floors!$1:$1,0)-MATCH($H$1,floors!$1:$1,0)+1),MATCH(I$1,floors!$1:$1,0)-MATCH($H$1,floors!$1:$1,0)+1,FALSE)</f>
        <v>60</v>
      </c>
      <c r="J7" s="2">
        <f ca="1">VLOOKUP($H7,OFFSET(floors!$A$1,0,0,COUNTA(floors!$A:$A),MATCH(J$1,floors!$1:$1,0)-MATCH($H$1,floors!$1:$1,0)+1),MATCH(J$1,floors!$1:$1,0)-MATCH($H$1,floors!$1:$1,0)+1,FALSE)</f>
        <v>60</v>
      </c>
      <c r="K7" s="26">
        <v>4</v>
      </c>
      <c r="L7" s="26">
        <v>3</v>
      </c>
      <c r="M7" s="96">
        <v>8042</v>
      </c>
      <c r="N7" s="12" t="str">
        <f ca="1">VLOOKUP($M7,OFFSET([3]enemies!$A$1,0,0,COUNTA([3]enemies!$A:$A),MATCH(N$1,[3]enemies!$1:$1,0)-MATCH($M$1,[3]enemies!$1:$1,0)+1),MATCH(N$1,[3]enemies!$1:$1,0)-MATCH($M$1,[3]enemies!$1:$1,0)+1,FALSE)</f>
        <v>天真浪漫 藍采和</v>
      </c>
      <c r="O7" s="12" t="str">
        <f ca="1">VLOOKUP($M7,OFFSET([3]enemies!$A$1,0,0,COUNTA([3]enemies!$A:$A),MATCH(O$1,[3]enemies!$1:$1,0)-MATCH($M$1,[3]enemies!$1:$1,0)+1),MATCH(O$1,[3]enemies!$1:$1,0)-MATCH($M$1,[3]enemies!$1:$1,0)+1,FALSE)</f>
        <v>blue</v>
      </c>
      <c r="P7" s="12" t="str">
        <f ca="1">VLOOKUP($M7,OFFSET([4]characters!$A$1,0,0,COUNTA([4]characters!$A:$A),MATCH(P$1,[4]characters!$1:$1,0)-MATCH($M$1,[4]characters!$1:$1,0)+1),MATCH(P$1,[4]characters!$1:$1,0)-MATCH($M$1,[4]characters!$1:$1,0)+1,FALSE)</f>
        <v>DropWizS</v>
      </c>
      <c r="Q7" s="12" t="str">
        <f ca="1">VLOOKUP($M7,OFFSET([3]enemies!$A$1,0,0,COUNTA([3]enemies!$A:$A),MATCH(Q$1,[3]enemies!$1:$1,0)-MATCH($M$1,[3]enemies!$1:$1,0)+1),MATCH(Q$1,[3]enemies!$1:$1,0)-MATCH($M$1,[3]enemies!$1:$1,0)+1,FALSE)</f>
        <v>god</v>
      </c>
      <c r="R7" s="12">
        <f ca="1">VLOOKUP($M7,OFFSET([3]enemies!$A$1,0,0,COUNTA([3]enemies!$A:$A),MATCH(R$1,[3]enemies!$1:$1,0)-MATCH($M$1,[3]enemies!$1:$1,0)+1),MATCH(R$1,[3]enemies!$1:$1,0)-MATCH($M$1,[3]enemies!$1:$1,0)+1,FALSE)</f>
        <v>60</v>
      </c>
      <c r="S7" s="3">
        <v>80</v>
      </c>
      <c r="T7" s="16">
        <v>4</v>
      </c>
      <c r="U7" s="91">
        <f ca="1">ROUND(VLOOKUP(S7,[3]enemy_base_stats!$A:$F,2,FALSE) *INDIRECT("[EnemyMasterData.xlsm]enemies!Y"&amp;(M7+1))*  INDIRECT("[EnemyMasterData.xlsm]enemies!J"&amp;(M7+1))* INDIRECT("[EnemyMasterData.xlsm]enemies!O"&amp;(M7+1))* INDIRECT("[EnemyMasterData.xlsm]enemies!E"&amp;(M7+1))* INDIRECT("[EnemyMasterData.xlsm]enemies!S"&amp;(M7+1))* INDIRECT("[EnemyMasterData.xlsm]enemies!AD"&amp;(M7+1))*[4]ステータス!$B$2,0)*T7</f>
        <v>0</v>
      </c>
      <c r="V7" s="16">
        <v>0.9</v>
      </c>
      <c r="W7" s="91">
        <f ca="1">ROUND(VLOOKUP(S7,[3]enemy_base_stats!$A:$F,3,FALSE) *INDIRECT("[EnemyMasterData.xlsm]enemies!Z"&amp;(M7+1))*  INDIRECT("[EnemyMasterData.xlsm]enemies!K"&amp;(M7+1))* INDIRECT("[EnemyMasterData.xlsm]enemies!P"&amp;(M7+1))* INDIRECT("[EnemyMasterData.xlsm]enemies!F"&amp;(M7+1))* INDIRECT("[EnemyMasterData.xlsm]enemies!T"&amp;(M7+1))* INDIRECT("[EnemyMasterData.xlsm]enemies!AE"&amp;(M7+1))*[4]ステータス!$C$2,0)*V7</f>
        <v>0</v>
      </c>
      <c r="X7" s="3">
        <v>0</v>
      </c>
      <c r="Y7" s="2" t="e">
        <f ca="1">VLOOKUP($Z7,OFFSET([5]enemy_skill_sets!$B$1,0,0,COUNTA([5]enemy_skill_sets!$B:$B),MATCH(N$1,[5]enemy_skill_sets!$1:$1,0)-MATCH($Z$1,[5]enemy_skill_sets!$1:$1,0)+2),MATCH(N$1,[5]enemy_skill_sets!$1:$1,0)-MATCH($Z$1,[5]enemy_skill_sets!$1:$1,0)+2,FALSE)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7" s="35">
        <v>48014108</v>
      </c>
      <c r="AA7" s="58"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30"/>
  <sheetViews>
    <sheetView showGridLines="0" workbookViewId="0">
      <pane xSplit="5" ySplit="1" topLeftCell="F7" activePane="bottomRight" state="frozen"/>
      <selection pane="topRight"/>
      <selection pane="bottomLeft"/>
      <selection pane="bottomRight" activeCell="M24" sqref="C24:M24"/>
    </sheetView>
  </sheetViews>
  <sheetFormatPr baseColWidth="12" defaultColWidth="12.83203125" defaultRowHeight="21" customHeight="1" outlineLevelCol="1" x14ac:dyDescent="0.15"/>
  <cols>
    <col min="1" max="1" width="11.33203125" style="27" bestFit="1" customWidth="1"/>
    <col min="2" max="2" width="9.5" style="37" bestFit="1" customWidth="1"/>
    <col min="3" max="3" width="9.6640625" style="37" customWidth="1"/>
    <col min="4" max="4" width="18.5" style="37" customWidth="1" outlineLevel="1"/>
    <col min="5" max="5" width="44.1640625" style="37" bestFit="1" customWidth="1" outlineLevel="1"/>
    <col min="6" max="6" width="10.83203125" style="37" bestFit="1" customWidth="1"/>
    <col min="7" max="7" width="8.33203125" style="37" bestFit="1" customWidth="1" outlineLevel="1"/>
    <col min="8" max="9" width="12.83203125" style="37" outlineLevel="1"/>
    <col min="10" max="10" width="17.6640625" style="37" bestFit="1" customWidth="1" outlineLevel="1"/>
    <col min="11" max="15" width="12.83203125" style="37" outlineLevel="1"/>
    <col min="16" max="16" width="8.33203125" style="33" bestFit="1" customWidth="1"/>
    <col min="17" max="17" width="9.6640625" style="33" customWidth="1"/>
    <col min="18" max="18" width="56.5" style="33" bestFit="1" customWidth="1"/>
    <col min="19" max="16384" width="12.83203125" style="33"/>
  </cols>
  <sheetData>
    <row r="1" spans="1:18" ht="21" customHeight="1" x14ac:dyDescent="0.15">
      <c r="A1" s="27" t="s">
        <v>48</v>
      </c>
      <c r="B1" s="28" t="s">
        <v>49</v>
      </c>
      <c r="C1" s="28" t="s">
        <v>50</v>
      </c>
      <c r="D1" s="29" t="s">
        <v>51</v>
      </c>
      <c r="E1" s="29" t="s">
        <v>52</v>
      </c>
      <c r="F1" s="30" t="s">
        <v>53</v>
      </c>
      <c r="G1" s="31" t="s">
        <v>54</v>
      </c>
      <c r="H1" s="31" t="s">
        <v>55</v>
      </c>
      <c r="I1" s="31" t="s">
        <v>56</v>
      </c>
      <c r="J1" s="31" t="s">
        <v>57</v>
      </c>
      <c r="K1" s="32" t="s">
        <v>100</v>
      </c>
      <c r="L1" s="32" t="s">
        <v>58</v>
      </c>
      <c r="M1" s="31" t="s">
        <v>102</v>
      </c>
      <c r="N1" s="31" t="s">
        <v>59</v>
      </c>
      <c r="O1" s="31" t="s">
        <v>60</v>
      </c>
      <c r="P1" s="29" t="s">
        <v>61</v>
      </c>
      <c r="Q1" s="29" t="s">
        <v>62</v>
      </c>
      <c r="R1" s="29" t="s">
        <v>63</v>
      </c>
    </row>
    <row r="2" spans="1:18" ht="21" customHeight="1" x14ac:dyDescent="0.15">
      <c r="A2" s="27" t="str">
        <f t="shared" ref="A2:A30" si="0">B2&amp;"_"&amp;C2</f>
        <v>48014100_48014100</v>
      </c>
      <c r="B2" s="35">
        <v>48014100</v>
      </c>
      <c r="C2" s="35">
        <v>48014100</v>
      </c>
      <c r="D2" s="34" t="str">
        <f ca="1">VLOOKUP($C2,OFFSET(enemy_skills!$A$1,0,0,COUNTA(enemy_skills!$A:$A),MATCH(D$1,enemy_skills!$1:$1,0)-MATCH("enemy_skill_id",enemy_skills!$1:$1,0)+1),MATCH(D$1,enemy_skills!$1:$1,0)-MATCH("enemy_skill_id",enemy_skills!$1:$1,0)+1,FALSE)</f>
        <v>ヒダルマダ！</v>
      </c>
      <c r="E2" s="34" t="str">
        <f ca="1">VLOOKUP($C2,OFFSET(enemy_skills!$A$1,0,0,COUNTA(enemy_skills!$A:$A),MATCH(E$1,enemy_skills!$1:$1,0)-MATCH("enemy_skill_id",enemy_skills!$1:$1,0)+1),MATCH(E$1,enemy_skills!$1:$1,0)-MATCH("enemy_skill_id",enemy_skills!$1:$1,0)+1,FALSE)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2" s="35">
        <v>48014100</v>
      </c>
      <c r="G2" s="36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36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36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2" s="36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36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36" t="str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" s="36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36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36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2" s="35"/>
      <c r="Q2" s="35"/>
      <c r="R2" s="35"/>
    </row>
    <row r="3" spans="1:18" ht="21" customHeight="1" x14ac:dyDescent="0.15">
      <c r="A3" s="27" t="str">
        <f t="shared" si="0"/>
        <v>48014101_48014105</v>
      </c>
      <c r="B3" s="35">
        <v>48014101</v>
      </c>
      <c r="C3" s="35">
        <v>48014105</v>
      </c>
      <c r="D3" s="34" t="str">
        <f ca="1">VLOOKUP($C3,OFFSET(enemy_skills!$A$1,0,0,COUNTA(enemy_skills!$A:$A),MATCH(D$1,enemy_skills!$1:$1,0)-MATCH("enemy_skill_id",enemy_skills!$1:$1,0)+1),MATCH(D$1,enemy_skills!$1:$1,0)-MATCH("enemy_skill_id",enemy_skills!$1:$1,0)+1,FALSE)</f>
        <v>ディスヒール</v>
      </c>
      <c r="E3" s="34" t="str">
        <f ca="1">VLOOKUP($C3,OFFSET(enemy_skills!$A$1,0,0,COUNTA(enemy_skills!$A:$A),MATCH(E$1,enemy_skills!$1:$1,0)-MATCH("enemy_skill_id",enemy_skills!$1:$1,0)+1),MATCH(E$1,enemy_skills!$1:$1,0)-MATCH("enemy_skill_id",enemy_skills!$1:$1,0)+1,FALSE)</f>
        <v>4ターンユニット1体の回復力50%DOWN</v>
      </c>
      <c r="F3" s="35">
        <v>48014105</v>
      </c>
      <c r="G3" s="36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" s="36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36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36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36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36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36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36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36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35"/>
      <c r="Q3" s="35"/>
      <c r="R3" s="35"/>
    </row>
    <row r="4" spans="1:18" ht="21" customHeight="1" x14ac:dyDescent="0.15">
      <c r="A4" s="27" t="str">
        <f t="shared" si="0"/>
        <v>48014101_48014106</v>
      </c>
      <c r="B4" s="35">
        <v>48014101</v>
      </c>
      <c r="C4" s="35">
        <v>48014106</v>
      </c>
      <c r="D4" s="34" t="str">
        <f ca="1">VLOOKUP($C4,OFFSET(enemy_skills!$A$1,0,0,COUNTA(enemy_skills!$A:$A),MATCH(D$1,enemy_skills!$1:$1,0)-MATCH("enemy_skill_id",enemy_skills!$1:$1,0)+1),MATCH(D$1,enemy_skills!$1:$1,0)-MATCH("enemy_skill_id",enemy_skills!$1:$1,0)+1,FALSE)</f>
        <v>ちょこっと吸血</v>
      </c>
      <c r="E4" s="34" t="str">
        <f ca="1">VLOOKUP($C4,OFFSET(enemy_skills!$A$1,0,0,COUNTA(enemy_skills!$A:$A),MATCH(E$1,enemy_skills!$1:$1,0)-MATCH("enemy_skill_id",enemy_skills!$1:$1,0)+1),MATCH(E$1,enemy_skills!$1:$1,0)-MATCH("enemy_skill_id",enemy_skills!$1:$1,0)+1,FALSE)</f>
        <v>単体攻撃+自己回復</v>
      </c>
      <c r="F4" s="35">
        <v>48014106</v>
      </c>
      <c r="G4" s="36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36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36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4" s="36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36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36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36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36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36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4" s="35"/>
      <c r="Q4" s="35"/>
      <c r="R4" s="35"/>
    </row>
    <row r="5" spans="1:18" ht="21" customHeight="1" x14ac:dyDescent="0.15">
      <c r="A5" s="27" t="str">
        <f t="shared" si="0"/>
        <v>48014102_48014110</v>
      </c>
      <c r="B5" s="35">
        <v>48014102</v>
      </c>
      <c r="C5" s="35">
        <v>48014110</v>
      </c>
      <c r="D5" s="34" t="str">
        <f ca="1">VLOOKUP($C5,OFFSET(enemy_skills!$A$1,0,0,COUNTA(enemy_skills!$A:$A),MATCH(D$1,enemy_skills!$1:$1,0)-MATCH("enemy_skill_id",enemy_skills!$1:$1,0)+1),MATCH(D$1,enemy_skills!$1:$1,0)-MATCH("enemy_skill_id",enemy_skills!$1:$1,0)+1,FALSE)</f>
        <v>重層空間</v>
      </c>
      <c r="E5" s="34" t="str">
        <f ca="1">VLOOKUP($C5,OFFSET(enemy_skills!$A$1,0,0,COUNTA(enemy_skills!$A:$A),MATCH(E$1,enemy_skills!$1:$1,0)-MATCH("enemy_skill_id",enemy_skills!$1:$1,0)+1),MATCH(E$1,enemy_skills!$1:$1,0)-MATCH("enemy_skill_id",enemy_skills!$1:$1,0)+1,FALSE)</f>
        <v>3ターン全ユニットのCパネル生成延長(効果特大)</v>
      </c>
      <c r="F5" s="35">
        <v>48014110</v>
      </c>
      <c r="G5" s="36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" s="36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36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36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36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36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36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36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36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35"/>
      <c r="Q5" s="35"/>
      <c r="R5" s="35"/>
    </row>
    <row r="6" spans="1:18" ht="21" customHeight="1" x14ac:dyDescent="0.15">
      <c r="A6" s="27" t="str">
        <f t="shared" si="0"/>
        <v>48014102_48014111</v>
      </c>
      <c r="B6" s="35">
        <v>48014102</v>
      </c>
      <c r="C6" s="35">
        <v>48014111</v>
      </c>
      <c r="D6" s="34" t="str">
        <f ca="1">VLOOKUP($C6,OFFSET(enemy_skills!$A$1,0,0,COUNTA(enemy_skills!$A:$A),MATCH(D$1,enemy_skills!$1:$1,0)-MATCH("enemy_skill_id",enemy_skills!$1:$1,0)+1),MATCH(D$1,enemy_skills!$1:$1,0)-MATCH("enemy_skill_id",enemy_skills!$1:$1,0)+1,FALSE)</f>
        <v>アイスフォール</v>
      </c>
      <c r="E6" s="34" t="str">
        <f ca="1">VLOOKUP($C6,OFFSET(enemy_skills!$A$1,0,0,COUNTA(enemy_skills!$A:$A),MATCH(E$1,enemy_skills!$1:$1,0)-MATCH("enemy_skill_id",enemy_skills!$1:$1,0)+1),MATCH(E$1,enemy_skills!$1:$1,0)-MATCH("enemy_skill_id",enemy_skills!$1:$1,0)+1,FALSE)</f>
        <v>全体攻撃</v>
      </c>
      <c r="F6" s="35">
        <v>48014111</v>
      </c>
      <c r="G6" s="36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36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36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6" s="36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36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36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36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36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36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6" s="35"/>
      <c r="Q6" s="35"/>
      <c r="R6" s="35"/>
    </row>
    <row r="7" spans="1:18" ht="21" customHeight="1" x14ac:dyDescent="0.15">
      <c r="A7" s="27" t="str">
        <f t="shared" si="0"/>
        <v>48014102_48014112</v>
      </c>
      <c r="B7" s="35">
        <v>48014102</v>
      </c>
      <c r="C7" s="35">
        <v>48014112</v>
      </c>
      <c r="D7" s="34" t="str">
        <f ca="1">VLOOKUP($C7,OFFSET(enemy_skills!$A$1,0,0,COUNTA(enemy_skills!$A:$A),MATCH(D$1,enemy_skills!$1:$1,0)-MATCH("enemy_skill_id",enemy_skills!$1:$1,0)+1),MATCH(D$1,enemy_skills!$1:$1,0)-MATCH("enemy_skill_id",enemy_skills!$1:$1,0)+1,FALSE)</f>
        <v>スリープブレス</v>
      </c>
      <c r="E7" s="34" t="str">
        <f ca="1">VLOOKUP($C7,OFFSET(enemy_skills!$A$1,0,0,COUNTA(enemy_skills!$A:$A),MATCH(E$1,enemy_skills!$1:$1,0)-MATCH("enemy_skill_id",enemy_skills!$1:$1,0)+1),MATCH(E$1,enemy_skills!$1:$1,0)-MATCH("enemy_skill_id",enemy_skills!$1:$1,0)+1,FALSE)</f>
        <v>1ターンユニット1〜2体にスリープ+_x000D_2回連続攻撃</v>
      </c>
      <c r="F7" s="35">
        <v>48014112</v>
      </c>
      <c r="G7" s="36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36" t="str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" s="36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7" s="36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36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36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36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36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36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7" s="35"/>
      <c r="Q7" s="35"/>
      <c r="R7" s="35"/>
    </row>
    <row r="8" spans="1:18" ht="21" customHeight="1" x14ac:dyDescent="0.15">
      <c r="A8" s="27" t="str">
        <f t="shared" si="0"/>
        <v>48014103_48014115</v>
      </c>
      <c r="B8" s="35">
        <v>48014103</v>
      </c>
      <c r="C8" s="35">
        <v>48014115</v>
      </c>
      <c r="D8" s="34" t="str">
        <f ca="1">VLOOKUP($C8,OFFSET(enemy_skills!$A$1,0,0,COUNTA(enemy_skills!$A:$A),MATCH(D$1,enemy_skills!$1:$1,0)-MATCH("enemy_skill_id",enemy_skills!$1:$1,0)+1),MATCH(D$1,enemy_skills!$1:$1,0)-MATCH("enemy_skill_id",enemy_skills!$1:$1,0)+1,FALSE)</f>
        <v>重層空間</v>
      </c>
      <c r="E8" s="34" t="str">
        <f ca="1">VLOOKUP($C8,OFFSET(enemy_skills!$A$1,0,0,COUNTA(enemy_skills!$A:$A),MATCH(E$1,enemy_skills!$1:$1,0)-MATCH("enemy_skill_id",enemy_skills!$1:$1,0)+1),MATCH(E$1,enemy_skills!$1:$1,0)-MATCH("enemy_skill_id",enemy_skills!$1:$1,0)+1,FALSE)</f>
        <v>3ターン全ユニットのCパネル生成延長(効果特大)</v>
      </c>
      <c r="F8" s="35">
        <v>48014115</v>
      </c>
      <c r="G8" s="36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" s="36" t="str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" s="36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36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36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36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36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36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36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35"/>
      <c r="Q8" s="35"/>
      <c r="R8" s="35"/>
    </row>
    <row r="9" spans="1:18" ht="21" customHeight="1" x14ac:dyDescent="0.15">
      <c r="A9" s="27" t="str">
        <f t="shared" si="0"/>
        <v>48014103_48014116</v>
      </c>
      <c r="B9" s="35">
        <v>48014103</v>
      </c>
      <c r="C9" s="35">
        <v>48014116</v>
      </c>
      <c r="D9" s="34" t="str">
        <f ca="1">VLOOKUP($C9,OFFSET(enemy_skills!$A$1,0,0,COUNTA(enemy_skills!$A:$A),MATCH(D$1,enemy_skills!$1:$1,0)-MATCH("enemy_skill_id",enemy_skills!$1:$1,0)+1),MATCH(D$1,enemy_skills!$1:$1,0)-MATCH("enemy_skill_id",enemy_skills!$1:$1,0)+1,FALSE)</f>
        <v>アイスフォール</v>
      </c>
      <c r="E9" s="34" t="str">
        <f ca="1">VLOOKUP($C9,OFFSET(enemy_skills!$A$1,0,0,COUNTA(enemy_skills!$A:$A),MATCH(E$1,enemy_skills!$1:$1,0)-MATCH("enemy_skill_id",enemy_skills!$1:$1,0)+1),MATCH(E$1,enemy_skills!$1:$1,0)-MATCH("enemy_skill_id",enemy_skills!$1:$1,0)+1,FALSE)</f>
        <v>全体攻撃</v>
      </c>
      <c r="F9" s="35">
        <v>48014116</v>
      </c>
      <c r="G9" s="36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36" t="str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" s="36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9" s="36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36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36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36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36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36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9" s="35"/>
      <c r="Q9" s="35"/>
      <c r="R9" s="35"/>
    </row>
    <row r="10" spans="1:18" ht="21" customHeight="1" x14ac:dyDescent="0.15">
      <c r="A10" s="27" t="str">
        <f t="shared" si="0"/>
        <v>48014103_48014117</v>
      </c>
      <c r="B10" s="35">
        <v>48014103</v>
      </c>
      <c r="C10" s="35">
        <v>48014117</v>
      </c>
      <c r="D10" s="34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スリープブレス</v>
      </c>
      <c r="E10" s="34" t="str">
        <f ca="1">VLOOKUP($C10,OFFSET(enemy_skills!$A$1,0,0,COUNTA(enemy_skills!$A:$A),MATCH(E$1,enemy_skills!$1:$1,0)-MATCH("enemy_skill_id",enemy_skills!$1:$1,0)+1),MATCH(E$1,enemy_skills!$1:$1,0)-MATCH("enemy_skill_id",enemy_skills!$1:$1,0)+1,FALSE)</f>
        <v>1ターンユニット1〜2体にスリープ+_x000D_2回連続攻撃</v>
      </c>
      <c r="F10" s="35">
        <v>48014117</v>
      </c>
      <c r="G10" s="36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36" t="str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" s="36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10" s="36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36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36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36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36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36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10" s="35"/>
      <c r="Q10" s="35"/>
      <c r="R10" s="35"/>
    </row>
    <row r="11" spans="1:18" ht="21" customHeight="1" x14ac:dyDescent="0.15">
      <c r="A11" s="27" t="str">
        <f t="shared" si="0"/>
        <v>48014104_48014120</v>
      </c>
      <c r="B11" s="35">
        <v>48014104</v>
      </c>
      <c r="C11" s="35">
        <v>48014120</v>
      </c>
      <c r="D11" s="34" t="str">
        <f ca="1">VLOOKUP($C11,OFFSET(enemy_skills!$A$1,0,0,COUNTA(enemy_skills!$A:$A),MATCH(D$1,enemy_skills!$1:$1,0)-MATCH("enemy_skill_id",enemy_skills!$1:$1,0)+1),MATCH(D$1,enemy_skills!$1:$1,0)-MATCH("enemy_skill_id",enemy_skills!$1:$1,0)+1,FALSE)</f>
        <v>蒼の一閃</v>
      </c>
      <c r="E11" s="34" t="str">
        <f ca="1">VLOOKUP($C11,OFFSET(enemy_skills!$A$1,0,0,COUNTA(enemy_skills!$A:$A),MATCH(E$1,enemy_skills!$1:$1,0)-MATCH("enemy_skill_id",enemy_skills!$1:$1,0)+1),MATCH(E$1,enemy_skills!$1:$1,0)-MATCH("enemy_skill_id",enemy_skills!$1:$1,0)+1,FALSE)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1" s="35">
        <v>48014120</v>
      </c>
      <c r="G11" s="36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36" t="str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" s="36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1" s="36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36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36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36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36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36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1" s="35"/>
      <c r="Q11" s="35"/>
      <c r="R11" s="35"/>
    </row>
    <row r="12" spans="1:18" ht="21" customHeight="1" x14ac:dyDescent="0.15">
      <c r="A12" s="27" t="str">
        <f t="shared" si="0"/>
        <v>48014104_48014121</v>
      </c>
      <c r="B12" s="35">
        <v>48014104</v>
      </c>
      <c r="C12" s="35">
        <v>48014121</v>
      </c>
      <c r="D12" s="34" t="str">
        <f ca="1">VLOOKUP($C12,OFFSET(enemy_skills!$A$1,0,0,COUNTA(enemy_skills!$A:$A),MATCH(D$1,enemy_skills!$1:$1,0)-MATCH("enemy_skill_id",enemy_skills!$1:$1,0)+1),MATCH(D$1,enemy_skills!$1:$1,0)-MATCH("enemy_skill_id",enemy_skills!$1:$1,0)+1,FALSE)</f>
        <v>隙あり！</v>
      </c>
      <c r="E12" s="34" t="str">
        <f ca="1">VLOOKUP($C12,OFFSET(enemy_skills!$A$1,0,0,COUNTA(enemy_skills!$A:$A),MATCH(E$1,enemy_skills!$1:$1,0)-MATCH("enemy_skill_id",enemy_skills!$1:$1,0)+1),MATCH(E$1,enemy_skills!$1:$1,0)-MATCH("enemy_skill_id",enemy_skills!$1:$1,0)+1,FALSE)</f>
        <v>5ターンハートパネル無効+_x000D_5ターンハートパネルドロップ率UP</v>
      </c>
      <c r="F12" s="35">
        <v>48014121</v>
      </c>
      <c r="G12" s="36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36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2" s="36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36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36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36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36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2" s="36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36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35"/>
      <c r="Q12" s="35"/>
      <c r="R12" s="35"/>
    </row>
    <row r="13" spans="1:18" ht="21" customHeight="1" x14ac:dyDescent="0.15">
      <c r="A13" s="27" t="str">
        <f t="shared" si="0"/>
        <v>48014105_48014126</v>
      </c>
      <c r="B13" s="35">
        <v>48014105</v>
      </c>
      <c r="C13" s="35">
        <v>48014126</v>
      </c>
      <c r="D13" s="34" t="str">
        <f ca="1">VLOOKUP($C13,OFFSET(enemy_skills!$A$1,0,0,COUNTA(enemy_skills!$A:$A),MATCH(D$1,enemy_skills!$1:$1,0)-MATCH("enemy_skill_id",enemy_skills!$1:$1,0)+1),MATCH(D$1,enemy_skills!$1:$1,0)-MATCH("enemy_skill_id",enemy_skills!$1:$1,0)+1,FALSE)</f>
        <v>眠りの旋律</v>
      </c>
      <c r="E13" s="34" t="str">
        <f ca="1">VLOOKUP($C13,OFFSET(enemy_skills!$A$1,0,0,COUNTA(enemy_skills!$A:$A),MATCH(E$1,enemy_skills!$1:$1,0)-MATCH("enemy_skill_id",enemy_skills!$1:$1,0)+1),MATCH(E$1,enemy_skills!$1:$1,0)-MATCH("enemy_skill_id",enemy_skills!$1:$1,0)+1,FALSE)</f>
        <v>1ターンユニット1体にスリープ+クリティカル！</v>
      </c>
      <c r="F13" s="35">
        <v>48014126</v>
      </c>
      <c r="G13" s="36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36" t="str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3" s="36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13" s="36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36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36" t="str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" s="36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36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36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13" s="35"/>
      <c r="Q13" s="35"/>
      <c r="R13" s="35"/>
    </row>
    <row r="14" spans="1:18" ht="21" customHeight="1" x14ac:dyDescent="0.15">
      <c r="A14" s="27" t="str">
        <f t="shared" si="0"/>
        <v>48014106_48014130</v>
      </c>
      <c r="B14" s="35">
        <v>48014106</v>
      </c>
      <c r="C14" s="35">
        <v>48014130</v>
      </c>
      <c r="D14" s="34" t="str">
        <f ca="1">VLOOKUP($C14,OFFSET(enemy_skills!$A$1,0,0,COUNTA(enemy_skills!$A:$A),MATCH(D$1,enemy_skills!$1:$1,0)-MATCH("enemy_skill_id",enemy_skills!$1:$1,0)+1),MATCH(D$1,enemy_skills!$1:$1,0)-MATCH("enemy_skill_id",enemy_skills!$1:$1,0)+1,FALSE)</f>
        <v>何仙姑、ボクを連れ戻しに来たの？</v>
      </c>
      <c r="E14" s="34" t="str">
        <f ca="1">VLOOKUP($C14,OFFSET(enemy_skills!$A$1,0,0,COUNTA(enemy_skills!$A:$A),MATCH(E$1,enemy_skills!$1:$1,0)-MATCH("enemy_skill_id",enemy_skills!$1:$1,0)+1),MATCH(E$1,enemy_skills!$1:$1,0)-MATCH("enemy_skill_id",enemy_skills!$1:$1,0)+1,FALSE)</f>
        <v>状態異常耐性+_x000D_3ターン全ユニットのCパネル生成延長(効果特大)</v>
      </c>
      <c r="F14" s="35">
        <v>48014130</v>
      </c>
      <c r="G14" s="36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" s="36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4" s="36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36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36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36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36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36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8039</v>
      </c>
      <c r="O14" s="36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35"/>
      <c r="Q14" s="35"/>
      <c r="R14" s="35"/>
    </row>
    <row r="15" spans="1:18" ht="21" customHeight="1" x14ac:dyDescent="0.15">
      <c r="A15" s="27" t="str">
        <f t="shared" si="0"/>
        <v>48014106_48014131</v>
      </c>
      <c r="B15" s="35">
        <v>48014106</v>
      </c>
      <c r="C15" s="35">
        <v>48014131</v>
      </c>
      <c r="D15" s="34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ふふっ、誰もボクを止められないよ！</v>
      </c>
      <c r="E15" s="34" t="str">
        <f ca="1">VLOOKUP($C15,OFFSET(enemy_skills!$A$1,0,0,COUNTA(enemy_skills!$A:$A),MATCH(E$1,enemy_skills!$1:$1,0)-MATCH("enemy_skill_id",enemy_skills!$1:$1,0)+1),MATCH(E$1,enemy_skills!$1:$1,0)-MATCH("enemy_skill_id",enemy_skills!$1:$1,0)+1,FALSE)</f>
        <v>状態異常耐性+_x000D_3ターン全ユニットのCパネル生成延長(効果特大)</v>
      </c>
      <c r="F15" s="35">
        <v>48014131</v>
      </c>
      <c r="G15" s="36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" s="36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5" s="36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36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36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36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36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36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36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35"/>
      <c r="Q15" s="35"/>
      <c r="R15" s="35"/>
    </row>
    <row r="16" spans="1:18" ht="21" customHeight="1" x14ac:dyDescent="0.15">
      <c r="A16" s="27" t="str">
        <f t="shared" si="0"/>
        <v>48014106_48014132</v>
      </c>
      <c r="B16" s="35">
        <v>48014106</v>
      </c>
      <c r="C16" s="35">
        <v>48014132</v>
      </c>
      <c r="D16" s="34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ニンゲンなんかに負けないよ！</v>
      </c>
      <c r="E16" s="34" t="str">
        <f ca="1">VLOOKUP($C16,OFFSET(enemy_skills!$A$1,0,0,COUNTA(enemy_skills!$A:$A),MATCH(E$1,enemy_skills!$1:$1,0)-MATCH("enemy_skill_id",enemy_skills!$1:$1,0)+1),MATCH(E$1,enemy_skills!$1:$1,0)-MATCH("enemy_skill_id",enemy_skills!$1:$1,0)+1,FALSE)</f>
        <v>種族ヒューマンのユニットに大ダメージの全体攻撃</v>
      </c>
      <c r="F16" s="35">
        <v>48014132</v>
      </c>
      <c r="G16" s="36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36" t="str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6" s="36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6" s="36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36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36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36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36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36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6" s="35"/>
      <c r="Q16" s="35"/>
      <c r="R16" s="35"/>
    </row>
    <row r="17" spans="1:18" ht="21" customHeight="1" x14ac:dyDescent="0.15">
      <c r="A17" s="27" t="str">
        <f t="shared" si="0"/>
        <v>48014106_48014133</v>
      </c>
      <c r="B17" s="35">
        <v>48014106</v>
      </c>
      <c r="C17" s="35">
        <v>48014133</v>
      </c>
      <c r="D17" s="34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どんなに強くてもこれでっ！</v>
      </c>
      <c r="E17" s="34" t="str">
        <f ca="1">VLOOKUP($C17,OFFSET(enemy_skills!$A$1,0,0,COUNTA(enemy_skills!$A:$A),MATCH(E$1,enemy_skills!$1:$1,0)-MATCH("enemy_skill_id",enemy_skills!$1:$1,0)+1),MATCH(E$1,enemy_skills!$1:$1,0)-MATCH("enemy_skill_id",enemy_skills!$1:$1,0)+1,FALSE)</f>
        <v>残りHPの40%ダメージ</v>
      </c>
      <c r="F17" s="35">
        <v>48014133</v>
      </c>
      <c r="G17" s="36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36" t="str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7" s="36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36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36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36" t="str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" s="36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17" s="36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36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35"/>
      <c r="Q17" s="35"/>
      <c r="R17" s="35"/>
    </row>
    <row r="18" spans="1:18" ht="21" customHeight="1" x14ac:dyDescent="0.15">
      <c r="A18" s="27" t="str">
        <f t="shared" si="0"/>
        <v>48014107_48014140</v>
      </c>
      <c r="B18" s="35">
        <v>48014107</v>
      </c>
      <c r="C18" s="35">
        <v>48014140</v>
      </c>
      <c r="D18" s="34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さあ、もっと暴れるよー！</v>
      </c>
      <c r="E18" s="34" t="str">
        <f ca="1">VLOOKUP($C18,OFFSET(enemy_skills!$A$1,0,0,COUNTA(enemy_skills!$A:$A),MATCH(E$1,enemy_skills!$1:$1,0)-MATCH("enemy_skill_id",enemy_skills!$1:$1,0)+1),MATCH(E$1,enemy_skills!$1:$1,0)-MATCH("enemy_skill_id",enemy_skills!$1:$1,0)+1,FALSE)</f>
        <v>状態異常耐性+_x000D_5ターンハートパネル無効+_x000D_5ターンハートパネルドロップ率UP</v>
      </c>
      <c r="F18" s="35">
        <v>48014140</v>
      </c>
      <c r="G18" s="36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" s="36" t="str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8" s="36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36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36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36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36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36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36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35"/>
      <c r="Q18" s="35"/>
      <c r="R18" s="35"/>
    </row>
    <row r="19" spans="1:18" ht="21" customHeight="1" x14ac:dyDescent="0.15">
      <c r="A19" s="27" t="str">
        <f t="shared" si="0"/>
        <v>48014107_48014141</v>
      </c>
      <c r="B19" s="35">
        <v>48014107</v>
      </c>
      <c r="C19" s="35">
        <v>48014141</v>
      </c>
      <c r="D19" s="34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ニンゲンなんかに負けないよ！</v>
      </c>
      <c r="E19" s="34" t="str">
        <f ca="1">VLOOKUP($C19,OFFSET(enemy_skills!$A$1,0,0,COUNTA(enemy_skills!$A:$A),MATCH(E$1,enemy_skills!$1:$1,0)-MATCH("enemy_skill_id",enemy_skills!$1:$1,0)+1),MATCH(E$1,enemy_skills!$1:$1,0)-MATCH("enemy_skill_id",enemy_skills!$1:$1,0)+1,FALSE)</f>
        <v>種族ヒューマンのユニットに大ダメージの全体攻撃</v>
      </c>
      <c r="F19" s="35">
        <v>48014141</v>
      </c>
      <c r="G19" s="36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36" t="str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9" s="36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9" s="36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36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36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36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36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36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9" s="35"/>
      <c r="Q19" s="35"/>
      <c r="R19" s="35"/>
    </row>
    <row r="20" spans="1:18" ht="21" customHeight="1" x14ac:dyDescent="0.15">
      <c r="A20" s="27" t="str">
        <f t="shared" si="0"/>
        <v>48014107_48014142</v>
      </c>
      <c r="B20" s="35">
        <v>48014107</v>
      </c>
      <c r="C20" s="35">
        <v>48014142</v>
      </c>
      <c r="D20" s="34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どんなに強くてもこれでっ！</v>
      </c>
      <c r="E20" s="34" t="str">
        <f ca="1">VLOOKUP($C20,OFFSET(enemy_skills!$A$1,0,0,COUNTA(enemy_skills!$A:$A),MATCH(E$1,enemy_skills!$1:$1,0)-MATCH("enemy_skill_id",enemy_skills!$1:$1,0)+1),MATCH(E$1,enemy_skills!$1:$1,0)-MATCH("enemy_skill_id",enemy_skills!$1:$1,0)+1,FALSE)</f>
        <v>残りHPの40%ダメージ</v>
      </c>
      <c r="F20" s="35">
        <v>48014142</v>
      </c>
      <c r="G20" s="36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36" t="str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0" s="36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36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36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36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36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20" s="36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36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35"/>
      <c r="Q20" s="35"/>
      <c r="R20" s="35"/>
    </row>
    <row r="21" spans="1:18" ht="21" customHeight="1" x14ac:dyDescent="0.15">
      <c r="A21" s="27" t="str">
        <f t="shared" si="0"/>
        <v>48014107_48014143</v>
      </c>
      <c r="B21" s="35">
        <v>48014107</v>
      </c>
      <c r="C21" s="35">
        <v>48014143</v>
      </c>
      <c r="D21" s="34" t="str">
        <f ca="1">VLOOKUP($C21,OFFSET(enemy_skills!$A$1,0,0,COUNTA(enemy_skills!$A:$A),MATCH(D$1,enemy_skills!$1:$1,0)-MATCH("enemy_skill_id",enemy_skills!$1:$1,0)+1),MATCH(D$1,enemy_skills!$1:$1,0)-MATCH("enemy_skill_id",enemy_skills!$1:$1,0)+1,FALSE)</f>
        <v>木々よ！ボクに力を！</v>
      </c>
      <c r="E21" s="34" t="str">
        <f ca="1">VLOOKUP($C21,OFFSET(enemy_skills!$A$1,0,0,COUNTA(enemy_skills!$A:$A),MATCH(E$1,enemy_skills!$1:$1,0)-MATCH("enemy_skill_id",enemy_skills!$1:$1,0)+1),MATCH(E$1,enemy_skills!$1:$1,0)-MATCH("enemy_skill_id",enemy_skills!$1:$1,0)+1,FALSE)</f>
        <v>緑パネルを吸収して攻撃+自己回復</v>
      </c>
      <c r="F21" s="35">
        <v>48014143</v>
      </c>
      <c r="G21" s="36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36" t="str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1" s="36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1" s="36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1" s="36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36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21" s="36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36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36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1" s="35"/>
      <c r="Q21" s="35"/>
      <c r="R21" s="35"/>
    </row>
    <row r="22" spans="1:18" ht="21" customHeight="1" x14ac:dyDescent="0.15">
      <c r="A22" s="27" t="str">
        <f t="shared" si="0"/>
        <v>48014108_48014150</v>
      </c>
      <c r="B22" s="35">
        <v>48014108</v>
      </c>
      <c r="C22" s="35">
        <v>48014150</v>
      </c>
      <c r="D22" s="34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いたずらするのは楽しいね！</v>
      </c>
      <c r="E22" s="34" t="str">
        <f ca="1">VLOOKUP($C22,OFFSET(enemy_skills!$A$1,0,0,COUNTA(enemy_skills!$A:$A),MATCH(E$1,enemy_skills!$1:$1,0)-MATCH("enemy_skill_id",enemy_skills!$1:$1,0)+1),MATCH(E$1,enemy_skills!$1:$1,0)-MATCH("enemy_skill_id",enemy_skills!$1:$1,0)+1,FALSE)</f>
        <v>状態異常耐性+_x000D_3ターン全ユニットのCパネル生成延長(効果特大)</v>
      </c>
      <c r="F22" s="35">
        <v>48014150</v>
      </c>
      <c r="G22" s="36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2" s="36" t="str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2" s="36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36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36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36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36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36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36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35"/>
      <c r="Q22" s="35"/>
      <c r="R22" s="35"/>
    </row>
    <row r="23" spans="1:18" ht="21" customHeight="1" x14ac:dyDescent="0.15">
      <c r="A23" s="27" t="str">
        <f t="shared" si="0"/>
        <v>48014108_48014151</v>
      </c>
      <c r="B23" s="35">
        <v>48014108</v>
      </c>
      <c r="C23" s="35">
        <v>48014151</v>
      </c>
      <c r="D23" s="34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ニンゲンなんかに負けないよ！</v>
      </c>
      <c r="E23" s="34" t="str">
        <f ca="1">VLOOKUP($C23,OFFSET(enemy_skills!$A$1,0,0,COUNTA(enemy_skills!$A:$A),MATCH(E$1,enemy_skills!$1:$1,0)-MATCH("enemy_skill_id",enemy_skills!$1:$1,0)+1),MATCH(E$1,enemy_skills!$1:$1,0)-MATCH("enemy_skill_id",enemy_skills!$1:$1,0)+1,FALSE)</f>
        <v>種族ヒューマンのユニットに大ダメージの全体攻撃</v>
      </c>
      <c r="F23" s="35">
        <v>48014151</v>
      </c>
      <c r="G23" s="36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36" t="str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3" s="36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23" s="36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36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36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36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36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36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23" s="35"/>
      <c r="Q23" s="35"/>
      <c r="R23" s="35"/>
    </row>
    <row r="24" spans="1:18" ht="21" customHeight="1" x14ac:dyDescent="0.15">
      <c r="A24" s="27" t="str">
        <f t="shared" si="0"/>
        <v>48014108_48014152</v>
      </c>
      <c r="B24" s="35">
        <v>48014108</v>
      </c>
      <c r="C24" s="35">
        <v>48014152</v>
      </c>
      <c r="D24" s="34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どんなに強くてもこれでっ！</v>
      </c>
      <c r="E24" s="34" t="str">
        <f ca="1">VLOOKUP($C24,OFFSET(enemy_skills!$A$1,0,0,COUNTA(enemy_skills!$A:$A),MATCH(E$1,enemy_skills!$1:$1,0)-MATCH("enemy_skill_id",enemy_skills!$1:$1,0)+1),MATCH(E$1,enemy_skills!$1:$1,0)-MATCH("enemy_skill_id",enemy_skills!$1:$1,0)+1,FALSE)</f>
        <v>残りHPの40%ダメージ</v>
      </c>
      <c r="F24" s="35">
        <v>48014152</v>
      </c>
      <c r="G24" s="36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36" t="str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4" s="36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36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36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36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36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24" s="36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36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35"/>
      <c r="Q24" s="35"/>
      <c r="R24" s="35"/>
    </row>
    <row r="25" spans="1:18" ht="21" customHeight="1" x14ac:dyDescent="0.15">
      <c r="A25" s="27" t="str">
        <f t="shared" si="0"/>
        <v>48014108_48014153</v>
      </c>
      <c r="B25" s="35">
        <v>48014108</v>
      </c>
      <c r="C25" s="35">
        <v>48014153</v>
      </c>
      <c r="D25" s="34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どんどん強くなるよ！</v>
      </c>
      <c r="E25" s="34" t="str">
        <f ca="1">VLOOKUP($C25,OFFSET(enemy_skills!$A$1,0,0,COUNTA(enemy_skills!$A:$A),MATCH(E$1,enemy_skills!$1:$1,0)-MATCH("enemy_skill_id",enemy_skills!$1:$1,0)+1),MATCH(E$1,enemy_skills!$1:$1,0)-MATCH("enemy_skill_id",enemy_skills!$1:$1,0)+1,FALSE)</f>
        <v>攻撃力UP+単体攻撃</v>
      </c>
      <c r="F25" s="35">
        <v>48014153</v>
      </c>
      <c r="G25" s="36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36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5" s="36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36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25" s="36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36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36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36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36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35"/>
      <c r="Q25" s="35"/>
      <c r="R25" s="35"/>
    </row>
    <row r="26" spans="1:18" ht="21" customHeight="1" x14ac:dyDescent="0.15">
      <c r="A26" s="27" t="str">
        <f t="shared" si="0"/>
        <v>48014108_48014154</v>
      </c>
      <c r="B26" s="35">
        <v>48014108</v>
      </c>
      <c r="C26" s="35">
        <v>48014154</v>
      </c>
      <c r="D26" s="34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ほらほらー！</v>
      </c>
      <c r="E26" s="34" t="str">
        <f ca="1">VLOOKUP($C26,OFFSET(enemy_skills!$A$1,0,0,COUNTA(enemy_skills!$A:$A),MATCH(E$1,enemy_skills!$1:$1,0)-MATCH("enemy_skill_id",enemy_skills!$1:$1,0)+1),MATCH(E$1,enemy_skills!$1:$1,0)-MATCH("enemy_skill_id",enemy_skills!$1:$1,0)+1,FALSE)</f>
        <v>攻撃力UP+単体攻撃</v>
      </c>
      <c r="F26" s="35">
        <v>48014154</v>
      </c>
      <c r="G26" s="36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36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6" s="36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36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26" s="36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36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36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36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36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35"/>
      <c r="Q26" s="35"/>
      <c r="R26" s="35"/>
    </row>
    <row r="27" spans="1:18" ht="21" customHeight="1" x14ac:dyDescent="0.15">
      <c r="A27" s="27" t="str">
        <f t="shared" si="0"/>
        <v>48014108_48014155</v>
      </c>
      <c r="B27" s="35">
        <v>48014108</v>
      </c>
      <c r="C27" s="35">
        <v>48014155</v>
      </c>
      <c r="D27" s="34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これで終わりにするよっ！</v>
      </c>
      <c r="E27" s="34" t="str">
        <f ca="1">VLOOKUP($C27,OFFSET(enemy_skills!$A$1,0,0,COUNTA(enemy_skills!$A:$A),MATCH(E$1,enemy_skills!$1:$1,0)-MATCH("enemy_skill_id",enemy_skills!$1:$1,0)+1),MATCH(E$1,enemy_skills!$1:$1,0)-MATCH("enemy_skill_id",enemy_skills!$1:$1,0)+1,FALSE)</f>
        <v>攻撃力大UP+単体攻撃</v>
      </c>
      <c r="F27" s="35">
        <v>48014155</v>
      </c>
      <c r="G27" s="36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36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7" s="36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36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10</v>
      </c>
      <c r="K27" s="36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36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36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36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36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35"/>
      <c r="Q27" s="35"/>
      <c r="R27" s="35"/>
    </row>
    <row r="28" spans="1:18" ht="21" customHeight="1" x14ac:dyDescent="0.15">
      <c r="A28" s="27" t="str">
        <f t="shared" si="0"/>
        <v>48014108_48014156</v>
      </c>
      <c r="B28" s="35">
        <v>48014108</v>
      </c>
      <c r="C28" s="35">
        <v>48014156</v>
      </c>
      <c r="D28" s="34" t="str">
        <f ca="1">VLOOKUP($C28,OFFSET(enemy_skills!$A$1,0,0,COUNTA(enemy_skills!$A:$A),MATCH(D$1,enemy_skills!$1:$1,0)-MATCH("enemy_skill_id",enemy_skills!$1:$1,0)+1),MATCH(D$1,enemy_skills!$1:$1,0)-MATCH("enemy_skill_id",enemy_skills!$1:$1,0)+1,FALSE)</f>
        <v>負けちゃったかぁ…</v>
      </c>
      <c r="E28" s="34" t="str">
        <f ca="1">VLOOKUP($C28,OFFSET(enemy_skills!$A$1,0,0,COUNTA(enemy_skills!$A:$A),MATCH(E$1,enemy_skills!$1:$1,0)-MATCH("enemy_skill_id",enemy_skills!$1:$1,0)+1),MATCH(E$1,enemy_skills!$1:$1,0)-MATCH("enemy_skill_id",enemy_skills!$1:$1,0)+1,FALSE)</f>
        <v>しばらくおとなしくしようかな…</v>
      </c>
      <c r="F28" s="35">
        <v>48014156</v>
      </c>
      <c r="G28" s="36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36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28" s="36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36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36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36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8" s="36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36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8039</v>
      </c>
      <c r="O28" s="36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35"/>
      <c r="Q28" s="35"/>
      <c r="R28" s="35"/>
    </row>
    <row r="29" spans="1:18" ht="21" customHeight="1" x14ac:dyDescent="0.15">
      <c r="A29" s="27" t="str">
        <f t="shared" si="0"/>
        <v>48014108_48014157</v>
      </c>
      <c r="B29" s="35">
        <v>48014108</v>
      </c>
      <c r="C29" s="35">
        <v>48014157</v>
      </c>
      <c r="D29" s="34" t="str">
        <f ca="1">VLOOKUP($C29,OFFSET(enemy_skills!$A$1,0,0,COUNTA(enemy_skills!$A:$A),MATCH(D$1,enemy_skills!$1:$1,0)-MATCH("enemy_skill_id",enemy_skills!$1:$1,0)+1),MATCH(D$1,enemy_skills!$1:$1,0)-MATCH("enemy_skill_id",enemy_skills!$1:$1,0)+1,FALSE)</f>
        <v>負けちゃったかぁ…</v>
      </c>
      <c r="E29" s="34" t="str">
        <f ca="1">VLOOKUP($C29,OFFSET(enemy_skills!$A$1,0,0,COUNTA(enemy_skills!$A:$A),MATCH(E$1,enemy_skills!$1:$1,0)-MATCH("enemy_skill_id",enemy_skills!$1:$1,0)+1),MATCH(E$1,enemy_skills!$1:$1,0)-MATCH("enemy_skill_id",enemy_skills!$1:$1,0)+1,FALSE)</f>
        <v>しばらくおとなしくしようかな…</v>
      </c>
      <c r="F29" s="35">
        <v>48014157</v>
      </c>
      <c r="G29" s="36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36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115</v>
      </c>
      <c r="I29" s="36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36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36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36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9" s="36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36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8040</v>
      </c>
      <c r="O29" s="36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35"/>
      <c r="Q29" s="35"/>
      <c r="R29" s="35"/>
    </row>
    <row r="30" spans="1:18" ht="21" customHeight="1" x14ac:dyDescent="0.15">
      <c r="A30" s="27" t="str">
        <f t="shared" si="0"/>
        <v>48014108_48014158</v>
      </c>
      <c r="B30" s="35">
        <v>48014108</v>
      </c>
      <c r="C30" s="35">
        <v>48014158</v>
      </c>
      <c r="D30" s="34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このボクが負けるなんて…</v>
      </c>
      <c r="E30" s="34" t="str">
        <f ca="1">VLOOKUP($C30,OFFSET(enemy_skills!$A$1,0,0,COUNTA(enemy_skills!$A:$A),MATCH(E$1,enemy_skills!$1:$1,0)-MATCH("enemy_skill_id",enemy_skills!$1:$1,0)+1),MATCH(E$1,enemy_skills!$1:$1,0)-MATCH("enemy_skill_id",enemy_skills!$1:$1,0)+1,FALSE)</f>
        <v>真面目に修行しなきゃダメかぁ…</v>
      </c>
      <c r="F30" s="35">
        <v>48014158</v>
      </c>
      <c r="G30" s="36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36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30" s="36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36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36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36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0" s="36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36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30" s="36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35"/>
      <c r="Q30" s="35"/>
      <c r="R30" s="35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61"/>
  <sheetViews>
    <sheetView showGridLines="0" tabSelected="1" workbookViewId="0">
      <pane ySplit="1" topLeftCell="A8" activePane="bottomLeft" state="frozenSplit"/>
      <selection pane="bottomLeft" activeCell="B26" sqref="B26"/>
    </sheetView>
  </sheetViews>
  <sheetFormatPr baseColWidth="12" defaultColWidth="12.83203125" defaultRowHeight="21" customHeight="1" outlineLevelCol="1" x14ac:dyDescent="0.15"/>
  <cols>
    <col min="1" max="1" width="12.83203125" style="37"/>
    <col min="2" max="2" width="67.1640625" style="37" customWidth="1"/>
    <col min="3" max="4" width="12.83203125" style="37"/>
    <col min="5" max="5" width="23.6640625" style="37" bestFit="1" customWidth="1"/>
    <col min="6" max="6" width="44.1640625" style="37" bestFit="1" customWidth="1"/>
    <col min="7" max="7" width="52" style="37" customWidth="1" outlineLevel="1"/>
    <col min="8" max="8" width="18.33203125" style="37" customWidth="1" outlineLevel="1"/>
    <col min="9" max="11" width="18.6640625" style="37" customWidth="1" outlineLevel="1"/>
    <col min="12" max="12" width="23.6640625" style="37" customWidth="1"/>
    <col min="13" max="18" width="23.6640625" style="37" customWidth="1" outlineLevel="1"/>
    <col min="19" max="19" width="23.6640625" style="37" customWidth="1"/>
    <col min="20" max="24" width="23.6640625" style="37" customWidth="1" outlineLevel="1"/>
    <col min="25" max="25" width="23.6640625" style="37" customWidth="1"/>
    <col min="26" max="27" width="12.83203125" style="37"/>
    <col min="28" max="28" width="44.5" style="37" customWidth="1"/>
    <col min="29" max="16384" width="12.83203125" style="37"/>
  </cols>
  <sheetData>
    <row r="1" spans="1:28" ht="21" customHeight="1" x14ac:dyDescent="0.15">
      <c r="A1" s="28" t="s">
        <v>64</v>
      </c>
      <c r="B1" s="28" t="s">
        <v>65</v>
      </c>
      <c r="C1" s="28" t="s">
        <v>66</v>
      </c>
      <c r="D1" s="28" t="s">
        <v>104</v>
      </c>
      <c r="E1" s="28" t="s">
        <v>51</v>
      </c>
      <c r="F1" s="28" t="s">
        <v>52</v>
      </c>
      <c r="G1" s="29" t="s">
        <v>107</v>
      </c>
      <c r="H1" s="29" t="s">
        <v>113</v>
      </c>
      <c r="I1" s="29" t="s">
        <v>115</v>
      </c>
      <c r="J1" s="29" t="s">
        <v>114</v>
      </c>
      <c r="K1" s="29" t="s">
        <v>116</v>
      </c>
      <c r="L1" s="29" t="s">
        <v>108</v>
      </c>
      <c r="M1" s="29" t="s">
        <v>106</v>
      </c>
      <c r="N1" s="29" t="s">
        <v>109</v>
      </c>
      <c r="O1" s="29" t="s">
        <v>117</v>
      </c>
      <c r="P1" s="29" t="s">
        <v>118</v>
      </c>
      <c r="Q1" s="29" t="s">
        <v>119</v>
      </c>
      <c r="R1" s="29" t="s">
        <v>120</v>
      </c>
      <c r="S1" s="29" t="s">
        <v>110</v>
      </c>
      <c r="T1" s="29" t="s">
        <v>111</v>
      </c>
      <c r="U1" s="29" t="s">
        <v>121</v>
      </c>
      <c r="V1" s="29" t="s">
        <v>122</v>
      </c>
      <c r="W1" s="29" t="s">
        <v>123</v>
      </c>
      <c r="X1" s="29" t="s">
        <v>124</v>
      </c>
      <c r="Y1" s="29" t="s">
        <v>112</v>
      </c>
      <c r="Z1" s="29" t="s">
        <v>61</v>
      </c>
      <c r="AA1" s="29" t="s">
        <v>62</v>
      </c>
      <c r="AB1" s="29" t="s">
        <v>63</v>
      </c>
    </row>
    <row r="2" spans="1:28" ht="21" customHeight="1" x14ac:dyDescent="0.15">
      <c r="A2" s="35">
        <v>48014100</v>
      </c>
      <c r="B2" s="35" t="s">
        <v>269</v>
      </c>
      <c r="C2" s="38">
        <v>3</v>
      </c>
      <c r="D2" s="38" t="s">
        <v>158</v>
      </c>
      <c r="E2" s="39" t="s">
        <v>203</v>
      </c>
      <c r="F2" s="39" t="s">
        <v>204</v>
      </c>
      <c r="G2" s="51" t="str">
        <f>IFERROR(LEFT(B2,FIND("],",B2)),B2)</f>
        <v>[effect:enemy_message, val1:1.2, val2:1.2]</v>
      </c>
      <c r="H2" s="51">
        <f>FIND("effect:",G2)+7</f>
        <v>9</v>
      </c>
      <c r="I2" s="51">
        <f>IFERROR(FIND(",",G2),LEN(G2))</f>
        <v>22</v>
      </c>
      <c r="J2" s="51" t="e">
        <f>FIND("target:",G2)+7</f>
        <v>#VALUE!</v>
      </c>
      <c r="K2" s="51">
        <f>FIND(",",G2,I2+1)</f>
        <v>32</v>
      </c>
      <c r="L2" s="51" t="str">
        <f>IFERROR(VLOOKUP(MID(G2,J2,K2-J2),[6]skilldef!$C:$D,2,FALSE),"-") &amp; " / " &amp; IFERROR(VLOOKUP(MID(G2,H2,I2-H2),[6]skilldef!$A:$B,2,FALSE),"-")</f>
        <v>- / -</v>
      </c>
      <c r="M2" s="51" t="str">
        <f>IFERROR(RIGHT(B2,LEN(B2)-FIND("],",B2)-1),"none")</f>
        <v>[effect:critical, val:1.2, animation:enemy_critical]</v>
      </c>
      <c r="N2" s="36" t="str">
        <f>IFERROR(LEFT(M2,FIND("],",M2)+S12),M2)</f>
        <v>[effect:critical, val:1.2, animation:enemy_critical]</v>
      </c>
      <c r="O2" s="51">
        <f>FIND("effect:",N2)+7</f>
        <v>9</v>
      </c>
      <c r="P2" s="51">
        <f>IFERROR(FIND(",",N2),LEN(N2))</f>
        <v>17</v>
      </c>
      <c r="Q2" s="51" t="e">
        <f>FIND("target:",N2)+7</f>
        <v>#VALUE!</v>
      </c>
      <c r="R2" s="51">
        <f>FIND(",",N2,P2+1)</f>
        <v>26</v>
      </c>
      <c r="S2" s="51" t="str">
        <f>IFERROR(VLOOKUP(MID(N2,Q2,R2-Q2),[6]skilldef!$C:$D,2,FALSE),"-") &amp; " / " &amp; IFERROR(VLOOKUP(MID(N2,O2,P2-O2),[6]skilldef!$A:$B,2,FALSE),"-")</f>
        <v>- / 大攻撃</v>
      </c>
      <c r="T2" s="36" t="str">
        <f>IFERROR(RIGHT(M2,LEN(M2)-FIND("],",M2)-1),"none")</f>
        <v>none</v>
      </c>
      <c r="U2" s="51" t="e">
        <f>FIND("effect:",T2)+7</f>
        <v>#VALUE!</v>
      </c>
      <c r="V2" s="51">
        <f>IFERROR(FIND(",",T2),LEN(T2))</f>
        <v>4</v>
      </c>
      <c r="W2" s="51" t="e">
        <f>FIND("target:",T2)+7</f>
        <v>#VALUE!</v>
      </c>
      <c r="X2" s="51" t="e">
        <f>FIND(",",T2,V2+1)</f>
        <v>#VALUE!</v>
      </c>
      <c r="Y2" s="51" t="str">
        <f>IFERROR(VLOOKUP(MID(T2,W2,X2-W2),[6]skilldef!$C:$D,2,FALSE),"-") &amp; " / " &amp; IFERROR(VLOOKUP(MID(T2,U2,V2-U2),[6]skilldef!$A:$B,2,FALSE),"-")</f>
        <v>- / -</v>
      </c>
      <c r="Z2" s="38"/>
      <c r="AA2" s="40"/>
      <c r="AB2" s="38"/>
    </row>
    <row r="3" spans="1:28" ht="21" customHeight="1" x14ac:dyDescent="0.15">
      <c r="A3" s="134">
        <v>48014101</v>
      </c>
      <c r="B3" s="134" t="s">
        <v>205</v>
      </c>
      <c r="C3" s="135">
        <v>1</v>
      </c>
      <c r="D3" s="135" t="s">
        <v>158</v>
      </c>
      <c r="E3" s="136" t="s">
        <v>206</v>
      </c>
      <c r="F3" s="136" t="s">
        <v>207</v>
      </c>
      <c r="G3" s="51" t="str">
        <f t="shared" ref="G3:G61" si="0">IFERROR(LEFT(B3,FIND("],",B3)),B3)</f>
        <v>[effect:nothing]</v>
      </c>
      <c r="H3" s="51">
        <f t="shared" ref="H3:H61" si="1">FIND("effect:",G3)+7</f>
        <v>9</v>
      </c>
      <c r="I3" s="51">
        <f t="shared" ref="I3:I61" si="2">IFERROR(FIND(",",G3),LEN(G3))</f>
        <v>16</v>
      </c>
      <c r="J3" s="51" t="e">
        <f t="shared" ref="J3:J61" si="3">FIND("target:",G3)+7</f>
        <v>#VALUE!</v>
      </c>
      <c r="K3" s="51" t="e">
        <f t="shared" ref="K3:K61" si="4">FIND(",",G3,I3+1)</f>
        <v>#VALUE!</v>
      </c>
      <c r="L3" s="51" t="str">
        <f>IFERROR(VLOOKUP(MID(G3,J3,K3-J3),[6]skilldef!$C:$D,2,FALSE),"-") &amp; " / " &amp; IFERROR(VLOOKUP(MID(G3,H3,I3-H3),[6]skilldef!$A:$B,2,FALSE),"-")</f>
        <v>- / 何もしない</v>
      </c>
      <c r="M3" s="51" t="str">
        <f t="shared" ref="M3:M61" si="5">IFERROR(RIGHT(B3,LEN(B3)-FIND("],",B3)-1),"none")</f>
        <v>none</v>
      </c>
      <c r="N3" s="36" t="str">
        <f t="shared" ref="N3:N51" si="6">IFERROR(LEFT(M3,FIND("],",M3)+S13),M3)</f>
        <v>none</v>
      </c>
      <c r="O3" s="51" t="e">
        <f t="shared" ref="O3:O61" si="7">FIND("effect:",N3)+7</f>
        <v>#VALUE!</v>
      </c>
      <c r="P3" s="51">
        <f t="shared" ref="P3:P61" si="8">IFERROR(FIND(",",N3),LEN(N3))</f>
        <v>4</v>
      </c>
      <c r="Q3" s="51" t="e">
        <f t="shared" ref="Q3:Q61" si="9">FIND("target:",N3)+7</f>
        <v>#VALUE!</v>
      </c>
      <c r="R3" s="51" t="e">
        <f t="shared" ref="R3:R61" si="10">FIND(",",N3,P3+1)</f>
        <v>#VALUE!</v>
      </c>
      <c r="S3" s="51" t="str">
        <f>IFERROR(VLOOKUP(MID(N3,Q3,R3-Q3),[6]skilldef!$C:$D,2,FALSE),"-") &amp; " / " &amp; IFERROR(VLOOKUP(MID(N3,O3,P3-O3),[6]skilldef!$A:$B,2,FALSE),"-")</f>
        <v>- / -</v>
      </c>
      <c r="T3" s="36" t="str">
        <f t="shared" ref="T3:T61" si="11">IFERROR(RIGHT(M3,LEN(M3)-FIND("],",M3)-1),"none")</f>
        <v>none</v>
      </c>
      <c r="U3" s="51" t="e">
        <f t="shared" ref="U3:U61" si="12">FIND("effect:",T3)+7</f>
        <v>#VALUE!</v>
      </c>
      <c r="V3" s="51">
        <f t="shared" ref="V3:V61" si="13">IFERROR(FIND(",",T3),LEN(T3))</f>
        <v>4</v>
      </c>
      <c r="W3" s="51" t="e">
        <f t="shared" ref="W3:W61" si="14">FIND("target:",T3)+7</f>
        <v>#VALUE!</v>
      </c>
      <c r="X3" s="51" t="e">
        <f t="shared" ref="X3:X61" si="15">FIND(",",T3,V3+1)</f>
        <v>#VALUE!</v>
      </c>
      <c r="Y3" s="51" t="str">
        <f>IFERROR(VLOOKUP(MID(T3,W3,X3-W3),[6]skilldef!$C:$D,2,FALSE),"-") &amp; " / " &amp; IFERROR(VLOOKUP(MID(T3,U3,V3-U3),[6]skilldef!$A:$B,2,FALSE),"-")</f>
        <v>- / -</v>
      </c>
      <c r="Z3" s="38"/>
      <c r="AA3" s="40"/>
      <c r="AB3" s="38"/>
    </row>
    <row r="4" spans="1:28" ht="21" customHeight="1" x14ac:dyDescent="0.15">
      <c r="A4" s="134">
        <v>48014102</v>
      </c>
      <c r="B4" s="134" t="s">
        <v>205</v>
      </c>
      <c r="C4" s="135">
        <v>1</v>
      </c>
      <c r="D4" s="135" t="s">
        <v>158</v>
      </c>
      <c r="E4" s="136" t="s">
        <v>206</v>
      </c>
      <c r="F4" s="136" t="s">
        <v>207</v>
      </c>
      <c r="G4" s="51" t="str">
        <f t="shared" si="0"/>
        <v>[effect:nothing]</v>
      </c>
      <c r="H4" s="51">
        <f t="shared" si="1"/>
        <v>9</v>
      </c>
      <c r="I4" s="51">
        <f t="shared" si="2"/>
        <v>16</v>
      </c>
      <c r="J4" s="51" t="e">
        <f t="shared" si="3"/>
        <v>#VALUE!</v>
      </c>
      <c r="K4" s="51" t="e">
        <f t="shared" si="4"/>
        <v>#VALUE!</v>
      </c>
      <c r="L4" s="51" t="str">
        <f>IFERROR(VLOOKUP(MID(G4,J4,K4-J4),[6]skilldef!$C:$D,2,FALSE),"-") &amp; " / " &amp; IFERROR(VLOOKUP(MID(G4,H4,I4-H4),[6]skilldef!$A:$B,2,FALSE),"-")</f>
        <v>- / 何もしない</v>
      </c>
      <c r="M4" s="51" t="str">
        <f t="shared" si="5"/>
        <v>none</v>
      </c>
      <c r="N4" s="36" t="str">
        <f t="shared" si="6"/>
        <v>none</v>
      </c>
      <c r="O4" s="51" t="e">
        <f t="shared" si="7"/>
        <v>#VALUE!</v>
      </c>
      <c r="P4" s="51">
        <f t="shared" si="8"/>
        <v>4</v>
      </c>
      <c r="Q4" s="51" t="e">
        <f t="shared" si="9"/>
        <v>#VALUE!</v>
      </c>
      <c r="R4" s="51" t="e">
        <f t="shared" si="10"/>
        <v>#VALUE!</v>
      </c>
      <c r="S4" s="51" t="str">
        <f>IFERROR(VLOOKUP(MID(N4,Q4,R4-Q4),[6]skilldef!$C:$D,2,FALSE),"-") &amp; " / " &amp; IFERROR(VLOOKUP(MID(N4,O4,P4-O4),[6]skilldef!$A:$B,2,FALSE),"-")</f>
        <v>- / -</v>
      </c>
      <c r="T4" s="36" t="str">
        <f t="shared" si="11"/>
        <v>none</v>
      </c>
      <c r="U4" s="51" t="e">
        <f t="shared" si="12"/>
        <v>#VALUE!</v>
      </c>
      <c r="V4" s="51">
        <f t="shared" si="13"/>
        <v>4</v>
      </c>
      <c r="W4" s="51" t="e">
        <f t="shared" si="14"/>
        <v>#VALUE!</v>
      </c>
      <c r="X4" s="51" t="e">
        <f t="shared" si="15"/>
        <v>#VALUE!</v>
      </c>
      <c r="Y4" s="51" t="str">
        <f>IFERROR(VLOOKUP(MID(T4,W4,X4-W4),[6]skilldef!$C:$D,2,FALSE),"-") &amp; " / " &amp; IFERROR(VLOOKUP(MID(T4,U4,V4-U4),[6]skilldef!$A:$B,2,FALSE),"-")</f>
        <v>- / -</v>
      </c>
      <c r="Z4" s="38"/>
      <c r="AA4" s="40"/>
      <c r="AB4" s="38"/>
    </row>
    <row r="5" spans="1:28" ht="21" customHeight="1" x14ac:dyDescent="0.15">
      <c r="A5" s="134">
        <v>48014103</v>
      </c>
      <c r="B5" s="134" t="s">
        <v>205</v>
      </c>
      <c r="C5" s="135">
        <v>1</v>
      </c>
      <c r="D5" s="135" t="s">
        <v>158</v>
      </c>
      <c r="E5" s="136" t="s">
        <v>206</v>
      </c>
      <c r="F5" s="136" t="s">
        <v>207</v>
      </c>
      <c r="G5" s="51" t="str">
        <f t="shared" si="0"/>
        <v>[effect:nothing]</v>
      </c>
      <c r="H5" s="51">
        <f t="shared" si="1"/>
        <v>9</v>
      </c>
      <c r="I5" s="51">
        <f t="shared" si="2"/>
        <v>16</v>
      </c>
      <c r="J5" s="51" t="e">
        <f t="shared" si="3"/>
        <v>#VALUE!</v>
      </c>
      <c r="K5" s="51" t="e">
        <f t="shared" si="4"/>
        <v>#VALUE!</v>
      </c>
      <c r="L5" s="51" t="str">
        <f>IFERROR(VLOOKUP(MID(G5,J5,K5-J5),[6]skilldef!$C:$D,2,FALSE),"-") &amp; " / " &amp; IFERROR(VLOOKUP(MID(G5,H5,I5-H5),[6]skilldef!$A:$B,2,FALSE),"-")</f>
        <v>- / 何もしない</v>
      </c>
      <c r="M5" s="51" t="str">
        <f t="shared" si="5"/>
        <v>none</v>
      </c>
      <c r="N5" s="36" t="str">
        <f t="shared" si="6"/>
        <v>none</v>
      </c>
      <c r="O5" s="51" t="e">
        <f t="shared" si="7"/>
        <v>#VALUE!</v>
      </c>
      <c r="P5" s="51">
        <f t="shared" si="8"/>
        <v>4</v>
      </c>
      <c r="Q5" s="51" t="e">
        <f t="shared" si="9"/>
        <v>#VALUE!</v>
      </c>
      <c r="R5" s="51" t="e">
        <f t="shared" si="10"/>
        <v>#VALUE!</v>
      </c>
      <c r="S5" s="51" t="str">
        <f>IFERROR(VLOOKUP(MID(N5,Q5,R5-Q5),[6]skilldef!$C:$D,2,FALSE),"-") &amp; " / " &amp; IFERROR(VLOOKUP(MID(N5,O5,P5-O5),[6]skilldef!$A:$B,2,FALSE),"-")</f>
        <v>- / -</v>
      </c>
      <c r="T5" s="36" t="str">
        <f t="shared" si="11"/>
        <v>none</v>
      </c>
      <c r="U5" s="51" t="e">
        <f t="shared" si="12"/>
        <v>#VALUE!</v>
      </c>
      <c r="V5" s="51">
        <f t="shared" si="13"/>
        <v>4</v>
      </c>
      <c r="W5" s="51" t="e">
        <f t="shared" si="14"/>
        <v>#VALUE!</v>
      </c>
      <c r="X5" s="51" t="e">
        <f t="shared" si="15"/>
        <v>#VALUE!</v>
      </c>
      <c r="Y5" s="51" t="str">
        <f>IFERROR(VLOOKUP(MID(T5,W5,X5-W5),[6]skilldef!$C:$D,2,FALSE),"-") &amp; " / " &amp; IFERROR(VLOOKUP(MID(T5,U5,V5-U5),[6]skilldef!$A:$B,2,FALSE),"-")</f>
        <v>- / -</v>
      </c>
      <c r="Z5" s="38"/>
      <c r="AA5" s="40"/>
      <c r="AB5" s="38"/>
    </row>
    <row r="6" spans="1:28" ht="21" customHeight="1" x14ac:dyDescent="0.15">
      <c r="A6" s="134">
        <v>48014104</v>
      </c>
      <c r="B6" s="134" t="s">
        <v>205</v>
      </c>
      <c r="C6" s="135">
        <v>1</v>
      </c>
      <c r="D6" s="135" t="s">
        <v>158</v>
      </c>
      <c r="E6" s="136" t="s">
        <v>206</v>
      </c>
      <c r="F6" s="136" t="s">
        <v>207</v>
      </c>
      <c r="G6" s="51" t="str">
        <f t="shared" si="0"/>
        <v>[effect:nothing]</v>
      </c>
      <c r="H6" s="51">
        <f t="shared" si="1"/>
        <v>9</v>
      </c>
      <c r="I6" s="51">
        <f t="shared" si="2"/>
        <v>16</v>
      </c>
      <c r="J6" s="51" t="e">
        <f t="shared" si="3"/>
        <v>#VALUE!</v>
      </c>
      <c r="K6" s="51" t="e">
        <f t="shared" si="4"/>
        <v>#VALUE!</v>
      </c>
      <c r="L6" s="51" t="str">
        <f>IFERROR(VLOOKUP(MID(G6,J6,K6-J6),[6]skilldef!$C:$D,2,FALSE),"-") &amp; " / " &amp; IFERROR(VLOOKUP(MID(G6,H6,I6-H6),[6]skilldef!$A:$B,2,FALSE),"-")</f>
        <v>- / 何もしない</v>
      </c>
      <c r="M6" s="51" t="str">
        <f t="shared" si="5"/>
        <v>none</v>
      </c>
      <c r="N6" s="36" t="str">
        <f t="shared" si="6"/>
        <v>none</v>
      </c>
      <c r="O6" s="51" t="e">
        <f t="shared" si="7"/>
        <v>#VALUE!</v>
      </c>
      <c r="P6" s="51">
        <f t="shared" si="8"/>
        <v>4</v>
      </c>
      <c r="Q6" s="51" t="e">
        <f t="shared" si="9"/>
        <v>#VALUE!</v>
      </c>
      <c r="R6" s="51" t="e">
        <f t="shared" si="10"/>
        <v>#VALUE!</v>
      </c>
      <c r="S6" s="51" t="str">
        <f>IFERROR(VLOOKUP(MID(N6,Q6,R6-Q6),[6]skilldef!$C:$D,2,FALSE),"-") &amp; " / " &amp; IFERROR(VLOOKUP(MID(N6,O6,P6-O6),[6]skilldef!$A:$B,2,FALSE),"-")</f>
        <v>- / -</v>
      </c>
      <c r="T6" s="36" t="str">
        <f t="shared" si="11"/>
        <v>none</v>
      </c>
      <c r="U6" s="51" t="e">
        <f t="shared" si="12"/>
        <v>#VALUE!</v>
      </c>
      <c r="V6" s="51">
        <f t="shared" si="13"/>
        <v>4</v>
      </c>
      <c r="W6" s="51" t="e">
        <f t="shared" si="14"/>
        <v>#VALUE!</v>
      </c>
      <c r="X6" s="51" t="e">
        <f t="shared" si="15"/>
        <v>#VALUE!</v>
      </c>
      <c r="Y6" s="51" t="str">
        <f>IFERROR(VLOOKUP(MID(T6,W6,X6-W6),[6]skilldef!$C:$D,2,FALSE),"-") &amp; " / " &amp; IFERROR(VLOOKUP(MID(T6,U6,V6-U6),[6]skilldef!$A:$B,2,FALSE),"-")</f>
        <v>- / -</v>
      </c>
      <c r="Z6" s="38"/>
      <c r="AA6" s="40"/>
      <c r="AB6" s="38"/>
    </row>
    <row r="7" spans="1:28" ht="21" customHeight="1" x14ac:dyDescent="0.15">
      <c r="A7" s="35">
        <v>48014105</v>
      </c>
      <c r="B7" s="35" t="s">
        <v>273</v>
      </c>
      <c r="C7" s="38">
        <v>3</v>
      </c>
      <c r="D7" s="38" t="s">
        <v>158</v>
      </c>
      <c r="E7" s="39" t="s">
        <v>208</v>
      </c>
      <c r="F7" s="39" t="s">
        <v>288</v>
      </c>
      <c r="G7" s="51" t="str">
        <f t="shared" si="0"/>
        <v>[effect:enemy_message, val1:1.2, val2:2.1]</v>
      </c>
      <c r="H7" s="51">
        <f t="shared" si="1"/>
        <v>9</v>
      </c>
      <c r="I7" s="51">
        <f t="shared" si="2"/>
        <v>22</v>
      </c>
      <c r="J7" s="51" t="e">
        <f t="shared" si="3"/>
        <v>#VALUE!</v>
      </c>
      <c r="K7" s="51">
        <f t="shared" si="4"/>
        <v>32</v>
      </c>
      <c r="L7" s="51" t="str">
        <f>IFERROR(VLOOKUP(MID(G7,J7,K7-J7),[6]skilldef!$C:$D,2,FALSE),"-") &amp; " / " &amp; IFERROR(VLOOKUP(MID(G7,H7,I7-H7),[6]skilldef!$A:$B,2,FALSE),"-")</f>
        <v>- / -</v>
      </c>
      <c r="M7" s="51" t="str">
        <f t="shared" si="5"/>
        <v>[effect:degrade_unit, target:unit_one, turn:4, status:heal, val:0.5, calc:mul, animation:degrade_unit_all_heal]</v>
      </c>
      <c r="N7" s="36" t="str">
        <f t="shared" si="6"/>
        <v>[effect:degrade_unit, target:unit_one, turn:4, status:heal, val:0.5, calc:mul, animation:degrade_unit_all_heal]</v>
      </c>
      <c r="O7" s="51">
        <f t="shared" si="7"/>
        <v>9</v>
      </c>
      <c r="P7" s="51">
        <f t="shared" si="8"/>
        <v>21</v>
      </c>
      <c r="Q7" s="51">
        <f t="shared" si="9"/>
        <v>30</v>
      </c>
      <c r="R7" s="51">
        <f t="shared" si="10"/>
        <v>38</v>
      </c>
      <c r="S7" s="51" t="str">
        <f>IFERROR(VLOOKUP(MID(N7,Q7,R7-Q7),[6]skilldef!$C:$D,2,FALSE),"-") &amp; " / " &amp; IFERROR(VLOOKUP(MID(N7,O7,P7-O7),[6]skilldef!$A:$B,2,FALSE),"-")</f>
        <v>味方単体に / ステータスDOWN</v>
      </c>
      <c r="T7" s="36" t="str">
        <f t="shared" si="11"/>
        <v>none</v>
      </c>
      <c r="U7" s="51" t="e">
        <f t="shared" si="12"/>
        <v>#VALUE!</v>
      </c>
      <c r="V7" s="51">
        <f t="shared" si="13"/>
        <v>4</v>
      </c>
      <c r="W7" s="51" t="e">
        <f t="shared" si="14"/>
        <v>#VALUE!</v>
      </c>
      <c r="X7" s="51" t="e">
        <f t="shared" si="15"/>
        <v>#VALUE!</v>
      </c>
      <c r="Y7" s="51" t="str">
        <f>IFERROR(VLOOKUP(MID(T7,W7,X7-W7),[6]skilldef!$C:$D,2,FALSE),"-") &amp; " / " &amp; IFERROR(VLOOKUP(MID(T7,U7,V7-U7),[6]skilldef!$A:$B,2,FALSE),"-")</f>
        <v>- / -</v>
      </c>
      <c r="Z7" s="38"/>
      <c r="AA7" s="40"/>
      <c r="AB7" s="38"/>
    </row>
    <row r="8" spans="1:28" ht="21" customHeight="1" x14ac:dyDescent="0.15">
      <c r="A8" s="35">
        <v>48014106</v>
      </c>
      <c r="B8" s="35" t="s">
        <v>280</v>
      </c>
      <c r="C8" s="38">
        <v>3</v>
      </c>
      <c r="D8" s="38" t="s">
        <v>158</v>
      </c>
      <c r="E8" s="39" t="s">
        <v>209</v>
      </c>
      <c r="F8" s="39" t="s">
        <v>274</v>
      </c>
      <c r="G8" s="51" t="str">
        <f t="shared" si="0"/>
        <v>[effect:enemy_message, val1:1.2, val2:1.2]</v>
      </c>
      <c r="H8" s="51">
        <f t="shared" si="1"/>
        <v>9</v>
      </c>
      <c r="I8" s="51">
        <f t="shared" si="2"/>
        <v>22</v>
      </c>
      <c r="J8" s="51" t="e">
        <f t="shared" si="3"/>
        <v>#VALUE!</v>
      </c>
      <c r="K8" s="51">
        <f t="shared" si="4"/>
        <v>32</v>
      </c>
      <c r="L8" s="51" t="str">
        <f>IFERROR(VLOOKUP(MID(G8,J8,K8-J8),[6]skilldef!$C:$D,2,FALSE),"-") &amp; " / " &amp; IFERROR(VLOOKUP(MID(G8,H8,I8-H8),[6]skilldef!$A:$B,2,FALSE),"-")</f>
        <v>- / -</v>
      </c>
      <c r="M8" s="51" t="str">
        <f t="shared" si="5"/>
        <v>[effect:rush, count:1, val:0.7],[effect:heal, target:myself, val:0.1, animation:enemy_heal]</v>
      </c>
      <c r="N8" s="36" t="str">
        <f t="shared" si="6"/>
        <v>[effect:rush, count:1, val:0.7],[effect:heal, target:myself, val:0.1, animation:enemy_heal]</v>
      </c>
      <c r="O8" s="51">
        <f t="shared" si="7"/>
        <v>9</v>
      </c>
      <c r="P8" s="51">
        <f t="shared" si="8"/>
        <v>13</v>
      </c>
      <c r="Q8" s="51">
        <f t="shared" si="9"/>
        <v>54</v>
      </c>
      <c r="R8" s="51">
        <f t="shared" si="10"/>
        <v>22</v>
      </c>
      <c r="S8" s="51" t="str">
        <f>IFERROR(VLOOKUP(MID(N8,Q8,R8-Q8),[6]skilldef!$C:$D,2,FALSE),"-") &amp; " / " &amp; IFERROR(VLOOKUP(MID(N8,O8,P8-O8),[6]skilldef!$A:$B,2,FALSE),"-")</f>
        <v>- / 連続攻撃</v>
      </c>
      <c r="T8" s="36" t="str">
        <f t="shared" si="11"/>
        <v>[effect:heal, target:myself, val:0.1, animation:enemy_heal]</v>
      </c>
      <c r="U8" s="51">
        <f t="shared" si="12"/>
        <v>9</v>
      </c>
      <c r="V8" s="51">
        <f t="shared" si="13"/>
        <v>13</v>
      </c>
      <c r="W8" s="51">
        <f t="shared" si="14"/>
        <v>22</v>
      </c>
      <c r="X8" s="51">
        <f t="shared" si="15"/>
        <v>28</v>
      </c>
      <c r="Y8" s="51" t="str">
        <f>IFERROR(VLOOKUP(MID(T8,W8,X8-W8),[6]skilldef!$C:$D,2,FALSE),"-") &amp; " / " &amp; IFERROR(VLOOKUP(MID(T8,U8,V8-U8),[6]skilldef!$A:$B,2,FALSE),"-")</f>
        <v>自分自身に / 回復</v>
      </c>
      <c r="Z8" s="38"/>
      <c r="AA8" s="40"/>
      <c r="AB8" s="38"/>
    </row>
    <row r="9" spans="1:28" ht="21" customHeight="1" x14ac:dyDescent="0.15">
      <c r="A9" s="134">
        <v>48014107</v>
      </c>
      <c r="B9" s="134" t="s">
        <v>205</v>
      </c>
      <c r="C9" s="135">
        <v>1</v>
      </c>
      <c r="D9" s="135" t="s">
        <v>158</v>
      </c>
      <c r="E9" s="136" t="s">
        <v>210</v>
      </c>
      <c r="F9" s="136" t="s">
        <v>207</v>
      </c>
      <c r="G9" s="51" t="str">
        <f t="shared" si="0"/>
        <v>[effect:nothing]</v>
      </c>
      <c r="H9" s="51">
        <f t="shared" si="1"/>
        <v>9</v>
      </c>
      <c r="I9" s="51">
        <f t="shared" si="2"/>
        <v>16</v>
      </c>
      <c r="J9" s="51" t="e">
        <f t="shared" si="3"/>
        <v>#VALUE!</v>
      </c>
      <c r="K9" s="51" t="e">
        <f t="shared" si="4"/>
        <v>#VALUE!</v>
      </c>
      <c r="L9" s="51" t="str">
        <f>IFERROR(VLOOKUP(MID(G9,J9,K9-J9),[6]skilldef!$C:$D,2,FALSE),"-") &amp; " / " &amp; IFERROR(VLOOKUP(MID(G9,H9,I9-H9),[6]skilldef!$A:$B,2,FALSE),"-")</f>
        <v>- / 何もしない</v>
      </c>
      <c r="M9" s="51" t="str">
        <f t="shared" si="5"/>
        <v>none</v>
      </c>
      <c r="N9" s="36" t="str">
        <f t="shared" si="6"/>
        <v>none</v>
      </c>
      <c r="O9" s="51" t="e">
        <f t="shared" si="7"/>
        <v>#VALUE!</v>
      </c>
      <c r="P9" s="51">
        <f t="shared" si="8"/>
        <v>4</v>
      </c>
      <c r="Q9" s="51" t="e">
        <f t="shared" si="9"/>
        <v>#VALUE!</v>
      </c>
      <c r="R9" s="51" t="e">
        <f t="shared" si="10"/>
        <v>#VALUE!</v>
      </c>
      <c r="S9" s="51" t="str">
        <f>IFERROR(VLOOKUP(MID(N9,Q9,R9-Q9),[6]skilldef!$C:$D,2,FALSE),"-") &amp; " / " &amp; IFERROR(VLOOKUP(MID(N9,O9,P9-O9),[6]skilldef!$A:$B,2,FALSE),"-")</f>
        <v>- / -</v>
      </c>
      <c r="T9" s="36" t="str">
        <f t="shared" si="11"/>
        <v>none</v>
      </c>
      <c r="U9" s="51" t="e">
        <f t="shared" si="12"/>
        <v>#VALUE!</v>
      </c>
      <c r="V9" s="51">
        <f t="shared" si="13"/>
        <v>4</v>
      </c>
      <c r="W9" s="51" t="e">
        <f t="shared" si="14"/>
        <v>#VALUE!</v>
      </c>
      <c r="X9" s="51" t="e">
        <f t="shared" si="15"/>
        <v>#VALUE!</v>
      </c>
      <c r="Y9" s="51" t="str">
        <f>IFERROR(VLOOKUP(MID(T9,W9,X9-W9),[6]skilldef!$C:$D,2,FALSE),"-") &amp; " / " &amp; IFERROR(VLOOKUP(MID(T9,U9,V9-U9),[6]skilldef!$A:$B,2,FALSE),"-")</f>
        <v>- / -</v>
      </c>
      <c r="Z9" s="38"/>
      <c r="AA9" s="40"/>
      <c r="AB9" s="38"/>
    </row>
    <row r="10" spans="1:28" ht="21" customHeight="1" x14ac:dyDescent="0.15">
      <c r="A10" s="134">
        <v>48014108</v>
      </c>
      <c r="B10" s="134" t="s">
        <v>205</v>
      </c>
      <c r="C10" s="135">
        <v>1</v>
      </c>
      <c r="D10" s="135" t="s">
        <v>158</v>
      </c>
      <c r="E10" s="136" t="s">
        <v>210</v>
      </c>
      <c r="F10" s="136" t="s">
        <v>207</v>
      </c>
      <c r="G10" s="51" t="str">
        <f t="shared" si="0"/>
        <v>[effect:nothing]</v>
      </c>
      <c r="H10" s="51">
        <f t="shared" si="1"/>
        <v>9</v>
      </c>
      <c r="I10" s="51">
        <f t="shared" si="2"/>
        <v>16</v>
      </c>
      <c r="J10" s="51" t="e">
        <f t="shared" si="3"/>
        <v>#VALUE!</v>
      </c>
      <c r="K10" s="51" t="e">
        <f t="shared" si="4"/>
        <v>#VALUE!</v>
      </c>
      <c r="L10" s="51" t="str">
        <f>IFERROR(VLOOKUP(MID(G10,J10,K10-J10),[6]skilldef!$C:$D,2,FALSE),"-") &amp; " / " &amp; IFERROR(VLOOKUP(MID(G10,H10,I10-H10),[6]skilldef!$A:$B,2,FALSE),"-")</f>
        <v>- / 何もしない</v>
      </c>
      <c r="M10" s="51" t="str">
        <f t="shared" si="5"/>
        <v>none</v>
      </c>
      <c r="N10" s="36" t="str">
        <f t="shared" si="6"/>
        <v>none</v>
      </c>
      <c r="O10" s="51" t="e">
        <f t="shared" si="7"/>
        <v>#VALUE!</v>
      </c>
      <c r="P10" s="51">
        <f t="shared" si="8"/>
        <v>4</v>
      </c>
      <c r="Q10" s="51" t="e">
        <f t="shared" si="9"/>
        <v>#VALUE!</v>
      </c>
      <c r="R10" s="51" t="e">
        <f t="shared" si="10"/>
        <v>#VALUE!</v>
      </c>
      <c r="S10" s="51" t="str">
        <f>IFERROR(VLOOKUP(MID(N10,Q10,R10-Q10),[6]skilldef!$C:$D,2,FALSE),"-") &amp; " / " &amp; IFERROR(VLOOKUP(MID(N10,O10,P10-O10),[6]skilldef!$A:$B,2,FALSE),"-")</f>
        <v>- / -</v>
      </c>
      <c r="T10" s="36" t="str">
        <f t="shared" si="11"/>
        <v>none</v>
      </c>
      <c r="U10" s="51" t="e">
        <f t="shared" si="12"/>
        <v>#VALUE!</v>
      </c>
      <c r="V10" s="51">
        <f t="shared" si="13"/>
        <v>4</v>
      </c>
      <c r="W10" s="51" t="e">
        <f t="shared" si="14"/>
        <v>#VALUE!</v>
      </c>
      <c r="X10" s="51" t="e">
        <f t="shared" si="15"/>
        <v>#VALUE!</v>
      </c>
      <c r="Y10" s="51" t="str">
        <f>IFERROR(VLOOKUP(MID(T10,W10,X10-W10),[6]skilldef!$C:$D,2,FALSE),"-") &amp; " / " &amp; IFERROR(VLOOKUP(MID(T10,U10,V10-U10),[6]skilldef!$A:$B,2,FALSE),"-")</f>
        <v>- / -</v>
      </c>
      <c r="Z10" s="38"/>
      <c r="AA10" s="40"/>
      <c r="AB10" s="38"/>
    </row>
    <row r="11" spans="1:28" ht="21" customHeight="1" x14ac:dyDescent="0.15">
      <c r="A11" s="134">
        <v>48014109</v>
      </c>
      <c r="B11" s="134" t="s">
        <v>205</v>
      </c>
      <c r="C11" s="135">
        <v>1</v>
      </c>
      <c r="D11" s="135" t="s">
        <v>158</v>
      </c>
      <c r="E11" s="136" t="s">
        <v>210</v>
      </c>
      <c r="F11" s="136" t="s">
        <v>207</v>
      </c>
      <c r="G11" s="51" t="str">
        <f t="shared" si="0"/>
        <v>[effect:nothing]</v>
      </c>
      <c r="H11" s="51">
        <f t="shared" si="1"/>
        <v>9</v>
      </c>
      <c r="I11" s="51">
        <f t="shared" si="2"/>
        <v>16</v>
      </c>
      <c r="J11" s="51" t="e">
        <f t="shared" si="3"/>
        <v>#VALUE!</v>
      </c>
      <c r="K11" s="51" t="e">
        <f t="shared" si="4"/>
        <v>#VALUE!</v>
      </c>
      <c r="L11" s="51" t="str">
        <f>IFERROR(VLOOKUP(MID(G11,J11,K11-J11),[6]skilldef!$C:$D,2,FALSE),"-") &amp; " / " &amp; IFERROR(VLOOKUP(MID(G11,H11,I11-H11),[6]skilldef!$A:$B,2,FALSE),"-")</f>
        <v>- / 何もしない</v>
      </c>
      <c r="M11" s="51" t="str">
        <f t="shared" si="5"/>
        <v>none</v>
      </c>
      <c r="N11" s="36" t="str">
        <f t="shared" si="6"/>
        <v>none</v>
      </c>
      <c r="O11" s="51" t="e">
        <f t="shared" si="7"/>
        <v>#VALUE!</v>
      </c>
      <c r="P11" s="51">
        <f t="shared" si="8"/>
        <v>4</v>
      </c>
      <c r="Q11" s="51" t="e">
        <f t="shared" si="9"/>
        <v>#VALUE!</v>
      </c>
      <c r="R11" s="51" t="e">
        <f t="shared" si="10"/>
        <v>#VALUE!</v>
      </c>
      <c r="S11" s="51" t="str">
        <f>IFERROR(VLOOKUP(MID(N11,Q11,R11-Q11),[6]skilldef!$C:$D,2,FALSE),"-") &amp; " / " &amp; IFERROR(VLOOKUP(MID(N11,O11,P11-O11),[6]skilldef!$A:$B,2,FALSE),"-")</f>
        <v>- / -</v>
      </c>
      <c r="T11" s="36" t="str">
        <f t="shared" si="11"/>
        <v>none</v>
      </c>
      <c r="U11" s="51" t="e">
        <f t="shared" si="12"/>
        <v>#VALUE!</v>
      </c>
      <c r="V11" s="51">
        <f t="shared" si="13"/>
        <v>4</v>
      </c>
      <c r="W11" s="51" t="e">
        <f t="shared" si="14"/>
        <v>#VALUE!</v>
      </c>
      <c r="X11" s="51" t="e">
        <f t="shared" si="15"/>
        <v>#VALUE!</v>
      </c>
      <c r="Y11" s="51" t="str">
        <f>IFERROR(VLOOKUP(MID(T11,W11,X11-W11),[6]skilldef!$C:$D,2,FALSE),"-") &amp; " / " &amp; IFERROR(VLOOKUP(MID(T11,U11,V11-U11),[6]skilldef!$A:$B,2,FALSE),"-")</f>
        <v>- / -</v>
      </c>
      <c r="Z11" s="38"/>
      <c r="AA11" s="40"/>
      <c r="AB11" s="38"/>
    </row>
    <row r="12" spans="1:28" ht="21" customHeight="1" x14ac:dyDescent="0.15">
      <c r="A12" s="35">
        <v>48014110</v>
      </c>
      <c r="B12" s="35" t="s">
        <v>302</v>
      </c>
      <c r="C12" s="38">
        <v>3</v>
      </c>
      <c r="D12" s="38" t="s">
        <v>158</v>
      </c>
      <c r="E12" s="39" t="s">
        <v>211</v>
      </c>
      <c r="F12" s="39" t="s">
        <v>301</v>
      </c>
      <c r="G12" s="51" t="str">
        <f t="shared" si="0"/>
        <v>[effect:enemy_message, val1:1.2, val2:2.4]</v>
      </c>
      <c r="H12" s="51">
        <f t="shared" si="1"/>
        <v>9</v>
      </c>
      <c r="I12" s="51">
        <f t="shared" si="2"/>
        <v>22</v>
      </c>
      <c r="J12" s="51" t="e">
        <f t="shared" si="3"/>
        <v>#VALUE!</v>
      </c>
      <c r="K12" s="51">
        <f t="shared" si="4"/>
        <v>32</v>
      </c>
      <c r="L12" s="51" t="str">
        <f>IFERROR(VLOOKUP(MID(G12,J12,K12-J12),[6]skilldef!$C:$D,2,FALSE),"-") &amp; " / " &amp; IFERROR(VLOOKUP(MID(G12,H12,I12-H12),[6]skilldef!$A:$B,2,FALSE),"-")</f>
        <v>- / -</v>
      </c>
      <c r="M12" s="51" t="str">
        <f t="shared" si="5"/>
        <v>[effect:crash_condition, target:unit_all, turn:3, val:4, animation:enemy_crash_extend]</v>
      </c>
      <c r="N12" s="36" t="str">
        <f t="shared" si="6"/>
        <v>[effect:crash_condition, target:unit_all, turn:3, val:4, animation:enemy_crash_extend]</v>
      </c>
      <c r="O12" s="51">
        <f t="shared" si="7"/>
        <v>9</v>
      </c>
      <c r="P12" s="51">
        <f t="shared" si="8"/>
        <v>24</v>
      </c>
      <c r="Q12" s="51">
        <f t="shared" si="9"/>
        <v>33</v>
      </c>
      <c r="R12" s="51">
        <f t="shared" si="10"/>
        <v>41</v>
      </c>
      <c r="S12" s="51" t="str">
        <f>IFERROR(VLOOKUP(MID(N12,Q12,R12-Q12),[6]skilldef!$C:$D,2,FALSE),"-") &amp; " / " &amp; IFERROR(VLOOKUP(MID(N12,O12,P12-O12),[6]skilldef!$A:$B,2,FALSE),"-")</f>
        <v>味方全体に / -</v>
      </c>
      <c r="T12" s="36" t="str">
        <f t="shared" si="11"/>
        <v>none</v>
      </c>
      <c r="U12" s="51" t="e">
        <f t="shared" si="12"/>
        <v>#VALUE!</v>
      </c>
      <c r="V12" s="51">
        <f t="shared" si="13"/>
        <v>4</v>
      </c>
      <c r="W12" s="51" t="e">
        <f t="shared" si="14"/>
        <v>#VALUE!</v>
      </c>
      <c r="X12" s="51" t="e">
        <f t="shared" si="15"/>
        <v>#VALUE!</v>
      </c>
      <c r="Y12" s="51" t="str">
        <f>IFERROR(VLOOKUP(MID(T12,W12,X12-W12),[6]skilldef!$C:$D,2,FALSE),"-") &amp; " / " &amp; IFERROR(VLOOKUP(MID(T12,U12,V12-U12),[6]skilldef!$A:$B,2,FALSE),"-")</f>
        <v>- / -</v>
      </c>
      <c r="Z12" s="38"/>
      <c r="AA12" s="40"/>
      <c r="AB12" s="38"/>
    </row>
    <row r="13" spans="1:28" ht="21" customHeight="1" x14ac:dyDescent="0.15">
      <c r="A13" s="35">
        <v>48014111</v>
      </c>
      <c r="B13" s="35" t="s">
        <v>270</v>
      </c>
      <c r="C13" s="38">
        <v>3</v>
      </c>
      <c r="D13" s="38" t="s">
        <v>158</v>
      </c>
      <c r="E13" s="39" t="s">
        <v>212</v>
      </c>
      <c r="F13" s="39" t="s">
        <v>213</v>
      </c>
      <c r="G13" s="51" t="str">
        <f t="shared" si="0"/>
        <v>[effect:enemy_message, val1:1.2, val2:1.2]</v>
      </c>
      <c r="H13" s="51">
        <f t="shared" si="1"/>
        <v>9</v>
      </c>
      <c r="I13" s="51">
        <f t="shared" si="2"/>
        <v>22</v>
      </c>
      <c r="J13" s="51" t="e">
        <f t="shared" si="3"/>
        <v>#VALUE!</v>
      </c>
      <c r="K13" s="51">
        <f t="shared" si="4"/>
        <v>32</v>
      </c>
      <c r="L13" s="51" t="str">
        <f>IFERROR(VLOOKUP(MID(G13,J13,K13-J13),[6]skilldef!$C:$D,2,FALSE),"-") &amp; " / " &amp; IFERROR(VLOOKUP(MID(G13,H13,I13-H13),[6]skilldef!$A:$B,2,FALSE),"-")</f>
        <v>- / -</v>
      </c>
      <c r="M13" s="51" t="str">
        <f t="shared" si="5"/>
        <v>[effect:spread, val:0.5]</v>
      </c>
      <c r="N13" s="36" t="str">
        <f t="shared" si="6"/>
        <v>[effect:spread, val:0.5]</v>
      </c>
      <c r="O13" s="51">
        <f t="shared" si="7"/>
        <v>9</v>
      </c>
      <c r="P13" s="51">
        <f t="shared" si="8"/>
        <v>15</v>
      </c>
      <c r="Q13" s="51" t="e">
        <f t="shared" si="9"/>
        <v>#VALUE!</v>
      </c>
      <c r="R13" s="51" t="e">
        <f t="shared" si="10"/>
        <v>#VALUE!</v>
      </c>
      <c r="S13" s="51" t="str">
        <f>IFERROR(VLOOKUP(MID(N13,Q13,R13-Q13),[6]skilldef!$C:$D,2,FALSE),"-") &amp; " / " &amp; IFERROR(VLOOKUP(MID(N13,O13,P13-O13),[6]skilldef!$A:$B,2,FALSE),"-")</f>
        <v>- / 全体攻撃</v>
      </c>
      <c r="T13" s="36" t="str">
        <f t="shared" si="11"/>
        <v>none</v>
      </c>
      <c r="U13" s="51" t="e">
        <f t="shared" si="12"/>
        <v>#VALUE!</v>
      </c>
      <c r="V13" s="51">
        <f t="shared" si="13"/>
        <v>4</v>
      </c>
      <c r="W13" s="51" t="e">
        <f t="shared" si="14"/>
        <v>#VALUE!</v>
      </c>
      <c r="X13" s="51" t="e">
        <f t="shared" si="15"/>
        <v>#VALUE!</v>
      </c>
      <c r="Y13" s="51" t="str">
        <f>IFERROR(VLOOKUP(MID(T13,W13,X13-W13),[6]skilldef!$C:$D,2,FALSE),"-") &amp; " / " &amp; IFERROR(VLOOKUP(MID(T13,U13,V13-U13),[6]skilldef!$A:$B,2,FALSE),"-")</f>
        <v>- / -</v>
      </c>
      <c r="Z13" s="38"/>
      <c r="AA13" s="40"/>
      <c r="AB13" s="38"/>
    </row>
    <row r="14" spans="1:28" ht="21" customHeight="1" x14ac:dyDescent="0.15">
      <c r="A14" s="35">
        <v>48014112</v>
      </c>
      <c r="B14" s="35" t="s">
        <v>314</v>
      </c>
      <c r="C14" s="38">
        <v>3</v>
      </c>
      <c r="D14" s="38" t="s">
        <v>158</v>
      </c>
      <c r="E14" s="39" t="s">
        <v>214</v>
      </c>
      <c r="F14" s="137" t="s">
        <v>312</v>
      </c>
      <c r="G14" s="51" t="str">
        <f t="shared" si="0"/>
        <v>[effect:enemy_message, val1:1.2, val2:2.4]</v>
      </c>
      <c r="H14" s="51">
        <f t="shared" si="1"/>
        <v>9</v>
      </c>
      <c r="I14" s="51">
        <f t="shared" si="2"/>
        <v>22</v>
      </c>
      <c r="J14" s="51" t="e">
        <f t="shared" si="3"/>
        <v>#VALUE!</v>
      </c>
      <c r="K14" s="51">
        <f t="shared" si="4"/>
        <v>32</v>
      </c>
      <c r="L14" s="51" t="str">
        <f>IFERROR(VLOOKUP(MID(G14,J14,K14-J14),[6]skilldef!$C:$D,2,FALSE),"-") &amp; " / " &amp; IFERROR(VLOOKUP(MID(G14,H14,I14-H14),[6]skilldef!$A:$B,2,FALSE),"-")</f>
        <v>- / -</v>
      </c>
      <c r="M14" s="51" t="str">
        <f t="shared" si="5"/>
        <v>[effect:damage_abnormal, target:unit_one, val:0.8, status:sleep, turn:1, rate:1, animation:sleep01],[effect:damage_abnormal, target:unit_one, val:0.8, status:sleep, turn:1, rate:1, animation:sleep01]</v>
      </c>
      <c r="N14" s="36" t="str">
        <f t="shared" si="6"/>
        <v>[effect:damage_abnormal, target:unit_one, val:0.8, status:sleep, turn:1, rate:1, animation:sleep01],[effect:damage_abnormal, target:unit_one, val:0.8, status:sleep, turn:1, rate:1, animation:sleep01]</v>
      </c>
      <c r="O14" s="51">
        <f t="shared" si="7"/>
        <v>9</v>
      </c>
      <c r="P14" s="51">
        <f t="shared" si="8"/>
        <v>24</v>
      </c>
      <c r="Q14" s="51">
        <f t="shared" si="9"/>
        <v>33</v>
      </c>
      <c r="R14" s="51">
        <f t="shared" si="10"/>
        <v>41</v>
      </c>
      <c r="S14" s="51" t="str">
        <f>IFERROR(VLOOKUP(MID(N14,Q14,R14-Q14),[6]skilldef!$C:$D,2,FALSE),"-") &amp; " / " &amp; IFERROR(VLOOKUP(MID(N14,O14,P14-O14),[6]skilldef!$A:$B,2,FALSE),"-")</f>
        <v>味方単体に / -</v>
      </c>
      <c r="T14" s="36" t="str">
        <f t="shared" si="11"/>
        <v>[effect:damage_abnormal, target:unit_one, val:0.8, status:sleep, turn:1, rate:1, animation:sleep01]</v>
      </c>
      <c r="U14" s="51">
        <f t="shared" si="12"/>
        <v>9</v>
      </c>
      <c r="V14" s="51">
        <f t="shared" si="13"/>
        <v>24</v>
      </c>
      <c r="W14" s="51">
        <f t="shared" si="14"/>
        <v>33</v>
      </c>
      <c r="X14" s="51">
        <f t="shared" si="15"/>
        <v>41</v>
      </c>
      <c r="Y14" s="51" t="str">
        <f>IFERROR(VLOOKUP(MID(T14,W14,X14-W14),[6]skilldef!$C:$D,2,FALSE),"-") &amp; " / " &amp; IFERROR(VLOOKUP(MID(T14,U14,V14-U14),[6]skilldef!$A:$B,2,FALSE),"-")</f>
        <v>味方単体に / -</v>
      </c>
      <c r="Z14" s="38"/>
      <c r="AA14" s="40"/>
      <c r="AB14" s="38"/>
    </row>
    <row r="15" spans="1:28" ht="21" customHeight="1" x14ac:dyDescent="0.15">
      <c r="A15" s="134">
        <v>48014113</v>
      </c>
      <c r="B15" s="134" t="s">
        <v>205</v>
      </c>
      <c r="C15" s="135">
        <v>1</v>
      </c>
      <c r="D15" s="135" t="s">
        <v>158</v>
      </c>
      <c r="E15" s="136" t="s">
        <v>215</v>
      </c>
      <c r="F15" s="136" t="s">
        <v>207</v>
      </c>
      <c r="G15" s="51" t="str">
        <f t="shared" si="0"/>
        <v>[effect:nothing]</v>
      </c>
      <c r="H15" s="51">
        <f t="shared" si="1"/>
        <v>9</v>
      </c>
      <c r="I15" s="51">
        <f t="shared" si="2"/>
        <v>16</v>
      </c>
      <c r="J15" s="51" t="e">
        <f t="shared" si="3"/>
        <v>#VALUE!</v>
      </c>
      <c r="K15" s="51" t="e">
        <f t="shared" si="4"/>
        <v>#VALUE!</v>
      </c>
      <c r="L15" s="51" t="str">
        <f>IFERROR(VLOOKUP(MID(G15,J15,K15-J15),[6]skilldef!$C:$D,2,FALSE),"-") &amp; " / " &amp; IFERROR(VLOOKUP(MID(G15,H15,I15-H15),[6]skilldef!$A:$B,2,FALSE),"-")</f>
        <v>- / 何もしない</v>
      </c>
      <c r="M15" s="51" t="str">
        <f t="shared" si="5"/>
        <v>none</v>
      </c>
      <c r="N15" s="36" t="str">
        <f t="shared" si="6"/>
        <v>none</v>
      </c>
      <c r="O15" s="51" t="e">
        <f t="shared" si="7"/>
        <v>#VALUE!</v>
      </c>
      <c r="P15" s="51">
        <f t="shared" si="8"/>
        <v>4</v>
      </c>
      <c r="Q15" s="51" t="e">
        <f t="shared" si="9"/>
        <v>#VALUE!</v>
      </c>
      <c r="R15" s="51" t="e">
        <f t="shared" si="10"/>
        <v>#VALUE!</v>
      </c>
      <c r="S15" s="51" t="str">
        <f>IFERROR(VLOOKUP(MID(N15,Q15,R15-Q15),[6]skilldef!$C:$D,2,FALSE),"-") &amp; " / " &amp; IFERROR(VLOOKUP(MID(N15,O15,P15-O15),[6]skilldef!$A:$B,2,FALSE),"-")</f>
        <v>- / -</v>
      </c>
      <c r="T15" s="36" t="str">
        <f t="shared" si="11"/>
        <v>none</v>
      </c>
      <c r="U15" s="51" t="e">
        <f t="shared" si="12"/>
        <v>#VALUE!</v>
      </c>
      <c r="V15" s="51">
        <f t="shared" si="13"/>
        <v>4</v>
      </c>
      <c r="W15" s="51" t="e">
        <f t="shared" si="14"/>
        <v>#VALUE!</v>
      </c>
      <c r="X15" s="51" t="e">
        <f t="shared" si="15"/>
        <v>#VALUE!</v>
      </c>
      <c r="Y15" s="51" t="str">
        <f>IFERROR(VLOOKUP(MID(T15,W15,X15-W15),[6]skilldef!$C:$D,2,FALSE),"-") &amp; " / " &amp; IFERROR(VLOOKUP(MID(T15,U15,V15-U15),[6]skilldef!$A:$B,2,FALSE),"-")</f>
        <v>- / -</v>
      </c>
      <c r="Z15" s="38"/>
      <c r="AA15" s="40"/>
      <c r="AB15" s="38"/>
    </row>
    <row r="16" spans="1:28" ht="21" customHeight="1" x14ac:dyDescent="0.15">
      <c r="A16" s="134">
        <v>48014114</v>
      </c>
      <c r="B16" s="134" t="s">
        <v>205</v>
      </c>
      <c r="C16" s="135">
        <v>1</v>
      </c>
      <c r="D16" s="135" t="s">
        <v>158</v>
      </c>
      <c r="E16" s="136" t="s">
        <v>215</v>
      </c>
      <c r="F16" s="136" t="s">
        <v>207</v>
      </c>
      <c r="G16" s="51" t="str">
        <f t="shared" si="0"/>
        <v>[effect:nothing]</v>
      </c>
      <c r="H16" s="51">
        <f t="shared" si="1"/>
        <v>9</v>
      </c>
      <c r="I16" s="51">
        <f t="shared" si="2"/>
        <v>16</v>
      </c>
      <c r="J16" s="51" t="e">
        <f t="shared" si="3"/>
        <v>#VALUE!</v>
      </c>
      <c r="K16" s="51" t="e">
        <f t="shared" si="4"/>
        <v>#VALUE!</v>
      </c>
      <c r="L16" s="51" t="str">
        <f>IFERROR(VLOOKUP(MID(G16,J16,K16-J16),[6]skilldef!$C:$D,2,FALSE),"-") &amp; " / " &amp; IFERROR(VLOOKUP(MID(G16,H16,I16-H16),[6]skilldef!$A:$B,2,FALSE),"-")</f>
        <v>- / 何もしない</v>
      </c>
      <c r="M16" s="51" t="str">
        <f t="shared" si="5"/>
        <v>none</v>
      </c>
      <c r="N16" s="36" t="str">
        <f t="shared" si="6"/>
        <v>none</v>
      </c>
      <c r="O16" s="51" t="e">
        <f t="shared" si="7"/>
        <v>#VALUE!</v>
      </c>
      <c r="P16" s="51">
        <f t="shared" si="8"/>
        <v>4</v>
      </c>
      <c r="Q16" s="51" t="e">
        <f t="shared" si="9"/>
        <v>#VALUE!</v>
      </c>
      <c r="R16" s="51" t="e">
        <f t="shared" si="10"/>
        <v>#VALUE!</v>
      </c>
      <c r="S16" s="51" t="str">
        <f>IFERROR(VLOOKUP(MID(N16,Q16,R16-Q16),[6]skilldef!$C:$D,2,FALSE),"-") &amp; " / " &amp; IFERROR(VLOOKUP(MID(N16,O16,P16-O16),[6]skilldef!$A:$B,2,FALSE),"-")</f>
        <v>- / -</v>
      </c>
      <c r="T16" s="36" t="str">
        <f t="shared" si="11"/>
        <v>none</v>
      </c>
      <c r="U16" s="51" t="e">
        <f t="shared" si="12"/>
        <v>#VALUE!</v>
      </c>
      <c r="V16" s="51">
        <f t="shared" si="13"/>
        <v>4</v>
      </c>
      <c r="W16" s="51" t="e">
        <f t="shared" si="14"/>
        <v>#VALUE!</v>
      </c>
      <c r="X16" s="51" t="e">
        <f t="shared" si="15"/>
        <v>#VALUE!</v>
      </c>
      <c r="Y16" s="51" t="str">
        <f>IFERROR(VLOOKUP(MID(T16,W16,X16-W16),[6]skilldef!$C:$D,2,FALSE),"-") &amp; " / " &amp; IFERROR(VLOOKUP(MID(T16,U16,V16-U16),[6]skilldef!$A:$B,2,FALSE),"-")</f>
        <v>- / -</v>
      </c>
      <c r="Z16" s="38"/>
      <c r="AA16" s="40"/>
      <c r="AB16" s="38"/>
    </row>
    <row r="17" spans="1:28" ht="21" customHeight="1" x14ac:dyDescent="0.15">
      <c r="A17" s="35">
        <v>48014115</v>
      </c>
      <c r="B17" s="35" t="s">
        <v>302</v>
      </c>
      <c r="C17" s="38">
        <v>3</v>
      </c>
      <c r="D17" s="38" t="s">
        <v>158</v>
      </c>
      <c r="E17" s="39" t="s">
        <v>211</v>
      </c>
      <c r="F17" s="39" t="s">
        <v>303</v>
      </c>
      <c r="G17" s="51" t="str">
        <f t="shared" si="0"/>
        <v>[effect:enemy_message, val1:1.2, val2:2.4]</v>
      </c>
      <c r="H17" s="51">
        <f t="shared" si="1"/>
        <v>9</v>
      </c>
      <c r="I17" s="51">
        <f t="shared" si="2"/>
        <v>22</v>
      </c>
      <c r="J17" s="51" t="e">
        <f t="shared" si="3"/>
        <v>#VALUE!</v>
      </c>
      <c r="K17" s="51">
        <f t="shared" si="4"/>
        <v>32</v>
      </c>
      <c r="L17" s="51" t="str">
        <f>IFERROR(VLOOKUP(MID(G17,J17,K17-J17),[6]skilldef!$C:$D,2,FALSE),"-") &amp; " / " &amp; IFERROR(VLOOKUP(MID(G17,H17,I17-H17),[6]skilldef!$A:$B,2,FALSE),"-")</f>
        <v>- / -</v>
      </c>
      <c r="M17" s="51" t="str">
        <f t="shared" si="5"/>
        <v>[effect:crash_condition, target:unit_all, turn:3, val:4, animation:enemy_crash_extend]</v>
      </c>
      <c r="N17" s="36" t="str">
        <f t="shared" si="6"/>
        <v>[effect:crash_condition, target:unit_all, turn:3, val:4, animation:enemy_crash_extend]</v>
      </c>
      <c r="O17" s="51">
        <f t="shared" si="7"/>
        <v>9</v>
      </c>
      <c r="P17" s="51">
        <f t="shared" si="8"/>
        <v>24</v>
      </c>
      <c r="Q17" s="51">
        <f t="shared" si="9"/>
        <v>33</v>
      </c>
      <c r="R17" s="51">
        <f t="shared" si="10"/>
        <v>41</v>
      </c>
      <c r="S17" s="51" t="str">
        <f>IFERROR(VLOOKUP(MID(N17,Q17,R17-Q17),[6]skilldef!$C:$D,2,FALSE),"-") &amp; " / " &amp; IFERROR(VLOOKUP(MID(N17,O17,P17-O17),[6]skilldef!$A:$B,2,FALSE),"-")</f>
        <v>味方全体に / -</v>
      </c>
      <c r="T17" s="36" t="str">
        <f t="shared" si="11"/>
        <v>none</v>
      </c>
      <c r="U17" s="51" t="e">
        <f t="shared" si="12"/>
        <v>#VALUE!</v>
      </c>
      <c r="V17" s="51">
        <f t="shared" si="13"/>
        <v>4</v>
      </c>
      <c r="W17" s="51" t="e">
        <f t="shared" si="14"/>
        <v>#VALUE!</v>
      </c>
      <c r="X17" s="51" t="e">
        <f t="shared" si="15"/>
        <v>#VALUE!</v>
      </c>
      <c r="Y17" s="51" t="str">
        <f>IFERROR(VLOOKUP(MID(T17,W17,X17-W17),[6]skilldef!$C:$D,2,FALSE),"-") &amp; " / " &amp; IFERROR(VLOOKUP(MID(T17,U17,V17-U17),[6]skilldef!$A:$B,2,FALSE),"-")</f>
        <v>- / -</v>
      </c>
      <c r="Z17" s="38"/>
      <c r="AA17" s="40"/>
      <c r="AB17" s="38"/>
    </row>
    <row r="18" spans="1:28" ht="21" customHeight="1" x14ac:dyDescent="0.15">
      <c r="A18" s="35">
        <v>48014116</v>
      </c>
      <c r="B18" s="35" t="s">
        <v>270</v>
      </c>
      <c r="C18" s="38">
        <v>3</v>
      </c>
      <c r="D18" s="38" t="s">
        <v>158</v>
      </c>
      <c r="E18" s="39" t="s">
        <v>212</v>
      </c>
      <c r="F18" s="39" t="s">
        <v>213</v>
      </c>
      <c r="G18" s="51" t="str">
        <f t="shared" si="0"/>
        <v>[effect:enemy_message, val1:1.2, val2:1.2]</v>
      </c>
      <c r="H18" s="51">
        <f t="shared" si="1"/>
        <v>9</v>
      </c>
      <c r="I18" s="51">
        <f t="shared" si="2"/>
        <v>22</v>
      </c>
      <c r="J18" s="51" t="e">
        <f t="shared" si="3"/>
        <v>#VALUE!</v>
      </c>
      <c r="K18" s="51">
        <f t="shared" si="4"/>
        <v>32</v>
      </c>
      <c r="L18" s="51" t="str">
        <f>IFERROR(VLOOKUP(MID(G18,J18,K18-J18),[6]skilldef!$C:$D,2,FALSE),"-") &amp; " / " &amp; IFERROR(VLOOKUP(MID(G18,H18,I18-H18),[6]skilldef!$A:$B,2,FALSE),"-")</f>
        <v>- / -</v>
      </c>
      <c r="M18" s="51" t="str">
        <f t="shared" si="5"/>
        <v>[effect:spread, val:0.5]</v>
      </c>
      <c r="N18" s="36" t="str">
        <f t="shared" si="6"/>
        <v>[effect:spread, val:0.5]</v>
      </c>
      <c r="O18" s="51">
        <f t="shared" si="7"/>
        <v>9</v>
      </c>
      <c r="P18" s="51">
        <f t="shared" si="8"/>
        <v>15</v>
      </c>
      <c r="Q18" s="51" t="e">
        <f t="shared" si="9"/>
        <v>#VALUE!</v>
      </c>
      <c r="R18" s="51" t="e">
        <f t="shared" si="10"/>
        <v>#VALUE!</v>
      </c>
      <c r="S18" s="51" t="str">
        <f>IFERROR(VLOOKUP(MID(N18,Q18,R18-Q18),[6]skilldef!$C:$D,2,FALSE),"-") &amp; " / " &amp; IFERROR(VLOOKUP(MID(N18,O18,P18-O18),[6]skilldef!$A:$B,2,FALSE),"-")</f>
        <v>- / 全体攻撃</v>
      </c>
      <c r="T18" s="36" t="str">
        <f t="shared" si="11"/>
        <v>none</v>
      </c>
      <c r="U18" s="51" t="e">
        <f t="shared" si="12"/>
        <v>#VALUE!</v>
      </c>
      <c r="V18" s="51">
        <f t="shared" si="13"/>
        <v>4</v>
      </c>
      <c r="W18" s="51" t="e">
        <f t="shared" si="14"/>
        <v>#VALUE!</v>
      </c>
      <c r="X18" s="51" t="e">
        <f t="shared" si="15"/>
        <v>#VALUE!</v>
      </c>
      <c r="Y18" s="51" t="str">
        <f>IFERROR(VLOOKUP(MID(T18,W18,X18-W18),[6]skilldef!$C:$D,2,FALSE),"-") &amp; " / " &amp; IFERROR(VLOOKUP(MID(T18,U18,V18-U18),[6]skilldef!$A:$B,2,FALSE),"-")</f>
        <v>- / -</v>
      </c>
      <c r="Z18" s="38"/>
      <c r="AA18" s="40"/>
      <c r="AB18" s="38"/>
    </row>
    <row r="19" spans="1:28" ht="21" customHeight="1" x14ac:dyDescent="0.15">
      <c r="A19" s="35">
        <v>48014117</v>
      </c>
      <c r="B19" s="35" t="s">
        <v>314</v>
      </c>
      <c r="C19" s="38">
        <v>3</v>
      </c>
      <c r="D19" s="38" t="s">
        <v>158</v>
      </c>
      <c r="E19" s="39" t="s">
        <v>214</v>
      </c>
      <c r="F19" s="137" t="s">
        <v>313</v>
      </c>
      <c r="G19" s="51" t="str">
        <f t="shared" si="0"/>
        <v>[effect:enemy_message, val1:1.2, val2:2.4]</v>
      </c>
      <c r="H19" s="51">
        <f t="shared" si="1"/>
        <v>9</v>
      </c>
      <c r="I19" s="51">
        <f t="shared" si="2"/>
        <v>22</v>
      </c>
      <c r="J19" s="51" t="e">
        <f t="shared" si="3"/>
        <v>#VALUE!</v>
      </c>
      <c r="K19" s="51">
        <f t="shared" si="4"/>
        <v>32</v>
      </c>
      <c r="L19" s="51" t="str">
        <f>IFERROR(VLOOKUP(MID(G19,J19,K19-J19),[6]skilldef!$C:$D,2,FALSE),"-") &amp; " / " &amp; IFERROR(VLOOKUP(MID(G19,H19,I19-H19),[6]skilldef!$A:$B,2,FALSE),"-")</f>
        <v>- / -</v>
      </c>
      <c r="M19" s="51" t="str">
        <f t="shared" si="5"/>
        <v>[effect:damage_abnormal, target:unit_one, val:0.8, status:sleep, turn:1, rate:1, animation:sleep01],[effect:damage_abnormal, target:unit_one, val:0.8, status:sleep, turn:1, rate:1, animation:sleep01]</v>
      </c>
      <c r="N19" s="36" t="str">
        <f t="shared" si="6"/>
        <v>[effect:damage_abnormal, target:unit_one, val:0.8, status:sleep, turn:1, rate:1, animation:sleep01],[effect:damage_abnormal, target:unit_one, val:0.8, status:sleep, turn:1, rate:1, animation:sleep01]</v>
      </c>
      <c r="O19" s="51">
        <f t="shared" si="7"/>
        <v>9</v>
      </c>
      <c r="P19" s="51">
        <f t="shared" si="8"/>
        <v>24</v>
      </c>
      <c r="Q19" s="51">
        <f t="shared" si="9"/>
        <v>33</v>
      </c>
      <c r="R19" s="51">
        <f t="shared" si="10"/>
        <v>41</v>
      </c>
      <c r="S19" s="51" t="str">
        <f>IFERROR(VLOOKUP(MID(N19,Q19,R19-Q19),[6]skilldef!$C:$D,2,FALSE),"-") &amp; " / " &amp; IFERROR(VLOOKUP(MID(N19,O19,P19-O19),[6]skilldef!$A:$B,2,FALSE),"-")</f>
        <v>味方単体に / -</v>
      </c>
      <c r="T19" s="36" t="str">
        <f t="shared" si="11"/>
        <v>[effect:damage_abnormal, target:unit_one, val:0.8, status:sleep, turn:1, rate:1, animation:sleep01]</v>
      </c>
      <c r="U19" s="51">
        <f t="shared" si="12"/>
        <v>9</v>
      </c>
      <c r="V19" s="51">
        <f t="shared" si="13"/>
        <v>24</v>
      </c>
      <c r="W19" s="51">
        <f t="shared" si="14"/>
        <v>33</v>
      </c>
      <c r="X19" s="51">
        <f t="shared" si="15"/>
        <v>41</v>
      </c>
      <c r="Y19" s="51" t="str">
        <f>IFERROR(VLOOKUP(MID(T19,W19,X19-W19),[6]skilldef!$C:$D,2,FALSE),"-") &amp; " / " &amp; IFERROR(VLOOKUP(MID(T19,U19,V19-U19),[6]skilldef!$A:$B,2,FALSE),"-")</f>
        <v>味方単体に / -</v>
      </c>
      <c r="Z19" s="38"/>
      <c r="AA19" s="40"/>
      <c r="AB19" s="38"/>
    </row>
    <row r="20" spans="1:28" ht="21" customHeight="1" x14ac:dyDescent="0.15">
      <c r="A20" s="134">
        <v>48014118</v>
      </c>
      <c r="B20" s="134" t="s">
        <v>205</v>
      </c>
      <c r="C20" s="135">
        <v>1</v>
      </c>
      <c r="D20" s="135" t="s">
        <v>158</v>
      </c>
      <c r="E20" s="136" t="s">
        <v>216</v>
      </c>
      <c r="F20" s="136" t="s">
        <v>207</v>
      </c>
      <c r="G20" s="51" t="str">
        <f t="shared" si="0"/>
        <v>[effect:nothing]</v>
      </c>
      <c r="H20" s="51">
        <f t="shared" si="1"/>
        <v>9</v>
      </c>
      <c r="I20" s="51">
        <f t="shared" si="2"/>
        <v>16</v>
      </c>
      <c r="J20" s="51" t="e">
        <f t="shared" si="3"/>
        <v>#VALUE!</v>
      </c>
      <c r="K20" s="51" t="e">
        <f t="shared" si="4"/>
        <v>#VALUE!</v>
      </c>
      <c r="L20" s="51" t="str">
        <f>IFERROR(VLOOKUP(MID(G20,J20,K20-J20),[6]skilldef!$C:$D,2,FALSE),"-") &amp; " / " &amp; IFERROR(VLOOKUP(MID(G20,H20,I20-H20),[6]skilldef!$A:$B,2,FALSE),"-")</f>
        <v>- / 何もしない</v>
      </c>
      <c r="M20" s="51" t="str">
        <f t="shared" si="5"/>
        <v>none</v>
      </c>
      <c r="N20" s="36" t="str">
        <f t="shared" si="6"/>
        <v>none</v>
      </c>
      <c r="O20" s="51" t="e">
        <f t="shared" si="7"/>
        <v>#VALUE!</v>
      </c>
      <c r="P20" s="51">
        <f t="shared" si="8"/>
        <v>4</v>
      </c>
      <c r="Q20" s="51" t="e">
        <f t="shared" si="9"/>
        <v>#VALUE!</v>
      </c>
      <c r="R20" s="51" t="e">
        <f t="shared" si="10"/>
        <v>#VALUE!</v>
      </c>
      <c r="S20" s="51" t="str">
        <f>IFERROR(VLOOKUP(MID(N20,Q20,R20-Q20),[6]skilldef!$C:$D,2,FALSE),"-") &amp; " / " &amp; IFERROR(VLOOKUP(MID(N20,O20,P20-O20),[6]skilldef!$A:$B,2,FALSE),"-")</f>
        <v>- / -</v>
      </c>
      <c r="T20" s="36" t="str">
        <f t="shared" si="11"/>
        <v>none</v>
      </c>
      <c r="U20" s="51" t="e">
        <f t="shared" si="12"/>
        <v>#VALUE!</v>
      </c>
      <c r="V20" s="51">
        <f t="shared" si="13"/>
        <v>4</v>
      </c>
      <c r="W20" s="51" t="e">
        <f t="shared" si="14"/>
        <v>#VALUE!</v>
      </c>
      <c r="X20" s="51" t="e">
        <f t="shared" si="15"/>
        <v>#VALUE!</v>
      </c>
      <c r="Y20" s="51" t="str">
        <f>IFERROR(VLOOKUP(MID(T20,W20,X20-W20),[6]skilldef!$C:$D,2,FALSE),"-") &amp; " / " &amp; IFERROR(VLOOKUP(MID(T20,U20,V20-U20),[6]skilldef!$A:$B,2,FALSE),"-")</f>
        <v>- / -</v>
      </c>
      <c r="Z20" s="38"/>
      <c r="AA20" s="40"/>
      <c r="AB20" s="38"/>
    </row>
    <row r="21" spans="1:28" ht="21" customHeight="1" x14ac:dyDescent="0.15">
      <c r="A21" s="134">
        <v>48014119</v>
      </c>
      <c r="B21" s="134" t="s">
        <v>205</v>
      </c>
      <c r="C21" s="135">
        <v>1</v>
      </c>
      <c r="D21" s="135" t="s">
        <v>158</v>
      </c>
      <c r="E21" s="136" t="s">
        <v>216</v>
      </c>
      <c r="F21" s="136" t="s">
        <v>207</v>
      </c>
      <c r="G21" s="51" t="str">
        <f t="shared" si="0"/>
        <v>[effect:nothing]</v>
      </c>
      <c r="H21" s="51">
        <f t="shared" si="1"/>
        <v>9</v>
      </c>
      <c r="I21" s="51">
        <f t="shared" si="2"/>
        <v>16</v>
      </c>
      <c r="J21" s="51" t="e">
        <f t="shared" si="3"/>
        <v>#VALUE!</v>
      </c>
      <c r="K21" s="51" t="e">
        <f t="shared" si="4"/>
        <v>#VALUE!</v>
      </c>
      <c r="L21" s="51" t="str">
        <f>IFERROR(VLOOKUP(MID(G21,J21,K21-J21),[6]skilldef!$C:$D,2,FALSE),"-") &amp; " / " &amp; IFERROR(VLOOKUP(MID(G21,H21,I21-H21),[6]skilldef!$A:$B,2,FALSE),"-")</f>
        <v>- / 何もしない</v>
      </c>
      <c r="M21" s="51" t="str">
        <f t="shared" si="5"/>
        <v>none</v>
      </c>
      <c r="N21" s="36" t="str">
        <f t="shared" si="6"/>
        <v>none</v>
      </c>
      <c r="O21" s="51" t="e">
        <f t="shared" si="7"/>
        <v>#VALUE!</v>
      </c>
      <c r="P21" s="51">
        <f t="shared" si="8"/>
        <v>4</v>
      </c>
      <c r="Q21" s="51" t="e">
        <f t="shared" si="9"/>
        <v>#VALUE!</v>
      </c>
      <c r="R21" s="51" t="e">
        <f t="shared" si="10"/>
        <v>#VALUE!</v>
      </c>
      <c r="S21" s="51" t="str">
        <f>IFERROR(VLOOKUP(MID(N21,Q21,R21-Q21),[6]skilldef!$C:$D,2,FALSE),"-") &amp; " / " &amp; IFERROR(VLOOKUP(MID(N21,O21,P21-O21),[6]skilldef!$A:$B,2,FALSE),"-")</f>
        <v>- / -</v>
      </c>
      <c r="T21" s="36" t="str">
        <f t="shared" si="11"/>
        <v>none</v>
      </c>
      <c r="U21" s="51" t="e">
        <f t="shared" si="12"/>
        <v>#VALUE!</v>
      </c>
      <c r="V21" s="51">
        <f t="shared" si="13"/>
        <v>4</v>
      </c>
      <c r="W21" s="51" t="e">
        <f t="shared" si="14"/>
        <v>#VALUE!</v>
      </c>
      <c r="X21" s="51" t="e">
        <f t="shared" si="15"/>
        <v>#VALUE!</v>
      </c>
      <c r="Y21" s="51" t="str">
        <f>IFERROR(VLOOKUP(MID(T21,W21,X21-W21),[6]skilldef!$C:$D,2,FALSE),"-") &amp; " / " &amp; IFERROR(VLOOKUP(MID(T21,U21,V21-U21),[6]skilldef!$A:$B,2,FALSE),"-")</f>
        <v>- / -</v>
      </c>
      <c r="Z21" s="38"/>
      <c r="AA21" s="40"/>
      <c r="AB21" s="38"/>
    </row>
    <row r="22" spans="1:28" ht="21" customHeight="1" x14ac:dyDescent="0.15">
      <c r="A22" s="35">
        <v>48014120</v>
      </c>
      <c r="B22" s="35" t="s">
        <v>271</v>
      </c>
      <c r="C22" s="38">
        <v>3</v>
      </c>
      <c r="D22" s="38" t="s">
        <v>158</v>
      </c>
      <c r="E22" s="39" t="s">
        <v>217</v>
      </c>
      <c r="F22" s="39" t="s">
        <v>218</v>
      </c>
      <c r="G22" s="51" t="str">
        <f t="shared" si="0"/>
        <v>[effect:enemy_message, val1:1.2, val2:1.2]</v>
      </c>
      <c r="H22" s="51">
        <f t="shared" si="1"/>
        <v>9</v>
      </c>
      <c r="I22" s="51">
        <f t="shared" si="2"/>
        <v>22</v>
      </c>
      <c r="J22" s="51" t="e">
        <f t="shared" si="3"/>
        <v>#VALUE!</v>
      </c>
      <c r="K22" s="51">
        <f t="shared" si="4"/>
        <v>32</v>
      </c>
      <c r="L22" s="51" t="str">
        <f>IFERROR(VLOOKUP(MID(G22,J22,K22-J22),[6]skilldef!$C:$D,2,FALSE),"-") &amp; " / " &amp; IFERROR(VLOOKUP(MID(G22,H22,I22-H22),[6]skilldef!$A:$B,2,FALSE),"-")</f>
        <v>- / -</v>
      </c>
      <c r="M22" s="51" t="str">
        <f t="shared" si="5"/>
        <v>[effect:spread, val:0.4]</v>
      </c>
      <c r="N22" s="36" t="str">
        <f t="shared" si="6"/>
        <v>[effect:spread, val:0.4]</v>
      </c>
      <c r="O22" s="51">
        <f t="shared" si="7"/>
        <v>9</v>
      </c>
      <c r="P22" s="51">
        <f t="shared" si="8"/>
        <v>15</v>
      </c>
      <c r="Q22" s="51" t="e">
        <f t="shared" si="9"/>
        <v>#VALUE!</v>
      </c>
      <c r="R22" s="51" t="e">
        <f t="shared" si="10"/>
        <v>#VALUE!</v>
      </c>
      <c r="S22" s="51" t="str">
        <f>IFERROR(VLOOKUP(MID(N22,Q22,R22-Q22),[6]skilldef!$C:$D,2,FALSE),"-") &amp; " / " &amp; IFERROR(VLOOKUP(MID(N22,O22,P22-O22),[6]skilldef!$A:$B,2,FALSE),"-")</f>
        <v>- / 全体攻撃</v>
      </c>
      <c r="T22" s="36" t="str">
        <f t="shared" si="11"/>
        <v>none</v>
      </c>
      <c r="U22" s="51" t="e">
        <f t="shared" si="12"/>
        <v>#VALUE!</v>
      </c>
      <c r="V22" s="51">
        <f t="shared" si="13"/>
        <v>4</v>
      </c>
      <c r="W22" s="51" t="e">
        <f t="shared" si="14"/>
        <v>#VALUE!</v>
      </c>
      <c r="X22" s="51" t="e">
        <f t="shared" si="15"/>
        <v>#VALUE!</v>
      </c>
      <c r="Y22" s="51" t="str">
        <f>IFERROR(VLOOKUP(MID(T22,W22,X22-W22),[6]skilldef!$C:$D,2,FALSE),"-") &amp; " / " &amp; IFERROR(VLOOKUP(MID(T22,U22,V22-U22),[6]skilldef!$A:$B,2,FALSE),"-")</f>
        <v>- / -</v>
      </c>
      <c r="Z22" s="38"/>
      <c r="AA22" s="40"/>
      <c r="AB22" s="38"/>
    </row>
    <row r="23" spans="1:28" ht="21" customHeight="1" x14ac:dyDescent="0.15">
      <c r="A23" s="35">
        <v>48014121</v>
      </c>
      <c r="B23" s="35" t="s">
        <v>297</v>
      </c>
      <c r="C23" s="38">
        <v>3</v>
      </c>
      <c r="D23" s="38" t="s">
        <v>158</v>
      </c>
      <c r="E23" s="39" t="s">
        <v>219</v>
      </c>
      <c r="F23" s="39" t="s">
        <v>296</v>
      </c>
      <c r="G23" s="51" t="str">
        <f t="shared" si="0"/>
        <v>[effect:enemy_message, val1:1.2, val2:3.0]</v>
      </c>
      <c r="H23" s="51">
        <f t="shared" si="1"/>
        <v>9</v>
      </c>
      <c r="I23" s="51">
        <f t="shared" si="2"/>
        <v>22</v>
      </c>
      <c r="J23" s="51" t="e">
        <f t="shared" si="3"/>
        <v>#VALUE!</v>
      </c>
      <c r="K23" s="51">
        <f t="shared" si="4"/>
        <v>32</v>
      </c>
      <c r="L23" s="51" t="str">
        <f>IFERROR(VLOOKUP(MID(G23,J23,K23-J23),[6]skilldef!$C:$D,2,FALSE),"-") &amp; " / " &amp; IFERROR(VLOOKUP(MID(G23,H23,I23-H23),[6]skilldef!$A:$B,2,FALSE),"-")</f>
        <v>- / -</v>
      </c>
      <c r="M23" s="51" t="str">
        <f t="shared" si="5"/>
        <v>[effect:dis_heart, turn:5, animation:enemy_dis_heart],[effect:change_panel_ratio, turn:5, block_type:heal, val:0.3, animation:block_incidence04]</v>
      </c>
      <c r="N23" s="36" t="str">
        <f t="shared" si="6"/>
        <v>[effect:dis_heart, turn:5, animation:enemy_dis_heart],[effect:change_panel_ratio, turn:5, block_type:heal, val:0.3, animation:block_incidence04]</v>
      </c>
      <c r="O23" s="51">
        <f t="shared" si="7"/>
        <v>9</v>
      </c>
      <c r="P23" s="51">
        <f t="shared" si="8"/>
        <v>18</v>
      </c>
      <c r="Q23" s="51" t="e">
        <f t="shared" si="9"/>
        <v>#VALUE!</v>
      </c>
      <c r="R23" s="51">
        <f t="shared" si="10"/>
        <v>26</v>
      </c>
      <c r="S23" s="51" t="str">
        <f>IFERROR(VLOOKUP(MID(N23,Q23,R23-Q23),[6]skilldef!$C:$D,2,FALSE),"-") &amp; " / " &amp; IFERROR(VLOOKUP(MID(N23,O23,P23-O23),[6]skilldef!$A:$B,2,FALSE),"-")</f>
        <v>- / ディスハート</v>
      </c>
      <c r="T23" s="36" t="str">
        <f t="shared" si="11"/>
        <v>[effect:change_panel_ratio, turn:5, block_type:heal, val:0.3, animation:block_incidence04]</v>
      </c>
      <c r="U23" s="51">
        <f t="shared" si="12"/>
        <v>9</v>
      </c>
      <c r="V23" s="51">
        <f t="shared" si="13"/>
        <v>27</v>
      </c>
      <c r="W23" s="51" t="e">
        <f t="shared" si="14"/>
        <v>#VALUE!</v>
      </c>
      <c r="X23" s="51">
        <f t="shared" si="15"/>
        <v>35</v>
      </c>
      <c r="Y23" s="51" t="str">
        <f>IFERROR(VLOOKUP(MID(T23,W23,X23-W23),[6]skilldef!$C:$D,2,FALSE),"-") &amp; " / " &amp; IFERROR(VLOOKUP(MID(T23,U23,V23-U23),[6]skilldef!$A:$B,2,FALSE),"-")</f>
        <v>- / -</v>
      </c>
      <c r="Z23" s="38"/>
      <c r="AA23" s="40"/>
      <c r="AB23" s="38"/>
    </row>
    <row r="24" spans="1:28" ht="21" customHeight="1" x14ac:dyDescent="0.15">
      <c r="A24" s="134">
        <v>48014122</v>
      </c>
      <c r="B24" s="134" t="s">
        <v>205</v>
      </c>
      <c r="C24" s="135">
        <v>1</v>
      </c>
      <c r="D24" s="135" t="s">
        <v>158</v>
      </c>
      <c r="E24" s="136" t="s">
        <v>221</v>
      </c>
      <c r="F24" s="136" t="s">
        <v>207</v>
      </c>
      <c r="G24" s="51" t="str">
        <f t="shared" si="0"/>
        <v>[effect:nothing]</v>
      </c>
      <c r="H24" s="51">
        <f t="shared" si="1"/>
        <v>9</v>
      </c>
      <c r="I24" s="51">
        <f t="shared" si="2"/>
        <v>16</v>
      </c>
      <c r="J24" s="51" t="e">
        <f t="shared" si="3"/>
        <v>#VALUE!</v>
      </c>
      <c r="K24" s="51" t="e">
        <f t="shared" si="4"/>
        <v>#VALUE!</v>
      </c>
      <c r="L24" s="51" t="str">
        <f>IFERROR(VLOOKUP(MID(G24,J24,K24-J24),[6]skilldef!$C:$D,2,FALSE),"-") &amp; " / " &amp; IFERROR(VLOOKUP(MID(G24,H24,I24-H24),[6]skilldef!$A:$B,2,FALSE),"-")</f>
        <v>- / 何もしない</v>
      </c>
      <c r="M24" s="51" t="str">
        <f t="shared" si="5"/>
        <v>none</v>
      </c>
      <c r="N24" s="36" t="str">
        <f t="shared" si="6"/>
        <v>none</v>
      </c>
      <c r="O24" s="51" t="e">
        <f t="shared" si="7"/>
        <v>#VALUE!</v>
      </c>
      <c r="P24" s="51">
        <f t="shared" si="8"/>
        <v>4</v>
      </c>
      <c r="Q24" s="51" t="e">
        <f t="shared" si="9"/>
        <v>#VALUE!</v>
      </c>
      <c r="R24" s="51" t="e">
        <f t="shared" si="10"/>
        <v>#VALUE!</v>
      </c>
      <c r="S24" s="51" t="str">
        <f>IFERROR(VLOOKUP(MID(N24,Q24,R24-Q24),[6]skilldef!$C:$D,2,FALSE),"-") &amp; " / " &amp; IFERROR(VLOOKUP(MID(N24,O24,P24-O24),[6]skilldef!$A:$B,2,FALSE),"-")</f>
        <v>- / -</v>
      </c>
      <c r="T24" s="36" t="str">
        <f t="shared" si="11"/>
        <v>none</v>
      </c>
      <c r="U24" s="51" t="e">
        <f t="shared" si="12"/>
        <v>#VALUE!</v>
      </c>
      <c r="V24" s="51">
        <f t="shared" si="13"/>
        <v>4</v>
      </c>
      <c r="W24" s="51" t="e">
        <f t="shared" si="14"/>
        <v>#VALUE!</v>
      </c>
      <c r="X24" s="51" t="e">
        <f t="shared" si="15"/>
        <v>#VALUE!</v>
      </c>
      <c r="Y24" s="51" t="str">
        <f>IFERROR(VLOOKUP(MID(T24,W24,X24-W24),[6]skilldef!$C:$D,2,FALSE),"-") &amp; " / " &amp; IFERROR(VLOOKUP(MID(T24,U24,V24-U24),[6]skilldef!$A:$B,2,FALSE),"-")</f>
        <v>- / -</v>
      </c>
      <c r="Z24" s="38"/>
      <c r="AA24" s="40"/>
      <c r="AB24" s="38"/>
    </row>
    <row r="25" spans="1:28" ht="21" customHeight="1" x14ac:dyDescent="0.15">
      <c r="A25" s="134">
        <v>48014123</v>
      </c>
      <c r="B25" s="134" t="s">
        <v>205</v>
      </c>
      <c r="C25" s="135">
        <v>1</v>
      </c>
      <c r="D25" s="135" t="s">
        <v>158</v>
      </c>
      <c r="E25" s="136" t="s">
        <v>221</v>
      </c>
      <c r="F25" s="136" t="s">
        <v>207</v>
      </c>
      <c r="G25" s="51" t="str">
        <f t="shared" si="0"/>
        <v>[effect:nothing]</v>
      </c>
      <c r="H25" s="51">
        <f t="shared" si="1"/>
        <v>9</v>
      </c>
      <c r="I25" s="51">
        <f t="shared" si="2"/>
        <v>16</v>
      </c>
      <c r="J25" s="51" t="e">
        <f t="shared" si="3"/>
        <v>#VALUE!</v>
      </c>
      <c r="K25" s="51" t="e">
        <f t="shared" si="4"/>
        <v>#VALUE!</v>
      </c>
      <c r="L25" s="51" t="str">
        <f>IFERROR(VLOOKUP(MID(G25,J25,K25-J25),[6]skilldef!$C:$D,2,FALSE),"-") &amp; " / " &amp; IFERROR(VLOOKUP(MID(G25,H25,I25-H25),[6]skilldef!$A:$B,2,FALSE),"-")</f>
        <v>- / 何もしない</v>
      </c>
      <c r="M25" s="51" t="str">
        <f t="shared" si="5"/>
        <v>none</v>
      </c>
      <c r="N25" s="36" t="str">
        <f t="shared" si="6"/>
        <v>none</v>
      </c>
      <c r="O25" s="51" t="e">
        <f t="shared" si="7"/>
        <v>#VALUE!</v>
      </c>
      <c r="P25" s="51">
        <f t="shared" si="8"/>
        <v>4</v>
      </c>
      <c r="Q25" s="51" t="e">
        <f t="shared" si="9"/>
        <v>#VALUE!</v>
      </c>
      <c r="R25" s="51" t="e">
        <f t="shared" si="10"/>
        <v>#VALUE!</v>
      </c>
      <c r="S25" s="51" t="str">
        <f>IFERROR(VLOOKUP(MID(N25,Q25,R25-Q25),[6]skilldef!$C:$D,2,FALSE),"-") &amp; " / " &amp; IFERROR(VLOOKUP(MID(N25,O25,P25-O25),[6]skilldef!$A:$B,2,FALSE),"-")</f>
        <v>- / -</v>
      </c>
      <c r="T25" s="36" t="str">
        <f t="shared" si="11"/>
        <v>none</v>
      </c>
      <c r="U25" s="51" t="e">
        <f t="shared" si="12"/>
        <v>#VALUE!</v>
      </c>
      <c r="V25" s="51">
        <f t="shared" si="13"/>
        <v>4</v>
      </c>
      <c r="W25" s="51" t="e">
        <f t="shared" si="14"/>
        <v>#VALUE!</v>
      </c>
      <c r="X25" s="51" t="e">
        <f t="shared" si="15"/>
        <v>#VALUE!</v>
      </c>
      <c r="Y25" s="51" t="str">
        <f>IFERROR(VLOOKUP(MID(T25,W25,X25-W25),[6]skilldef!$C:$D,2,FALSE),"-") &amp; " / " &amp; IFERROR(VLOOKUP(MID(T25,U25,V25-U25),[6]skilldef!$A:$B,2,FALSE),"-")</f>
        <v>- / -</v>
      </c>
      <c r="Z25" s="38"/>
      <c r="AA25" s="40"/>
      <c r="AB25" s="38"/>
    </row>
    <row r="26" spans="1:28" ht="21" customHeight="1" x14ac:dyDescent="0.15">
      <c r="A26" s="134">
        <v>48014124</v>
      </c>
      <c r="B26" s="134" t="s">
        <v>205</v>
      </c>
      <c r="C26" s="135">
        <v>1</v>
      </c>
      <c r="D26" s="135" t="s">
        <v>158</v>
      </c>
      <c r="E26" s="136" t="s">
        <v>221</v>
      </c>
      <c r="F26" s="136" t="s">
        <v>207</v>
      </c>
      <c r="G26" s="51" t="str">
        <f t="shared" si="0"/>
        <v>[effect:nothing]</v>
      </c>
      <c r="H26" s="51">
        <f t="shared" si="1"/>
        <v>9</v>
      </c>
      <c r="I26" s="51">
        <f t="shared" si="2"/>
        <v>16</v>
      </c>
      <c r="J26" s="51" t="e">
        <f t="shared" si="3"/>
        <v>#VALUE!</v>
      </c>
      <c r="K26" s="51" t="e">
        <f t="shared" si="4"/>
        <v>#VALUE!</v>
      </c>
      <c r="L26" s="51" t="str">
        <f>IFERROR(VLOOKUP(MID(G26,J26,K26-J26),[6]skilldef!$C:$D,2,FALSE),"-") &amp; " / " &amp; IFERROR(VLOOKUP(MID(G26,H26,I26-H26),[6]skilldef!$A:$B,2,FALSE),"-")</f>
        <v>- / 何もしない</v>
      </c>
      <c r="M26" s="51" t="str">
        <f t="shared" si="5"/>
        <v>none</v>
      </c>
      <c r="N26" s="36" t="str">
        <f t="shared" si="6"/>
        <v>none</v>
      </c>
      <c r="O26" s="51" t="e">
        <f t="shared" si="7"/>
        <v>#VALUE!</v>
      </c>
      <c r="P26" s="51">
        <f t="shared" si="8"/>
        <v>4</v>
      </c>
      <c r="Q26" s="51" t="e">
        <f t="shared" si="9"/>
        <v>#VALUE!</v>
      </c>
      <c r="R26" s="51" t="e">
        <f t="shared" si="10"/>
        <v>#VALUE!</v>
      </c>
      <c r="S26" s="51" t="str">
        <f>IFERROR(VLOOKUP(MID(N26,Q26,R26-Q26),[6]skilldef!$C:$D,2,FALSE),"-") &amp; " / " &amp; IFERROR(VLOOKUP(MID(N26,O26,P26-O26),[6]skilldef!$A:$B,2,FALSE),"-")</f>
        <v>- / -</v>
      </c>
      <c r="T26" s="36" t="str">
        <f t="shared" si="11"/>
        <v>none</v>
      </c>
      <c r="U26" s="51" t="e">
        <f t="shared" si="12"/>
        <v>#VALUE!</v>
      </c>
      <c r="V26" s="51">
        <f t="shared" si="13"/>
        <v>4</v>
      </c>
      <c r="W26" s="51" t="e">
        <f t="shared" si="14"/>
        <v>#VALUE!</v>
      </c>
      <c r="X26" s="51" t="e">
        <f t="shared" si="15"/>
        <v>#VALUE!</v>
      </c>
      <c r="Y26" s="51" t="str">
        <f>IFERROR(VLOOKUP(MID(T26,W26,X26-W26),[6]skilldef!$C:$D,2,FALSE),"-") &amp; " / " &amp; IFERROR(VLOOKUP(MID(T26,U26,V26-U26),[6]skilldef!$A:$B,2,FALSE),"-")</f>
        <v>- / -</v>
      </c>
      <c r="Z26" s="38"/>
      <c r="AA26" s="40"/>
      <c r="AB26" s="38"/>
    </row>
    <row r="27" spans="1:28" ht="21" customHeight="1" x14ac:dyDescent="0.15">
      <c r="A27" s="134">
        <v>48014125</v>
      </c>
      <c r="B27" s="134" t="s">
        <v>272</v>
      </c>
      <c r="C27" s="135">
        <v>1</v>
      </c>
      <c r="D27" s="135" t="s">
        <v>158</v>
      </c>
      <c r="E27" s="136" t="s">
        <v>222</v>
      </c>
      <c r="F27" s="136" t="s">
        <v>220</v>
      </c>
      <c r="G27" s="136" t="str">
        <f t="shared" si="0"/>
        <v>[effect:enemy_message, val1:1.2, val2:1.2]</v>
      </c>
      <c r="H27" s="51">
        <f t="shared" si="1"/>
        <v>9</v>
      </c>
      <c r="I27" s="51">
        <f t="shared" si="2"/>
        <v>22</v>
      </c>
      <c r="J27" s="51" t="e">
        <f t="shared" si="3"/>
        <v>#VALUE!</v>
      </c>
      <c r="K27" s="51">
        <f t="shared" si="4"/>
        <v>32</v>
      </c>
      <c r="L27" s="51" t="str">
        <f>IFERROR(VLOOKUP(MID(G27,J27,K27-J27),[6]skilldef!$C:$D,2,FALSE),"-") &amp; " / " &amp; IFERROR(VLOOKUP(MID(G27,H27,I27-H27),[6]skilldef!$A:$B,2,FALSE),"-")</f>
        <v>- / -</v>
      </c>
      <c r="M27" s="51" t="str">
        <f t="shared" si="5"/>
        <v>[effect:dis_heart, turn:-1, animation:enemy_dis_heart]</v>
      </c>
      <c r="N27" s="36" t="str">
        <f t="shared" si="6"/>
        <v>[effect:dis_heart, turn:-1, animation:enemy_dis_heart]</v>
      </c>
      <c r="O27" s="51">
        <f t="shared" si="7"/>
        <v>9</v>
      </c>
      <c r="P27" s="51">
        <f t="shared" si="8"/>
        <v>18</v>
      </c>
      <c r="Q27" s="51" t="e">
        <f t="shared" si="9"/>
        <v>#VALUE!</v>
      </c>
      <c r="R27" s="51">
        <f t="shared" si="10"/>
        <v>27</v>
      </c>
      <c r="S27" s="51" t="str">
        <f>IFERROR(VLOOKUP(MID(N27,Q27,R27-Q27),[6]skilldef!$C:$D,2,FALSE),"-") &amp; " / " &amp; IFERROR(VLOOKUP(MID(N27,O27,P27-O27),[6]skilldef!$A:$B,2,FALSE),"-")</f>
        <v>- / ディスハート</v>
      </c>
      <c r="T27" s="36" t="str">
        <f t="shared" si="11"/>
        <v>none</v>
      </c>
      <c r="U27" s="51" t="e">
        <f t="shared" si="12"/>
        <v>#VALUE!</v>
      </c>
      <c r="V27" s="51">
        <f t="shared" si="13"/>
        <v>4</v>
      </c>
      <c r="W27" s="51" t="e">
        <f t="shared" si="14"/>
        <v>#VALUE!</v>
      </c>
      <c r="X27" s="51" t="e">
        <f t="shared" si="15"/>
        <v>#VALUE!</v>
      </c>
      <c r="Y27" s="51" t="str">
        <f>IFERROR(VLOOKUP(MID(T27,W27,X27-W27),[6]skilldef!$C:$D,2,FALSE),"-") &amp; " / " &amp; IFERROR(VLOOKUP(MID(T27,U27,V27-U27),[6]skilldef!$A:$B,2,FALSE),"-")</f>
        <v>- / -</v>
      </c>
      <c r="Z27" s="38"/>
      <c r="AA27" s="40"/>
      <c r="AB27" s="158" t="s">
        <v>281</v>
      </c>
    </row>
    <row r="28" spans="1:28" ht="21" customHeight="1" x14ac:dyDescent="0.15">
      <c r="A28" s="35">
        <v>48014126</v>
      </c>
      <c r="B28" s="35" t="s">
        <v>315</v>
      </c>
      <c r="C28" s="38">
        <v>3</v>
      </c>
      <c r="D28" s="38" t="s">
        <v>158</v>
      </c>
      <c r="E28" s="39" t="s">
        <v>223</v>
      </c>
      <c r="F28" s="137" t="s">
        <v>311</v>
      </c>
      <c r="G28" s="51" t="str">
        <f t="shared" si="0"/>
        <v>[effect:enemy_message, val1:1.2, val2:2.3]</v>
      </c>
      <c r="H28" s="51">
        <f t="shared" si="1"/>
        <v>9</v>
      </c>
      <c r="I28" s="51">
        <f t="shared" si="2"/>
        <v>22</v>
      </c>
      <c r="J28" s="51" t="e">
        <f t="shared" si="3"/>
        <v>#VALUE!</v>
      </c>
      <c r="K28" s="51">
        <f t="shared" si="4"/>
        <v>32</v>
      </c>
      <c r="L28" s="51" t="str">
        <f>IFERROR(VLOOKUP(MID(G28,J28,K28-J28),[6]skilldef!$C:$D,2,FALSE),"-") &amp; " / " &amp; IFERROR(VLOOKUP(MID(G28,H28,I28-H28),[6]skilldef!$A:$B,2,FALSE),"-")</f>
        <v>- / -</v>
      </c>
      <c r="M28" s="51" t="str">
        <f t="shared" si="5"/>
        <v>[effect:damage_abnormal, target:unit_one, val:1.2, status:sleep, turn:1, rate:1, animation:sleep01]</v>
      </c>
      <c r="N28" s="36" t="str">
        <f t="shared" si="6"/>
        <v>[effect:damage_abnormal, target:unit_one, val:1.2, status:sleep, turn:1, rate:1, animation:sleep01]</v>
      </c>
      <c r="O28" s="51">
        <f t="shared" si="7"/>
        <v>9</v>
      </c>
      <c r="P28" s="51">
        <f t="shared" si="8"/>
        <v>24</v>
      </c>
      <c r="Q28" s="51">
        <f t="shared" si="9"/>
        <v>33</v>
      </c>
      <c r="R28" s="51">
        <f t="shared" si="10"/>
        <v>41</v>
      </c>
      <c r="S28" s="51" t="str">
        <f>IFERROR(VLOOKUP(MID(N28,Q28,R28-Q28),[6]skilldef!$C:$D,2,FALSE),"-") &amp; " / " &amp; IFERROR(VLOOKUP(MID(N28,O28,P28-O28),[6]skilldef!$A:$B,2,FALSE),"-")</f>
        <v>味方単体に / -</v>
      </c>
      <c r="T28" s="36" t="str">
        <f t="shared" si="11"/>
        <v>none</v>
      </c>
      <c r="U28" s="51" t="e">
        <f t="shared" si="12"/>
        <v>#VALUE!</v>
      </c>
      <c r="V28" s="51">
        <f t="shared" si="13"/>
        <v>4</v>
      </c>
      <c r="W28" s="51" t="e">
        <f t="shared" si="14"/>
        <v>#VALUE!</v>
      </c>
      <c r="X28" s="51" t="e">
        <f t="shared" si="15"/>
        <v>#VALUE!</v>
      </c>
      <c r="Y28" s="51" t="str">
        <f>IFERROR(VLOOKUP(MID(T28,W28,X28-W28),[6]skilldef!$C:$D,2,FALSE),"-") &amp; " / " &amp; IFERROR(VLOOKUP(MID(T28,U28,V28-U28),[6]skilldef!$A:$B,2,FALSE),"-")</f>
        <v>- / -</v>
      </c>
      <c r="Z28" s="38"/>
      <c r="AA28" s="40"/>
      <c r="AB28" s="38"/>
    </row>
    <row r="29" spans="1:28" ht="21" customHeight="1" x14ac:dyDescent="0.15">
      <c r="A29" s="134">
        <v>48014127</v>
      </c>
      <c r="B29" s="134" t="s">
        <v>205</v>
      </c>
      <c r="C29" s="135">
        <v>1</v>
      </c>
      <c r="D29" s="135" t="s">
        <v>158</v>
      </c>
      <c r="E29" s="136" t="s">
        <v>224</v>
      </c>
      <c r="F29" s="136" t="s">
        <v>207</v>
      </c>
      <c r="G29" s="51" t="str">
        <f t="shared" si="0"/>
        <v>[effect:nothing]</v>
      </c>
      <c r="H29" s="51">
        <f t="shared" si="1"/>
        <v>9</v>
      </c>
      <c r="I29" s="51">
        <f t="shared" si="2"/>
        <v>16</v>
      </c>
      <c r="J29" s="51" t="e">
        <f t="shared" si="3"/>
        <v>#VALUE!</v>
      </c>
      <c r="K29" s="51" t="e">
        <f t="shared" si="4"/>
        <v>#VALUE!</v>
      </c>
      <c r="L29" s="51" t="str">
        <f>IFERROR(VLOOKUP(MID(G29,J29,K29-J29),[6]skilldef!$C:$D,2,FALSE),"-") &amp; " / " &amp; IFERROR(VLOOKUP(MID(G29,H29,I29-H29),[6]skilldef!$A:$B,2,FALSE),"-")</f>
        <v>- / 何もしない</v>
      </c>
      <c r="M29" s="51" t="str">
        <f t="shared" si="5"/>
        <v>none</v>
      </c>
      <c r="N29" s="36" t="str">
        <f t="shared" si="6"/>
        <v>none</v>
      </c>
      <c r="O29" s="51" t="e">
        <f t="shared" si="7"/>
        <v>#VALUE!</v>
      </c>
      <c r="P29" s="51">
        <f t="shared" si="8"/>
        <v>4</v>
      </c>
      <c r="Q29" s="51" t="e">
        <f t="shared" si="9"/>
        <v>#VALUE!</v>
      </c>
      <c r="R29" s="51" t="e">
        <f t="shared" si="10"/>
        <v>#VALUE!</v>
      </c>
      <c r="S29" s="51" t="str">
        <f>IFERROR(VLOOKUP(MID(N29,Q29,R29-Q29),[6]skilldef!$C:$D,2,FALSE),"-") &amp; " / " &amp; IFERROR(VLOOKUP(MID(N29,O29,P29-O29),[6]skilldef!$A:$B,2,FALSE),"-")</f>
        <v>- / -</v>
      </c>
      <c r="T29" s="36" t="str">
        <f t="shared" si="11"/>
        <v>none</v>
      </c>
      <c r="U29" s="51" t="e">
        <f t="shared" si="12"/>
        <v>#VALUE!</v>
      </c>
      <c r="V29" s="51">
        <f t="shared" si="13"/>
        <v>4</v>
      </c>
      <c r="W29" s="51" t="e">
        <f t="shared" si="14"/>
        <v>#VALUE!</v>
      </c>
      <c r="X29" s="51" t="e">
        <f t="shared" si="15"/>
        <v>#VALUE!</v>
      </c>
      <c r="Y29" s="51" t="str">
        <f>IFERROR(VLOOKUP(MID(T29,W29,X29-W29),[6]skilldef!$C:$D,2,FALSE),"-") &amp; " / " &amp; IFERROR(VLOOKUP(MID(T29,U29,V29-U29),[6]skilldef!$A:$B,2,FALSE),"-")</f>
        <v>- / -</v>
      </c>
      <c r="Z29" s="38"/>
      <c r="AA29" s="40"/>
      <c r="AB29" s="38"/>
    </row>
    <row r="30" spans="1:28" ht="21" customHeight="1" x14ac:dyDescent="0.15">
      <c r="A30" s="134">
        <v>48014128</v>
      </c>
      <c r="B30" s="134" t="s">
        <v>205</v>
      </c>
      <c r="C30" s="135">
        <v>1</v>
      </c>
      <c r="D30" s="135" t="s">
        <v>158</v>
      </c>
      <c r="E30" s="136" t="s">
        <v>224</v>
      </c>
      <c r="F30" s="136" t="s">
        <v>207</v>
      </c>
      <c r="G30" s="51" t="str">
        <f t="shared" si="0"/>
        <v>[effect:nothing]</v>
      </c>
      <c r="H30" s="51">
        <f t="shared" si="1"/>
        <v>9</v>
      </c>
      <c r="I30" s="51">
        <f t="shared" si="2"/>
        <v>16</v>
      </c>
      <c r="J30" s="51" t="e">
        <f t="shared" si="3"/>
        <v>#VALUE!</v>
      </c>
      <c r="K30" s="51" t="e">
        <f t="shared" si="4"/>
        <v>#VALUE!</v>
      </c>
      <c r="L30" s="51" t="str">
        <f>IFERROR(VLOOKUP(MID(G30,J30,K30-J30),[6]skilldef!$C:$D,2,FALSE),"-") &amp; " / " &amp; IFERROR(VLOOKUP(MID(G30,H30,I30-H30),[6]skilldef!$A:$B,2,FALSE),"-")</f>
        <v>- / 何もしない</v>
      </c>
      <c r="M30" s="51" t="str">
        <f t="shared" si="5"/>
        <v>none</v>
      </c>
      <c r="N30" s="36" t="str">
        <f t="shared" si="6"/>
        <v>none</v>
      </c>
      <c r="O30" s="51" t="e">
        <f t="shared" si="7"/>
        <v>#VALUE!</v>
      </c>
      <c r="P30" s="51">
        <f t="shared" si="8"/>
        <v>4</v>
      </c>
      <c r="Q30" s="51" t="e">
        <f t="shared" si="9"/>
        <v>#VALUE!</v>
      </c>
      <c r="R30" s="51" t="e">
        <f t="shared" si="10"/>
        <v>#VALUE!</v>
      </c>
      <c r="S30" s="51" t="str">
        <f>IFERROR(VLOOKUP(MID(N30,Q30,R30-Q30),[6]skilldef!$C:$D,2,FALSE),"-") &amp; " / " &amp; IFERROR(VLOOKUP(MID(N30,O30,P30-O30),[6]skilldef!$A:$B,2,FALSE),"-")</f>
        <v>- / -</v>
      </c>
      <c r="T30" s="36" t="str">
        <f t="shared" si="11"/>
        <v>none</v>
      </c>
      <c r="U30" s="51" t="e">
        <f t="shared" si="12"/>
        <v>#VALUE!</v>
      </c>
      <c r="V30" s="51">
        <f t="shared" si="13"/>
        <v>4</v>
      </c>
      <c r="W30" s="51" t="e">
        <f t="shared" si="14"/>
        <v>#VALUE!</v>
      </c>
      <c r="X30" s="51" t="e">
        <f t="shared" si="15"/>
        <v>#VALUE!</v>
      </c>
      <c r="Y30" s="51" t="str">
        <f>IFERROR(VLOOKUP(MID(T30,W30,X30-W30),[6]skilldef!$C:$D,2,FALSE),"-") &amp; " / " &amp; IFERROR(VLOOKUP(MID(T30,U30,V30-U30),[6]skilldef!$A:$B,2,FALSE),"-")</f>
        <v>- / -</v>
      </c>
      <c r="Z30" s="38"/>
      <c r="AA30" s="40"/>
      <c r="AB30" s="38"/>
    </row>
    <row r="31" spans="1:28" ht="21" customHeight="1" x14ac:dyDescent="0.15">
      <c r="A31" s="134">
        <v>48014129</v>
      </c>
      <c r="B31" s="134" t="s">
        <v>205</v>
      </c>
      <c r="C31" s="135">
        <v>1</v>
      </c>
      <c r="D31" s="135" t="s">
        <v>158</v>
      </c>
      <c r="E31" s="136" t="s">
        <v>224</v>
      </c>
      <c r="F31" s="136" t="s">
        <v>207</v>
      </c>
      <c r="G31" s="51" t="str">
        <f t="shared" si="0"/>
        <v>[effect:nothing]</v>
      </c>
      <c r="H31" s="51">
        <f t="shared" si="1"/>
        <v>9</v>
      </c>
      <c r="I31" s="51">
        <f t="shared" si="2"/>
        <v>16</v>
      </c>
      <c r="J31" s="51" t="e">
        <f t="shared" si="3"/>
        <v>#VALUE!</v>
      </c>
      <c r="K31" s="51" t="e">
        <f t="shared" si="4"/>
        <v>#VALUE!</v>
      </c>
      <c r="L31" s="51" t="str">
        <f>IFERROR(VLOOKUP(MID(G31,J31,K31-J31),[6]skilldef!$C:$D,2,FALSE),"-") &amp; " / " &amp; IFERROR(VLOOKUP(MID(G31,H31,I31-H31),[6]skilldef!$A:$B,2,FALSE),"-")</f>
        <v>- / 何もしない</v>
      </c>
      <c r="M31" s="51" t="str">
        <f t="shared" si="5"/>
        <v>none</v>
      </c>
      <c r="N31" s="36" t="str">
        <f t="shared" si="6"/>
        <v>none</v>
      </c>
      <c r="O31" s="51" t="e">
        <f t="shared" si="7"/>
        <v>#VALUE!</v>
      </c>
      <c r="P31" s="51">
        <f t="shared" si="8"/>
        <v>4</v>
      </c>
      <c r="Q31" s="51" t="e">
        <f t="shared" si="9"/>
        <v>#VALUE!</v>
      </c>
      <c r="R31" s="51" t="e">
        <f t="shared" si="10"/>
        <v>#VALUE!</v>
      </c>
      <c r="S31" s="51" t="str">
        <f>IFERROR(VLOOKUP(MID(N31,Q31,R31-Q31),[6]skilldef!$C:$D,2,FALSE),"-") &amp; " / " &amp; IFERROR(VLOOKUP(MID(N31,O31,P31-O31),[6]skilldef!$A:$B,2,FALSE),"-")</f>
        <v>- / -</v>
      </c>
      <c r="T31" s="36" t="str">
        <f t="shared" si="11"/>
        <v>none</v>
      </c>
      <c r="U31" s="51" t="e">
        <f t="shared" si="12"/>
        <v>#VALUE!</v>
      </c>
      <c r="V31" s="51">
        <f t="shared" si="13"/>
        <v>4</v>
      </c>
      <c r="W31" s="51" t="e">
        <f t="shared" si="14"/>
        <v>#VALUE!</v>
      </c>
      <c r="X31" s="51" t="e">
        <f t="shared" si="15"/>
        <v>#VALUE!</v>
      </c>
      <c r="Y31" s="51" t="str">
        <f>IFERROR(VLOOKUP(MID(T31,W31,X31-W31),[6]skilldef!$C:$D,2,FALSE),"-") &amp; " / " &amp; IFERROR(VLOOKUP(MID(T31,U31,V31-U31),[6]skilldef!$A:$B,2,FALSE),"-")</f>
        <v>- / -</v>
      </c>
      <c r="Z31" s="38"/>
      <c r="AA31" s="40"/>
      <c r="AB31" s="38"/>
    </row>
    <row r="32" spans="1:28" ht="21" customHeight="1" x14ac:dyDescent="0.15">
      <c r="A32" s="35">
        <v>48014130</v>
      </c>
      <c r="B32" s="35" t="s">
        <v>305</v>
      </c>
      <c r="C32" s="38">
        <v>3</v>
      </c>
      <c r="D32" s="38" t="s">
        <v>158</v>
      </c>
      <c r="E32" s="39" t="s">
        <v>225</v>
      </c>
      <c r="F32" s="39" t="s">
        <v>304</v>
      </c>
      <c r="G32" s="51" t="str">
        <f t="shared" si="0"/>
        <v>[effect:enemy_message, val1:1.6, val2:3.1]</v>
      </c>
      <c r="H32" s="51">
        <f t="shared" si="1"/>
        <v>9</v>
      </c>
      <c r="I32" s="51">
        <f t="shared" si="2"/>
        <v>22</v>
      </c>
      <c r="J32" s="51" t="e">
        <f t="shared" si="3"/>
        <v>#VALUE!</v>
      </c>
      <c r="K32" s="51">
        <f t="shared" si="4"/>
        <v>32</v>
      </c>
      <c r="L32" s="51" t="str">
        <f>IFERROR(VLOOKUP(MID(G32,J32,K32-J32),[6]skilldef!$C:$D,2,FALSE),"-") &amp; " / " &amp; IFERROR(VLOOKUP(MID(G32,H32,I32-H32),[6]skilldef!$A:$B,2,FALSE),"-")</f>
        <v>- / -</v>
      </c>
      <c r="M32" s="51" t="str">
        <f t="shared" si="5"/>
        <v>[effect:tolerance, target:myself, turn:-1, count:-1, tolerance_effect:all, animation:enemy_tolerance],[effect:crash_condition, target:unit_all, turn:3, val:4, animation:enemy_crash_extend]</v>
      </c>
      <c r="N32" s="36" t="str">
        <f t="shared" si="6"/>
        <v>[effect:tolerance, target:myself, turn:-1, count:-1, tolerance_effect:all, animation:enemy_tolerance],[effect:crash_condition, target:unit_all, turn:3, val:4, animation:enemy_crash_extend]</v>
      </c>
      <c r="O32" s="51">
        <f t="shared" si="7"/>
        <v>9</v>
      </c>
      <c r="P32" s="51">
        <f t="shared" si="8"/>
        <v>18</v>
      </c>
      <c r="Q32" s="51">
        <f t="shared" si="9"/>
        <v>27</v>
      </c>
      <c r="R32" s="51">
        <f t="shared" si="10"/>
        <v>33</v>
      </c>
      <c r="S32" s="51" t="str">
        <f>IFERROR(VLOOKUP(MID(N32,Q32,R32-Q32),[6]skilldef!$C:$D,2,FALSE),"-") &amp; " / " &amp; IFERROR(VLOOKUP(MID(N32,O32,P32-O32),[6]skilldef!$A:$B,2,FALSE),"-")</f>
        <v>自分自身に / 状態異常耐性</v>
      </c>
      <c r="T32" s="36" t="str">
        <f t="shared" si="11"/>
        <v>[effect:crash_condition, target:unit_all, turn:3, val:4, animation:enemy_crash_extend]</v>
      </c>
      <c r="U32" s="51">
        <f t="shared" si="12"/>
        <v>9</v>
      </c>
      <c r="V32" s="51">
        <f t="shared" si="13"/>
        <v>24</v>
      </c>
      <c r="W32" s="51">
        <f t="shared" si="14"/>
        <v>33</v>
      </c>
      <c r="X32" s="51">
        <f t="shared" si="15"/>
        <v>41</v>
      </c>
      <c r="Y32" s="51" t="str">
        <f>IFERROR(VLOOKUP(MID(T32,W32,X32-W32),[6]skilldef!$C:$D,2,FALSE),"-") &amp; " / " &amp; IFERROR(VLOOKUP(MID(T32,U32,V32-U32),[6]skilldef!$A:$B,2,FALSE),"-")</f>
        <v>味方全体に / -</v>
      </c>
      <c r="Z32" s="38"/>
      <c r="AA32" s="40"/>
      <c r="AB32" s="38"/>
    </row>
    <row r="33" spans="1:28" ht="21" customHeight="1" x14ac:dyDescent="0.15">
      <c r="A33" s="35">
        <v>48014131</v>
      </c>
      <c r="B33" s="35" t="s">
        <v>306</v>
      </c>
      <c r="C33" s="38">
        <v>3</v>
      </c>
      <c r="D33" s="38" t="s">
        <v>158</v>
      </c>
      <c r="E33" s="39" t="s">
        <v>226</v>
      </c>
      <c r="F33" s="39" t="s">
        <v>304</v>
      </c>
      <c r="G33" s="51" t="str">
        <f t="shared" si="0"/>
        <v>[effect:enemy_message, val1:1.7, val2:3.1]</v>
      </c>
      <c r="H33" s="51">
        <f t="shared" si="1"/>
        <v>9</v>
      </c>
      <c r="I33" s="51">
        <f t="shared" si="2"/>
        <v>22</v>
      </c>
      <c r="J33" s="51" t="e">
        <f t="shared" si="3"/>
        <v>#VALUE!</v>
      </c>
      <c r="K33" s="51">
        <f t="shared" si="4"/>
        <v>32</v>
      </c>
      <c r="L33" s="51" t="str">
        <f>IFERROR(VLOOKUP(MID(G33,J33,K33-J33),[6]skilldef!$C:$D,2,FALSE),"-") &amp; " / " &amp; IFERROR(VLOOKUP(MID(G33,H33,I33-H33),[6]skilldef!$A:$B,2,FALSE),"-")</f>
        <v>- / -</v>
      </c>
      <c r="M33" s="51" t="str">
        <f t="shared" si="5"/>
        <v>[effect:tolerance, target:myself, turn:-1, count:-1, tolerance_effect:all, animation:enemy_tolerance],[effect:crash_condition, target:unit_all, turn:3, val:4, animation:enemy_crash_extend]</v>
      </c>
      <c r="N33" s="36" t="str">
        <f t="shared" si="6"/>
        <v>[effect:tolerance, target:myself, turn:-1, count:-1, tolerance_effect:all, animation:enemy_tolerance],[effect:crash_condition, target:unit_all, turn:3, val:4, animation:enemy_crash_extend]</v>
      </c>
      <c r="O33" s="51">
        <f t="shared" si="7"/>
        <v>9</v>
      </c>
      <c r="P33" s="51">
        <f t="shared" si="8"/>
        <v>18</v>
      </c>
      <c r="Q33" s="51">
        <f t="shared" si="9"/>
        <v>27</v>
      </c>
      <c r="R33" s="51">
        <f t="shared" si="10"/>
        <v>33</v>
      </c>
      <c r="S33" s="51" t="str">
        <f>IFERROR(VLOOKUP(MID(N33,Q33,R33-Q33),[6]skilldef!$C:$D,2,FALSE),"-") &amp; " / " &amp; IFERROR(VLOOKUP(MID(N33,O33,P33-O33),[6]skilldef!$A:$B,2,FALSE),"-")</f>
        <v>自分自身に / 状態異常耐性</v>
      </c>
      <c r="T33" s="36" t="str">
        <f t="shared" si="11"/>
        <v>[effect:crash_condition, target:unit_all, turn:3, val:4, animation:enemy_crash_extend]</v>
      </c>
      <c r="U33" s="51">
        <f t="shared" si="12"/>
        <v>9</v>
      </c>
      <c r="V33" s="51">
        <f t="shared" si="13"/>
        <v>24</v>
      </c>
      <c r="W33" s="51">
        <f t="shared" si="14"/>
        <v>33</v>
      </c>
      <c r="X33" s="51">
        <f t="shared" si="15"/>
        <v>41</v>
      </c>
      <c r="Y33" s="51" t="str">
        <f>IFERROR(VLOOKUP(MID(T33,W33,X33-W33),[6]skilldef!$C:$D,2,FALSE),"-") &amp; " / " &amp; IFERROR(VLOOKUP(MID(T33,U33,V33-U33),[6]skilldef!$A:$B,2,FALSE),"-")</f>
        <v>味方全体に / -</v>
      </c>
      <c r="Z33" s="38"/>
      <c r="AA33" s="40"/>
      <c r="AB33" s="38"/>
    </row>
    <row r="34" spans="1:28" ht="21" customHeight="1" x14ac:dyDescent="0.15">
      <c r="A34" s="35">
        <v>48014132</v>
      </c>
      <c r="B34" s="35" t="s">
        <v>282</v>
      </c>
      <c r="C34" s="38">
        <v>3</v>
      </c>
      <c r="D34" s="38" t="s">
        <v>158</v>
      </c>
      <c r="E34" s="39" t="s">
        <v>227</v>
      </c>
      <c r="F34" s="39" t="s">
        <v>228</v>
      </c>
      <c r="G34" s="51" t="str">
        <f t="shared" si="0"/>
        <v>[effect:enemy_message, val1:1.4, val2:2.3]</v>
      </c>
      <c r="H34" s="51">
        <f t="shared" si="1"/>
        <v>9</v>
      </c>
      <c r="I34" s="51">
        <f t="shared" si="2"/>
        <v>22</v>
      </c>
      <c r="J34" s="51" t="e">
        <f t="shared" si="3"/>
        <v>#VALUE!</v>
      </c>
      <c r="K34" s="51">
        <f t="shared" si="4"/>
        <v>32</v>
      </c>
      <c r="L34" s="51" t="str">
        <f>IFERROR(VLOOKUP(MID(G34,J34,K34-J34),[6]skilldef!$C:$D,2,FALSE),"-") &amp; " / " &amp; IFERROR(VLOOKUP(MID(G34,H34,I34-H34),[6]skilldef!$A:$B,2,FALSE),"-")</f>
        <v>- / -</v>
      </c>
      <c r="M34" s="51" t="str">
        <f t="shared" si="5"/>
        <v>[effect:damage_anti_tribe, target:unit_all, tribe:human, val1:0.5, val2:0.3]</v>
      </c>
      <c r="N34" s="36" t="str">
        <f t="shared" si="6"/>
        <v>[effect:damage_anti_tribe, target:unit_all, tribe:human, val1:0.5, val2:0.3]</v>
      </c>
      <c r="O34" s="51">
        <f t="shared" si="7"/>
        <v>9</v>
      </c>
      <c r="P34" s="51">
        <f t="shared" si="8"/>
        <v>26</v>
      </c>
      <c r="Q34" s="51">
        <f t="shared" si="9"/>
        <v>35</v>
      </c>
      <c r="R34" s="51">
        <f t="shared" si="10"/>
        <v>43</v>
      </c>
      <c r="S34" s="51" t="str">
        <f>IFERROR(VLOOKUP(MID(N34,Q34,R34-Q34),[6]skilldef!$C:$D,2,FALSE),"-") &amp; " / " &amp; IFERROR(VLOOKUP(MID(N34,O34,P34-O34),[6]skilldef!$A:$B,2,FALSE),"-")</f>
        <v>味方全体に / 種族キラー</v>
      </c>
      <c r="T34" s="36" t="str">
        <f t="shared" si="11"/>
        <v>none</v>
      </c>
      <c r="U34" s="51" t="e">
        <f t="shared" si="12"/>
        <v>#VALUE!</v>
      </c>
      <c r="V34" s="51">
        <f t="shared" si="13"/>
        <v>4</v>
      </c>
      <c r="W34" s="51" t="e">
        <f t="shared" si="14"/>
        <v>#VALUE!</v>
      </c>
      <c r="X34" s="51" t="e">
        <f t="shared" si="15"/>
        <v>#VALUE!</v>
      </c>
      <c r="Y34" s="51" t="str">
        <f>IFERROR(VLOOKUP(MID(T34,W34,X34-W34),[6]skilldef!$C:$D,2,FALSE),"-") &amp; " / " &amp; IFERROR(VLOOKUP(MID(T34,U34,V34-U34),[6]skilldef!$A:$B,2,FALSE),"-")</f>
        <v>- / -</v>
      </c>
      <c r="Z34" s="38"/>
      <c r="AA34" s="40"/>
      <c r="AB34" s="38"/>
    </row>
    <row r="35" spans="1:28" ht="21" customHeight="1" x14ac:dyDescent="0.15">
      <c r="A35" s="35">
        <v>48014133</v>
      </c>
      <c r="B35" s="35" t="s">
        <v>275</v>
      </c>
      <c r="C35" s="38">
        <v>3</v>
      </c>
      <c r="D35" s="38" t="s">
        <v>158</v>
      </c>
      <c r="E35" s="39" t="s">
        <v>229</v>
      </c>
      <c r="F35" s="39" t="s">
        <v>276</v>
      </c>
      <c r="G35" s="51" t="str">
        <f t="shared" si="0"/>
        <v>[effect:enemy_message, val1:1.3, val2:1.2]</v>
      </c>
      <c r="H35" s="51">
        <f t="shared" si="1"/>
        <v>9</v>
      </c>
      <c r="I35" s="51">
        <f t="shared" si="2"/>
        <v>22</v>
      </c>
      <c r="J35" s="51" t="e">
        <f t="shared" si="3"/>
        <v>#VALUE!</v>
      </c>
      <c r="K35" s="51">
        <f t="shared" si="4"/>
        <v>32</v>
      </c>
      <c r="L35" s="51" t="str">
        <f>IFERROR(VLOOKUP(MID(G35,J35,K35-J35),[6]skilldef!$C:$D,2,FALSE),"-") &amp; " / " &amp; IFERROR(VLOOKUP(MID(G35,H35,I35-H35),[6]skilldef!$A:$B,2,FALSE),"-")</f>
        <v>- / -</v>
      </c>
      <c r="M35" s="51" t="str">
        <f t="shared" si="5"/>
        <v>[effect:damage_gravity, val:0.4, animation:fevergauge_down]</v>
      </c>
      <c r="N35" s="36" t="str">
        <f t="shared" si="6"/>
        <v>[effect:damage_gravity, val:0.4, animation:fevergauge_down]</v>
      </c>
      <c r="O35" s="51">
        <f t="shared" si="7"/>
        <v>9</v>
      </c>
      <c r="P35" s="51">
        <f t="shared" si="8"/>
        <v>23</v>
      </c>
      <c r="Q35" s="51" t="e">
        <f t="shared" si="9"/>
        <v>#VALUE!</v>
      </c>
      <c r="R35" s="51">
        <f t="shared" si="10"/>
        <v>32</v>
      </c>
      <c r="S35" s="51" t="str">
        <f>IFERROR(VLOOKUP(MID(N35,Q35,R35-Q35),[6]skilldef!$C:$D,2,FALSE),"-") &amp; " / " &amp; IFERROR(VLOOKUP(MID(N35,O35,P35-O35),[6]skilldef!$A:$B,2,FALSE),"-")</f>
        <v>- / 割合ダメージ</v>
      </c>
      <c r="T35" s="36" t="str">
        <f t="shared" si="11"/>
        <v>none</v>
      </c>
      <c r="U35" s="51" t="e">
        <f t="shared" si="12"/>
        <v>#VALUE!</v>
      </c>
      <c r="V35" s="51">
        <f t="shared" si="13"/>
        <v>4</v>
      </c>
      <c r="W35" s="51" t="e">
        <f t="shared" si="14"/>
        <v>#VALUE!</v>
      </c>
      <c r="X35" s="51" t="e">
        <f t="shared" si="15"/>
        <v>#VALUE!</v>
      </c>
      <c r="Y35" s="51" t="str">
        <f>IFERROR(VLOOKUP(MID(T35,W35,X35-W35),[6]skilldef!$C:$D,2,FALSE),"-") &amp; " / " &amp; IFERROR(VLOOKUP(MID(T35,U35,V35-U35),[6]skilldef!$A:$B,2,FALSE),"-")</f>
        <v>- / -</v>
      </c>
      <c r="Z35" s="38"/>
      <c r="AA35" s="40"/>
      <c r="AB35" s="38"/>
    </row>
    <row r="36" spans="1:28" ht="21" customHeight="1" x14ac:dyDescent="0.15">
      <c r="A36" s="134">
        <v>48014134</v>
      </c>
      <c r="B36" s="134" t="s">
        <v>205</v>
      </c>
      <c r="C36" s="135">
        <v>1</v>
      </c>
      <c r="D36" s="135" t="s">
        <v>158</v>
      </c>
      <c r="E36" s="136" t="s">
        <v>230</v>
      </c>
      <c r="F36" s="136" t="s">
        <v>207</v>
      </c>
      <c r="G36" s="51" t="str">
        <f t="shared" si="0"/>
        <v>[effect:nothing]</v>
      </c>
      <c r="H36" s="51">
        <f t="shared" si="1"/>
        <v>9</v>
      </c>
      <c r="I36" s="51">
        <f t="shared" si="2"/>
        <v>16</v>
      </c>
      <c r="J36" s="51" t="e">
        <f t="shared" si="3"/>
        <v>#VALUE!</v>
      </c>
      <c r="K36" s="51" t="e">
        <f t="shared" si="4"/>
        <v>#VALUE!</v>
      </c>
      <c r="L36" s="51" t="str">
        <f>IFERROR(VLOOKUP(MID(G36,J36,K36-J36),[6]skilldef!$C:$D,2,FALSE),"-") &amp; " / " &amp; IFERROR(VLOOKUP(MID(G36,H36,I36-H36),[6]skilldef!$A:$B,2,FALSE),"-")</f>
        <v>- / 何もしない</v>
      </c>
      <c r="M36" s="51" t="str">
        <f t="shared" si="5"/>
        <v>none</v>
      </c>
      <c r="N36" s="36" t="str">
        <f t="shared" si="6"/>
        <v>none</v>
      </c>
      <c r="O36" s="51" t="e">
        <f t="shared" si="7"/>
        <v>#VALUE!</v>
      </c>
      <c r="P36" s="51">
        <f t="shared" si="8"/>
        <v>4</v>
      </c>
      <c r="Q36" s="51" t="e">
        <f t="shared" si="9"/>
        <v>#VALUE!</v>
      </c>
      <c r="R36" s="51" t="e">
        <f t="shared" si="10"/>
        <v>#VALUE!</v>
      </c>
      <c r="S36" s="51" t="str">
        <f>IFERROR(VLOOKUP(MID(N36,Q36,R36-Q36),[6]skilldef!$C:$D,2,FALSE),"-") &amp; " / " &amp; IFERROR(VLOOKUP(MID(N36,O36,P36-O36),[6]skilldef!$A:$B,2,FALSE),"-")</f>
        <v>- / -</v>
      </c>
      <c r="T36" s="36" t="str">
        <f t="shared" si="11"/>
        <v>none</v>
      </c>
      <c r="U36" s="51" t="e">
        <f t="shared" si="12"/>
        <v>#VALUE!</v>
      </c>
      <c r="V36" s="51">
        <f t="shared" si="13"/>
        <v>4</v>
      </c>
      <c r="W36" s="51" t="e">
        <f t="shared" si="14"/>
        <v>#VALUE!</v>
      </c>
      <c r="X36" s="51" t="e">
        <f t="shared" si="15"/>
        <v>#VALUE!</v>
      </c>
      <c r="Y36" s="51" t="str">
        <f>IFERROR(VLOOKUP(MID(T36,W36,X36-W36),[6]skilldef!$C:$D,2,FALSE),"-") &amp; " / " &amp; IFERROR(VLOOKUP(MID(T36,U36,V36-U36),[6]skilldef!$A:$B,2,FALSE),"-")</f>
        <v>- / -</v>
      </c>
      <c r="Z36" s="38"/>
      <c r="AA36" s="40"/>
      <c r="AB36" s="38"/>
    </row>
    <row r="37" spans="1:28" ht="21" customHeight="1" x14ac:dyDescent="0.15">
      <c r="A37" s="134">
        <v>48014135</v>
      </c>
      <c r="B37" s="134" t="s">
        <v>205</v>
      </c>
      <c r="C37" s="135">
        <v>1</v>
      </c>
      <c r="D37" s="135" t="s">
        <v>158</v>
      </c>
      <c r="E37" s="136" t="s">
        <v>230</v>
      </c>
      <c r="F37" s="136" t="s">
        <v>207</v>
      </c>
      <c r="G37" s="51" t="str">
        <f t="shared" si="0"/>
        <v>[effect:nothing]</v>
      </c>
      <c r="H37" s="51">
        <f t="shared" si="1"/>
        <v>9</v>
      </c>
      <c r="I37" s="51">
        <f t="shared" si="2"/>
        <v>16</v>
      </c>
      <c r="J37" s="51" t="e">
        <f t="shared" si="3"/>
        <v>#VALUE!</v>
      </c>
      <c r="K37" s="51" t="e">
        <f t="shared" si="4"/>
        <v>#VALUE!</v>
      </c>
      <c r="L37" s="51" t="str">
        <f>IFERROR(VLOOKUP(MID(G37,J37,K37-J37),[6]skilldef!$C:$D,2,FALSE),"-") &amp; " / " &amp; IFERROR(VLOOKUP(MID(G37,H37,I37-H37),[6]skilldef!$A:$B,2,FALSE),"-")</f>
        <v>- / 何もしない</v>
      </c>
      <c r="M37" s="51" t="str">
        <f t="shared" si="5"/>
        <v>none</v>
      </c>
      <c r="N37" s="36" t="str">
        <f t="shared" si="6"/>
        <v>none</v>
      </c>
      <c r="O37" s="51" t="e">
        <f t="shared" si="7"/>
        <v>#VALUE!</v>
      </c>
      <c r="P37" s="51">
        <f t="shared" si="8"/>
        <v>4</v>
      </c>
      <c r="Q37" s="51" t="e">
        <f t="shared" si="9"/>
        <v>#VALUE!</v>
      </c>
      <c r="R37" s="51" t="e">
        <f t="shared" si="10"/>
        <v>#VALUE!</v>
      </c>
      <c r="S37" s="51" t="str">
        <f>IFERROR(VLOOKUP(MID(N37,Q37,R37-Q37),[6]skilldef!$C:$D,2,FALSE),"-") &amp; " / " &amp; IFERROR(VLOOKUP(MID(N37,O37,P37-O37),[6]skilldef!$A:$B,2,FALSE),"-")</f>
        <v>- / -</v>
      </c>
      <c r="T37" s="36" t="str">
        <f t="shared" si="11"/>
        <v>none</v>
      </c>
      <c r="U37" s="51" t="e">
        <f t="shared" si="12"/>
        <v>#VALUE!</v>
      </c>
      <c r="V37" s="51">
        <f t="shared" si="13"/>
        <v>4</v>
      </c>
      <c r="W37" s="51" t="e">
        <f t="shared" si="14"/>
        <v>#VALUE!</v>
      </c>
      <c r="X37" s="51" t="e">
        <f t="shared" si="15"/>
        <v>#VALUE!</v>
      </c>
      <c r="Y37" s="51" t="str">
        <f>IFERROR(VLOOKUP(MID(T37,W37,X37-W37),[6]skilldef!$C:$D,2,FALSE),"-") &amp; " / " &amp; IFERROR(VLOOKUP(MID(T37,U37,V37-U37),[6]skilldef!$A:$B,2,FALSE),"-")</f>
        <v>- / -</v>
      </c>
      <c r="Z37" s="38"/>
      <c r="AA37" s="40"/>
      <c r="AB37" s="38"/>
    </row>
    <row r="38" spans="1:28" ht="21" customHeight="1" x14ac:dyDescent="0.15">
      <c r="A38" s="134">
        <v>48014136</v>
      </c>
      <c r="B38" s="134" t="s">
        <v>205</v>
      </c>
      <c r="C38" s="135">
        <v>1</v>
      </c>
      <c r="D38" s="135" t="s">
        <v>158</v>
      </c>
      <c r="E38" s="136" t="s">
        <v>230</v>
      </c>
      <c r="F38" s="136" t="s">
        <v>207</v>
      </c>
      <c r="G38" s="51" t="str">
        <f t="shared" si="0"/>
        <v>[effect:nothing]</v>
      </c>
      <c r="H38" s="51">
        <f t="shared" si="1"/>
        <v>9</v>
      </c>
      <c r="I38" s="51">
        <f t="shared" si="2"/>
        <v>16</v>
      </c>
      <c r="J38" s="51" t="e">
        <f t="shared" si="3"/>
        <v>#VALUE!</v>
      </c>
      <c r="K38" s="51" t="e">
        <f t="shared" si="4"/>
        <v>#VALUE!</v>
      </c>
      <c r="L38" s="51" t="str">
        <f>IFERROR(VLOOKUP(MID(G38,J38,K38-J38),[6]skilldef!$C:$D,2,FALSE),"-") &amp; " / " &amp; IFERROR(VLOOKUP(MID(G38,H38,I38-H38),[6]skilldef!$A:$B,2,FALSE),"-")</f>
        <v>- / 何もしない</v>
      </c>
      <c r="M38" s="51" t="str">
        <f t="shared" si="5"/>
        <v>none</v>
      </c>
      <c r="N38" s="36" t="str">
        <f t="shared" si="6"/>
        <v>none</v>
      </c>
      <c r="O38" s="51" t="e">
        <f t="shared" si="7"/>
        <v>#VALUE!</v>
      </c>
      <c r="P38" s="51">
        <f t="shared" si="8"/>
        <v>4</v>
      </c>
      <c r="Q38" s="51" t="e">
        <f t="shared" si="9"/>
        <v>#VALUE!</v>
      </c>
      <c r="R38" s="51" t="e">
        <f t="shared" si="10"/>
        <v>#VALUE!</v>
      </c>
      <c r="S38" s="51" t="str">
        <f>IFERROR(VLOOKUP(MID(N38,Q38,R38-Q38),[6]skilldef!$C:$D,2,FALSE),"-") &amp; " / " &amp; IFERROR(VLOOKUP(MID(N38,O38,P38-O38),[6]skilldef!$A:$B,2,FALSE),"-")</f>
        <v>- / -</v>
      </c>
      <c r="T38" s="36" t="str">
        <f t="shared" si="11"/>
        <v>none</v>
      </c>
      <c r="U38" s="51" t="e">
        <f t="shared" si="12"/>
        <v>#VALUE!</v>
      </c>
      <c r="V38" s="51">
        <f t="shared" si="13"/>
        <v>4</v>
      </c>
      <c r="W38" s="51" t="e">
        <f t="shared" si="14"/>
        <v>#VALUE!</v>
      </c>
      <c r="X38" s="51" t="e">
        <f t="shared" si="15"/>
        <v>#VALUE!</v>
      </c>
      <c r="Y38" s="51" t="str">
        <f>IFERROR(VLOOKUP(MID(T38,W38,X38-W38),[6]skilldef!$C:$D,2,FALSE),"-") &amp; " / " &amp; IFERROR(VLOOKUP(MID(T38,U38,V38-U38),[6]skilldef!$A:$B,2,FALSE),"-")</f>
        <v>- / -</v>
      </c>
      <c r="Z38" s="38"/>
      <c r="AA38" s="40"/>
      <c r="AB38" s="38"/>
    </row>
    <row r="39" spans="1:28" ht="21" customHeight="1" x14ac:dyDescent="0.15">
      <c r="A39" s="134">
        <v>48014137</v>
      </c>
      <c r="B39" s="134" t="s">
        <v>205</v>
      </c>
      <c r="C39" s="135">
        <v>1</v>
      </c>
      <c r="D39" s="135" t="s">
        <v>158</v>
      </c>
      <c r="E39" s="136" t="s">
        <v>230</v>
      </c>
      <c r="F39" s="136" t="s">
        <v>207</v>
      </c>
      <c r="G39" s="51" t="str">
        <f t="shared" si="0"/>
        <v>[effect:nothing]</v>
      </c>
      <c r="H39" s="51">
        <f t="shared" si="1"/>
        <v>9</v>
      </c>
      <c r="I39" s="51">
        <f t="shared" si="2"/>
        <v>16</v>
      </c>
      <c r="J39" s="51" t="e">
        <f t="shared" si="3"/>
        <v>#VALUE!</v>
      </c>
      <c r="K39" s="51" t="e">
        <f t="shared" si="4"/>
        <v>#VALUE!</v>
      </c>
      <c r="L39" s="51" t="str">
        <f>IFERROR(VLOOKUP(MID(G39,J39,K39-J39),[6]skilldef!$C:$D,2,FALSE),"-") &amp; " / " &amp; IFERROR(VLOOKUP(MID(G39,H39,I39-H39),[6]skilldef!$A:$B,2,FALSE),"-")</f>
        <v>- / 何もしない</v>
      </c>
      <c r="M39" s="51" t="str">
        <f t="shared" si="5"/>
        <v>none</v>
      </c>
      <c r="N39" s="36" t="str">
        <f t="shared" si="6"/>
        <v>none</v>
      </c>
      <c r="O39" s="51" t="e">
        <f t="shared" si="7"/>
        <v>#VALUE!</v>
      </c>
      <c r="P39" s="51">
        <f t="shared" si="8"/>
        <v>4</v>
      </c>
      <c r="Q39" s="51" t="e">
        <f t="shared" si="9"/>
        <v>#VALUE!</v>
      </c>
      <c r="R39" s="51" t="e">
        <f t="shared" si="10"/>
        <v>#VALUE!</v>
      </c>
      <c r="S39" s="51" t="str">
        <f>IFERROR(VLOOKUP(MID(N39,Q39,R39-Q39),[6]skilldef!$C:$D,2,FALSE),"-") &amp; " / " &amp; IFERROR(VLOOKUP(MID(N39,O39,P39-O39),[6]skilldef!$A:$B,2,FALSE),"-")</f>
        <v>- / -</v>
      </c>
      <c r="T39" s="36" t="str">
        <f t="shared" si="11"/>
        <v>none</v>
      </c>
      <c r="U39" s="51" t="e">
        <f t="shared" si="12"/>
        <v>#VALUE!</v>
      </c>
      <c r="V39" s="51">
        <f t="shared" si="13"/>
        <v>4</v>
      </c>
      <c r="W39" s="51" t="e">
        <f t="shared" si="14"/>
        <v>#VALUE!</v>
      </c>
      <c r="X39" s="51" t="e">
        <f t="shared" si="15"/>
        <v>#VALUE!</v>
      </c>
      <c r="Y39" s="51" t="str">
        <f>IFERROR(VLOOKUP(MID(T39,W39,X39-W39),[6]skilldef!$C:$D,2,FALSE),"-") &amp; " / " &amp; IFERROR(VLOOKUP(MID(T39,U39,V39-U39),[6]skilldef!$A:$B,2,FALSE),"-")</f>
        <v>- / -</v>
      </c>
      <c r="Z39" s="38"/>
      <c r="AA39" s="40"/>
      <c r="AB39" s="38"/>
    </row>
    <row r="40" spans="1:28" ht="21" customHeight="1" x14ac:dyDescent="0.15">
      <c r="A40" s="134">
        <v>48014138</v>
      </c>
      <c r="B40" s="134" t="s">
        <v>205</v>
      </c>
      <c r="C40" s="135">
        <v>1</v>
      </c>
      <c r="D40" s="135" t="s">
        <v>158</v>
      </c>
      <c r="E40" s="136" t="s">
        <v>230</v>
      </c>
      <c r="F40" s="136" t="s">
        <v>207</v>
      </c>
      <c r="G40" s="51" t="str">
        <f t="shared" si="0"/>
        <v>[effect:nothing]</v>
      </c>
      <c r="H40" s="51">
        <f t="shared" si="1"/>
        <v>9</v>
      </c>
      <c r="I40" s="51">
        <f t="shared" si="2"/>
        <v>16</v>
      </c>
      <c r="J40" s="51" t="e">
        <f t="shared" si="3"/>
        <v>#VALUE!</v>
      </c>
      <c r="K40" s="51" t="e">
        <f t="shared" si="4"/>
        <v>#VALUE!</v>
      </c>
      <c r="L40" s="51" t="str">
        <f>IFERROR(VLOOKUP(MID(G40,J40,K40-J40),[6]skilldef!$C:$D,2,FALSE),"-") &amp; " / " &amp; IFERROR(VLOOKUP(MID(G40,H40,I40-H40),[6]skilldef!$A:$B,2,FALSE),"-")</f>
        <v>- / 何もしない</v>
      </c>
      <c r="M40" s="51" t="str">
        <f t="shared" si="5"/>
        <v>none</v>
      </c>
      <c r="N40" s="36" t="str">
        <f t="shared" si="6"/>
        <v>none</v>
      </c>
      <c r="O40" s="51" t="e">
        <f t="shared" si="7"/>
        <v>#VALUE!</v>
      </c>
      <c r="P40" s="51">
        <f t="shared" si="8"/>
        <v>4</v>
      </c>
      <c r="Q40" s="51" t="e">
        <f t="shared" si="9"/>
        <v>#VALUE!</v>
      </c>
      <c r="R40" s="51" t="e">
        <f t="shared" si="10"/>
        <v>#VALUE!</v>
      </c>
      <c r="S40" s="51" t="str">
        <f>IFERROR(VLOOKUP(MID(N40,Q40,R40-Q40),[6]skilldef!$C:$D,2,FALSE),"-") &amp; " / " &amp; IFERROR(VLOOKUP(MID(N40,O40,P40-O40),[6]skilldef!$A:$B,2,FALSE),"-")</f>
        <v>- / -</v>
      </c>
      <c r="T40" s="36" t="str">
        <f t="shared" si="11"/>
        <v>none</v>
      </c>
      <c r="U40" s="51" t="e">
        <f t="shared" si="12"/>
        <v>#VALUE!</v>
      </c>
      <c r="V40" s="51">
        <f t="shared" si="13"/>
        <v>4</v>
      </c>
      <c r="W40" s="51" t="e">
        <f t="shared" si="14"/>
        <v>#VALUE!</v>
      </c>
      <c r="X40" s="51" t="e">
        <f t="shared" si="15"/>
        <v>#VALUE!</v>
      </c>
      <c r="Y40" s="51" t="str">
        <f>IFERROR(VLOOKUP(MID(T40,W40,X40-W40),[6]skilldef!$C:$D,2,FALSE),"-") &amp; " / " &amp; IFERROR(VLOOKUP(MID(T40,U40,V40-U40),[6]skilldef!$A:$B,2,FALSE),"-")</f>
        <v>- / -</v>
      </c>
      <c r="Z40" s="38"/>
      <c r="AA40" s="40"/>
      <c r="AB40" s="38"/>
    </row>
    <row r="41" spans="1:28" ht="21" customHeight="1" x14ac:dyDescent="0.15">
      <c r="A41" s="134">
        <v>48014139</v>
      </c>
      <c r="B41" s="134" t="s">
        <v>205</v>
      </c>
      <c r="C41" s="135">
        <v>1</v>
      </c>
      <c r="D41" s="135" t="s">
        <v>158</v>
      </c>
      <c r="E41" s="136" t="s">
        <v>230</v>
      </c>
      <c r="F41" s="136" t="s">
        <v>207</v>
      </c>
      <c r="G41" s="51" t="str">
        <f t="shared" si="0"/>
        <v>[effect:nothing]</v>
      </c>
      <c r="H41" s="51">
        <f t="shared" si="1"/>
        <v>9</v>
      </c>
      <c r="I41" s="51">
        <f t="shared" si="2"/>
        <v>16</v>
      </c>
      <c r="J41" s="51" t="e">
        <f t="shared" si="3"/>
        <v>#VALUE!</v>
      </c>
      <c r="K41" s="51" t="e">
        <f t="shared" si="4"/>
        <v>#VALUE!</v>
      </c>
      <c r="L41" s="51" t="str">
        <f>IFERROR(VLOOKUP(MID(G41,J41,K41-J41),[6]skilldef!$C:$D,2,FALSE),"-") &amp; " / " &amp; IFERROR(VLOOKUP(MID(G41,H41,I41-H41),[6]skilldef!$A:$B,2,FALSE),"-")</f>
        <v>- / 何もしない</v>
      </c>
      <c r="M41" s="51" t="str">
        <f t="shared" si="5"/>
        <v>none</v>
      </c>
      <c r="N41" s="36" t="str">
        <f t="shared" si="6"/>
        <v>none</v>
      </c>
      <c r="O41" s="51" t="e">
        <f t="shared" si="7"/>
        <v>#VALUE!</v>
      </c>
      <c r="P41" s="51">
        <f t="shared" si="8"/>
        <v>4</v>
      </c>
      <c r="Q41" s="51" t="e">
        <f t="shared" si="9"/>
        <v>#VALUE!</v>
      </c>
      <c r="R41" s="51" t="e">
        <f t="shared" si="10"/>
        <v>#VALUE!</v>
      </c>
      <c r="S41" s="51" t="str">
        <f>IFERROR(VLOOKUP(MID(N41,Q41,R41-Q41),[6]skilldef!$C:$D,2,FALSE),"-") &amp; " / " &amp; IFERROR(VLOOKUP(MID(N41,O41,P41-O41),[6]skilldef!$A:$B,2,FALSE),"-")</f>
        <v>- / -</v>
      </c>
      <c r="T41" s="36" t="str">
        <f t="shared" si="11"/>
        <v>none</v>
      </c>
      <c r="U41" s="51" t="e">
        <f t="shared" si="12"/>
        <v>#VALUE!</v>
      </c>
      <c r="V41" s="51">
        <f t="shared" si="13"/>
        <v>4</v>
      </c>
      <c r="W41" s="51" t="e">
        <f t="shared" si="14"/>
        <v>#VALUE!</v>
      </c>
      <c r="X41" s="51" t="e">
        <f t="shared" si="15"/>
        <v>#VALUE!</v>
      </c>
      <c r="Y41" s="51" t="str">
        <f>IFERROR(VLOOKUP(MID(T41,W41,X41-W41),[6]skilldef!$C:$D,2,FALSE),"-") &amp; " / " &amp; IFERROR(VLOOKUP(MID(T41,U41,V41-U41),[6]skilldef!$A:$B,2,FALSE),"-")</f>
        <v>- / -</v>
      </c>
      <c r="Z41" s="38"/>
      <c r="AA41" s="40"/>
      <c r="AB41" s="38"/>
    </row>
    <row r="42" spans="1:28" ht="21" customHeight="1" x14ac:dyDescent="0.15">
      <c r="A42" s="35">
        <v>48014140</v>
      </c>
      <c r="B42" s="35" t="s">
        <v>300</v>
      </c>
      <c r="C42" s="38">
        <v>3</v>
      </c>
      <c r="D42" s="38" t="s">
        <v>158</v>
      </c>
      <c r="E42" s="39" t="s">
        <v>231</v>
      </c>
      <c r="F42" s="39" t="s">
        <v>295</v>
      </c>
      <c r="G42" s="51" t="str">
        <f t="shared" si="0"/>
        <v>[effect:enemy_message, val1:1.2, val2:3.7]</v>
      </c>
      <c r="H42" s="51">
        <f t="shared" si="1"/>
        <v>9</v>
      </c>
      <c r="I42" s="51">
        <f t="shared" si="2"/>
        <v>22</v>
      </c>
      <c r="J42" s="51" t="e">
        <f t="shared" si="3"/>
        <v>#VALUE!</v>
      </c>
      <c r="K42" s="51">
        <f t="shared" si="4"/>
        <v>32</v>
      </c>
      <c r="L42" s="51" t="str">
        <f>IFERROR(VLOOKUP(MID(G42,J42,K42-J42),[6]skilldef!$C:$D,2,FALSE),"-") &amp; " / " &amp; IFERROR(VLOOKUP(MID(G42,H42,I42-H42),[6]skilldef!$A:$B,2,FALSE),"-")</f>
        <v>- / -</v>
      </c>
      <c r="M42" s="51" t="str">
        <f t="shared" si="5"/>
        <v>[effect:tolerance, target:myself, turn:-1, count:-1, tolerance_effect:all, animation:enemy_tolerance],[effect:dis_heart, turn:5, animation:enemy_dis_heart],[effect:change_panel_ratio, turn:5, block_type:heal, val:0.3, animation:block_incidence04]</v>
      </c>
      <c r="N42" s="36" t="str">
        <f t="shared" si="6"/>
        <v>[effect:tolerance, target:myself, turn:-1, count:-1, tolerance_effect:all, animation:enemy_tolerance],[effect:dis_heart, turn:5, animation:enemy_dis_heart],[effect:change_panel_ratio, turn:5, block_type:heal, val:0.3, animation:block_incidence04]</v>
      </c>
      <c r="O42" s="51">
        <f t="shared" si="7"/>
        <v>9</v>
      </c>
      <c r="P42" s="51">
        <f t="shared" si="8"/>
        <v>18</v>
      </c>
      <c r="Q42" s="51">
        <f t="shared" si="9"/>
        <v>27</v>
      </c>
      <c r="R42" s="51">
        <f t="shared" si="10"/>
        <v>33</v>
      </c>
      <c r="S42" s="51" t="str">
        <f>IFERROR(VLOOKUP(MID(N42,Q42,R42-Q42),[6]skilldef!$C:$D,2,FALSE),"-") &amp; " / " &amp; IFERROR(VLOOKUP(MID(N42,O42,P42-O42),[6]skilldef!$A:$B,2,FALSE),"-")</f>
        <v>自分自身に / 状態異常耐性</v>
      </c>
      <c r="T42" s="36" t="str">
        <f t="shared" si="11"/>
        <v>[effect:dis_heart, turn:5, animation:enemy_dis_heart],[effect:change_panel_ratio, turn:5, block_type:heal, val:0.3, animation:block_incidence04]</v>
      </c>
      <c r="U42" s="51">
        <f t="shared" si="12"/>
        <v>9</v>
      </c>
      <c r="V42" s="51">
        <f t="shared" si="13"/>
        <v>18</v>
      </c>
      <c r="W42" s="51" t="e">
        <f t="shared" si="14"/>
        <v>#VALUE!</v>
      </c>
      <c r="X42" s="51">
        <f t="shared" si="15"/>
        <v>26</v>
      </c>
      <c r="Y42" s="51" t="str">
        <f>IFERROR(VLOOKUP(MID(T42,W42,X42-W42),[6]skilldef!$C:$D,2,FALSE),"-") &amp; " / " &amp; IFERROR(VLOOKUP(MID(T42,U42,V42-U42),[6]skilldef!$A:$B,2,FALSE),"-")</f>
        <v>- / ディスハート</v>
      </c>
      <c r="Z42" s="38"/>
      <c r="AA42" s="40"/>
      <c r="AB42" s="38"/>
    </row>
    <row r="43" spans="1:28" ht="21" customHeight="1" x14ac:dyDescent="0.15">
      <c r="A43" s="35">
        <v>48014141</v>
      </c>
      <c r="B43" s="35" t="s">
        <v>282</v>
      </c>
      <c r="C43" s="38">
        <v>3</v>
      </c>
      <c r="D43" s="38" t="s">
        <v>158</v>
      </c>
      <c r="E43" s="39" t="s">
        <v>227</v>
      </c>
      <c r="F43" s="39" t="s">
        <v>228</v>
      </c>
      <c r="G43" s="51" t="str">
        <f t="shared" si="0"/>
        <v>[effect:enemy_message, val1:1.4, val2:2.3]</v>
      </c>
      <c r="H43" s="51">
        <f t="shared" si="1"/>
        <v>9</v>
      </c>
      <c r="I43" s="51">
        <f t="shared" si="2"/>
        <v>22</v>
      </c>
      <c r="J43" s="51" t="e">
        <f t="shared" si="3"/>
        <v>#VALUE!</v>
      </c>
      <c r="K43" s="51">
        <f t="shared" si="4"/>
        <v>32</v>
      </c>
      <c r="L43" s="51" t="str">
        <f>IFERROR(VLOOKUP(MID(G43,J43,K43-J43),[6]skilldef!$C:$D,2,FALSE),"-") &amp; " / " &amp; IFERROR(VLOOKUP(MID(G43,H43,I43-H43),[6]skilldef!$A:$B,2,FALSE),"-")</f>
        <v>- / -</v>
      </c>
      <c r="M43" s="51" t="str">
        <f t="shared" si="5"/>
        <v>[effect:damage_anti_tribe, target:unit_all, tribe:human, val1:0.5, val2:0.3]</v>
      </c>
      <c r="N43" s="36" t="str">
        <f t="shared" si="6"/>
        <v>[effect:damage_anti_tribe, target:unit_all, tribe:human, val1:0.5, val2:0.3]</v>
      </c>
      <c r="O43" s="51">
        <f t="shared" si="7"/>
        <v>9</v>
      </c>
      <c r="P43" s="51">
        <f t="shared" si="8"/>
        <v>26</v>
      </c>
      <c r="Q43" s="51">
        <f t="shared" si="9"/>
        <v>35</v>
      </c>
      <c r="R43" s="51">
        <f t="shared" si="10"/>
        <v>43</v>
      </c>
      <c r="S43" s="51" t="str">
        <f>IFERROR(VLOOKUP(MID(N43,Q43,R43-Q43),[6]skilldef!$C:$D,2,FALSE),"-") &amp; " / " &amp; IFERROR(VLOOKUP(MID(N43,O43,P43-O43),[6]skilldef!$A:$B,2,FALSE),"-")</f>
        <v>味方全体に / 種族キラー</v>
      </c>
      <c r="T43" s="36" t="str">
        <f t="shared" si="11"/>
        <v>none</v>
      </c>
      <c r="U43" s="51" t="e">
        <f t="shared" si="12"/>
        <v>#VALUE!</v>
      </c>
      <c r="V43" s="51">
        <f t="shared" si="13"/>
        <v>4</v>
      </c>
      <c r="W43" s="51" t="e">
        <f t="shared" si="14"/>
        <v>#VALUE!</v>
      </c>
      <c r="X43" s="51" t="e">
        <f t="shared" si="15"/>
        <v>#VALUE!</v>
      </c>
      <c r="Y43" s="51" t="str">
        <f>IFERROR(VLOOKUP(MID(T43,W43,X43-W43),[6]skilldef!$C:$D,2,FALSE),"-") &amp; " / " &amp; IFERROR(VLOOKUP(MID(T43,U43,V43-U43),[6]skilldef!$A:$B,2,FALSE),"-")</f>
        <v>- / -</v>
      </c>
      <c r="Z43" s="38"/>
      <c r="AA43" s="40"/>
      <c r="AB43" s="38"/>
    </row>
    <row r="44" spans="1:28" ht="21" customHeight="1" x14ac:dyDescent="0.15">
      <c r="A44" s="35">
        <v>48014142</v>
      </c>
      <c r="B44" s="35" t="s">
        <v>275</v>
      </c>
      <c r="C44" s="38">
        <v>3</v>
      </c>
      <c r="D44" s="38" t="s">
        <v>158</v>
      </c>
      <c r="E44" s="39" t="s">
        <v>229</v>
      </c>
      <c r="F44" s="39" t="s">
        <v>277</v>
      </c>
      <c r="G44" s="51" t="str">
        <f t="shared" si="0"/>
        <v>[effect:enemy_message, val1:1.3, val2:1.2]</v>
      </c>
      <c r="H44" s="51">
        <f t="shared" si="1"/>
        <v>9</v>
      </c>
      <c r="I44" s="51">
        <f t="shared" si="2"/>
        <v>22</v>
      </c>
      <c r="J44" s="51" t="e">
        <f t="shared" si="3"/>
        <v>#VALUE!</v>
      </c>
      <c r="K44" s="51">
        <f t="shared" si="4"/>
        <v>32</v>
      </c>
      <c r="L44" s="51" t="str">
        <f>IFERROR(VLOOKUP(MID(G44,J44,K44-J44),[6]skilldef!$C:$D,2,FALSE),"-") &amp; " / " &amp; IFERROR(VLOOKUP(MID(G44,H44,I44-H44),[6]skilldef!$A:$B,2,FALSE),"-")</f>
        <v>- / -</v>
      </c>
      <c r="M44" s="51" t="str">
        <f t="shared" si="5"/>
        <v>[effect:damage_gravity, val:0.4, animation:fevergauge_down]</v>
      </c>
      <c r="N44" s="36" t="str">
        <f t="shared" si="6"/>
        <v>[effect:damage_gravity, val:0.4, animation:fevergauge_down]</v>
      </c>
      <c r="O44" s="51">
        <f t="shared" si="7"/>
        <v>9</v>
      </c>
      <c r="P44" s="51">
        <f t="shared" si="8"/>
        <v>23</v>
      </c>
      <c r="Q44" s="51" t="e">
        <f t="shared" si="9"/>
        <v>#VALUE!</v>
      </c>
      <c r="R44" s="51">
        <f t="shared" si="10"/>
        <v>32</v>
      </c>
      <c r="S44" s="51" t="str">
        <f>IFERROR(VLOOKUP(MID(N44,Q44,R44-Q44),[6]skilldef!$C:$D,2,FALSE),"-") &amp; " / " &amp; IFERROR(VLOOKUP(MID(N44,O44,P44-O44),[6]skilldef!$A:$B,2,FALSE),"-")</f>
        <v>- / 割合ダメージ</v>
      </c>
      <c r="T44" s="36" t="str">
        <f t="shared" si="11"/>
        <v>none</v>
      </c>
      <c r="U44" s="51" t="e">
        <f t="shared" si="12"/>
        <v>#VALUE!</v>
      </c>
      <c r="V44" s="51">
        <f t="shared" si="13"/>
        <v>4</v>
      </c>
      <c r="W44" s="51" t="e">
        <f t="shared" si="14"/>
        <v>#VALUE!</v>
      </c>
      <c r="X44" s="51" t="e">
        <f t="shared" si="15"/>
        <v>#VALUE!</v>
      </c>
      <c r="Y44" s="51" t="str">
        <f>IFERROR(VLOOKUP(MID(T44,W44,X44-W44),[6]skilldef!$C:$D,2,FALSE),"-") &amp; " / " &amp; IFERROR(VLOOKUP(MID(T44,U44,V44-U44),[6]skilldef!$A:$B,2,FALSE),"-")</f>
        <v>- / -</v>
      </c>
      <c r="Z44" s="38"/>
      <c r="AA44" s="40"/>
      <c r="AB44" s="38"/>
    </row>
    <row r="45" spans="1:28" ht="21" customHeight="1" x14ac:dyDescent="0.15">
      <c r="A45" s="35">
        <v>48014143</v>
      </c>
      <c r="B45" s="35" t="s">
        <v>289</v>
      </c>
      <c r="C45" s="38">
        <v>3</v>
      </c>
      <c r="D45" s="38" t="s">
        <v>158</v>
      </c>
      <c r="E45" s="39" t="s">
        <v>232</v>
      </c>
      <c r="F45" s="159" t="s">
        <v>287</v>
      </c>
      <c r="G45" s="51" t="str">
        <f t="shared" si="0"/>
        <v>[effect:enemy_message, val1:1.2, val2:1.6]</v>
      </c>
      <c r="H45" s="51">
        <f t="shared" si="1"/>
        <v>9</v>
      </c>
      <c r="I45" s="51">
        <f t="shared" si="2"/>
        <v>22</v>
      </c>
      <c r="J45" s="51" t="e">
        <f t="shared" si="3"/>
        <v>#VALUE!</v>
      </c>
      <c r="K45" s="51">
        <f t="shared" si="4"/>
        <v>32</v>
      </c>
      <c r="L45" s="51" t="str">
        <f>IFERROR(VLOOKUP(MID(G45,J45,K45-J45),[6]skilldef!$C:$D,2,FALSE),"-") &amp; " / " &amp; IFERROR(VLOOKUP(MID(G45,H45,I45-H45),[6]skilldef!$A:$B,2,FALSE),"-")</f>
        <v>- / -</v>
      </c>
      <c r="M45" s="51" t="str">
        <f t="shared" si="5"/>
        <v>[effect:break_attack_fix, target:unit_one, val:350, lowest_val:1000, count:-1, color:blue, block01:block_green],[effect:heal, target:myself, val:0.15, animation:enemy_heal]</v>
      </c>
      <c r="N45" s="36" t="str">
        <f t="shared" si="6"/>
        <v>[effect:break_attack_fix, target:unit_one, val:350, lowest_val:1000, count:-1, color:blue, block01:block_green],[effect:heal, target:myself, val:0.15, animation:enemy_heal]</v>
      </c>
      <c r="O45" s="51">
        <f t="shared" si="7"/>
        <v>9</v>
      </c>
      <c r="P45" s="51">
        <f t="shared" si="8"/>
        <v>25</v>
      </c>
      <c r="Q45" s="51">
        <f t="shared" si="9"/>
        <v>34</v>
      </c>
      <c r="R45" s="51">
        <f t="shared" si="10"/>
        <v>42</v>
      </c>
      <c r="S45" s="51" t="str">
        <f>IFERROR(VLOOKUP(MID(N45,Q45,R45-Q45),[6]skilldef!$C:$D,2,FALSE),"-") &amp; " / " &amp; IFERROR(VLOOKUP(MID(N45,O45,P45-O45),[6]skilldef!$A:$B,2,FALSE),"-")</f>
        <v>味方単体に / -</v>
      </c>
      <c r="T45" s="36" t="str">
        <f t="shared" si="11"/>
        <v>[effect:heal, target:myself, val:0.15, animation:enemy_heal]</v>
      </c>
      <c r="U45" s="51">
        <f t="shared" si="12"/>
        <v>9</v>
      </c>
      <c r="V45" s="51">
        <f t="shared" si="13"/>
        <v>13</v>
      </c>
      <c r="W45" s="51">
        <f t="shared" si="14"/>
        <v>22</v>
      </c>
      <c r="X45" s="51">
        <f t="shared" si="15"/>
        <v>28</v>
      </c>
      <c r="Y45" s="51" t="str">
        <f>IFERROR(VLOOKUP(MID(T45,W45,X45-W45),[6]skilldef!$C:$D,2,FALSE),"-") &amp; " / " &amp; IFERROR(VLOOKUP(MID(T45,U45,V45-U45),[6]skilldef!$A:$B,2,FALSE),"-")</f>
        <v>自分自身に / 回復</v>
      </c>
      <c r="Z45" s="38"/>
      <c r="AA45" s="40"/>
      <c r="AB45" s="38"/>
    </row>
    <row r="46" spans="1:28" ht="21" customHeight="1" x14ac:dyDescent="0.15">
      <c r="A46" s="134">
        <v>48014144</v>
      </c>
      <c r="B46" s="134" t="s">
        <v>205</v>
      </c>
      <c r="C46" s="135">
        <v>1</v>
      </c>
      <c r="D46" s="135" t="s">
        <v>158</v>
      </c>
      <c r="E46" s="136" t="s">
        <v>233</v>
      </c>
      <c r="F46" s="136" t="s">
        <v>207</v>
      </c>
      <c r="G46" s="51" t="str">
        <f t="shared" si="0"/>
        <v>[effect:nothing]</v>
      </c>
      <c r="H46" s="51">
        <f t="shared" si="1"/>
        <v>9</v>
      </c>
      <c r="I46" s="51">
        <f t="shared" si="2"/>
        <v>16</v>
      </c>
      <c r="J46" s="51" t="e">
        <f t="shared" si="3"/>
        <v>#VALUE!</v>
      </c>
      <c r="K46" s="51" t="e">
        <f t="shared" si="4"/>
        <v>#VALUE!</v>
      </c>
      <c r="L46" s="51" t="str">
        <f>IFERROR(VLOOKUP(MID(G46,J46,K46-J46),[6]skilldef!$C:$D,2,FALSE),"-") &amp; " / " &amp; IFERROR(VLOOKUP(MID(G46,H46,I46-H46),[6]skilldef!$A:$B,2,FALSE),"-")</f>
        <v>- / 何もしない</v>
      </c>
      <c r="M46" s="51" t="str">
        <f t="shared" si="5"/>
        <v>none</v>
      </c>
      <c r="N46" s="36" t="str">
        <f t="shared" si="6"/>
        <v>none</v>
      </c>
      <c r="O46" s="51" t="e">
        <f t="shared" si="7"/>
        <v>#VALUE!</v>
      </c>
      <c r="P46" s="51">
        <f t="shared" si="8"/>
        <v>4</v>
      </c>
      <c r="Q46" s="51" t="e">
        <f t="shared" si="9"/>
        <v>#VALUE!</v>
      </c>
      <c r="R46" s="51" t="e">
        <f t="shared" si="10"/>
        <v>#VALUE!</v>
      </c>
      <c r="S46" s="51" t="str">
        <f>IFERROR(VLOOKUP(MID(N46,Q46,R46-Q46),[6]skilldef!$C:$D,2,FALSE),"-") &amp; " / " &amp; IFERROR(VLOOKUP(MID(N46,O46,P46-O46),[6]skilldef!$A:$B,2,FALSE),"-")</f>
        <v>- / -</v>
      </c>
      <c r="T46" s="36" t="str">
        <f t="shared" si="11"/>
        <v>none</v>
      </c>
      <c r="U46" s="51" t="e">
        <f t="shared" si="12"/>
        <v>#VALUE!</v>
      </c>
      <c r="V46" s="51">
        <f t="shared" si="13"/>
        <v>4</v>
      </c>
      <c r="W46" s="51" t="e">
        <f t="shared" si="14"/>
        <v>#VALUE!</v>
      </c>
      <c r="X46" s="51" t="e">
        <f t="shared" si="15"/>
        <v>#VALUE!</v>
      </c>
      <c r="Y46" s="51" t="str">
        <f>IFERROR(VLOOKUP(MID(T46,W46,X46-W46),[6]skilldef!$C:$D,2,FALSE),"-") &amp; " / " &amp; IFERROR(VLOOKUP(MID(T46,U46,V46-U46),[6]skilldef!$A:$B,2,FALSE),"-")</f>
        <v>- / -</v>
      </c>
      <c r="Z46" s="38"/>
      <c r="AA46" s="40"/>
      <c r="AB46" s="38"/>
    </row>
    <row r="47" spans="1:28" ht="21" customHeight="1" x14ac:dyDescent="0.15">
      <c r="A47" s="134">
        <v>48014145</v>
      </c>
      <c r="B47" s="134" t="s">
        <v>205</v>
      </c>
      <c r="C47" s="135">
        <v>1</v>
      </c>
      <c r="D47" s="135" t="s">
        <v>158</v>
      </c>
      <c r="E47" s="136" t="s">
        <v>233</v>
      </c>
      <c r="F47" s="136" t="s">
        <v>207</v>
      </c>
      <c r="G47" s="51" t="str">
        <f t="shared" si="0"/>
        <v>[effect:nothing]</v>
      </c>
      <c r="H47" s="51">
        <f t="shared" si="1"/>
        <v>9</v>
      </c>
      <c r="I47" s="51">
        <f t="shared" si="2"/>
        <v>16</v>
      </c>
      <c r="J47" s="51" t="e">
        <f t="shared" si="3"/>
        <v>#VALUE!</v>
      </c>
      <c r="K47" s="51" t="e">
        <f t="shared" si="4"/>
        <v>#VALUE!</v>
      </c>
      <c r="L47" s="51" t="str">
        <f>IFERROR(VLOOKUP(MID(G47,J47,K47-J47),[6]skilldef!$C:$D,2,FALSE),"-") &amp; " / " &amp; IFERROR(VLOOKUP(MID(G47,H47,I47-H47),[6]skilldef!$A:$B,2,FALSE),"-")</f>
        <v>- / 何もしない</v>
      </c>
      <c r="M47" s="51" t="str">
        <f t="shared" si="5"/>
        <v>none</v>
      </c>
      <c r="N47" s="36" t="str">
        <f t="shared" si="6"/>
        <v>none</v>
      </c>
      <c r="O47" s="51" t="e">
        <f t="shared" si="7"/>
        <v>#VALUE!</v>
      </c>
      <c r="P47" s="51">
        <f t="shared" si="8"/>
        <v>4</v>
      </c>
      <c r="Q47" s="51" t="e">
        <f t="shared" si="9"/>
        <v>#VALUE!</v>
      </c>
      <c r="R47" s="51" t="e">
        <f t="shared" si="10"/>
        <v>#VALUE!</v>
      </c>
      <c r="S47" s="51" t="str">
        <f>IFERROR(VLOOKUP(MID(N47,Q47,R47-Q47),[6]skilldef!$C:$D,2,FALSE),"-") &amp; " / " &amp; IFERROR(VLOOKUP(MID(N47,O47,P47-O47),[6]skilldef!$A:$B,2,FALSE),"-")</f>
        <v>- / -</v>
      </c>
      <c r="T47" s="36" t="str">
        <f t="shared" si="11"/>
        <v>none</v>
      </c>
      <c r="U47" s="51" t="e">
        <f t="shared" si="12"/>
        <v>#VALUE!</v>
      </c>
      <c r="V47" s="51">
        <f t="shared" si="13"/>
        <v>4</v>
      </c>
      <c r="W47" s="51" t="e">
        <f t="shared" si="14"/>
        <v>#VALUE!</v>
      </c>
      <c r="X47" s="51" t="e">
        <f t="shared" si="15"/>
        <v>#VALUE!</v>
      </c>
      <c r="Y47" s="51" t="str">
        <f>IFERROR(VLOOKUP(MID(T47,W47,X47-W47),[6]skilldef!$C:$D,2,FALSE),"-") &amp; " / " &amp; IFERROR(VLOOKUP(MID(T47,U47,V47-U47),[6]skilldef!$A:$B,2,FALSE),"-")</f>
        <v>- / -</v>
      </c>
      <c r="Z47" s="38"/>
      <c r="AA47" s="40"/>
      <c r="AB47" s="38"/>
    </row>
    <row r="48" spans="1:28" ht="21" customHeight="1" x14ac:dyDescent="0.15">
      <c r="A48" s="134">
        <v>48014146</v>
      </c>
      <c r="B48" s="134" t="s">
        <v>205</v>
      </c>
      <c r="C48" s="135">
        <v>1</v>
      </c>
      <c r="D48" s="135" t="s">
        <v>158</v>
      </c>
      <c r="E48" s="136" t="s">
        <v>233</v>
      </c>
      <c r="F48" s="136" t="s">
        <v>207</v>
      </c>
      <c r="G48" s="51" t="str">
        <f t="shared" si="0"/>
        <v>[effect:nothing]</v>
      </c>
      <c r="H48" s="51">
        <f t="shared" si="1"/>
        <v>9</v>
      </c>
      <c r="I48" s="51">
        <f t="shared" si="2"/>
        <v>16</v>
      </c>
      <c r="J48" s="51" t="e">
        <f t="shared" si="3"/>
        <v>#VALUE!</v>
      </c>
      <c r="K48" s="51" t="e">
        <f t="shared" si="4"/>
        <v>#VALUE!</v>
      </c>
      <c r="L48" s="51" t="str">
        <f>IFERROR(VLOOKUP(MID(G48,J48,K48-J48),[6]skilldef!$C:$D,2,FALSE),"-") &amp; " / " &amp; IFERROR(VLOOKUP(MID(G48,H48,I48-H48),[6]skilldef!$A:$B,2,FALSE),"-")</f>
        <v>- / 何もしない</v>
      </c>
      <c r="M48" s="51" t="str">
        <f t="shared" si="5"/>
        <v>none</v>
      </c>
      <c r="N48" s="36" t="str">
        <f t="shared" si="6"/>
        <v>none</v>
      </c>
      <c r="O48" s="51" t="e">
        <f t="shared" si="7"/>
        <v>#VALUE!</v>
      </c>
      <c r="P48" s="51">
        <f t="shared" si="8"/>
        <v>4</v>
      </c>
      <c r="Q48" s="51" t="e">
        <f t="shared" si="9"/>
        <v>#VALUE!</v>
      </c>
      <c r="R48" s="51" t="e">
        <f t="shared" si="10"/>
        <v>#VALUE!</v>
      </c>
      <c r="S48" s="51" t="str">
        <f>IFERROR(VLOOKUP(MID(N48,Q48,R48-Q48),[6]skilldef!$C:$D,2,FALSE),"-") &amp; " / " &amp; IFERROR(VLOOKUP(MID(N48,O48,P48-O48),[6]skilldef!$A:$B,2,FALSE),"-")</f>
        <v>- / -</v>
      </c>
      <c r="T48" s="36" t="str">
        <f t="shared" si="11"/>
        <v>none</v>
      </c>
      <c r="U48" s="51" t="e">
        <f t="shared" si="12"/>
        <v>#VALUE!</v>
      </c>
      <c r="V48" s="51">
        <f t="shared" si="13"/>
        <v>4</v>
      </c>
      <c r="W48" s="51" t="e">
        <f t="shared" si="14"/>
        <v>#VALUE!</v>
      </c>
      <c r="X48" s="51" t="e">
        <f t="shared" si="15"/>
        <v>#VALUE!</v>
      </c>
      <c r="Y48" s="51" t="str">
        <f>IFERROR(VLOOKUP(MID(T48,W48,X48-W48),[6]skilldef!$C:$D,2,FALSE),"-") &amp; " / " &amp; IFERROR(VLOOKUP(MID(T48,U48,V48-U48),[6]skilldef!$A:$B,2,FALSE),"-")</f>
        <v>- / -</v>
      </c>
      <c r="Z48" s="38"/>
      <c r="AA48" s="40"/>
      <c r="AB48" s="38"/>
    </row>
    <row r="49" spans="1:28" ht="21" customHeight="1" x14ac:dyDescent="0.15">
      <c r="A49" s="134">
        <v>48014147</v>
      </c>
      <c r="B49" s="134" t="s">
        <v>205</v>
      </c>
      <c r="C49" s="135">
        <v>1</v>
      </c>
      <c r="D49" s="135" t="s">
        <v>158</v>
      </c>
      <c r="E49" s="136" t="s">
        <v>233</v>
      </c>
      <c r="F49" s="136" t="s">
        <v>207</v>
      </c>
      <c r="G49" s="51" t="str">
        <f t="shared" si="0"/>
        <v>[effect:nothing]</v>
      </c>
      <c r="H49" s="51">
        <f t="shared" si="1"/>
        <v>9</v>
      </c>
      <c r="I49" s="51">
        <f t="shared" si="2"/>
        <v>16</v>
      </c>
      <c r="J49" s="51" t="e">
        <f t="shared" si="3"/>
        <v>#VALUE!</v>
      </c>
      <c r="K49" s="51" t="e">
        <f t="shared" si="4"/>
        <v>#VALUE!</v>
      </c>
      <c r="L49" s="51" t="str">
        <f>IFERROR(VLOOKUP(MID(G49,J49,K49-J49),[6]skilldef!$C:$D,2,FALSE),"-") &amp; " / " &amp; IFERROR(VLOOKUP(MID(G49,H49,I49-H49),[6]skilldef!$A:$B,2,FALSE),"-")</f>
        <v>- / 何もしない</v>
      </c>
      <c r="M49" s="51" t="str">
        <f t="shared" si="5"/>
        <v>none</v>
      </c>
      <c r="N49" s="36" t="str">
        <f t="shared" si="6"/>
        <v>none</v>
      </c>
      <c r="O49" s="51" t="e">
        <f t="shared" si="7"/>
        <v>#VALUE!</v>
      </c>
      <c r="P49" s="51">
        <f t="shared" si="8"/>
        <v>4</v>
      </c>
      <c r="Q49" s="51" t="e">
        <f t="shared" si="9"/>
        <v>#VALUE!</v>
      </c>
      <c r="R49" s="51" t="e">
        <f t="shared" si="10"/>
        <v>#VALUE!</v>
      </c>
      <c r="S49" s="51" t="str">
        <f>IFERROR(VLOOKUP(MID(N49,Q49,R49-Q49),[6]skilldef!$C:$D,2,FALSE),"-") &amp; " / " &amp; IFERROR(VLOOKUP(MID(N49,O49,P49-O49),[6]skilldef!$A:$B,2,FALSE),"-")</f>
        <v>- / -</v>
      </c>
      <c r="T49" s="36" t="str">
        <f t="shared" si="11"/>
        <v>none</v>
      </c>
      <c r="U49" s="51" t="e">
        <f t="shared" si="12"/>
        <v>#VALUE!</v>
      </c>
      <c r="V49" s="51">
        <f t="shared" si="13"/>
        <v>4</v>
      </c>
      <c r="W49" s="51" t="e">
        <f t="shared" si="14"/>
        <v>#VALUE!</v>
      </c>
      <c r="X49" s="51" t="e">
        <f t="shared" si="15"/>
        <v>#VALUE!</v>
      </c>
      <c r="Y49" s="51" t="str">
        <f>IFERROR(VLOOKUP(MID(T49,W49,X49-W49),[6]skilldef!$C:$D,2,FALSE),"-") &amp; " / " &amp; IFERROR(VLOOKUP(MID(T49,U49,V49-U49),[6]skilldef!$A:$B,2,FALSE),"-")</f>
        <v>- / -</v>
      </c>
      <c r="Z49" s="38"/>
      <c r="AA49" s="40"/>
      <c r="AB49" s="38"/>
    </row>
    <row r="50" spans="1:28" ht="21" customHeight="1" x14ac:dyDescent="0.15">
      <c r="A50" s="134">
        <v>48014148</v>
      </c>
      <c r="B50" s="134" t="s">
        <v>205</v>
      </c>
      <c r="C50" s="135">
        <v>1</v>
      </c>
      <c r="D50" s="135" t="s">
        <v>158</v>
      </c>
      <c r="E50" s="136" t="s">
        <v>233</v>
      </c>
      <c r="F50" s="136" t="s">
        <v>207</v>
      </c>
      <c r="G50" s="51" t="str">
        <f t="shared" si="0"/>
        <v>[effect:nothing]</v>
      </c>
      <c r="H50" s="51">
        <f t="shared" si="1"/>
        <v>9</v>
      </c>
      <c r="I50" s="51">
        <f t="shared" si="2"/>
        <v>16</v>
      </c>
      <c r="J50" s="51" t="e">
        <f t="shared" si="3"/>
        <v>#VALUE!</v>
      </c>
      <c r="K50" s="51" t="e">
        <f t="shared" si="4"/>
        <v>#VALUE!</v>
      </c>
      <c r="L50" s="51" t="str">
        <f>IFERROR(VLOOKUP(MID(G50,J50,K50-J50),[6]skilldef!$C:$D,2,FALSE),"-") &amp; " / " &amp; IFERROR(VLOOKUP(MID(G50,H50,I50-H50),[6]skilldef!$A:$B,2,FALSE),"-")</f>
        <v>- / 何もしない</v>
      </c>
      <c r="M50" s="51" t="str">
        <f t="shared" si="5"/>
        <v>none</v>
      </c>
      <c r="N50" s="36" t="str">
        <f t="shared" si="6"/>
        <v>none</v>
      </c>
      <c r="O50" s="51" t="e">
        <f t="shared" si="7"/>
        <v>#VALUE!</v>
      </c>
      <c r="P50" s="51">
        <f t="shared" si="8"/>
        <v>4</v>
      </c>
      <c r="Q50" s="51" t="e">
        <f t="shared" si="9"/>
        <v>#VALUE!</v>
      </c>
      <c r="R50" s="51" t="e">
        <f t="shared" si="10"/>
        <v>#VALUE!</v>
      </c>
      <c r="S50" s="51" t="str">
        <f>IFERROR(VLOOKUP(MID(N50,Q50,R50-Q50),[6]skilldef!$C:$D,2,FALSE),"-") &amp; " / " &amp; IFERROR(VLOOKUP(MID(N50,O50,P50-O50),[6]skilldef!$A:$B,2,FALSE),"-")</f>
        <v>- / -</v>
      </c>
      <c r="T50" s="36" t="str">
        <f t="shared" si="11"/>
        <v>none</v>
      </c>
      <c r="U50" s="51" t="e">
        <f t="shared" si="12"/>
        <v>#VALUE!</v>
      </c>
      <c r="V50" s="51">
        <f t="shared" si="13"/>
        <v>4</v>
      </c>
      <c r="W50" s="51" t="e">
        <f t="shared" si="14"/>
        <v>#VALUE!</v>
      </c>
      <c r="X50" s="51" t="e">
        <f t="shared" si="15"/>
        <v>#VALUE!</v>
      </c>
      <c r="Y50" s="51" t="str">
        <f>IFERROR(VLOOKUP(MID(T50,W50,X50-W50),[6]skilldef!$C:$D,2,FALSE),"-") &amp; " / " &amp; IFERROR(VLOOKUP(MID(T50,U50,V50-U50),[6]skilldef!$A:$B,2,FALSE),"-")</f>
        <v>- / -</v>
      </c>
      <c r="Z50" s="38"/>
      <c r="AA50" s="40"/>
      <c r="AB50" s="38"/>
    </row>
    <row r="51" spans="1:28" ht="21" customHeight="1" x14ac:dyDescent="0.15">
      <c r="A51" s="134">
        <v>48014149</v>
      </c>
      <c r="B51" s="134" t="s">
        <v>205</v>
      </c>
      <c r="C51" s="135">
        <v>1</v>
      </c>
      <c r="D51" s="135" t="s">
        <v>158</v>
      </c>
      <c r="E51" s="136" t="s">
        <v>233</v>
      </c>
      <c r="F51" s="136" t="s">
        <v>207</v>
      </c>
      <c r="G51" s="51" t="str">
        <f t="shared" si="0"/>
        <v>[effect:nothing]</v>
      </c>
      <c r="H51" s="51">
        <f t="shared" si="1"/>
        <v>9</v>
      </c>
      <c r="I51" s="51">
        <f t="shared" si="2"/>
        <v>16</v>
      </c>
      <c r="J51" s="51" t="e">
        <f t="shared" si="3"/>
        <v>#VALUE!</v>
      </c>
      <c r="K51" s="51" t="e">
        <f t="shared" si="4"/>
        <v>#VALUE!</v>
      </c>
      <c r="L51" s="51" t="str">
        <f>IFERROR(VLOOKUP(MID(G51,J51,K51-J51),[6]skilldef!$C:$D,2,FALSE),"-") &amp; " / " &amp; IFERROR(VLOOKUP(MID(G51,H51,I51-H51),[6]skilldef!$A:$B,2,FALSE),"-")</f>
        <v>- / 何もしない</v>
      </c>
      <c r="M51" s="51" t="str">
        <f t="shared" si="5"/>
        <v>none</v>
      </c>
      <c r="N51" s="36" t="str">
        <f t="shared" si="6"/>
        <v>none</v>
      </c>
      <c r="O51" s="51" t="e">
        <f t="shared" si="7"/>
        <v>#VALUE!</v>
      </c>
      <c r="P51" s="51">
        <f t="shared" si="8"/>
        <v>4</v>
      </c>
      <c r="Q51" s="51" t="e">
        <f t="shared" si="9"/>
        <v>#VALUE!</v>
      </c>
      <c r="R51" s="51" t="e">
        <f t="shared" si="10"/>
        <v>#VALUE!</v>
      </c>
      <c r="S51" s="51" t="str">
        <f>IFERROR(VLOOKUP(MID(N51,Q51,R51-Q51),[6]skilldef!$C:$D,2,FALSE),"-") &amp; " / " &amp; IFERROR(VLOOKUP(MID(N51,O51,P51-O51),[6]skilldef!$A:$B,2,FALSE),"-")</f>
        <v>- / -</v>
      </c>
      <c r="T51" s="36" t="str">
        <f t="shared" si="11"/>
        <v>none</v>
      </c>
      <c r="U51" s="51" t="e">
        <f t="shared" si="12"/>
        <v>#VALUE!</v>
      </c>
      <c r="V51" s="51">
        <f t="shared" si="13"/>
        <v>4</v>
      </c>
      <c r="W51" s="51" t="e">
        <f t="shared" si="14"/>
        <v>#VALUE!</v>
      </c>
      <c r="X51" s="51" t="e">
        <f t="shared" si="15"/>
        <v>#VALUE!</v>
      </c>
      <c r="Y51" s="51" t="str">
        <f>IFERROR(VLOOKUP(MID(T51,W51,X51-W51),[6]skilldef!$C:$D,2,FALSE),"-") &amp; " / " &amp; IFERROR(VLOOKUP(MID(T51,U51,V51-U51),[6]skilldef!$A:$B,2,FALSE),"-")</f>
        <v>- / -</v>
      </c>
      <c r="Z51" s="38"/>
      <c r="AA51" s="40"/>
      <c r="AB51" s="38"/>
    </row>
    <row r="52" spans="1:28" ht="21" customHeight="1" x14ac:dyDescent="0.15">
      <c r="A52" s="35">
        <v>48014150</v>
      </c>
      <c r="B52" s="35" t="s">
        <v>299</v>
      </c>
      <c r="C52" s="38">
        <v>3</v>
      </c>
      <c r="D52" s="38" t="s">
        <v>158</v>
      </c>
      <c r="E52" s="39" t="s">
        <v>234</v>
      </c>
      <c r="F52" s="39" t="s">
        <v>298</v>
      </c>
      <c r="G52" s="51" t="str">
        <f t="shared" si="0"/>
        <v>[effect:enemy_message, val1:1.3, val2:3.1]</v>
      </c>
      <c r="H52" s="51">
        <f t="shared" si="1"/>
        <v>9</v>
      </c>
      <c r="I52" s="51">
        <f t="shared" si="2"/>
        <v>22</v>
      </c>
      <c r="J52" s="51" t="e">
        <f t="shared" si="3"/>
        <v>#VALUE!</v>
      </c>
      <c r="K52" s="51">
        <f t="shared" si="4"/>
        <v>32</v>
      </c>
      <c r="L52" s="51" t="str">
        <f>IFERROR(VLOOKUP(MID(G52,J52,K52-J52),[6]skilldef!$C:$D,2,FALSE),"-") &amp; " / " &amp; IFERROR(VLOOKUP(MID(G52,H52,I52-H52),[6]skilldef!$A:$B,2,FALSE),"-")</f>
        <v>- / -</v>
      </c>
      <c r="M52" s="51" t="str">
        <f t="shared" si="5"/>
        <v>[effect:tolerance, target:myself, turn:-1, count:-1, tolerance_effect:all, animation:enemy_tolerance],[effect:crash_condition, target:unit_all, turn:3, val:4, animation:enemy_crash_extend]</v>
      </c>
      <c r="N52" s="36" t="str">
        <f>IFERROR(LEFT(M52,FIND("],",M52)+#REF!),M52)</f>
        <v>[effect:tolerance, target:myself, turn:-1, count:-1, tolerance_effect:all, animation:enemy_tolerance],[effect:crash_condition, target:unit_all, turn:3, val:4, animation:enemy_crash_extend]</v>
      </c>
      <c r="O52" s="51">
        <f t="shared" si="7"/>
        <v>9</v>
      </c>
      <c r="P52" s="51">
        <f t="shared" si="8"/>
        <v>18</v>
      </c>
      <c r="Q52" s="51">
        <f t="shared" si="9"/>
        <v>27</v>
      </c>
      <c r="R52" s="51">
        <f t="shared" si="10"/>
        <v>33</v>
      </c>
      <c r="S52" s="51" t="str">
        <f>IFERROR(VLOOKUP(MID(N52,Q52,R52-Q52),[6]skilldef!$C:$D,2,FALSE),"-") &amp; " / " &amp; IFERROR(VLOOKUP(MID(N52,O52,P52-O52),[6]skilldef!$A:$B,2,FALSE),"-")</f>
        <v>自分自身に / 状態異常耐性</v>
      </c>
      <c r="T52" s="36" t="str">
        <f t="shared" si="11"/>
        <v>[effect:crash_condition, target:unit_all, turn:3, val:4, animation:enemy_crash_extend]</v>
      </c>
      <c r="U52" s="51">
        <f t="shared" si="12"/>
        <v>9</v>
      </c>
      <c r="V52" s="51">
        <f t="shared" si="13"/>
        <v>24</v>
      </c>
      <c r="W52" s="51">
        <f t="shared" si="14"/>
        <v>33</v>
      </c>
      <c r="X52" s="51">
        <f t="shared" si="15"/>
        <v>41</v>
      </c>
      <c r="Y52" s="51" t="str">
        <f>IFERROR(VLOOKUP(MID(T52,W52,X52-W52),[6]skilldef!$C:$D,2,FALSE),"-") &amp; " / " &amp; IFERROR(VLOOKUP(MID(T52,U52,V52-U52),[6]skilldef!$A:$B,2,FALSE),"-")</f>
        <v>味方全体に / -</v>
      </c>
      <c r="Z52" s="38"/>
      <c r="AA52" s="40"/>
      <c r="AB52" s="38"/>
    </row>
    <row r="53" spans="1:28" ht="21" customHeight="1" x14ac:dyDescent="0.15">
      <c r="A53" s="35">
        <v>48014151</v>
      </c>
      <c r="B53" s="35" t="s">
        <v>282</v>
      </c>
      <c r="C53" s="38">
        <v>3</v>
      </c>
      <c r="D53" s="38" t="s">
        <v>158</v>
      </c>
      <c r="E53" s="39" t="s">
        <v>227</v>
      </c>
      <c r="F53" s="39" t="s">
        <v>228</v>
      </c>
      <c r="G53" s="51" t="str">
        <f t="shared" si="0"/>
        <v>[effect:enemy_message, val1:1.4, val2:2.3]</v>
      </c>
      <c r="H53" s="51">
        <f t="shared" si="1"/>
        <v>9</v>
      </c>
      <c r="I53" s="51">
        <f t="shared" si="2"/>
        <v>22</v>
      </c>
      <c r="J53" s="51" t="e">
        <f t="shared" si="3"/>
        <v>#VALUE!</v>
      </c>
      <c r="K53" s="51">
        <f t="shared" si="4"/>
        <v>32</v>
      </c>
      <c r="L53" s="51" t="str">
        <f>IFERROR(VLOOKUP(MID(G53,J53,K53-J53),[6]skilldef!$C:$D,2,FALSE),"-") &amp; " / " &amp; IFERROR(VLOOKUP(MID(G53,H53,I53-H53),[6]skilldef!$A:$B,2,FALSE),"-")</f>
        <v>- / -</v>
      </c>
      <c r="M53" s="51" t="str">
        <f t="shared" si="5"/>
        <v>[effect:damage_anti_tribe, target:unit_all, tribe:human, val1:0.5, val2:0.3]</v>
      </c>
      <c r="N53" s="36" t="str">
        <f>IFERROR(LEFT(M53,FIND("],",M53)+#REF!),M53)</f>
        <v>[effect:damage_anti_tribe, target:unit_all, tribe:human, val1:0.5, val2:0.3]</v>
      </c>
      <c r="O53" s="51">
        <f t="shared" si="7"/>
        <v>9</v>
      </c>
      <c r="P53" s="51">
        <f t="shared" si="8"/>
        <v>26</v>
      </c>
      <c r="Q53" s="51">
        <f t="shared" si="9"/>
        <v>35</v>
      </c>
      <c r="R53" s="51">
        <f t="shared" si="10"/>
        <v>43</v>
      </c>
      <c r="S53" s="51" t="str">
        <f>IFERROR(VLOOKUP(MID(N53,Q53,R53-Q53),[6]skilldef!$C:$D,2,FALSE),"-") &amp; " / " &amp; IFERROR(VLOOKUP(MID(N53,O53,P53-O53),[6]skilldef!$A:$B,2,FALSE),"-")</f>
        <v>味方全体に / 種族キラー</v>
      </c>
      <c r="T53" s="36" t="str">
        <f t="shared" si="11"/>
        <v>none</v>
      </c>
      <c r="U53" s="51" t="e">
        <f t="shared" si="12"/>
        <v>#VALUE!</v>
      </c>
      <c r="V53" s="51">
        <f t="shared" si="13"/>
        <v>4</v>
      </c>
      <c r="W53" s="51" t="e">
        <f t="shared" si="14"/>
        <v>#VALUE!</v>
      </c>
      <c r="X53" s="51" t="e">
        <f t="shared" si="15"/>
        <v>#VALUE!</v>
      </c>
      <c r="Y53" s="51" t="str">
        <f>IFERROR(VLOOKUP(MID(T53,W53,X53-W53),[6]skilldef!$C:$D,2,FALSE),"-") &amp; " / " &amp; IFERROR(VLOOKUP(MID(T53,U53,V53-U53),[6]skilldef!$A:$B,2,FALSE),"-")</f>
        <v>- / -</v>
      </c>
      <c r="Z53" s="38"/>
      <c r="AA53" s="40"/>
      <c r="AB53" s="38"/>
    </row>
    <row r="54" spans="1:28" ht="21" customHeight="1" x14ac:dyDescent="0.15">
      <c r="A54" s="35">
        <v>48014152</v>
      </c>
      <c r="B54" s="35" t="s">
        <v>275</v>
      </c>
      <c r="C54" s="38">
        <v>3</v>
      </c>
      <c r="D54" s="38" t="s">
        <v>158</v>
      </c>
      <c r="E54" s="39" t="s">
        <v>229</v>
      </c>
      <c r="F54" s="39" t="s">
        <v>277</v>
      </c>
      <c r="G54" s="51" t="str">
        <f t="shared" si="0"/>
        <v>[effect:enemy_message, val1:1.3, val2:1.2]</v>
      </c>
      <c r="H54" s="51">
        <f t="shared" si="1"/>
        <v>9</v>
      </c>
      <c r="I54" s="51">
        <f t="shared" si="2"/>
        <v>22</v>
      </c>
      <c r="J54" s="51" t="e">
        <f t="shared" si="3"/>
        <v>#VALUE!</v>
      </c>
      <c r="K54" s="51">
        <f t="shared" si="4"/>
        <v>32</v>
      </c>
      <c r="L54" s="51" t="str">
        <f>IFERROR(VLOOKUP(MID(G54,J54,K54-J54),[6]skilldef!$C:$D,2,FALSE),"-") &amp; " / " &amp; IFERROR(VLOOKUP(MID(G54,H54,I54-H54),[6]skilldef!$A:$B,2,FALSE),"-")</f>
        <v>- / -</v>
      </c>
      <c r="M54" s="51" t="str">
        <f t="shared" si="5"/>
        <v>[effect:damage_gravity, val:0.4, animation:fevergauge_down]</v>
      </c>
      <c r="N54" s="36" t="str">
        <f t="shared" ref="N54:N61" si="16">IFERROR(LEFT(M54,FIND("],",M54)+S62),M54)</f>
        <v>[effect:damage_gravity, val:0.4, animation:fevergauge_down]</v>
      </c>
      <c r="O54" s="51">
        <f t="shared" si="7"/>
        <v>9</v>
      </c>
      <c r="P54" s="51">
        <f t="shared" si="8"/>
        <v>23</v>
      </c>
      <c r="Q54" s="51" t="e">
        <f t="shared" si="9"/>
        <v>#VALUE!</v>
      </c>
      <c r="R54" s="51">
        <f t="shared" si="10"/>
        <v>32</v>
      </c>
      <c r="S54" s="51" t="str">
        <f>IFERROR(VLOOKUP(MID(N54,Q54,R54-Q54),[6]skilldef!$C:$D,2,FALSE),"-") &amp; " / " &amp; IFERROR(VLOOKUP(MID(N54,O54,P54-O54),[6]skilldef!$A:$B,2,FALSE),"-")</f>
        <v>- / 割合ダメージ</v>
      </c>
      <c r="T54" s="36" t="str">
        <f t="shared" si="11"/>
        <v>none</v>
      </c>
      <c r="U54" s="51" t="e">
        <f t="shared" si="12"/>
        <v>#VALUE!</v>
      </c>
      <c r="V54" s="51">
        <f t="shared" si="13"/>
        <v>4</v>
      </c>
      <c r="W54" s="51" t="e">
        <f t="shared" si="14"/>
        <v>#VALUE!</v>
      </c>
      <c r="X54" s="51" t="e">
        <f t="shared" si="15"/>
        <v>#VALUE!</v>
      </c>
      <c r="Y54" s="51" t="str">
        <f>IFERROR(VLOOKUP(MID(T54,W54,X54-W54),[6]skilldef!$C:$D,2,FALSE),"-") &amp; " / " &amp; IFERROR(VLOOKUP(MID(T54,U54,V54-U54),[6]skilldef!$A:$B,2,FALSE),"-")</f>
        <v>- / -</v>
      </c>
      <c r="Z54" s="38"/>
      <c r="AA54" s="40"/>
      <c r="AB54" s="38"/>
    </row>
    <row r="55" spans="1:28" ht="21" customHeight="1" x14ac:dyDescent="0.15">
      <c r="A55" s="35">
        <v>48014153</v>
      </c>
      <c r="B55" s="35" t="s">
        <v>283</v>
      </c>
      <c r="C55" s="38">
        <v>3</v>
      </c>
      <c r="D55" s="38" t="s">
        <v>158</v>
      </c>
      <c r="E55" s="39" t="s">
        <v>235</v>
      </c>
      <c r="F55" s="39" t="s">
        <v>284</v>
      </c>
      <c r="G55" s="51" t="str">
        <f t="shared" si="0"/>
        <v>[effect:enemy_message, val1:1.2, val2:1.2]</v>
      </c>
      <c r="H55" s="51">
        <f t="shared" si="1"/>
        <v>9</v>
      </c>
      <c r="I55" s="51">
        <f t="shared" si="2"/>
        <v>22</v>
      </c>
      <c r="J55" s="51" t="e">
        <f t="shared" si="3"/>
        <v>#VALUE!</v>
      </c>
      <c r="K55" s="51">
        <f t="shared" si="4"/>
        <v>32</v>
      </c>
      <c r="L55" s="51" t="str">
        <f>IFERROR(VLOOKUP(MID(G55,J55,K55-J55),[6]skilldef!$C:$D,2,FALSE),"-") &amp; " / " &amp; IFERROR(VLOOKUP(MID(G55,H55,I55-H55),[6]skilldef!$A:$B,2,FALSE),"-")</f>
        <v>- / -</v>
      </c>
      <c r="M55" s="51" t="str">
        <f t="shared" si="5"/>
        <v>[effect:enhance_enemy, target:myself, turn:-1, status:attack, val:0.2, calc:mul, animation:enemy_enhance_attack],[effect:rush, count:1, val:1]</v>
      </c>
      <c r="N55" s="36" t="str">
        <f t="shared" si="16"/>
        <v>[effect:enhance_enemy, target:myself, turn:-1, status:attack, val:0.2, calc:mul, animation:enemy_enhance_attack]</v>
      </c>
      <c r="O55" s="51">
        <f t="shared" si="7"/>
        <v>9</v>
      </c>
      <c r="P55" s="51">
        <f t="shared" si="8"/>
        <v>22</v>
      </c>
      <c r="Q55" s="51">
        <f t="shared" si="9"/>
        <v>31</v>
      </c>
      <c r="R55" s="51">
        <f t="shared" si="10"/>
        <v>37</v>
      </c>
      <c r="S55" s="51" t="str">
        <f>IFERROR(VLOOKUP(MID(N55,Q55,R55-Q55),[6]skilldef!$C:$D,2,FALSE),"-") &amp; " / " &amp; IFERROR(VLOOKUP(MID(N55,O55,P55-O55),[6]skilldef!$A:$B,2,FALSE),"-")</f>
        <v>自分自身に / ステータス強化</v>
      </c>
      <c r="T55" s="36" t="str">
        <f t="shared" si="11"/>
        <v>[effect:rush, count:1, val:1]</v>
      </c>
      <c r="U55" s="51">
        <f t="shared" si="12"/>
        <v>9</v>
      </c>
      <c r="V55" s="51">
        <f t="shared" si="13"/>
        <v>13</v>
      </c>
      <c r="W55" s="51" t="e">
        <f t="shared" si="14"/>
        <v>#VALUE!</v>
      </c>
      <c r="X55" s="51">
        <f t="shared" si="15"/>
        <v>22</v>
      </c>
      <c r="Y55" s="51" t="str">
        <f>IFERROR(VLOOKUP(MID(T55,W55,X55-W55),[6]skilldef!$C:$D,2,FALSE),"-") &amp; " / " &amp; IFERROR(VLOOKUP(MID(T55,U55,V55-U55),[6]skilldef!$A:$B,2,FALSE),"-")</f>
        <v>- / 連続攻撃</v>
      </c>
      <c r="Z55" s="38"/>
      <c r="AA55" s="40"/>
      <c r="AB55" s="38"/>
    </row>
    <row r="56" spans="1:28" ht="21" customHeight="1" x14ac:dyDescent="0.15">
      <c r="A56" s="35">
        <v>48014154</v>
      </c>
      <c r="B56" s="35" t="s">
        <v>290</v>
      </c>
      <c r="C56" s="38">
        <v>3</v>
      </c>
      <c r="D56" s="38" t="s">
        <v>158</v>
      </c>
      <c r="E56" s="39" t="s">
        <v>236</v>
      </c>
      <c r="F56" s="39" t="s">
        <v>285</v>
      </c>
      <c r="G56" s="51" t="str">
        <f t="shared" si="0"/>
        <v>[effect:enemy_message, val1:1.2, val2:1.2]</v>
      </c>
      <c r="H56" s="51">
        <f t="shared" si="1"/>
        <v>9</v>
      </c>
      <c r="I56" s="51">
        <f t="shared" si="2"/>
        <v>22</v>
      </c>
      <c r="J56" s="51" t="e">
        <f t="shared" si="3"/>
        <v>#VALUE!</v>
      </c>
      <c r="K56" s="51">
        <f t="shared" si="4"/>
        <v>32</v>
      </c>
      <c r="L56" s="51" t="str">
        <f>IFERROR(VLOOKUP(MID(G56,J56,K56-J56),[6]skilldef!$C:$D,2,FALSE),"-") &amp; " / " &amp; IFERROR(VLOOKUP(MID(G56,H56,I56-H56),[6]skilldef!$A:$B,2,FALSE),"-")</f>
        <v>- / -</v>
      </c>
      <c r="M56" s="51" t="str">
        <f t="shared" si="5"/>
        <v>[effect:enhance_enemy, target:myself, turn:-1, status:attack, val:0.4, calc:mul, animation:enemy_enhance_attack],[effect:rush, count:1, val:1]</v>
      </c>
      <c r="N56" s="36" t="str">
        <f t="shared" si="16"/>
        <v>[effect:enhance_enemy, target:myself, turn:-1, status:attack, val:0.4, calc:mul, animation:enemy_enhance_attack]</v>
      </c>
      <c r="O56" s="51">
        <f t="shared" si="7"/>
        <v>9</v>
      </c>
      <c r="P56" s="51">
        <f t="shared" si="8"/>
        <v>22</v>
      </c>
      <c r="Q56" s="51">
        <f t="shared" si="9"/>
        <v>31</v>
      </c>
      <c r="R56" s="51">
        <f t="shared" si="10"/>
        <v>37</v>
      </c>
      <c r="S56" s="51" t="str">
        <f>IFERROR(VLOOKUP(MID(N56,Q56,R56-Q56),[6]skilldef!$C:$D,2,FALSE),"-") &amp; " / " &amp; IFERROR(VLOOKUP(MID(N56,O56,P56-O56),[6]skilldef!$A:$B,2,FALSE),"-")</f>
        <v>自分自身に / ステータス強化</v>
      </c>
      <c r="T56" s="36" t="str">
        <f t="shared" si="11"/>
        <v>[effect:rush, count:1, val:1]</v>
      </c>
      <c r="U56" s="51">
        <f t="shared" si="12"/>
        <v>9</v>
      </c>
      <c r="V56" s="51">
        <f t="shared" si="13"/>
        <v>13</v>
      </c>
      <c r="W56" s="51" t="e">
        <f t="shared" si="14"/>
        <v>#VALUE!</v>
      </c>
      <c r="X56" s="51">
        <f t="shared" si="15"/>
        <v>22</v>
      </c>
      <c r="Y56" s="51" t="str">
        <f>IFERROR(VLOOKUP(MID(T56,W56,X56-W56),[6]skilldef!$C:$D,2,FALSE),"-") &amp; " / " &amp; IFERROR(VLOOKUP(MID(T56,U56,V56-U56),[6]skilldef!$A:$B,2,FALSE),"-")</f>
        <v>- / 連続攻撃</v>
      </c>
      <c r="Z56" s="38"/>
      <c r="AA56" s="40"/>
      <c r="AB56" s="38"/>
    </row>
    <row r="57" spans="1:28" ht="21" customHeight="1" x14ac:dyDescent="0.15">
      <c r="A57" s="35">
        <v>48014155</v>
      </c>
      <c r="B57" s="35" t="s">
        <v>291</v>
      </c>
      <c r="C57" s="38">
        <v>3</v>
      </c>
      <c r="D57" s="38" t="s">
        <v>158</v>
      </c>
      <c r="E57" s="39" t="s">
        <v>237</v>
      </c>
      <c r="F57" s="39" t="s">
        <v>286</v>
      </c>
      <c r="G57" s="51" t="str">
        <f t="shared" si="0"/>
        <v>[effect:enemy_message, val1:1.2, val2:1.2]</v>
      </c>
      <c r="H57" s="51">
        <f t="shared" si="1"/>
        <v>9</v>
      </c>
      <c r="I57" s="51">
        <f t="shared" si="2"/>
        <v>22</v>
      </c>
      <c r="J57" s="51" t="e">
        <f t="shared" si="3"/>
        <v>#VALUE!</v>
      </c>
      <c r="K57" s="51">
        <f t="shared" si="4"/>
        <v>32</v>
      </c>
      <c r="L57" s="51" t="str">
        <f>IFERROR(VLOOKUP(MID(G57,J57,K57-J57),[6]skilldef!$C:$D,2,FALSE),"-") &amp; " / " &amp; IFERROR(VLOOKUP(MID(G57,H57,I57-H57),[6]skilldef!$A:$B,2,FALSE),"-")</f>
        <v>- / -</v>
      </c>
      <c r="M57" s="51" t="str">
        <f t="shared" si="5"/>
        <v>[effect:enhance_enemy, target:myself, turn:-1, status:attack, val:0.6, calc:mul, animation:enemy_enhance_attack],[effect:rush, count:1, val:1]</v>
      </c>
      <c r="N57" s="36" t="str">
        <f t="shared" si="16"/>
        <v>[effect:enhance_enemy, target:myself, turn:-1, status:attack, val:0.6, calc:mul, animation:enemy_enhance_attack]</v>
      </c>
      <c r="O57" s="51">
        <f t="shared" si="7"/>
        <v>9</v>
      </c>
      <c r="P57" s="51">
        <f t="shared" si="8"/>
        <v>22</v>
      </c>
      <c r="Q57" s="51">
        <f t="shared" si="9"/>
        <v>31</v>
      </c>
      <c r="R57" s="51">
        <f t="shared" si="10"/>
        <v>37</v>
      </c>
      <c r="S57" s="51" t="str">
        <f>IFERROR(VLOOKUP(MID(N57,Q57,R57-Q57),[6]skilldef!$C:$D,2,FALSE),"-") &amp; " / " &amp; IFERROR(VLOOKUP(MID(N57,O57,P57-O57),[6]skilldef!$A:$B,2,FALSE),"-")</f>
        <v>自分自身に / ステータス強化</v>
      </c>
      <c r="T57" s="36" t="str">
        <f t="shared" si="11"/>
        <v>[effect:rush, count:1, val:1]</v>
      </c>
      <c r="U57" s="51">
        <f t="shared" si="12"/>
        <v>9</v>
      </c>
      <c r="V57" s="51">
        <f t="shared" si="13"/>
        <v>13</v>
      </c>
      <c r="W57" s="51" t="e">
        <f t="shared" si="14"/>
        <v>#VALUE!</v>
      </c>
      <c r="X57" s="51">
        <f t="shared" si="15"/>
        <v>22</v>
      </c>
      <c r="Y57" s="51" t="str">
        <f>IFERROR(VLOOKUP(MID(T57,W57,X57-W57),[6]skilldef!$C:$D,2,FALSE),"-") &amp; " / " &amp; IFERROR(VLOOKUP(MID(T57,U57,V57-U57),[6]skilldef!$A:$B,2,FALSE),"-")</f>
        <v>- / 連続攻撃</v>
      </c>
      <c r="Z57" s="38"/>
      <c r="AA57" s="40"/>
      <c r="AB57" s="38"/>
    </row>
    <row r="58" spans="1:28" ht="21" customHeight="1" x14ac:dyDescent="0.15">
      <c r="A58" s="35">
        <v>48014156</v>
      </c>
      <c r="B58" s="35" t="s">
        <v>279</v>
      </c>
      <c r="C58" s="38">
        <v>3</v>
      </c>
      <c r="D58" s="38" t="s">
        <v>158</v>
      </c>
      <c r="E58" s="39" t="s">
        <v>238</v>
      </c>
      <c r="F58" s="39" t="s">
        <v>239</v>
      </c>
      <c r="G58" s="51" t="str">
        <f t="shared" si="0"/>
        <v>[effect:enemy_message, val1:1.7, val2:2.0]</v>
      </c>
      <c r="H58" s="51">
        <f t="shared" si="1"/>
        <v>9</v>
      </c>
      <c r="I58" s="51">
        <f t="shared" si="2"/>
        <v>22</v>
      </c>
      <c r="J58" s="51" t="e">
        <f t="shared" si="3"/>
        <v>#VALUE!</v>
      </c>
      <c r="K58" s="51">
        <f t="shared" si="4"/>
        <v>32</v>
      </c>
      <c r="L58" s="51" t="str">
        <f>IFERROR(VLOOKUP(MID(G58,J58,K58-J58),[6]skilldef!$C:$D,2,FALSE),"-") &amp; " / " &amp; IFERROR(VLOOKUP(MID(G58,H58,I58-H58),[6]skilldef!$A:$B,2,FALSE),"-")</f>
        <v>- / -</v>
      </c>
      <c r="M58" s="51" t="str">
        <f t="shared" si="5"/>
        <v>none</v>
      </c>
      <c r="N58" s="36" t="str">
        <f t="shared" si="16"/>
        <v>none</v>
      </c>
      <c r="O58" s="51" t="e">
        <f t="shared" si="7"/>
        <v>#VALUE!</v>
      </c>
      <c r="P58" s="51">
        <f t="shared" si="8"/>
        <v>4</v>
      </c>
      <c r="Q58" s="51" t="e">
        <f t="shared" si="9"/>
        <v>#VALUE!</v>
      </c>
      <c r="R58" s="51" t="e">
        <f t="shared" si="10"/>
        <v>#VALUE!</v>
      </c>
      <c r="S58" s="51" t="str">
        <f>IFERROR(VLOOKUP(MID(N58,Q58,R58-Q58),[6]skilldef!$C:$D,2,FALSE),"-") &amp; " / " &amp; IFERROR(VLOOKUP(MID(N58,O58,P58-O58),[6]skilldef!$A:$B,2,FALSE),"-")</f>
        <v>- / -</v>
      </c>
      <c r="T58" s="36" t="str">
        <f t="shared" si="11"/>
        <v>none</v>
      </c>
      <c r="U58" s="51" t="e">
        <f t="shared" si="12"/>
        <v>#VALUE!</v>
      </c>
      <c r="V58" s="51">
        <f t="shared" si="13"/>
        <v>4</v>
      </c>
      <c r="W58" s="51" t="e">
        <f t="shared" si="14"/>
        <v>#VALUE!</v>
      </c>
      <c r="X58" s="51" t="e">
        <f t="shared" si="15"/>
        <v>#VALUE!</v>
      </c>
      <c r="Y58" s="51" t="str">
        <f>IFERROR(VLOOKUP(MID(T58,W58,X58-W58),[6]skilldef!$C:$D,2,FALSE),"-") &amp; " / " &amp; IFERROR(VLOOKUP(MID(T58,U58,V58-U58),[6]skilldef!$A:$B,2,FALSE),"-")</f>
        <v>- / -</v>
      </c>
      <c r="Z58" s="38"/>
      <c r="AA58" s="40"/>
      <c r="AB58" s="38"/>
    </row>
    <row r="59" spans="1:28" ht="21" customHeight="1" x14ac:dyDescent="0.15">
      <c r="A59" s="35">
        <v>48014157</v>
      </c>
      <c r="B59" s="35" t="s">
        <v>279</v>
      </c>
      <c r="C59" s="38">
        <v>3</v>
      </c>
      <c r="D59" s="38" t="s">
        <v>158</v>
      </c>
      <c r="E59" s="39" t="s">
        <v>238</v>
      </c>
      <c r="F59" s="39" t="s">
        <v>239</v>
      </c>
      <c r="G59" s="51" t="str">
        <f t="shared" si="0"/>
        <v>[effect:enemy_message, val1:1.7, val2:2.0]</v>
      </c>
      <c r="H59" s="51">
        <f t="shared" si="1"/>
        <v>9</v>
      </c>
      <c r="I59" s="51">
        <f t="shared" si="2"/>
        <v>22</v>
      </c>
      <c r="J59" s="51" t="e">
        <f t="shared" si="3"/>
        <v>#VALUE!</v>
      </c>
      <c r="K59" s="51">
        <f t="shared" si="4"/>
        <v>32</v>
      </c>
      <c r="L59" s="51" t="str">
        <f>IFERROR(VLOOKUP(MID(G59,J59,K59-J59),[6]skilldef!$C:$D,2,FALSE),"-") &amp; " / " &amp; IFERROR(VLOOKUP(MID(G59,H59,I59-H59),[6]skilldef!$A:$B,2,FALSE),"-")</f>
        <v>- / -</v>
      </c>
      <c r="M59" s="51" t="str">
        <f t="shared" si="5"/>
        <v>none</v>
      </c>
      <c r="N59" s="36" t="str">
        <f t="shared" si="16"/>
        <v>none</v>
      </c>
      <c r="O59" s="51" t="e">
        <f t="shared" si="7"/>
        <v>#VALUE!</v>
      </c>
      <c r="P59" s="51">
        <f t="shared" si="8"/>
        <v>4</v>
      </c>
      <c r="Q59" s="51" t="e">
        <f t="shared" si="9"/>
        <v>#VALUE!</v>
      </c>
      <c r="R59" s="51" t="e">
        <f t="shared" si="10"/>
        <v>#VALUE!</v>
      </c>
      <c r="S59" s="51" t="str">
        <f>IFERROR(VLOOKUP(MID(N59,Q59,R59-Q59),[6]skilldef!$C:$D,2,FALSE),"-") &amp; " / " &amp; IFERROR(VLOOKUP(MID(N59,O59,P59-O59),[6]skilldef!$A:$B,2,FALSE),"-")</f>
        <v>- / -</v>
      </c>
      <c r="T59" s="36" t="str">
        <f t="shared" si="11"/>
        <v>none</v>
      </c>
      <c r="U59" s="51" t="e">
        <f t="shared" si="12"/>
        <v>#VALUE!</v>
      </c>
      <c r="V59" s="51">
        <f t="shared" si="13"/>
        <v>4</v>
      </c>
      <c r="W59" s="51" t="e">
        <f t="shared" si="14"/>
        <v>#VALUE!</v>
      </c>
      <c r="X59" s="51" t="e">
        <f t="shared" si="15"/>
        <v>#VALUE!</v>
      </c>
      <c r="Y59" s="51" t="str">
        <f>IFERROR(VLOOKUP(MID(T59,W59,X59-W59),[6]skilldef!$C:$D,2,FALSE),"-") &amp; " / " &amp; IFERROR(VLOOKUP(MID(T59,U59,V59-U59),[6]skilldef!$A:$B,2,FALSE),"-")</f>
        <v>- / -</v>
      </c>
      <c r="Z59" s="38"/>
      <c r="AA59" s="40"/>
      <c r="AB59" s="38"/>
    </row>
    <row r="60" spans="1:28" ht="21" customHeight="1" x14ac:dyDescent="0.15">
      <c r="A60" s="35">
        <v>48014158</v>
      </c>
      <c r="B60" s="35" t="s">
        <v>279</v>
      </c>
      <c r="C60" s="38">
        <v>3</v>
      </c>
      <c r="D60" s="38" t="s">
        <v>158</v>
      </c>
      <c r="E60" s="39" t="s">
        <v>240</v>
      </c>
      <c r="F60" s="39" t="s">
        <v>241</v>
      </c>
      <c r="G60" s="51" t="str">
        <f t="shared" si="0"/>
        <v>[effect:enemy_message, val1:1.7, val2:2.0]</v>
      </c>
      <c r="H60" s="51">
        <f t="shared" si="1"/>
        <v>9</v>
      </c>
      <c r="I60" s="51">
        <f t="shared" si="2"/>
        <v>22</v>
      </c>
      <c r="J60" s="51" t="e">
        <f t="shared" si="3"/>
        <v>#VALUE!</v>
      </c>
      <c r="K60" s="51">
        <f t="shared" si="4"/>
        <v>32</v>
      </c>
      <c r="L60" s="51" t="str">
        <f>IFERROR(VLOOKUP(MID(G60,J60,K60-J60),[6]skilldef!$C:$D,2,FALSE),"-") &amp; " / " &amp; IFERROR(VLOOKUP(MID(G60,H60,I60-H60),[6]skilldef!$A:$B,2,FALSE),"-")</f>
        <v>- / -</v>
      </c>
      <c r="M60" s="51" t="str">
        <f t="shared" si="5"/>
        <v>none</v>
      </c>
      <c r="N60" s="36" t="str">
        <f t="shared" si="16"/>
        <v>none</v>
      </c>
      <c r="O60" s="51" t="e">
        <f t="shared" si="7"/>
        <v>#VALUE!</v>
      </c>
      <c r="P60" s="51">
        <f t="shared" si="8"/>
        <v>4</v>
      </c>
      <c r="Q60" s="51" t="e">
        <f t="shared" si="9"/>
        <v>#VALUE!</v>
      </c>
      <c r="R60" s="51" t="e">
        <f t="shared" si="10"/>
        <v>#VALUE!</v>
      </c>
      <c r="S60" s="51" t="str">
        <f>IFERROR(VLOOKUP(MID(N60,Q60,R60-Q60),[6]skilldef!$C:$D,2,FALSE),"-") &amp; " / " &amp; IFERROR(VLOOKUP(MID(N60,O60,P60-O60),[6]skilldef!$A:$B,2,FALSE),"-")</f>
        <v>- / -</v>
      </c>
      <c r="T60" s="36" t="str">
        <f t="shared" si="11"/>
        <v>none</v>
      </c>
      <c r="U60" s="51" t="e">
        <f t="shared" si="12"/>
        <v>#VALUE!</v>
      </c>
      <c r="V60" s="51">
        <f t="shared" si="13"/>
        <v>4</v>
      </c>
      <c r="W60" s="51" t="e">
        <f t="shared" si="14"/>
        <v>#VALUE!</v>
      </c>
      <c r="X60" s="51" t="e">
        <f t="shared" si="15"/>
        <v>#VALUE!</v>
      </c>
      <c r="Y60" s="51" t="str">
        <f>IFERROR(VLOOKUP(MID(T60,W60,X60-W60),[6]skilldef!$C:$D,2,FALSE),"-") &amp; " / " &amp; IFERROR(VLOOKUP(MID(T60,U60,V60-U60),[6]skilldef!$A:$B,2,FALSE),"-")</f>
        <v>- / -</v>
      </c>
      <c r="Z60" s="38"/>
      <c r="AA60" s="40"/>
      <c r="AB60" s="38"/>
    </row>
    <row r="61" spans="1:28" ht="21" customHeight="1" x14ac:dyDescent="0.15">
      <c r="A61" s="134">
        <v>48014159</v>
      </c>
      <c r="B61" s="134" t="s">
        <v>205</v>
      </c>
      <c r="C61" s="135">
        <v>1</v>
      </c>
      <c r="D61" s="135" t="s">
        <v>158</v>
      </c>
      <c r="E61" s="136" t="s">
        <v>242</v>
      </c>
      <c r="F61" s="136" t="s">
        <v>207</v>
      </c>
      <c r="G61" s="51" t="str">
        <f t="shared" si="0"/>
        <v>[effect:nothing]</v>
      </c>
      <c r="H61" s="51">
        <f t="shared" si="1"/>
        <v>9</v>
      </c>
      <c r="I61" s="51">
        <f t="shared" si="2"/>
        <v>16</v>
      </c>
      <c r="J61" s="51" t="e">
        <f t="shared" si="3"/>
        <v>#VALUE!</v>
      </c>
      <c r="K61" s="51" t="e">
        <f t="shared" si="4"/>
        <v>#VALUE!</v>
      </c>
      <c r="L61" s="51" t="str">
        <f>IFERROR(VLOOKUP(MID(G61,J61,K61-J61),[6]skilldef!$C:$D,2,FALSE),"-") &amp; " / " &amp; IFERROR(VLOOKUP(MID(G61,H61,I61-H61),[6]skilldef!$A:$B,2,FALSE),"-")</f>
        <v>- / 何もしない</v>
      </c>
      <c r="M61" s="51" t="str">
        <f t="shared" si="5"/>
        <v>none</v>
      </c>
      <c r="N61" s="36" t="str">
        <f t="shared" si="16"/>
        <v>none</v>
      </c>
      <c r="O61" s="51" t="e">
        <f t="shared" si="7"/>
        <v>#VALUE!</v>
      </c>
      <c r="P61" s="51">
        <f t="shared" si="8"/>
        <v>4</v>
      </c>
      <c r="Q61" s="51" t="e">
        <f t="shared" si="9"/>
        <v>#VALUE!</v>
      </c>
      <c r="R61" s="51" t="e">
        <f t="shared" si="10"/>
        <v>#VALUE!</v>
      </c>
      <c r="S61" s="51" t="str">
        <f>IFERROR(VLOOKUP(MID(N61,Q61,R61-Q61),[6]skilldef!$C:$D,2,FALSE),"-") &amp; " / " &amp; IFERROR(VLOOKUP(MID(N61,O61,P61-O61),[6]skilldef!$A:$B,2,FALSE),"-")</f>
        <v>- / -</v>
      </c>
      <c r="T61" s="36" t="str">
        <f t="shared" si="11"/>
        <v>none</v>
      </c>
      <c r="U61" s="51" t="e">
        <f t="shared" si="12"/>
        <v>#VALUE!</v>
      </c>
      <c r="V61" s="51">
        <f t="shared" si="13"/>
        <v>4</v>
      </c>
      <c r="W61" s="51" t="e">
        <f t="shared" si="14"/>
        <v>#VALUE!</v>
      </c>
      <c r="X61" s="51" t="e">
        <f t="shared" si="15"/>
        <v>#VALUE!</v>
      </c>
      <c r="Y61" s="51" t="str">
        <f>IFERROR(VLOOKUP(MID(T61,W61,X61-W61),[6]skilldef!$C:$D,2,FALSE),"-") &amp; " / " &amp; IFERROR(VLOOKUP(MID(T61,U61,V61-U61),[6]skilldef!$A:$B,2,FALSE),"-")</f>
        <v>- / -</v>
      </c>
      <c r="Z61" s="38"/>
      <c r="AA61" s="40"/>
      <c r="AB61" s="38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61"/>
  <sheetViews>
    <sheetView showGridLines="0" workbookViewId="0">
      <pane ySplit="1" topLeftCell="A2" activePane="bottomLeft" state="frozenSplit"/>
      <selection pane="bottomLeft" activeCell="G26" sqref="G26"/>
    </sheetView>
  </sheetViews>
  <sheetFormatPr baseColWidth="12" defaultColWidth="12.83203125" defaultRowHeight="21" customHeight="1" x14ac:dyDescent="0.15"/>
  <cols>
    <col min="1" max="1" width="16.1640625" style="37" bestFit="1" customWidth="1"/>
    <col min="2" max="2" width="13.33203125" style="37" bestFit="1" customWidth="1"/>
    <col min="3" max="3" width="11.83203125" style="37" bestFit="1" customWidth="1"/>
    <col min="4" max="4" width="14.6640625" style="37" bestFit="1" customWidth="1"/>
    <col min="5" max="5" width="15.6640625" style="37" bestFit="1" customWidth="1"/>
    <col min="6" max="6" width="17" style="37" bestFit="1" customWidth="1"/>
    <col min="7" max="7" width="15.6640625" style="37" bestFit="1" customWidth="1"/>
    <col min="8" max="9" width="14.6640625" style="37" customWidth="1"/>
    <col min="10" max="10" width="14.6640625" style="37" bestFit="1" customWidth="1"/>
    <col min="11" max="11" width="22.83203125" style="27" bestFit="1" customWidth="1"/>
    <col min="12" max="16384" width="12.83203125" style="33"/>
  </cols>
  <sheetData>
    <row r="1" spans="1:11" ht="21" customHeight="1" x14ac:dyDescent="0.15">
      <c r="A1" s="30" t="s">
        <v>53</v>
      </c>
      <c r="B1" s="30" t="s">
        <v>54</v>
      </c>
      <c r="C1" s="30" t="s">
        <v>55</v>
      </c>
      <c r="D1" s="30" t="s">
        <v>56</v>
      </c>
      <c r="E1" s="30" t="s">
        <v>57</v>
      </c>
      <c r="F1" s="41" t="s">
        <v>100</v>
      </c>
      <c r="G1" s="41" t="s">
        <v>58</v>
      </c>
      <c r="H1" s="30" t="s">
        <v>102</v>
      </c>
      <c r="I1" s="30" t="s">
        <v>59</v>
      </c>
      <c r="J1" s="30" t="s">
        <v>60</v>
      </c>
      <c r="K1" s="42" t="s">
        <v>67</v>
      </c>
    </row>
    <row r="2" spans="1:11" ht="21" customHeight="1" x14ac:dyDescent="0.15">
      <c r="A2" s="35">
        <v>48014100</v>
      </c>
      <c r="B2" s="35">
        <v>0</v>
      </c>
      <c r="C2" s="35" t="s">
        <v>41</v>
      </c>
      <c r="D2" s="35">
        <v>40</v>
      </c>
      <c r="E2" s="35" t="s">
        <v>41</v>
      </c>
      <c r="F2" s="35" t="s">
        <v>41</v>
      </c>
      <c r="G2" s="35" t="s">
        <v>41</v>
      </c>
      <c r="H2" s="35" t="s">
        <v>41</v>
      </c>
      <c r="I2" s="35" t="s">
        <v>41</v>
      </c>
      <c r="J2" s="36">
        <f t="shared" ref="J2:J61" si="0">D2</f>
        <v>40</v>
      </c>
    </row>
    <row r="3" spans="1:11" ht="21" customHeight="1" x14ac:dyDescent="0.15">
      <c r="A3" s="35">
        <v>48014101</v>
      </c>
      <c r="B3" s="35">
        <v>0</v>
      </c>
      <c r="C3" s="35" t="s">
        <v>41</v>
      </c>
      <c r="D3" s="35">
        <v>100</v>
      </c>
      <c r="E3" s="35" t="s">
        <v>41</v>
      </c>
      <c r="F3" s="35" t="s">
        <v>41</v>
      </c>
      <c r="G3" s="35" t="s">
        <v>41</v>
      </c>
      <c r="H3" s="35" t="s">
        <v>41</v>
      </c>
      <c r="I3" s="35" t="s">
        <v>41</v>
      </c>
      <c r="J3" s="36">
        <f t="shared" si="0"/>
        <v>100</v>
      </c>
    </row>
    <row r="4" spans="1:11" ht="21" customHeight="1" x14ac:dyDescent="0.15">
      <c r="A4" s="35">
        <v>48014102</v>
      </c>
      <c r="B4" s="35">
        <v>0</v>
      </c>
      <c r="C4" s="35" t="s">
        <v>41</v>
      </c>
      <c r="D4" s="35">
        <v>100</v>
      </c>
      <c r="E4" s="35" t="s">
        <v>41</v>
      </c>
      <c r="F4" s="35" t="s">
        <v>41</v>
      </c>
      <c r="G4" s="35" t="s">
        <v>41</v>
      </c>
      <c r="H4" s="35" t="s">
        <v>41</v>
      </c>
      <c r="I4" s="35" t="s">
        <v>41</v>
      </c>
      <c r="J4" s="36">
        <f t="shared" si="0"/>
        <v>100</v>
      </c>
    </row>
    <row r="5" spans="1:11" ht="21" customHeight="1" x14ac:dyDescent="0.15">
      <c r="A5" s="35">
        <v>48014103</v>
      </c>
      <c r="B5" s="35">
        <v>0</v>
      </c>
      <c r="C5" s="35" t="s">
        <v>41</v>
      </c>
      <c r="D5" s="35">
        <v>100</v>
      </c>
      <c r="E5" s="35" t="s">
        <v>41</v>
      </c>
      <c r="F5" s="35" t="s">
        <v>41</v>
      </c>
      <c r="G5" s="35" t="s">
        <v>41</v>
      </c>
      <c r="H5" s="35" t="s">
        <v>41</v>
      </c>
      <c r="I5" s="35" t="s">
        <v>41</v>
      </c>
      <c r="J5" s="36">
        <f t="shared" si="0"/>
        <v>100</v>
      </c>
    </row>
    <row r="6" spans="1:11" ht="21" customHeight="1" x14ac:dyDescent="0.15">
      <c r="A6" s="35">
        <v>48014104</v>
      </c>
      <c r="B6" s="35">
        <v>0</v>
      </c>
      <c r="C6" s="35" t="s">
        <v>41</v>
      </c>
      <c r="D6" s="35">
        <v>100</v>
      </c>
      <c r="E6" s="35" t="s">
        <v>41</v>
      </c>
      <c r="F6" s="35" t="s">
        <v>41</v>
      </c>
      <c r="G6" s="35" t="s">
        <v>41</v>
      </c>
      <c r="H6" s="35" t="s">
        <v>41</v>
      </c>
      <c r="I6" s="35" t="s">
        <v>41</v>
      </c>
      <c r="J6" s="36">
        <f t="shared" si="0"/>
        <v>100</v>
      </c>
    </row>
    <row r="7" spans="1:11" ht="21" customHeight="1" x14ac:dyDescent="0.15">
      <c r="A7" s="35">
        <v>48014105</v>
      </c>
      <c r="B7" s="35">
        <v>1</v>
      </c>
      <c r="C7" s="35" t="s">
        <v>41</v>
      </c>
      <c r="D7" s="35">
        <v>100</v>
      </c>
      <c r="E7" s="35" t="s">
        <v>41</v>
      </c>
      <c r="F7" s="35" t="s">
        <v>41</v>
      </c>
      <c r="G7" s="35">
        <v>1</v>
      </c>
      <c r="H7" s="35" t="s">
        <v>41</v>
      </c>
      <c r="I7" s="35" t="s">
        <v>41</v>
      </c>
      <c r="J7" s="36">
        <f t="shared" si="0"/>
        <v>100</v>
      </c>
    </row>
    <row r="8" spans="1:11" ht="21" customHeight="1" x14ac:dyDescent="0.15">
      <c r="A8" s="35">
        <v>48014106</v>
      </c>
      <c r="B8" s="35">
        <v>0</v>
      </c>
      <c r="C8" s="35" t="s">
        <v>41</v>
      </c>
      <c r="D8" s="35">
        <v>40</v>
      </c>
      <c r="E8" s="35" t="s">
        <v>41</v>
      </c>
      <c r="F8" s="35" t="s">
        <v>41</v>
      </c>
      <c r="G8" s="35" t="s">
        <v>41</v>
      </c>
      <c r="H8" s="35" t="s">
        <v>41</v>
      </c>
      <c r="I8" s="35" t="s">
        <v>41</v>
      </c>
      <c r="J8" s="36">
        <f t="shared" si="0"/>
        <v>40</v>
      </c>
    </row>
    <row r="9" spans="1:11" ht="21" customHeight="1" x14ac:dyDescent="0.15">
      <c r="A9" s="35">
        <v>48014107</v>
      </c>
      <c r="B9" s="35">
        <v>0</v>
      </c>
      <c r="C9" s="35" t="s">
        <v>41</v>
      </c>
      <c r="D9" s="35">
        <v>100</v>
      </c>
      <c r="E9" s="35" t="s">
        <v>41</v>
      </c>
      <c r="F9" s="35" t="s">
        <v>41</v>
      </c>
      <c r="G9" s="35" t="s">
        <v>41</v>
      </c>
      <c r="H9" s="35" t="s">
        <v>41</v>
      </c>
      <c r="I9" s="35" t="s">
        <v>41</v>
      </c>
      <c r="J9" s="36">
        <f t="shared" si="0"/>
        <v>100</v>
      </c>
    </row>
    <row r="10" spans="1:11" ht="21" customHeight="1" x14ac:dyDescent="0.15">
      <c r="A10" s="35">
        <v>48014108</v>
      </c>
      <c r="B10" s="35">
        <v>0</v>
      </c>
      <c r="C10" s="35" t="s">
        <v>41</v>
      </c>
      <c r="D10" s="35">
        <v>100</v>
      </c>
      <c r="E10" s="35" t="s">
        <v>41</v>
      </c>
      <c r="F10" s="35" t="s">
        <v>41</v>
      </c>
      <c r="G10" s="35" t="s">
        <v>41</v>
      </c>
      <c r="H10" s="35" t="s">
        <v>41</v>
      </c>
      <c r="I10" s="35" t="s">
        <v>41</v>
      </c>
      <c r="J10" s="36">
        <f t="shared" si="0"/>
        <v>100</v>
      </c>
    </row>
    <row r="11" spans="1:11" ht="21" customHeight="1" x14ac:dyDescent="0.15">
      <c r="A11" s="35">
        <v>48014109</v>
      </c>
      <c r="B11" s="35">
        <v>0</v>
      </c>
      <c r="C11" s="35" t="s">
        <v>41</v>
      </c>
      <c r="D11" s="35">
        <v>100</v>
      </c>
      <c r="E11" s="35" t="s">
        <v>41</v>
      </c>
      <c r="F11" s="35" t="s">
        <v>41</v>
      </c>
      <c r="G11" s="35" t="s">
        <v>41</v>
      </c>
      <c r="H11" s="35" t="s">
        <v>41</v>
      </c>
      <c r="I11" s="35" t="s">
        <v>41</v>
      </c>
      <c r="J11" s="36">
        <f t="shared" si="0"/>
        <v>100</v>
      </c>
    </row>
    <row r="12" spans="1:11" ht="21" customHeight="1" x14ac:dyDescent="0.15">
      <c r="A12" s="35">
        <v>48014110</v>
      </c>
      <c r="B12" s="35">
        <v>1</v>
      </c>
      <c r="C12" s="35" t="s">
        <v>41</v>
      </c>
      <c r="D12" s="35">
        <v>100</v>
      </c>
      <c r="E12" s="35" t="s">
        <v>41</v>
      </c>
      <c r="F12" s="35" t="s">
        <v>41</v>
      </c>
      <c r="G12" s="35">
        <v>1</v>
      </c>
      <c r="H12" s="35" t="s">
        <v>41</v>
      </c>
      <c r="I12" s="35" t="s">
        <v>41</v>
      </c>
      <c r="J12" s="36">
        <f t="shared" si="0"/>
        <v>100</v>
      </c>
    </row>
    <row r="13" spans="1:11" ht="21" customHeight="1" x14ac:dyDescent="0.15">
      <c r="A13" s="35">
        <v>48014111</v>
      </c>
      <c r="B13" s="35">
        <v>0</v>
      </c>
      <c r="C13" s="35" t="s">
        <v>41</v>
      </c>
      <c r="D13" s="35">
        <v>30</v>
      </c>
      <c r="E13" s="35" t="s">
        <v>41</v>
      </c>
      <c r="F13" s="35" t="s">
        <v>41</v>
      </c>
      <c r="G13" s="35" t="s">
        <v>41</v>
      </c>
      <c r="H13" s="35" t="s">
        <v>41</v>
      </c>
      <c r="I13" s="35" t="s">
        <v>41</v>
      </c>
      <c r="J13" s="36">
        <f t="shared" si="0"/>
        <v>30</v>
      </c>
    </row>
    <row r="14" spans="1:11" ht="21" customHeight="1" x14ac:dyDescent="0.15">
      <c r="A14" s="35">
        <v>48014112</v>
      </c>
      <c r="B14" s="35">
        <v>0</v>
      </c>
      <c r="C14" s="35" t="s">
        <v>41</v>
      </c>
      <c r="D14" s="35">
        <v>30</v>
      </c>
      <c r="E14" s="35" t="s">
        <v>41</v>
      </c>
      <c r="F14" s="35" t="s">
        <v>41</v>
      </c>
      <c r="G14" s="35" t="s">
        <v>41</v>
      </c>
      <c r="H14" s="35" t="s">
        <v>41</v>
      </c>
      <c r="I14" s="35" t="s">
        <v>41</v>
      </c>
      <c r="J14" s="36">
        <f t="shared" si="0"/>
        <v>30</v>
      </c>
    </row>
    <row r="15" spans="1:11" ht="21" customHeight="1" x14ac:dyDescent="0.15">
      <c r="A15" s="35">
        <v>48014113</v>
      </c>
      <c r="B15" s="35">
        <v>0</v>
      </c>
      <c r="C15" s="35" t="s">
        <v>41</v>
      </c>
      <c r="D15" s="35">
        <v>100</v>
      </c>
      <c r="E15" s="35" t="s">
        <v>41</v>
      </c>
      <c r="F15" s="35" t="s">
        <v>41</v>
      </c>
      <c r="G15" s="35" t="s">
        <v>41</v>
      </c>
      <c r="H15" s="35" t="s">
        <v>41</v>
      </c>
      <c r="I15" s="35" t="s">
        <v>41</v>
      </c>
      <c r="J15" s="36">
        <f t="shared" si="0"/>
        <v>100</v>
      </c>
    </row>
    <row r="16" spans="1:11" ht="21" customHeight="1" x14ac:dyDescent="0.15">
      <c r="A16" s="35">
        <v>48014114</v>
      </c>
      <c r="B16" s="35">
        <v>0</v>
      </c>
      <c r="C16" s="35" t="s">
        <v>41</v>
      </c>
      <c r="D16" s="35">
        <v>100</v>
      </c>
      <c r="E16" s="35" t="s">
        <v>41</v>
      </c>
      <c r="F16" s="35" t="s">
        <v>41</v>
      </c>
      <c r="G16" s="35" t="s">
        <v>41</v>
      </c>
      <c r="H16" s="35" t="s">
        <v>41</v>
      </c>
      <c r="I16" s="35" t="s">
        <v>41</v>
      </c>
      <c r="J16" s="36">
        <f t="shared" si="0"/>
        <v>100</v>
      </c>
    </row>
    <row r="17" spans="1:10" s="33" customFormat="1" ht="21" customHeight="1" x14ac:dyDescent="0.15">
      <c r="A17" s="35">
        <v>48014115</v>
      </c>
      <c r="B17" s="35">
        <v>1</v>
      </c>
      <c r="C17" s="35" t="s">
        <v>41</v>
      </c>
      <c r="D17" s="35">
        <v>100</v>
      </c>
      <c r="E17" s="35" t="s">
        <v>41</v>
      </c>
      <c r="F17" s="35" t="s">
        <v>41</v>
      </c>
      <c r="G17" s="35">
        <v>1</v>
      </c>
      <c r="H17" s="35" t="s">
        <v>41</v>
      </c>
      <c r="I17" s="35" t="s">
        <v>41</v>
      </c>
      <c r="J17" s="36">
        <f t="shared" si="0"/>
        <v>100</v>
      </c>
    </row>
    <row r="18" spans="1:10" s="33" customFormat="1" ht="21" customHeight="1" x14ac:dyDescent="0.15">
      <c r="A18" s="35">
        <v>48014116</v>
      </c>
      <c r="B18" s="35">
        <v>0</v>
      </c>
      <c r="C18" s="35" t="s">
        <v>41</v>
      </c>
      <c r="D18" s="35">
        <v>30</v>
      </c>
      <c r="E18" s="35" t="s">
        <v>41</v>
      </c>
      <c r="F18" s="35" t="s">
        <v>41</v>
      </c>
      <c r="G18" s="35" t="s">
        <v>41</v>
      </c>
      <c r="H18" s="35" t="s">
        <v>41</v>
      </c>
      <c r="I18" s="35" t="s">
        <v>41</v>
      </c>
      <c r="J18" s="36">
        <f t="shared" si="0"/>
        <v>30</v>
      </c>
    </row>
    <row r="19" spans="1:10" s="33" customFormat="1" ht="21" customHeight="1" x14ac:dyDescent="0.15">
      <c r="A19" s="35">
        <v>48014117</v>
      </c>
      <c r="B19" s="35">
        <v>0</v>
      </c>
      <c r="C19" s="35" t="s">
        <v>41</v>
      </c>
      <c r="D19" s="35">
        <v>30</v>
      </c>
      <c r="E19" s="35" t="s">
        <v>41</v>
      </c>
      <c r="F19" s="35" t="s">
        <v>41</v>
      </c>
      <c r="G19" s="35" t="s">
        <v>41</v>
      </c>
      <c r="H19" s="35" t="s">
        <v>41</v>
      </c>
      <c r="I19" s="35" t="s">
        <v>41</v>
      </c>
      <c r="J19" s="36">
        <f t="shared" si="0"/>
        <v>30</v>
      </c>
    </row>
    <row r="20" spans="1:10" s="33" customFormat="1" ht="21" customHeight="1" x14ac:dyDescent="0.15">
      <c r="A20" s="35">
        <v>48014118</v>
      </c>
      <c r="B20" s="35">
        <v>0</v>
      </c>
      <c r="C20" s="35" t="s">
        <v>41</v>
      </c>
      <c r="D20" s="35">
        <v>100</v>
      </c>
      <c r="E20" s="35" t="s">
        <v>41</v>
      </c>
      <c r="F20" s="35" t="s">
        <v>41</v>
      </c>
      <c r="G20" s="35" t="s">
        <v>41</v>
      </c>
      <c r="H20" s="35" t="s">
        <v>41</v>
      </c>
      <c r="I20" s="35" t="s">
        <v>41</v>
      </c>
      <c r="J20" s="36">
        <f t="shared" si="0"/>
        <v>100</v>
      </c>
    </row>
    <row r="21" spans="1:10" s="33" customFormat="1" ht="21" customHeight="1" x14ac:dyDescent="0.15">
      <c r="A21" s="35">
        <v>48014119</v>
      </c>
      <c r="B21" s="35">
        <v>0</v>
      </c>
      <c r="C21" s="35" t="s">
        <v>41</v>
      </c>
      <c r="D21" s="35">
        <v>100</v>
      </c>
      <c r="E21" s="35" t="s">
        <v>41</v>
      </c>
      <c r="F21" s="35" t="s">
        <v>41</v>
      </c>
      <c r="G21" s="35" t="s">
        <v>41</v>
      </c>
      <c r="H21" s="35" t="s">
        <v>41</v>
      </c>
      <c r="I21" s="35" t="s">
        <v>41</v>
      </c>
      <c r="J21" s="36">
        <f t="shared" si="0"/>
        <v>100</v>
      </c>
    </row>
    <row r="22" spans="1:10" s="33" customFormat="1" ht="21" customHeight="1" x14ac:dyDescent="0.15">
      <c r="A22" s="35">
        <v>48014120</v>
      </c>
      <c r="B22" s="35">
        <v>0</v>
      </c>
      <c r="C22" s="35" t="s">
        <v>41</v>
      </c>
      <c r="D22" s="35">
        <v>40</v>
      </c>
      <c r="E22" s="35" t="s">
        <v>41</v>
      </c>
      <c r="F22" s="35" t="s">
        <v>41</v>
      </c>
      <c r="G22" s="35" t="s">
        <v>41</v>
      </c>
      <c r="H22" s="35" t="s">
        <v>41</v>
      </c>
      <c r="I22" s="35" t="s">
        <v>41</v>
      </c>
      <c r="J22" s="36">
        <f t="shared" si="0"/>
        <v>40</v>
      </c>
    </row>
    <row r="23" spans="1:10" s="33" customFormat="1" ht="21" customHeight="1" x14ac:dyDescent="0.15">
      <c r="A23" s="35">
        <v>48014121</v>
      </c>
      <c r="B23" s="35">
        <v>0</v>
      </c>
      <c r="C23" s="35">
        <v>100</v>
      </c>
      <c r="D23" s="35">
        <v>100</v>
      </c>
      <c r="E23" s="35" t="s">
        <v>41</v>
      </c>
      <c r="F23" s="35" t="s">
        <v>41</v>
      </c>
      <c r="G23" s="35">
        <v>1</v>
      </c>
      <c r="H23" s="35">
        <v>2</v>
      </c>
      <c r="I23" s="35" t="s">
        <v>41</v>
      </c>
      <c r="J23" s="36">
        <f t="shared" si="0"/>
        <v>100</v>
      </c>
    </row>
    <row r="24" spans="1:10" s="33" customFormat="1" ht="21" customHeight="1" x14ac:dyDescent="0.15">
      <c r="A24" s="35">
        <v>48014122</v>
      </c>
      <c r="B24" s="35">
        <v>0</v>
      </c>
      <c r="C24" s="35" t="s">
        <v>41</v>
      </c>
      <c r="D24" s="35">
        <v>100</v>
      </c>
      <c r="E24" s="35" t="s">
        <v>41</v>
      </c>
      <c r="F24" s="35" t="s">
        <v>41</v>
      </c>
      <c r="G24" s="35" t="s">
        <v>41</v>
      </c>
      <c r="H24" s="35" t="s">
        <v>41</v>
      </c>
      <c r="I24" s="35" t="s">
        <v>41</v>
      </c>
      <c r="J24" s="36">
        <f t="shared" si="0"/>
        <v>100</v>
      </c>
    </row>
    <row r="25" spans="1:10" s="33" customFormat="1" ht="21" customHeight="1" x14ac:dyDescent="0.15">
      <c r="A25" s="35">
        <v>48014123</v>
      </c>
      <c r="B25" s="35">
        <v>0</v>
      </c>
      <c r="C25" s="35" t="s">
        <v>41</v>
      </c>
      <c r="D25" s="35">
        <v>100</v>
      </c>
      <c r="E25" s="35" t="s">
        <v>41</v>
      </c>
      <c r="F25" s="35" t="s">
        <v>41</v>
      </c>
      <c r="G25" s="35" t="s">
        <v>41</v>
      </c>
      <c r="H25" s="35" t="s">
        <v>41</v>
      </c>
      <c r="I25" s="35" t="s">
        <v>41</v>
      </c>
      <c r="J25" s="36">
        <f t="shared" si="0"/>
        <v>100</v>
      </c>
    </row>
    <row r="26" spans="1:10" s="33" customFormat="1" ht="21" customHeight="1" x14ac:dyDescent="0.15">
      <c r="A26" s="35">
        <v>48014124</v>
      </c>
      <c r="B26" s="35">
        <v>0</v>
      </c>
      <c r="C26" s="35" t="s">
        <v>41</v>
      </c>
      <c r="D26" s="35">
        <v>100</v>
      </c>
      <c r="E26" s="35" t="s">
        <v>41</v>
      </c>
      <c r="F26" s="35" t="s">
        <v>41</v>
      </c>
      <c r="G26" s="35" t="s">
        <v>41</v>
      </c>
      <c r="H26" s="35" t="s">
        <v>41</v>
      </c>
      <c r="I26" s="35" t="s">
        <v>41</v>
      </c>
      <c r="J26" s="36">
        <f t="shared" si="0"/>
        <v>100</v>
      </c>
    </row>
    <row r="27" spans="1:10" s="33" customFormat="1" ht="21" customHeight="1" x14ac:dyDescent="0.15">
      <c r="A27" s="35">
        <v>48014125</v>
      </c>
      <c r="B27" s="35">
        <v>0</v>
      </c>
      <c r="C27" s="35" t="s">
        <v>41</v>
      </c>
      <c r="D27" s="35">
        <v>40</v>
      </c>
      <c r="E27" s="35" t="s">
        <v>41</v>
      </c>
      <c r="F27" s="35" t="s">
        <v>41</v>
      </c>
      <c r="G27" s="35" t="s">
        <v>41</v>
      </c>
      <c r="H27" s="35" t="s">
        <v>41</v>
      </c>
      <c r="I27" s="35" t="s">
        <v>41</v>
      </c>
      <c r="J27" s="36">
        <f t="shared" si="0"/>
        <v>40</v>
      </c>
    </row>
    <row r="28" spans="1:10" s="33" customFormat="1" ht="21" customHeight="1" x14ac:dyDescent="0.15">
      <c r="A28" s="35">
        <v>48014126</v>
      </c>
      <c r="B28" s="35">
        <v>0</v>
      </c>
      <c r="C28" s="35" t="s">
        <v>41</v>
      </c>
      <c r="D28" s="35">
        <v>30</v>
      </c>
      <c r="E28" s="35" t="s">
        <v>41</v>
      </c>
      <c r="F28" s="35" t="s">
        <v>41</v>
      </c>
      <c r="G28" s="35" t="s">
        <v>41</v>
      </c>
      <c r="H28" s="35" t="s">
        <v>41</v>
      </c>
      <c r="I28" s="35" t="s">
        <v>41</v>
      </c>
      <c r="J28" s="36">
        <f t="shared" si="0"/>
        <v>30</v>
      </c>
    </row>
    <row r="29" spans="1:10" s="33" customFormat="1" ht="21" customHeight="1" x14ac:dyDescent="0.15">
      <c r="A29" s="35">
        <v>48014127</v>
      </c>
      <c r="B29" s="35">
        <v>0</v>
      </c>
      <c r="C29" s="35" t="s">
        <v>41</v>
      </c>
      <c r="D29" s="35">
        <v>100</v>
      </c>
      <c r="E29" s="35" t="s">
        <v>41</v>
      </c>
      <c r="F29" s="35" t="s">
        <v>41</v>
      </c>
      <c r="G29" s="35" t="s">
        <v>41</v>
      </c>
      <c r="H29" s="35" t="s">
        <v>41</v>
      </c>
      <c r="I29" s="35" t="s">
        <v>41</v>
      </c>
      <c r="J29" s="36">
        <f t="shared" si="0"/>
        <v>100</v>
      </c>
    </row>
    <row r="30" spans="1:10" s="33" customFormat="1" ht="21" customHeight="1" x14ac:dyDescent="0.15">
      <c r="A30" s="35">
        <v>48014128</v>
      </c>
      <c r="B30" s="35">
        <v>0</v>
      </c>
      <c r="C30" s="35" t="s">
        <v>41</v>
      </c>
      <c r="D30" s="35">
        <v>100</v>
      </c>
      <c r="E30" s="35" t="s">
        <v>41</v>
      </c>
      <c r="F30" s="35" t="s">
        <v>41</v>
      </c>
      <c r="G30" s="35" t="s">
        <v>41</v>
      </c>
      <c r="H30" s="35" t="s">
        <v>41</v>
      </c>
      <c r="I30" s="35" t="s">
        <v>41</v>
      </c>
      <c r="J30" s="36">
        <f t="shared" si="0"/>
        <v>100</v>
      </c>
    </row>
    <row r="31" spans="1:10" s="33" customFormat="1" ht="21" customHeight="1" x14ac:dyDescent="0.15">
      <c r="A31" s="35">
        <v>48014129</v>
      </c>
      <c r="B31" s="35">
        <v>0</v>
      </c>
      <c r="C31" s="35" t="s">
        <v>41</v>
      </c>
      <c r="D31" s="35">
        <v>100</v>
      </c>
      <c r="E31" s="35" t="s">
        <v>41</v>
      </c>
      <c r="F31" s="35" t="s">
        <v>41</v>
      </c>
      <c r="G31" s="35" t="s">
        <v>41</v>
      </c>
      <c r="H31" s="35" t="s">
        <v>41</v>
      </c>
      <c r="I31" s="35" t="s">
        <v>41</v>
      </c>
      <c r="J31" s="36">
        <f t="shared" si="0"/>
        <v>100</v>
      </c>
    </row>
    <row r="32" spans="1:10" s="33" customFormat="1" ht="21" customHeight="1" x14ac:dyDescent="0.15">
      <c r="A32" s="35">
        <v>48014130</v>
      </c>
      <c r="B32" s="35">
        <v>1</v>
      </c>
      <c r="C32" s="35">
        <v>100</v>
      </c>
      <c r="D32" s="35">
        <v>100</v>
      </c>
      <c r="E32" s="35" t="s">
        <v>41</v>
      </c>
      <c r="F32" s="35" t="s">
        <v>41</v>
      </c>
      <c r="G32" s="35">
        <v>1</v>
      </c>
      <c r="H32" s="35" t="s">
        <v>41</v>
      </c>
      <c r="I32" s="35">
        <v>8039</v>
      </c>
      <c r="J32" s="36">
        <f t="shared" si="0"/>
        <v>100</v>
      </c>
    </row>
    <row r="33" spans="1:10" s="33" customFormat="1" ht="21" customHeight="1" x14ac:dyDescent="0.15">
      <c r="A33" s="35">
        <v>48014131</v>
      </c>
      <c r="B33" s="35">
        <v>1</v>
      </c>
      <c r="C33" s="35">
        <v>90</v>
      </c>
      <c r="D33" s="35">
        <v>100</v>
      </c>
      <c r="E33" s="35" t="s">
        <v>41</v>
      </c>
      <c r="F33" s="35" t="s">
        <v>41</v>
      </c>
      <c r="G33" s="35">
        <v>1</v>
      </c>
      <c r="H33" s="35" t="s">
        <v>41</v>
      </c>
      <c r="I33" s="35" t="s">
        <v>41</v>
      </c>
      <c r="J33" s="36">
        <f t="shared" si="0"/>
        <v>100</v>
      </c>
    </row>
    <row r="34" spans="1:10" s="33" customFormat="1" ht="21" customHeight="1" x14ac:dyDescent="0.15">
      <c r="A34" s="35">
        <v>48014132</v>
      </c>
      <c r="B34" s="35">
        <v>0</v>
      </c>
      <c r="C34" s="35" t="s">
        <v>41</v>
      </c>
      <c r="D34" s="35">
        <v>40</v>
      </c>
      <c r="E34" s="35" t="s">
        <v>41</v>
      </c>
      <c r="F34" s="35" t="s">
        <v>41</v>
      </c>
      <c r="G34" s="35" t="s">
        <v>41</v>
      </c>
      <c r="H34" s="35" t="s">
        <v>41</v>
      </c>
      <c r="I34" s="35" t="s">
        <v>41</v>
      </c>
      <c r="J34" s="36">
        <f t="shared" si="0"/>
        <v>40</v>
      </c>
    </row>
    <row r="35" spans="1:10" s="33" customFormat="1" ht="21" customHeight="1" x14ac:dyDescent="0.15">
      <c r="A35" s="35">
        <v>48014133</v>
      </c>
      <c r="B35" s="35">
        <v>0</v>
      </c>
      <c r="C35" s="35" t="s">
        <v>41</v>
      </c>
      <c r="D35" s="35">
        <v>100</v>
      </c>
      <c r="E35" s="35" t="s">
        <v>41</v>
      </c>
      <c r="F35" s="35" t="s">
        <v>41</v>
      </c>
      <c r="G35" s="35" t="s">
        <v>41</v>
      </c>
      <c r="H35" s="35">
        <v>4</v>
      </c>
      <c r="I35" s="35" t="s">
        <v>41</v>
      </c>
      <c r="J35" s="36">
        <f t="shared" si="0"/>
        <v>100</v>
      </c>
    </row>
    <row r="36" spans="1:10" s="33" customFormat="1" ht="21" customHeight="1" x14ac:dyDescent="0.15">
      <c r="A36" s="35">
        <v>48014134</v>
      </c>
      <c r="B36" s="35">
        <v>0</v>
      </c>
      <c r="C36" s="35" t="s">
        <v>41</v>
      </c>
      <c r="D36" s="35">
        <v>100</v>
      </c>
      <c r="E36" s="35" t="s">
        <v>41</v>
      </c>
      <c r="F36" s="35" t="s">
        <v>41</v>
      </c>
      <c r="G36" s="35" t="s">
        <v>41</v>
      </c>
      <c r="H36" s="35" t="s">
        <v>41</v>
      </c>
      <c r="I36" s="35" t="s">
        <v>41</v>
      </c>
      <c r="J36" s="36">
        <f t="shared" si="0"/>
        <v>100</v>
      </c>
    </row>
    <row r="37" spans="1:10" s="33" customFormat="1" ht="21" customHeight="1" x14ac:dyDescent="0.15">
      <c r="A37" s="35">
        <v>48014135</v>
      </c>
      <c r="B37" s="35">
        <v>0</v>
      </c>
      <c r="C37" s="35" t="s">
        <v>41</v>
      </c>
      <c r="D37" s="35">
        <v>100</v>
      </c>
      <c r="E37" s="35" t="s">
        <v>41</v>
      </c>
      <c r="F37" s="35" t="s">
        <v>41</v>
      </c>
      <c r="G37" s="35" t="s">
        <v>41</v>
      </c>
      <c r="H37" s="35" t="s">
        <v>41</v>
      </c>
      <c r="I37" s="35" t="s">
        <v>41</v>
      </c>
      <c r="J37" s="36">
        <f t="shared" si="0"/>
        <v>100</v>
      </c>
    </row>
    <row r="38" spans="1:10" s="33" customFormat="1" ht="21" customHeight="1" x14ac:dyDescent="0.15">
      <c r="A38" s="35">
        <v>48014136</v>
      </c>
      <c r="B38" s="35">
        <v>0</v>
      </c>
      <c r="C38" s="35" t="s">
        <v>41</v>
      </c>
      <c r="D38" s="35">
        <v>100</v>
      </c>
      <c r="E38" s="35" t="s">
        <v>41</v>
      </c>
      <c r="F38" s="35" t="s">
        <v>41</v>
      </c>
      <c r="G38" s="35" t="s">
        <v>41</v>
      </c>
      <c r="H38" s="35" t="s">
        <v>41</v>
      </c>
      <c r="I38" s="35" t="s">
        <v>41</v>
      </c>
      <c r="J38" s="36">
        <f t="shared" si="0"/>
        <v>100</v>
      </c>
    </row>
    <row r="39" spans="1:10" s="33" customFormat="1" ht="21" customHeight="1" x14ac:dyDescent="0.15">
      <c r="A39" s="35">
        <v>48014137</v>
      </c>
      <c r="B39" s="35">
        <v>0</v>
      </c>
      <c r="C39" s="35" t="s">
        <v>41</v>
      </c>
      <c r="D39" s="35">
        <v>100</v>
      </c>
      <c r="E39" s="35" t="s">
        <v>41</v>
      </c>
      <c r="F39" s="35" t="s">
        <v>41</v>
      </c>
      <c r="G39" s="35" t="s">
        <v>41</v>
      </c>
      <c r="H39" s="35" t="s">
        <v>41</v>
      </c>
      <c r="I39" s="35" t="s">
        <v>41</v>
      </c>
      <c r="J39" s="36">
        <f t="shared" si="0"/>
        <v>100</v>
      </c>
    </row>
    <row r="40" spans="1:10" s="33" customFormat="1" ht="21" customHeight="1" x14ac:dyDescent="0.15">
      <c r="A40" s="35">
        <v>48014138</v>
      </c>
      <c r="B40" s="35">
        <v>0</v>
      </c>
      <c r="C40" s="35" t="s">
        <v>41</v>
      </c>
      <c r="D40" s="35">
        <v>100</v>
      </c>
      <c r="E40" s="35" t="s">
        <v>41</v>
      </c>
      <c r="F40" s="35" t="s">
        <v>41</v>
      </c>
      <c r="G40" s="35" t="s">
        <v>41</v>
      </c>
      <c r="H40" s="35" t="s">
        <v>41</v>
      </c>
      <c r="I40" s="35" t="s">
        <v>41</v>
      </c>
      <c r="J40" s="36">
        <f t="shared" si="0"/>
        <v>100</v>
      </c>
    </row>
    <row r="41" spans="1:10" s="33" customFormat="1" ht="21" customHeight="1" x14ac:dyDescent="0.15">
      <c r="A41" s="35">
        <v>48014139</v>
      </c>
      <c r="B41" s="35">
        <v>0</v>
      </c>
      <c r="C41" s="35" t="s">
        <v>41</v>
      </c>
      <c r="D41" s="35">
        <v>100</v>
      </c>
      <c r="E41" s="35" t="s">
        <v>41</v>
      </c>
      <c r="F41" s="35" t="s">
        <v>41</v>
      </c>
      <c r="G41" s="35" t="s">
        <v>41</v>
      </c>
      <c r="H41" s="35" t="s">
        <v>41</v>
      </c>
      <c r="I41" s="35" t="s">
        <v>41</v>
      </c>
      <c r="J41" s="36">
        <f t="shared" si="0"/>
        <v>100</v>
      </c>
    </row>
    <row r="42" spans="1:10" s="33" customFormat="1" ht="21" customHeight="1" x14ac:dyDescent="0.15">
      <c r="A42" s="35">
        <v>48014140</v>
      </c>
      <c r="B42" s="35">
        <v>1</v>
      </c>
      <c r="C42" s="35" t="s">
        <v>41</v>
      </c>
      <c r="D42" s="35">
        <v>100</v>
      </c>
      <c r="E42" s="35" t="s">
        <v>41</v>
      </c>
      <c r="F42" s="35" t="s">
        <v>41</v>
      </c>
      <c r="G42" s="35">
        <v>1</v>
      </c>
      <c r="H42" s="35" t="s">
        <v>41</v>
      </c>
      <c r="I42" s="35" t="s">
        <v>41</v>
      </c>
      <c r="J42" s="36">
        <f t="shared" si="0"/>
        <v>100</v>
      </c>
    </row>
    <row r="43" spans="1:10" s="33" customFormat="1" ht="21" customHeight="1" x14ac:dyDescent="0.15">
      <c r="A43" s="35">
        <v>48014141</v>
      </c>
      <c r="B43" s="35">
        <v>0</v>
      </c>
      <c r="C43" s="35" t="s">
        <v>41</v>
      </c>
      <c r="D43" s="35">
        <v>40</v>
      </c>
      <c r="E43" s="35" t="s">
        <v>41</v>
      </c>
      <c r="F43" s="35" t="s">
        <v>41</v>
      </c>
      <c r="G43" s="35" t="s">
        <v>41</v>
      </c>
      <c r="H43" s="35" t="s">
        <v>41</v>
      </c>
      <c r="I43" s="35" t="s">
        <v>41</v>
      </c>
      <c r="J43" s="36">
        <f t="shared" si="0"/>
        <v>40</v>
      </c>
    </row>
    <row r="44" spans="1:10" s="33" customFormat="1" ht="21" customHeight="1" x14ac:dyDescent="0.15">
      <c r="A44" s="35">
        <v>48014142</v>
      </c>
      <c r="B44" s="35">
        <v>0</v>
      </c>
      <c r="C44" s="35" t="s">
        <v>41</v>
      </c>
      <c r="D44" s="35">
        <v>100</v>
      </c>
      <c r="E44" s="35" t="s">
        <v>41</v>
      </c>
      <c r="F44" s="35" t="s">
        <v>41</v>
      </c>
      <c r="G44" s="35" t="s">
        <v>41</v>
      </c>
      <c r="H44" s="35">
        <v>4</v>
      </c>
      <c r="I44" s="35" t="s">
        <v>41</v>
      </c>
      <c r="J44" s="36">
        <f t="shared" si="0"/>
        <v>100</v>
      </c>
    </row>
    <row r="45" spans="1:10" s="33" customFormat="1" ht="21" customHeight="1" x14ac:dyDescent="0.15">
      <c r="A45" s="35">
        <v>48014143</v>
      </c>
      <c r="B45" s="35">
        <v>0</v>
      </c>
      <c r="C45" s="35" t="s">
        <v>41</v>
      </c>
      <c r="D45" s="35">
        <v>50</v>
      </c>
      <c r="E45" s="35">
        <v>50</v>
      </c>
      <c r="F45" s="35" t="s">
        <v>41</v>
      </c>
      <c r="G45" s="35">
        <v>2</v>
      </c>
      <c r="H45" s="35" t="s">
        <v>41</v>
      </c>
      <c r="I45" s="35" t="s">
        <v>41</v>
      </c>
      <c r="J45" s="36">
        <f t="shared" si="0"/>
        <v>50</v>
      </c>
    </row>
    <row r="46" spans="1:10" s="33" customFormat="1" ht="21" customHeight="1" x14ac:dyDescent="0.15">
      <c r="A46" s="35">
        <v>48014144</v>
      </c>
      <c r="B46" s="35">
        <v>0</v>
      </c>
      <c r="C46" s="35" t="s">
        <v>41</v>
      </c>
      <c r="D46" s="35">
        <v>100</v>
      </c>
      <c r="E46" s="35" t="s">
        <v>41</v>
      </c>
      <c r="F46" s="35" t="s">
        <v>41</v>
      </c>
      <c r="G46" s="35" t="s">
        <v>41</v>
      </c>
      <c r="H46" s="35" t="s">
        <v>41</v>
      </c>
      <c r="I46" s="35" t="s">
        <v>41</v>
      </c>
      <c r="J46" s="36">
        <f t="shared" si="0"/>
        <v>100</v>
      </c>
    </row>
    <row r="47" spans="1:10" s="33" customFormat="1" ht="21" customHeight="1" x14ac:dyDescent="0.15">
      <c r="A47" s="35">
        <v>48014145</v>
      </c>
      <c r="B47" s="35">
        <v>0</v>
      </c>
      <c r="C47" s="35" t="s">
        <v>41</v>
      </c>
      <c r="D47" s="35">
        <v>100</v>
      </c>
      <c r="E47" s="35" t="s">
        <v>41</v>
      </c>
      <c r="F47" s="35" t="s">
        <v>41</v>
      </c>
      <c r="G47" s="35" t="s">
        <v>41</v>
      </c>
      <c r="H47" s="35" t="s">
        <v>41</v>
      </c>
      <c r="I47" s="35" t="s">
        <v>41</v>
      </c>
      <c r="J47" s="36">
        <f t="shared" si="0"/>
        <v>100</v>
      </c>
    </row>
    <row r="48" spans="1:10" s="33" customFormat="1" ht="21" customHeight="1" x14ac:dyDescent="0.15">
      <c r="A48" s="35">
        <v>48014146</v>
      </c>
      <c r="B48" s="35">
        <v>0</v>
      </c>
      <c r="C48" s="35" t="s">
        <v>41</v>
      </c>
      <c r="D48" s="35">
        <v>100</v>
      </c>
      <c r="E48" s="35" t="s">
        <v>41</v>
      </c>
      <c r="F48" s="35" t="s">
        <v>41</v>
      </c>
      <c r="G48" s="35" t="s">
        <v>41</v>
      </c>
      <c r="H48" s="35" t="s">
        <v>41</v>
      </c>
      <c r="I48" s="35" t="s">
        <v>41</v>
      </c>
      <c r="J48" s="36">
        <f t="shared" si="0"/>
        <v>100</v>
      </c>
    </row>
    <row r="49" spans="1:10" s="33" customFormat="1" ht="21" customHeight="1" x14ac:dyDescent="0.15">
      <c r="A49" s="35">
        <v>48014147</v>
      </c>
      <c r="B49" s="35">
        <v>0</v>
      </c>
      <c r="C49" s="35" t="s">
        <v>41</v>
      </c>
      <c r="D49" s="35">
        <v>100</v>
      </c>
      <c r="E49" s="35" t="s">
        <v>41</v>
      </c>
      <c r="F49" s="35" t="s">
        <v>41</v>
      </c>
      <c r="G49" s="35" t="s">
        <v>41</v>
      </c>
      <c r="H49" s="35" t="s">
        <v>41</v>
      </c>
      <c r="I49" s="35" t="s">
        <v>41</v>
      </c>
      <c r="J49" s="36">
        <f t="shared" si="0"/>
        <v>100</v>
      </c>
    </row>
    <row r="50" spans="1:10" s="33" customFormat="1" ht="21" customHeight="1" x14ac:dyDescent="0.15">
      <c r="A50" s="35">
        <v>48014148</v>
      </c>
      <c r="B50" s="35">
        <v>0</v>
      </c>
      <c r="C50" s="35" t="s">
        <v>41</v>
      </c>
      <c r="D50" s="35">
        <v>100</v>
      </c>
      <c r="E50" s="35" t="s">
        <v>41</v>
      </c>
      <c r="F50" s="35" t="s">
        <v>41</v>
      </c>
      <c r="G50" s="35" t="s">
        <v>41</v>
      </c>
      <c r="H50" s="35" t="s">
        <v>41</v>
      </c>
      <c r="I50" s="35" t="s">
        <v>41</v>
      </c>
      <c r="J50" s="36">
        <f t="shared" si="0"/>
        <v>100</v>
      </c>
    </row>
    <row r="51" spans="1:10" s="33" customFormat="1" ht="21" customHeight="1" x14ac:dyDescent="0.15">
      <c r="A51" s="35">
        <v>48014149</v>
      </c>
      <c r="B51" s="35">
        <v>0</v>
      </c>
      <c r="C51" s="35" t="s">
        <v>41</v>
      </c>
      <c r="D51" s="35">
        <v>100</v>
      </c>
      <c r="E51" s="35" t="s">
        <v>41</v>
      </c>
      <c r="F51" s="35" t="s">
        <v>41</v>
      </c>
      <c r="G51" s="35" t="s">
        <v>41</v>
      </c>
      <c r="H51" s="35" t="s">
        <v>41</v>
      </c>
      <c r="I51" s="35" t="s">
        <v>41</v>
      </c>
      <c r="J51" s="36">
        <f t="shared" si="0"/>
        <v>100</v>
      </c>
    </row>
    <row r="52" spans="1:10" s="33" customFormat="1" ht="21" customHeight="1" x14ac:dyDescent="0.15">
      <c r="A52" s="35">
        <v>48014150</v>
      </c>
      <c r="B52" s="35">
        <v>1</v>
      </c>
      <c r="C52" s="35" t="s">
        <v>41</v>
      </c>
      <c r="D52" s="35">
        <v>100</v>
      </c>
      <c r="E52" s="35" t="s">
        <v>41</v>
      </c>
      <c r="F52" s="35" t="s">
        <v>41</v>
      </c>
      <c r="G52" s="35">
        <v>1</v>
      </c>
      <c r="H52" s="35" t="s">
        <v>41</v>
      </c>
      <c r="I52" s="35" t="s">
        <v>41</v>
      </c>
      <c r="J52" s="36">
        <f t="shared" si="0"/>
        <v>100</v>
      </c>
    </row>
    <row r="53" spans="1:10" s="33" customFormat="1" ht="21" customHeight="1" x14ac:dyDescent="0.15">
      <c r="A53" s="35">
        <v>48014151</v>
      </c>
      <c r="B53" s="35">
        <v>0</v>
      </c>
      <c r="C53" s="35" t="s">
        <v>41</v>
      </c>
      <c r="D53" s="35">
        <v>40</v>
      </c>
      <c r="E53" s="35" t="s">
        <v>41</v>
      </c>
      <c r="F53" s="35" t="s">
        <v>41</v>
      </c>
      <c r="G53" s="35" t="s">
        <v>41</v>
      </c>
      <c r="H53" s="35" t="s">
        <v>41</v>
      </c>
      <c r="I53" s="35" t="s">
        <v>41</v>
      </c>
      <c r="J53" s="36">
        <f t="shared" si="0"/>
        <v>40</v>
      </c>
    </row>
    <row r="54" spans="1:10" s="33" customFormat="1" ht="21" customHeight="1" x14ac:dyDescent="0.15">
      <c r="A54" s="35">
        <v>48014152</v>
      </c>
      <c r="B54" s="35">
        <v>0</v>
      </c>
      <c r="C54" s="35" t="s">
        <v>41</v>
      </c>
      <c r="D54" s="35">
        <v>100</v>
      </c>
      <c r="E54" s="35" t="s">
        <v>41</v>
      </c>
      <c r="F54" s="35" t="s">
        <v>41</v>
      </c>
      <c r="G54" s="35" t="s">
        <v>41</v>
      </c>
      <c r="H54" s="35">
        <v>4</v>
      </c>
      <c r="I54" s="35" t="s">
        <v>41</v>
      </c>
      <c r="J54" s="36">
        <f t="shared" si="0"/>
        <v>100</v>
      </c>
    </row>
    <row r="55" spans="1:10" s="33" customFormat="1" ht="21" customHeight="1" x14ac:dyDescent="0.15">
      <c r="A55" s="35">
        <v>48014153</v>
      </c>
      <c r="B55" s="35">
        <v>0</v>
      </c>
      <c r="C55" s="35">
        <v>100</v>
      </c>
      <c r="D55" s="35">
        <v>100</v>
      </c>
      <c r="E55" s="35">
        <v>70</v>
      </c>
      <c r="F55" s="35" t="s">
        <v>41</v>
      </c>
      <c r="G55" s="35">
        <v>1</v>
      </c>
      <c r="H55" s="35" t="s">
        <v>41</v>
      </c>
      <c r="I55" s="35" t="s">
        <v>41</v>
      </c>
      <c r="J55" s="36">
        <f t="shared" si="0"/>
        <v>100</v>
      </c>
    </row>
    <row r="56" spans="1:10" s="33" customFormat="1" ht="21" customHeight="1" x14ac:dyDescent="0.15">
      <c r="A56" s="35">
        <v>48014154</v>
      </c>
      <c r="B56" s="35">
        <v>0</v>
      </c>
      <c r="C56" s="35">
        <v>90</v>
      </c>
      <c r="D56" s="35">
        <v>100</v>
      </c>
      <c r="E56" s="35">
        <v>40</v>
      </c>
      <c r="F56" s="35" t="s">
        <v>41</v>
      </c>
      <c r="G56" s="35">
        <v>1</v>
      </c>
      <c r="H56" s="35" t="s">
        <v>41</v>
      </c>
      <c r="I56" s="35" t="s">
        <v>41</v>
      </c>
      <c r="J56" s="36">
        <f t="shared" si="0"/>
        <v>100</v>
      </c>
    </row>
    <row r="57" spans="1:10" s="33" customFormat="1" ht="21" customHeight="1" x14ac:dyDescent="0.15">
      <c r="A57" s="35">
        <v>48014155</v>
      </c>
      <c r="B57" s="35">
        <v>0</v>
      </c>
      <c r="C57" s="35">
        <v>80</v>
      </c>
      <c r="D57" s="35">
        <v>100</v>
      </c>
      <c r="E57" s="35">
        <v>10</v>
      </c>
      <c r="F57" s="35" t="s">
        <v>41</v>
      </c>
      <c r="G57" s="35">
        <v>1</v>
      </c>
      <c r="H57" s="35" t="s">
        <v>41</v>
      </c>
      <c r="I57" s="35" t="s">
        <v>41</v>
      </c>
      <c r="J57" s="36">
        <f t="shared" si="0"/>
        <v>100</v>
      </c>
    </row>
    <row r="58" spans="1:10" s="33" customFormat="1" ht="21" customHeight="1" x14ac:dyDescent="0.15">
      <c r="A58" s="35">
        <v>48014156</v>
      </c>
      <c r="B58" s="35">
        <v>0</v>
      </c>
      <c r="C58" s="35">
        <v>120</v>
      </c>
      <c r="D58" s="35">
        <v>100</v>
      </c>
      <c r="E58" s="35" t="s">
        <v>41</v>
      </c>
      <c r="F58" s="35" t="s">
        <v>41</v>
      </c>
      <c r="G58" s="35">
        <v>0</v>
      </c>
      <c r="H58" s="35" t="s">
        <v>41</v>
      </c>
      <c r="I58" s="35">
        <v>8039</v>
      </c>
      <c r="J58" s="36">
        <f t="shared" si="0"/>
        <v>100</v>
      </c>
    </row>
    <row r="59" spans="1:10" s="33" customFormat="1" ht="21" customHeight="1" x14ac:dyDescent="0.15">
      <c r="A59" s="35">
        <v>48014157</v>
      </c>
      <c r="B59" s="35">
        <v>0</v>
      </c>
      <c r="C59" s="35">
        <v>115</v>
      </c>
      <c r="D59" s="35">
        <v>100</v>
      </c>
      <c r="E59" s="35" t="s">
        <v>41</v>
      </c>
      <c r="F59" s="35" t="s">
        <v>41</v>
      </c>
      <c r="G59" s="35">
        <v>0</v>
      </c>
      <c r="H59" s="35" t="s">
        <v>41</v>
      </c>
      <c r="I59" s="35">
        <v>8040</v>
      </c>
      <c r="J59" s="36">
        <f t="shared" si="0"/>
        <v>100</v>
      </c>
    </row>
    <row r="60" spans="1:10" s="33" customFormat="1" ht="21" customHeight="1" x14ac:dyDescent="0.15">
      <c r="A60" s="35">
        <v>48014158</v>
      </c>
      <c r="B60" s="35">
        <v>0</v>
      </c>
      <c r="C60" s="35">
        <v>110</v>
      </c>
      <c r="D60" s="35">
        <v>100</v>
      </c>
      <c r="E60" s="35" t="s">
        <v>41</v>
      </c>
      <c r="F60" s="35" t="s">
        <v>41</v>
      </c>
      <c r="G60" s="35">
        <v>0</v>
      </c>
      <c r="H60" s="35" t="s">
        <v>41</v>
      </c>
      <c r="I60" s="35">
        <v>0</v>
      </c>
      <c r="J60" s="36">
        <f t="shared" si="0"/>
        <v>100</v>
      </c>
    </row>
    <row r="61" spans="1:10" s="33" customFormat="1" ht="21" customHeight="1" x14ac:dyDescent="0.15">
      <c r="A61" s="35">
        <v>48014159</v>
      </c>
      <c r="B61" s="35">
        <v>0</v>
      </c>
      <c r="C61" s="35" t="s">
        <v>41</v>
      </c>
      <c r="D61" s="35">
        <v>100</v>
      </c>
      <c r="E61" s="35" t="s">
        <v>41</v>
      </c>
      <c r="F61" s="35" t="s">
        <v>41</v>
      </c>
      <c r="G61" s="35" t="s">
        <v>41</v>
      </c>
      <c r="H61" s="35" t="s">
        <v>41</v>
      </c>
      <c r="I61" s="35" t="s">
        <v>41</v>
      </c>
      <c r="J61" s="36">
        <f t="shared" si="0"/>
        <v>100</v>
      </c>
    </row>
  </sheetData>
  <autoFilter ref="A1:G1"/>
  <phoneticPr fontId="5"/>
  <conditionalFormatting sqref="K1:K2 K62:K1048576">
    <cfRule type="duplicateValues" dxfId="1" priority="1"/>
  </conditionalFormatting>
  <conditionalFormatting sqref="K3:K61">
    <cfRule type="duplicateValues" dxfId="0" priority="2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8"/>
  <sheetViews>
    <sheetView topLeftCell="E1" workbookViewId="0">
      <selection activeCell="S24" sqref="S24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52" t="s">
        <v>125</v>
      </c>
      <c r="B1" s="52" t="s">
        <v>126</v>
      </c>
      <c r="C1" s="53" t="s">
        <v>127</v>
      </c>
      <c r="D1" s="60" t="s">
        <v>145</v>
      </c>
      <c r="E1" s="54" t="s">
        <v>128</v>
      </c>
      <c r="F1" s="52" t="s">
        <v>129</v>
      </c>
      <c r="G1" s="52" t="s">
        <v>182</v>
      </c>
      <c r="H1" s="52" t="s">
        <v>183</v>
      </c>
      <c r="I1" s="52" t="s">
        <v>45</v>
      </c>
      <c r="J1" s="52" t="s">
        <v>185</v>
      </c>
      <c r="K1" s="52" t="s">
        <v>27</v>
      </c>
      <c r="L1" s="52" t="s">
        <v>29</v>
      </c>
      <c r="M1" s="52" t="s">
        <v>31</v>
      </c>
      <c r="N1" s="52" t="s">
        <v>33</v>
      </c>
      <c r="O1" s="52" t="s">
        <v>138</v>
      </c>
      <c r="P1" s="52" t="s">
        <v>139</v>
      </c>
      <c r="Q1" s="52" t="s">
        <v>140</v>
      </c>
      <c r="R1" s="52" t="s">
        <v>141</v>
      </c>
    </row>
    <row r="2" spans="1:18" x14ac:dyDescent="0.15">
      <c r="A2" s="45">
        <v>48014</v>
      </c>
      <c r="B2" s="69">
        <v>2</v>
      </c>
      <c r="C2" s="59" t="str">
        <f t="shared" ref="C2:C18" si="0">A2&amp; "_"&amp;B2</f>
        <v>48014_2</v>
      </c>
      <c r="D2" s="13" t="str">
        <f ca="1">VLOOKUP($C2,OFFSET([2]stages!$A$1,0,0,COUNTA([2]stages!$A:$A),MATCH(D$1,[2]stages!$2:$2,0)-MATCH($C$1,[2]stages!$2:$2,0)+1),MATCH(D$1,[2]stages!$2:$2,0)-MATCH($C$1,[2]stages!$2:$2,0)+1,FALSE)</f>
        <v>everyone</v>
      </c>
      <c r="E2" s="69">
        <v>1</v>
      </c>
      <c r="F2" s="69" t="s">
        <v>243</v>
      </c>
      <c r="G2" s="69">
        <v>342</v>
      </c>
      <c r="H2" s="69">
        <v>1</v>
      </c>
      <c r="I2" s="69">
        <v>1</v>
      </c>
      <c r="J2" s="69">
        <v>1</v>
      </c>
      <c r="K2" s="69">
        <v>0</v>
      </c>
      <c r="L2" s="69">
        <v>0</v>
      </c>
      <c r="M2" s="69">
        <v>0</v>
      </c>
      <c r="N2" s="69">
        <v>0</v>
      </c>
      <c r="O2" s="69">
        <v>1</v>
      </c>
      <c r="P2" s="45">
        <v>50</v>
      </c>
      <c r="Q2" s="45" t="s">
        <v>244</v>
      </c>
      <c r="R2" s="45" t="s">
        <v>245</v>
      </c>
    </row>
    <row r="3" spans="1:18" x14ac:dyDescent="0.15">
      <c r="A3" s="45">
        <v>48014</v>
      </c>
      <c r="B3" s="69">
        <v>2</v>
      </c>
      <c r="C3" s="59" t="str">
        <f t="shared" si="0"/>
        <v>48014_2</v>
      </c>
      <c r="D3" s="13" t="str">
        <f ca="1">VLOOKUP($C3,OFFSET([2]stages!$A$1,0,0,COUNTA([2]stages!$A:$A),MATCH(D$1,[2]stages!$2:$2,0)-MATCH($C$1,[2]stages!$2:$2,0)+1),MATCH(D$1,[2]stages!$2:$2,0)-MATCH($C$1,[2]stages!$2:$2,0)+1,FALSE)</f>
        <v>everyone</v>
      </c>
      <c r="E3" s="69">
        <v>2</v>
      </c>
      <c r="F3" s="69" t="s">
        <v>243</v>
      </c>
      <c r="G3" s="69">
        <v>352</v>
      </c>
      <c r="H3" s="69">
        <v>1</v>
      </c>
      <c r="I3" s="69">
        <v>1</v>
      </c>
      <c r="J3" s="69">
        <v>1</v>
      </c>
      <c r="K3" s="69">
        <v>0</v>
      </c>
      <c r="L3" s="69">
        <v>0</v>
      </c>
      <c r="M3" s="69">
        <v>0</v>
      </c>
      <c r="N3" s="69">
        <v>0</v>
      </c>
      <c r="O3" s="69">
        <v>1</v>
      </c>
      <c r="P3" s="45">
        <v>120</v>
      </c>
      <c r="Q3" s="45" t="s">
        <v>246</v>
      </c>
      <c r="R3" s="45" t="s">
        <v>247</v>
      </c>
    </row>
    <row r="4" spans="1:18" x14ac:dyDescent="0.15">
      <c r="A4" s="45">
        <v>48014</v>
      </c>
      <c r="B4" s="69">
        <v>2</v>
      </c>
      <c r="C4" s="59" t="str">
        <f t="shared" si="0"/>
        <v>48014_2</v>
      </c>
      <c r="D4" s="13" t="str">
        <f ca="1">VLOOKUP($C4,OFFSET([2]stages!$A$1,0,0,COUNTA([2]stages!$A:$A),MATCH(D$1,[2]stages!$2:$2,0)-MATCH($C$1,[2]stages!$2:$2,0)+1),MATCH(D$1,[2]stages!$2:$2,0)-MATCH($C$1,[2]stages!$2:$2,0)+1,FALSE)</f>
        <v>everyone</v>
      </c>
      <c r="E4" s="69">
        <v>3</v>
      </c>
      <c r="F4" s="69" t="s">
        <v>243</v>
      </c>
      <c r="G4" s="69">
        <v>607</v>
      </c>
      <c r="H4" s="69">
        <v>1</v>
      </c>
      <c r="I4" s="69">
        <v>1</v>
      </c>
      <c r="J4" s="69">
        <v>1</v>
      </c>
      <c r="K4" s="69">
        <v>0</v>
      </c>
      <c r="L4" s="69">
        <v>0</v>
      </c>
      <c r="M4" s="69">
        <v>0</v>
      </c>
      <c r="N4" s="69">
        <v>0</v>
      </c>
      <c r="O4" s="69">
        <v>1</v>
      </c>
      <c r="P4" s="45">
        <v>100</v>
      </c>
      <c r="Q4" s="45" t="s">
        <v>248</v>
      </c>
      <c r="R4" s="45" t="s">
        <v>249</v>
      </c>
    </row>
    <row r="5" spans="1:18" x14ac:dyDescent="0.15">
      <c r="A5" s="45">
        <v>48014</v>
      </c>
      <c r="B5" s="69">
        <v>2</v>
      </c>
      <c r="C5" s="59" t="str">
        <f t="shared" si="0"/>
        <v>48014_2</v>
      </c>
      <c r="D5" s="13" t="str">
        <f ca="1">VLOOKUP($C5,OFFSET([2]stages!$A$1,0,0,COUNTA([2]stages!$A:$A),MATCH(D$1,[2]stages!$2:$2,0)-MATCH($C$1,[2]stages!$2:$2,0)+1),MATCH(D$1,[2]stages!$2:$2,0)-MATCH($C$1,[2]stages!$2:$2,0)+1,FALSE)</f>
        <v>everyone</v>
      </c>
      <c r="E5" s="69">
        <v>4</v>
      </c>
      <c r="F5" s="69" t="s">
        <v>243</v>
      </c>
      <c r="G5" s="69">
        <v>608</v>
      </c>
      <c r="H5" s="69">
        <v>1</v>
      </c>
      <c r="I5" s="69">
        <v>1</v>
      </c>
      <c r="J5" s="69">
        <v>1</v>
      </c>
      <c r="K5" s="69">
        <v>0</v>
      </c>
      <c r="L5" s="69">
        <v>0</v>
      </c>
      <c r="M5" s="69">
        <v>0</v>
      </c>
      <c r="N5" s="69">
        <v>0</v>
      </c>
      <c r="O5" s="69">
        <v>1</v>
      </c>
      <c r="P5" s="45">
        <v>100</v>
      </c>
      <c r="Q5" s="45" t="s">
        <v>250</v>
      </c>
      <c r="R5" s="45" t="s">
        <v>251</v>
      </c>
    </row>
    <row r="6" spans="1:18" x14ac:dyDescent="0.15">
      <c r="A6" s="45">
        <v>48014</v>
      </c>
      <c r="B6" s="69">
        <v>2</v>
      </c>
      <c r="C6" s="59" t="str">
        <f t="shared" si="0"/>
        <v>48014_2</v>
      </c>
      <c r="D6" s="13" t="str">
        <f ca="1">VLOOKUP($C6,OFFSET([2]stages!$A$1,0,0,COUNTA([2]stages!$A:$A),MATCH(D$1,[2]stages!$2:$2,0)-MATCH($C$1,[2]stages!$2:$2,0)+1),MATCH(D$1,[2]stages!$2:$2,0)-MATCH($C$1,[2]stages!$2:$2,0)+1,FALSE)</f>
        <v>everyone</v>
      </c>
      <c r="E6" s="69">
        <v>5</v>
      </c>
      <c r="F6" s="69" t="s">
        <v>243</v>
      </c>
      <c r="G6" s="69">
        <v>609</v>
      </c>
      <c r="H6" s="69">
        <v>1</v>
      </c>
      <c r="I6" s="69">
        <v>1</v>
      </c>
      <c r="J6" s="69">
        <v>1</v>
      </c>
      <c r="K6" s="69">
        <v>0</v>
      </c>
      <c r="L6" s="69">
        <v>0</v>
      </c>
      <c r="M6" s="69">
        <v>0</v>
      </c>
      <c r="N6" s="69">
        <v>0</v>
      </c>
      <c r="O6" s="69">
        <v>1</v>
      </c>
      <c r="P6" s="45">
        <v>100</v>
      </c>
      <c r="Q6" s="45" t="s">
        <v>252</v>
      </c>
      <c r="R6" s="45" t="s">
        <v>253</v>
      </c>
    </row>
    <row r="7" spans="1:18" x14ac:dyDescent="0.15">
      <c r="A7" s="45">
        <v>48014</v>
      </c>
      <c r="B7" s="69">
        <v>2</v>
      </c>
      <c r="C7" s="59" t="str">
        <f t="shared" si="0"/>
        <v>48014_2</v>
      </c>
      <c r="D7" s="13" t="str">
        <f ca="1">VLOOKUP($C7,OFFSET([2]stages!$A$1,0,0,COUNTA([2]stages!$A:$A),MATCH(D$1,[2]stages!$2:$2,0)-MATCH($C$1,[2]stages!$2:$2,0)+1),MATCH(D$1,[2]stages!$2:$2,0)-MATCH($C$1,[2]stages!$2:$2,0)+1,FALSE)</f>
        <v>everyone</v>
      </c>
      <c r="E7" s="69">
        <v>6</v>
      </c>
      <c r="F7" s="69" t="s">
        <v>243</v>
      </c>
      <c r="G7" s="69">
        <v>125</v>
      </c>
      <c r="H7" s="69">
        <v>1</v>
      </c>
      <c r="I7" s="69">
        <v>1</v>
      </c>
      <c r="J7" s="69">
        <v>1</v>
      </c>
      <c r="K7" s="69">
        <v>0</v>
      </c>
      <c r="L7" s="69">
        <v>0</v>
      </c>
      <c r="M7" s="69">
        <v>0</v>
      </c>
      <c r="N7" s="69">
        <v>0</v>
      </c>
      <c r="O7" s="69">
        <v>1</v>
      </c>
      <c r="P7" s="45">
        <v>30</v>
      </c>
      <c r="Q7" s="45" t="s">
        <v>254</v>
      </c>
      <c r="R7" s="45" t="s">
        <v>255</v>
      </c>
    </row>
    <row r="8" spans="1:18" x14ac:dyDescent="0.15">
      <c r="A8" s="45">
        <v>48014</v>
      </c>
      <c r="B8" s="69">
        <v>2</v>
      </c>
      <c r="C8" s="59" t="str">
        <f t="shared" si="0"/>
        <v>48014_2</v>
      </c>
      <c r="D8" s="13" t="str">
        <f ca="1">VLOOKUP($C8,OFFSET([2]stages!$A$1,0,0,COUNTA([2]stages!$A:$A),MATCH(D$1,[2]stages!$2:$2,0)-MATCH($C$1,[2]stages!$2:$2,0)+1),MATCH(D$1,[2]stages!$2:$2,0)-MATCH($C$1,[2]stages!$2:$2,0)+1,FALSE)</f>
        <v>everyone</v>
      </c>
      <c r="E8" s="69">
        <v>7</v>
      </c>
      <c r="F8" s="69" t="s">
        <v>243</v>
      </c>
      <c r="G8" s="69">
        <v>8041</v>
      </c>
      <c r="H8" s="69">
        <v>1</v>
      </c>
      <c r="I8" s="69">
        <v>1</v>
      </c>
      <c r="J8" s="69">
        <v>1</v>
      </c>
      <c r="K8" s="69">
        <v>0</v>
      </c>
      <c r="L8" s="69">
        <v>0</v>
      </c>
      <c r="M8" s="69">
        <v>0</v>
      </c>
      <c r="N8" s="69">
        <v>0</v>
      </c>
      <c r="O8" s="69">
        <v>1</v>
      </c>
      <c r="P8" s="45">
        <v>500</v>
      </c>
      <c r="Q8" s="45" t="s">
        <v>254</v>
      </c>
      <c r="R8" s="45" t="s">
        <v>255</v>
      </c>
    </row>
    <row r="9" spans="1:18" x14ac:dyDescent="0.15">
      <c r="A9" s="45">
        <v>48014</v>
      </c>
      <c r="B9" s="69">
        <v>1</v>
      </c>
      <c r="C9" s="59" t="str">
        <f t="shared" si="0"/>
        <v>48014_1</v>
      </c>
      <c r="D9" s="13" t="str">
        <f ca="1">VLOOKUP($C9,OFFSET([2]stages!$A$1,0,0,COUNTA([2]stages!$A:$A),MATCH(D$1,[2]stages!$2:$2,0)-MATCH($C$1,[2]stages!$2:$2,0)+1),MATCH(D$1,[2]stages!$2:$2,0)-MATCH($C$1,[2]stages!$2:$2,0)+1,FALSE)</f>
        <v>everyone</v>
      </c>
      <c r="E9" s="69">
        <v>1</v>
      </c>
      <c r="F9" s="69" t="s">
        <v>256</v>
      </c>
      <c r="G9" s="69">
        <v>40000</v>
      </c>
      <c r="H9" s="69" t="s">
        <v>41</v>
      </c>
      <c r="I9" s="69">
        <v>1</v>
      </c>
      <c r="J9" s="69">
        <v>1</v>
      </c>
      <c r="K9" s="69">
        <v>0</v>
      </c>
      <c r="L9" s="69">
        <v>0</v>
      </c>
      <c r="M9" s="69">
        <v>0</v>
      </c>
      <c r="N9" s="69">
        <v>0</v>
      </c>
      <c r="O9" s="69">
        <v>1</v>
      </c>
      <c r="P9" s="45">
        <v>150</v>
      </c>
      <c r="Q9" s="45" t="s">
        <v>244</v>
      </c>
      <c r="R9" s="45" t="s">
        <v>245</v>
      </c>
    </row>
    <row r="10" spans="1:18" x14ac:dyDescent="0.15">
      <c r="A10" s="45">
        <v>48014</v>
      </c>
      <c r="B10" s="69">
        <v>1</v>
      </c>
      <c r="C10" s="59" t="str">
        <f t="shared" si="0"/>
        <v>48014_1</v>
      </c>
      <c r="D10" s="13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69">
        <v>2</v>
      </c>
      <c r="F10" s="69" t="s">
        <v>257</v>
      </c>
      <c r="G10" s="69">
        <v>30</v>
      </c>
      <c r="H10" s="69" t="s">
        <v>41</v>
      </c>
      <c r="I10" s="69">
        <v>1</v>
      </c>
      <c r="J10" s="69">
        <v>1</v>
      </c>
      <c r="K10" s="69">
        <v>0</v>
      </c>
      <c r="L10" s="69">
        <v>0</v>
      </c>
      <c r="M10" s="69">
        <v>0</v>
      </c>
      <c r="N10" s="69">
        <v>0</v>
      </c>
      <c r="O10" s="69">
        <v>1</v>
      </c>
      <c r="P10" s="45">
        <v>150</v>
      </c>
      <c r="Q10" s="45" t="s">
        <v>246</v>
      </c>
      <c r="R10" s="45" t="s">
        <v>247</v>
      </c>
    </row>
    <row r="11" spans="1:18" x14ac:dyDescent="0.15">
      <c r="A11" s="45">
        <v>48014</v>
      </c>
      <c r="B11" s="69">
        <v>1</v>
      </c>
      <c r="C11" s="59" t="str">
        <f t="shared" si="0"/>
        <v>48014_1</v>
      </c>
      <c r="D11" s="13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69">
        <v>3</v>
      </c>
      <c r="F11" s="69" t="s">
        <v>243</v>
      </c>
      <c r="G11" s="69">
        <v>341</v>
      </c>
      <c r="H11" s="69">
        <v>1</v>
      </c>
      <c r="I11" s="69">
        <v>1</v>
      </c>
      <c r="J11" s="69">
        <v>1</v>
      </c>
      <c r="K11" s="69">
        <v>0</v>
      </c>
      <c r="L11" s="69">
        <v>0</v>
      </c>
      <c r="M11" s="69">
        <v>0</v>
      </c>
      <c r="N11" s="69">
        <v>0</v>
      </c>
      <c r="O11" s="69">
        <v>1</v>
      </c>
      <c r="P11" s="45">
        <v>28</v>
      </c>
      <c r="Q11" s="45" t="s">
        <v>248</v>
      </c>
      <c r="R11" s="45" t="s">
        <v>249</v>
      </c>
    </row>
    <row r="12" spans="1:18" x14ac:dyDescent="0.15">
      <c r="A12" s="45">
        <v>48014</v>
      </c>
      <c r="B12" s="69">
        <v>1</v>
      </c>
      <c r="C12" s="59" t="str">
        <f t="shared" si="0"/>
        <v>48014_1</v>
      </c>
      <c r="D12" s="13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69">
        <v>4</v>
      </c>
      <c r="F12" s="69" t="s">
        <v>243</v>
      </c>
      <c r="G12" s="69">
        <v>342</v>
      </c>
      <c r="H12" s="69">
        <v>1</v>
      </c>
      <c r="I12" s="69">
        <v>1</v>
      </c>
      <c r="J12" s="69">
        <v>1</v>
      </c>
      <c r="K12" s="69">
        <v>0</v>
      </c>
      <c r="L12" s="69">
        <v>0</v>
      </c>
      <c r="M12" s="69">
        <v>0</v>
      </c>
      <c r="N12" s="69">
        <v>0</v>
      </c>
      <c r="O12" s="69">
        <v>1</v>
      </c>
      <c r="P12" s="45">
        <v>112</v>
      </c>
      <c r="Q12" s="45" t="s">
        <v>250</v>
      </c>
      <c r="R12" s="45" t="s">
        <v>251</v>
      </c>
    </row>
    <row r="13" spans="1:18" x14ac:dyDescent="0.15">
      <c r="A13" s="45">
        <v>48014</v>
      </c>
      <c r="B13" s="69">
        <v>1</v>
      </c>
      <c r="C13" s="59" t="str">
        <f t="shared" si="0"/>
        <v>48014_1</v>
      </c>
      <c r="D13" s="13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69">
        <v>5</v>
      </c>
      <c r="F13" s="69" t="s">
        <v>243</v>
      </c>
      <c r="G13" s="69">
        <v>121</v>
      </c>
      <c r="H13" s="69">
        <v>1</v>
      </c>
      <c r="I13" s="69">
        <v>1</v>
      </c>
      <c r="J13" s="69">
        <v>1</v>
      </c>
      <c r="K13" s="69">
        <v>0</v>
      </c>
      <c r="L13" s="69">
        <v>0</v>
      </c>
      <c r="M13" s="69">
        <v>0</v>
      </c>
      <c r="N13" s="69">
        <v>0</v>
      </c>
      <c r="O13" s="69">
        <v>1</v>
      </c>
      <c r="P13" s="45">
        <v>100</v>
      </c>
      <c r="Q13" s="45" t="s">
        <v>252</v>
      </c>
      <c r="R13" s="45" t="s">
        <v>253</v>
      </c>
    </row>
    <row r="14" spans="1:18" x14ac:dyDescent="0.15">
      <c r="A14" s="45">
        <v>48014</v>
      </c>
      <c r="B14" s="69">
        <v>1</v>
      </c>
      <c r="C14" s="59" t="str">
        <f t="shared" si="0"/>
        <v>48014_1</v>
      </c>
      <c r="D14" s="13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69">
        <v>6</v>
      </c>
      <c r="F14" s="69" t="s">
        <v>243</v>
      </c>
      <c r="G14" s="69">
        <v>122</v>
      </c>
      <c r="H14" s="69">
        <v>1</v>
      </c>
      <c r="I14" s="69">
        <v>1</v>
      </c>
      <c r="J14" s="69">
        <v>1</v>
      </c>
      <c r="K14" s="69">
        <v>0</v>
      </c>
      <c r="L14" s="69">
        <v>0</v>
      </c>
      <c r="M14" s="69">
        <v>0</v>
      </c>
      <c r="N14" s="69">
        <v>0</v>
      </c>
      <c r="O14" s="69">
        <v>1</v>
      </c>
      <c r="P14" s="45">
        <v>100</v>
      </c>
      <c r="Q14" s="45" t="s">
        <v>254</v>
      </c>
      <c r="R14" s="45" t="s">
        <v>255</v>
      </c>
    </row>
    <row r="15" spans="1:18" x14ac:dyDescent="0.15">
      <c r="A15" s="45">
        <v>48014</v>
      </c>
      <c r="B15" s="69">
        <v>1</v>
      </c>
      <c r="C15" s="59" t="str">
        <f t="shared" si="0"/>
        <v>48014_1</v>
      </c>
      <c r="D15" s="13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69">
        <v>7</v>
      </c>
      <c r="F15" s="69" t="s">
        <v>243</v>
      </c>
      <c r="G15" s="69">
        <v>123</v>
      </c>
      <c r="H15" s="69">
        <v>1</v>
      </c>
      <c r="I15" s="69">
        <v>1</v>
      </c>
      <c r="J15" s="69">
        <v>1</v>
      </c>
      <c r="K15" s="69">
        <v>0</v>
      </c>
      <c r="L15" s="69">
        <v>0</v>
      </c>
      <c r="M15" s="69">
        <v>0</v>
      </c>
      <c r="N15" s="69">
        <v>0</v>
      </c>
      <c r="O15" s="69">
        <v>1</v>
      </c>
      <c r="P15" s="45">
        <v>100</v>
      </c>
      <c r="Q15" s="45" t="s">
        <v>254</v>
      </c>
      <c r="R15" s="45" t="s">
        <v>255</v>
      </c>
    </row>
    <row r="16" spans="1:18" x14ac:dyDescent="0.15">
      <c r="A16" s="45">
        <v>48014</v>
      </c>
      <c r="B16" s="69">
        <v>1</v>
      </c>
      <c r="C16" s="59" t="str">
        <f t="shared" si="0"/>
        <v>48014_1</v>
      </c>
      <c r="D16" s="13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69">
        <v>8</v>
      </c>
      <c r="F16" s="69" t="s">
        <v>243</v>
      </c>
      <c r="G16" s="69">
        <v>125</v>
      </c>
      <c r="H16" s="69">
        <v>1</v>
      </c>
      <c r="I16" s="69">
        <v>1</v>
      </c>
      <c r="J16" s="69">
        <v>1</v>
      </c>
      <c r="K16" s="69">
        <v>0</v>
      </c>
      <c r="L16" s="69">
        <v>0</v>
      </c>
      <c r="M16" s="69">
        <v>0</v>
      </c>
      <c r="N16" s="69">
        <v>0</v>
      </c>
      <c r="O16" s="69">
        <v>1</v>
      </c>
      <c r="P16" s="45">
        <v>10</v>
      </c>
      <c r="Q16" s="45" t="s">
        <v>254</v>
      </c>
      <c r="R16" s="45" t="s">
        <v>255</v>
      </c>
    </row>
    <row r="17" spans="1:18" x14ac:dyDescent="0.15">
      <c r="A17" s="45">
        <v>48014</v>
      </c>
      <c r="B17" s="69">
        <v>1</v>
      </c>
      <c r="C17" s="59" t="str">
        <f t="shared" si="0"/>
        <v>48014_1</v>
      </c>
      <c r="D17" s="13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69">
        <v>9</v>
      </c>
      <c r="F17" s="69" t="s">
        <v>243</v>
      </c>
      <c r="G17" s="69">
        <v>8041</v>
      </c>
      <c r="H17" s="69">
        <v>1</v>
      </c>
      <c r="I17" s="69">
        <v>1</v>
      </c>
      <c r="J17" s="69">
        <v>1</v>
      </c>
      <c r="K17" s="69">
        <v>0</v>
      </c>
      <c r="L17" s="69">
        <v>0</v>
      </c>
      <c r="M17" s="69">
        <v>0</v>
      </c>
      <c r="N17" s="69">
        <v>0</v>
      </c>
      <c r="O17" s="69">
        <v>1</v>
      </c>
      <c r="P17" s="45">
        <v>100</v>
      </c>
      <c r="Q17" s="45" t="s">
        <v>254</v>
      </c>
      <c r="R17" s="45" t="s">
        <v>255</v>
      </c>
    </row>
    <row r="18" spans="1:18" x14ac:dyDescent="0.15">
      <c r="A18" s="45">
        <v>48014</v>
      </c>
      <c r="B18" s="69">
        <v>1</v>
      </c>
      <c r="C18" s="59" t="str">
        <f t="shared" si="0"/>
        <v>48014_1</v>
      </c>
      <c r="D18" s="13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69">
        <v>10</v>
      </c>
      <c r="F18" s="69" t="s">
        <v>243</v>
      </c>
      <c r="G18" s="69">
        <v>352</v>
      </c>
      <c r="H18" s="69">
        <v>1</v>
      </c>
      <c r="I18" s="69">
        <v>1</v>
      </c>
      <c r="J18" s="69">
        <v>1</v>
      </c>
      <c r="K18" s="69">
        <v>0</v>
      </c>
      <c r="L18" s="69">
        <v>0</v>
      </c>
      <c r="M18" s="69">
        <v>0</v>
      </c>
      <c r="N18" s="69">
        <v>0</v>
      </c>
      <c r="O18" s="69">
        <v>1</v>
      </c>
      <c r="P18" s="45">
        <v>150</v>
      </c>
      <c r="Q18" s="45" t="s">
        <v>254</v>
      </c>
      <c r="R18" s="45" t="s">
        <v>255</v>
      </c>
    </row>
  </sheetData>
  <phoneticPr fontId="5"/>
  <dataValidations disablePrompts="1" count="1">
    <dataValidation type="list" allowBlank="1" showInputMessage="1" showErrorMessage="1" sqref="F2:F18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34"/>
  <sheetViews>
    <sheetView showGridLines="0" workbookViewId="0">
      <pane ySplit="1" topLeftCell="A2" activePane="bottomLeft" state="frozen"/>
      <selection pane="bottomLeft" activeCell="L33" sqref="L33"/>
    </sheetView>
  </sheetViews>
  <sheetFormatPr baseColWidth="12" defaultColWidth="13" defaultRowHeight="15" outlineLevelCol="1" x14ac:dyDescent="0.15"/>
  <cols>
    <col min="1" max="1" width="13" style="76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64" t="s">
        <v>154</v>
      </c>
      <c r="B1" s="61" t="s">
        <v>125</v>
      </c>
      <c r="C1" s="65" t="s">
        <v>15</v>
      </c>
      <c r="D1" s="65" t="s">
        <v>25</v>
      </c>
      <c r="E1" s="61" t="s">
        <v>126</v>
      </c>
      <c r="F1" s="65" t="s">
        <v>15</v>
      </c>
      <c r="G1" s="65" t="s">
        <v>25</v>
      </c>
      <c r="H1" s="61" t="s">
        <v>16</v>
      </c>
      <c r="I1" s="79" t="s">
        <v>163</v>
      </c>
      <c r="J1" s="67" t="s">
        <v>104</v>
      </c>
      <c r="K1" s="66" t="s">
        <v>155</v>
      </c>
      <c r="L1" s="80" t="s">
        <v>165</v>
      </c>
      <c r="M1" s="68" t="s">
        <v>156</v>
      </c>
    </row>
    <row r="17" spans="1:1" x14ac:dyDescent="0.15">
      <c r="A17"/>
    </row>
    <row r="18" spans="1:1" x14ac:dyDescent="0.15">
      <c r="A18"/>
    </row>
    <row r="19" spans="1:1" x14ac:dyDescent="0.15">
      <c r="A19"/>
    </row>
    <row r="20" spans="1:1" x14ac:dyDescent="0.15">
      <c r="A20"/>
    </row>
    <row r="21" spans="1:1" x14ac:dyDescent="0.15">
      <c r="A21"/>
    </row>
    <row r="22" spans="1:1" x14ac:dyDescent="0.15">
      <c r="A22"/>
    </row>
    <row r="23" spans="1:1" x14ac:dyDescent="0.15">
      <c r="A23"/>
    </row>
    <row r="24" spans="1:1" x14ac:dyDescent="0.15">
      <c r="A24"/>
    </row>
    <row r="25" spans="1:1" x14ac:dyDescent="0.15">
      <c r="A25"/>
    </row>
    <row r="26" spans="1:1" x14ac:dyDescent="0.15">
      <c r="A26"/>
    </row>
    <row r="27" spans="1:1" x14ac:dyDescent="0.15">
      <c r="A27"/>
    </row>
    <row r="28" spans="1:1" x14ac:dyDescent="0.15">
      <c r="A28"/>
    </row>
    <row r="29" spans="1:1" x14ac:dyDescent="0.15">
      <c r="A29"/>
    </row>
    <row r="30" spans="1:1" x14ac:dyDescent="0.15">
      <c r="A30"/>
    </row>
    <row r="31" spans="1:1" x14ac:dyDescent="0.15">
      <c r="A31"/>
    </row>
    <row r="32" spans="1:1" x14ac:dyDescent="0.15">
      <c r="A32"/>
    </row>
    <row r="33" spans="1:1" x14ac:dyDescent="0.15">
      <c r="A33"/>
    </row>
    <row r="34" spans="1:1" x14ac:dyDescent="0.15">
      <c r="A34"/>
    </row>
    <row r="35" spans="1:1" x14ac:dyDescent="0.15">
      <c r="A35"/>
    </row>
    <row r="36" spans="1:1" x14ac:dyDescent="0.15">
      <c r="A36"/>
    </row>
    <row r="37" spans="1:1" x14ac:dyDescent="0.15">
      <c r="A37"/>
    </row>
    <row r="38" spans="1:1" x14ac:dyDescent="0.15">
      <c r="A38"/>
    </row>
    <row r="39" spans="1:1" x14ac:dyDescent="0.15">
      <c r="A39"/>
    </row>
    <row r="40" spans="1:1" x14ac:dyDescent="0.15">
      <c r="A40"/>
    </row>
    <row r="41" spans="1:1" x14ac:dyDescent="0.15">
      <c r="A41"/>
    </row>
    <row r="42" spans="1:1" x14ac:dyDescent="0.15">
      <c r="A42"/>
    </row>
    <row r="43" spans="1:1" x14ac:dyDescent="0.15">
      <c r="A43"/>
    </row>
    <row r="44" spans="1:1" x14ac:dyDescent="0.15">
      <c r="A44"/>
    </row>
    <row r="45" spans="1:1" x14ac:dyDescent="0.15">
      <c r="A45"/>
    </row>
    <row r="46" spans="1:1" x14ac:dyDescent="0.15">
      <c r="A46"/>
    </row>
    <row r="47" spans="1:1" x14ac:dyDescent="0.15">
      <c r="A47"/>
    </row>
    <row r="48" spans="1:1" x14ac:dyDescent="0.15">
      <c r="A48"/>
    </row>
    <row r="49" spans="1:1" x14ac:dyDescent="0.15">
      <c r="A49"/>
    </row>
    <row r="50" spans="1:1" x14ac:dyDescent="0.15">
      <c r="A50"/>
    </row>
    <row r="51" spans="1:1" x14ac:dyDescent="0.15">
      <c r="A51"/>
    </row>
    <row r="52" spans="1:1" x14ac:dyDescent="0.15">
      <c r="A52"/>
    </row>
    <row r="53" spans="1:1" x14ac:dyDescent="0.15">
      <c r="A53"/>
    </row>
    <row r="54" spans="1:1" x14ac:dyDescent="0.15">
      <c r="A54"/>
    </row>
    <row r="55" spans="1:1" x14ac:dyDescent="0.15">
      <c r="A55"/>
    </row>
    <row r="56" spans="1:1" x14ac:dyDescent="0.15">
      <c r="A56"/>
    </row>
    <row r="57" spans="1:1" x14ac:dyDescent="0.15">
      <c r="A57"/>
    </row>
    <row r="58" spans="1:1" x14ac:dyDescent="0.15">
      <c r="A58"/>
    </row>
    <row r="59" spans="1:1" x14ac:dyDescent="0.15">
      <c r="A59"/>
    </row>
    <row r="60" spans="1:1" x14ac:dyDescent="0.15">
      <c r="A60"/>
    </row>
    <row r="61" spans="1:1" x14ac:dyDescent="0.15">
      <c r="A61"/>
    </row>
    <row r="62" spans="1:1" x14ac:dyDescent="0.15">
      <c r="A62"/>
    </row>
    <row r="63" spans="1:1" x14ac:dyDescent="0.15">
      <c r="A63"/>
    </row>
    <row r="64" spans="1:1" x14ac:dyDescent="0.15">
      <c r="A64"/>
    </row>
    <row r="65" spans="1:1" x14ac:dyDescent="0.15">
      <c r="A65"/>
    </row>
    <row r="66" spans="1:1" x14ac:dyDescent="0.15">
      <c r="A66"/>
    </row>
    <row r="67" spans="1:1" x14ac:dyDescent="0.15">
      <c r="A67"/>
    </row>
    <row r="68" spans="1:1" x14ac:dyDescent="0.15">
      <c r="A68"/>
    </row>
    <row r="69" spans="1:1" x14ac:dyDescent="0.15">
      <c r="A69"/>
    </row>
    <row r="70" spans="1:1" x14ac:dyDescent="0.15">
      <c r="A70"/>
    </row>
    <row r="71" spans="1:1" x14ac:dyDescent="0.15">
      <c r="A71"/>
    </row>
    <row r="72" spans="1:1" x14ac:dyDescent="0.15">
      <c r="A72"/>
    </row>
    <row r="73" spans="1:1" x14ac:dyDescent="0.15">
      <c r="A73"/>
    </row>
    <row r="74" spans="1:1" x14ac:dyDescent="0.15">
      <c r="A74"/>
    </row>
    <row r="75" spans="1:1" x14ac:dyDescent="0.15">
      <c r="A75"/>
    </row>
    <row r="76" spans="1:1" x14ac:dyDescent="0.15">
      <c r="A76"/>
    </row>
    <row r="77" spans="1:1" x14ac:dyDescent="0.15">
      <c r="A77"/>
    </row>
    <row r="78" spans="1:1" x14ac:dyDescent="0.15">
      <c r="A78"/>
    </row>
    <row r="79" spans="1:1" x14ac:dyDescent="0.15">
      <c r="A79"/>
    </row>
    <row r="80" spans="1:1" x14ac:dyDescent="0.15">
      <c r="A80"/>
    </row>
    <row r="81" spans="1:1" x14ac:dyDescent="0.15">
      <c r="A81"/>
    </row>
    <row r="82" spans="1:1" x14ac:dyDescent="0.15">
      <c r="A82"/>
    </row>
    <row r="83" spans="1:1" x14ac:dyDescent="0.15">
      <c r="A83"/>
    </row>
    <row r="84" spans="1:1" x14ac:dyDescent="0.15">
      <c r="A84"/>
    </row>
    <row r="85" spans="1:1" x14ac:dyDescent="0.15">
      <c r="A85"/>
    </row>
    <row r="86" spans="1:1" x14ac:dyDescent="0.15">
      <c r="A86"/>
    </row>
    <row r="87" spans="1:1" x14ac:dyDescent="0.15">
      <c r="A87"/>
    </row>
    <row r="88" spans="1:1" x14ac:dyDescent="0.15">
      <c r="A88"/>
    </row>
    <row r="89" spans="1:1" x14ac:dyDescent="0.15">
      <c r="A89"/>
    </row>
    <row r="90" spans="1:1" x14ac:dyDescent="0.15">
      <c r="A90"/>
    </row>
    <row r="91" spans="1:1" x14ac:dyDescent="0.15">
      <c r="A91"/>
    </row>
    <row r="92" spans="1:1" x14ac:dyDescent="0.15">
      <c r="A92"/>
    </row>
    <row r="93" spans="1:1" x14ac:dyDescent="0.15">
      <c r="A93"/>
    </row>
    <row r="94" spans="1:1" x14ac:dyDescent="0.15">
      <c r="A94"/>
    </row>
    <row r="95" spans="1:1" x14ac:dyDescent="0.15">
      <c r="A95"/>
    </row>
    <row r="96" spans="1:1" x14ac:dyDescent="0.15">
      <c r="A96"/>
    </row>
    <row r="97" spans="1:1" x14ac:dyDescent="0.15">
      <c r="A97"/>
    </row>
    <row r="98" spans="1:1" x14ac:dyDescent="0.15">
      <c r="A98"/>
    </row>
    <row r="99" spans="1:1" x14ac:dyDescent="0.15">
      <c r="A99"/>
    </row>
    <row r="100" spans="1:1" x14ac:dyDescent="0.15">
      <c r="A100"/>
    </row>
    <row r="101" spans="1:1" x14ac:dyDescent="0.15">
      <c r="A101"/>
    </row>
    <row r="102" spans="1:1" x14ac:dyDescent="0.15">
      <c r="A102"/>
    </row>
    <row r="103" spans="1:1" x14ac:dyDescent="0.15">
      <c r="A103"/>
    </row>
    <row r="104" spans="1:1" x14ac:dyDescent="0.15">
      <c r="A104"/>
    </row>
    <row r="105" spans="1:1" x14ac:dyDescent="0.15">
      <c r="A105"/>
    </row>
    <row r="106" spans="1:1" x14ac:dyDescent="0.15">
      <c r="A106"/>
    </row>
    <row r="107" spans="1:1" x14ac:dyDescent="0.15">
      <c r="A107"/>
    </row>
    <row r="108" spans="1:1" x14ac:dyDescent="0.15">
      <c r="A108"/>
    </row>
    <row r="109" spans="1:1" x14ac:dyDescent="0.15">
      <c r="A109"/>
    </row>
    <row r="110" spans="1:1" x14ac:dyDescent="0.15">
      <c r="A110"/>
    </row>
    <row r="111" spans="1:1" x14ac:dyDescent="0.15">
      <c r="A111"/>
    </row>
    <row r="112" spans="1:1" x14ac:dyDescent="0.15">
      <c r="A112"/>
    </row>
    <row r="113" spans="1:1" x14ac:dyDescent="0.15">
      <c r="A113"/>
    </row>
    <row r="114" spans="1:1" x14ac:dyDescent="0.15">
      <c r="A114"/>
    </row>
    <row r="115" spans="1:1" x14ac:dyDescent="0.15">
      <c r="A115"/>
    </row>
    <row r="116" spans="1:1" x14ac:dyDescent="0.15">
      <c r="A116"/>
    </row>
    <row r="117" spans="1:1" x14ac:dyDescent="0.15">
      <c r="A117"/>
    </row>
    <row r="118" spans="1:1" x14ac:dyDescent="0.15">
      <c r="A118"/>
    </row>
    <row r="119" spans="1:1" x14ac:dyDescent="0.15">
      <c r="A119"/>
    </row>
    <row r="120" spans="1:1" x14ac:dyDescent="0.15">
      <c r="A120"/>
    </row>
    <row r="121" spans="1:1" x14ac:dyDescent="0.15">
      <c r="A121"/>
    </row>
    <row r="122" spans="1:1" x14ac:dyDescent="0.15">
      <c r="A122"/>
    </row>
    <row r="123" spans="1:1" x14ac:dyDescent="0.15">
      <c r="A123"/>
    </row>
    <row r="124" spans="1:1" x14ac:dyDescent="0.15">
      <c r="A124"/>
    </row>
    <row r="125" spans="1:1" x14ac:dyDescent="0.15">
      <c r="A125"/>
    </row>
    <row r="126" spans="1:1" x14ac:dyDescent="0.15">
      <c r="A126"/>
    </row>
    <row r="127" spans="1:1" x14ac:dyDescent="0.15">
      <c r="A127"/>
    </row>
    <row r="128" spans="1:1" x14ac:dyDescent="0.15">
      <c r="A128"/>
    </row>
    <row r="129" spans="1:1" x14ac:dyDescent="0.15">
      <c r="A129"/>
    </row>
    <row r="130" spans="1:1" x14ac:dyDescent="0.15">
      <c r="A130"/>
    </row>
    <row r="131" spans="1:1" x14ac:dyDescent="0.15">
      <c r="A131"/>
    </row>
    <row r="132" spans="1:1" x14ac:dyDescent="0.15">
      <c r="A132"/>
    </row>
    <row r="133" spans="1:1" x14ac:dyDescent="0.15">
      <c r="A133"/>
    </row>
    <row r="134" spans="1:1" x14ac:dyDescent="0.15">
      <c r="A134"/>
    </row>
  </sheetData>
  <phoneticPr fontId="5"/>
  <dataValidations count="1">
    <dataValidation type="list" allowBlank="1" showInputMessage="1" showErrorMessage="1" sqref="A2:A134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19"/>
  <sheetViews>
    <sheetView showGridLines="0" workbookViewId="0">
      <pane ySplit="1" topLeftCell="A8" activePane="bottomLeft" state="frozen"/>
      <selection pane="bottomLeft" activeCell="M17" sqref="M17"/>
    </sheetView>
  </sheetViews>
  <sheetFormatPr baseColWidth="12" defaultColWidth="13" defaultRowHeight="15" outlineLevelCol="1" x14ac:dyDescent="0.15"/>
  <cols>
    <col min="1" max="1" width="13" style="76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64" t="s">
        <v>154</v>
      </c>
      <c r="B1" s="61" t="s">
        <v>125</v>
      </c>
      <c r="C1" s="65" t="s">
        <v>15</v>
      </c>
      <c r="D1" s="65" t="s">
        <v>25</v>
      </c>
      <c r="E1" s="61" t="s">
        <v>126</v>
      </c>
      <c r="F1" s="65" t="s">
        <v>15</v>
      </c>
      <c r="G1" s="65" t="s">
        <v>25</v>
      </c>
      <c r="H1" s="61" t="s">
        <v>16</v>
      </c>
      <c r="I1" s="77" t="s">
        <v>258</v>
      </c>
      <c r="J1" s="79" t="s">
        <v>163</v>
      </c>
      <c r="K1" s="67" t="s">
        <v>104</v>
      </c>
      <c r="L1" s="66" t="s">
        <v>155</v>
      </c>
      <c r="M1" s="80" t="s">
        <v>165</v>
      </c>
      <c r="N1" s="68" t="s">
        <v>156</v>
      </c>
    </row>
    <row r="2" spans="1:14" ht="28" x14ac:dyDescent="0.15">
      <c r="A2" s="69" t="s">
        <v>157</v>
      </c>
      <c r="B2" s="70">
        <f>floors!$C$2</f>
        <v>48014</v>
      </c>
      <c r="C2" s="71" t="str">
        <f ca="1">VLOOKUP($B2,OFFSET([2]quests!$A$1,0,0,COUNTA([2]quests!$A:$A),MATCH(C$1,[2]quests!$1:$1,0)-MATCH($B$1,[2]quests!$1:$1,0)+1),MATCH(C$1,[2]quests!$1:$1,0)-MATCH($B$1,[2]quests!$1:$1,0)+1,FALSE)</f>
        <v>藍采和襲来！</v>
      </c>
      <c r="D2" s="71" t="str">
        <f ca="1">VLOOKUP($B2,OFFSET([2]quests!$A$1,0,0,COUNTA([2]quests!$A:$A),MATCH(D$1,[2]quests!$1:$1,0)-MATCH($B$1,[2]quests!$1:$1,0)+1),MATCH(D$1,[2]quests!$1:$1,0)-MATCH($B$1,[2]quests!$1:$1,0)+1,FALSE)</f>
        <v>台湾版降臨10</v>
      </c>
      <c r="E2" s="72">
        <v>1</v>
      </c>
      <c r="F2" s="71" t="str">
        <f ca="1">VLOOKUP($B2&amp;"_"&amp;$E2,OFFSET([2]stages!$A$1,0,0,COUNTA([2]stages!$A:$A),MATCH(F$1,[2]stages!$2:$2,0)-MATCH("temp_stage",[2]stages!$2:$2,0)+1),MATCH(F$1,[2]stages!$2:$2,0)-MATCH("temp_stage",[2]stages!$2:$2,0)+1,FALSE)</f>
        <v>【超絶級】藍采和襲来</v>
      </c>
      <c r="G2" s="71" t="str">
        <f ca="1">VLOOKUP($B2&amp;"_"&amp;$E2,OFFSET([2]stages!$A$1,0,0,COUNTA([2]stages!$A:$A),MATCH(G$1,[2]stages!$2:$2,0)-MATCH("temp_stage",[2]stages!$2:$2,0)+1),MATCH(G$1,[2]stages!$2:$2,0)-MATCH("temp_stage",[2]stages!$2:$2,0)+1,FALSE)</f>
        <v>台湾版降臨10</v>
      </c>
      <c r="H2" s="73">
        <v>1</v>
      </c>
      <c r="I2" s="78">
        <f>ROW()-1</f>
        <v>1</v>
      </c>
      <c r="J2" s="74" t="str">
        <f>B2&amp;TEXT(I2,"00")</f>
        <v>4801401</v>
      </c>
      <c r="K2" s="72" t="s">
        <v>158</v>
      </c>
      <c r="L2" s="75" t="s">
        <v>197</v>
      </c>
      <c r="M2" s="98" t="s">
        <v>259</v>
      </c>
      <c r="N2" s="45" t="s">
        <v>260</v>
      </c>
    </row>
    <row r="3" spans="1:14" ht="28" x14ac:dyDescent="0.15">
      <c r="A3" s="69" t="s">
        <v>157</v>
      </c>
      <c r="B3" s="70">
        <f>floors!$C$2</f>
        <v>48014</v>
      </c>
      <c r="C3" s="71" t="str">
        <f ca="1">VLOOKUP($B3,OFFSET([2]quests!$A$1,0,0,COUNTA([2]quests!$A:$A),MATCH(C$1,[2]quests!$1:$1,0)-MATCH($B$1,[2]quests!$1:$1,0)+1),MATCH(C$1,[2]quests!$1:$1,0)-MATCH($B$1,[2]quests!$1:$1,0)+1,FALSE)</f>
        <v>藍采和襲来！</v>
      </c>
      <c r="D3" s="71" t="str">
        <f ca="1">VLOOKUP($B3,OFFSET([2]quests!$A$1,0,0,COUNTA([2]quests!$A:$A),MATCH(D$1,[2]quests!$1:$1,0)-MATCH($B$1,[2]quests!$1:$1,0)+1),MATCH(D$1,[2]quests!$1:$1,0)-MATCH($B$1,[2]quests!$1:$1,0)+1,FALSE)</f>
        <v>台湾版降臨10</v>
      </c>
      <c r="E3" s="72">
        <v>1</v>
      </c>
      <c r="F3" s="71" t="str">
        <f ca="1">VLOOKUP($B3&amp;"_"&amp;$E3,OFFSET([2]stages!$A$1,0,0,COUNTA([2]stages!$A:$A),MATCH(F$1,[2]stages!$2:$2,0)-MATCH("temp_stage",[2]stages!$2:$2,0)+1),MATCH(F$1,[2]stages!$2:$2,0)-MATCH("temp_stage",[2]stages!$2:$2,0)+1,FALSE)</f>
        <v>【超絶級】藍采和襲来</v>
      </c>
      <c r="G3" s="71" t="str">
        <f ca="1">VLOOKUP($B3&amp;"_"&amp;$E3,OFFSET([2]stages!$A$1,0,0,COUNTA([2]stages!$A:$A),MATCH(G$1,[2]stages!$2:$2,0)-MATCH("temp_stage",[2]stages!$2:$2,0)+1),MATCH(G$1,[2]stages!$2:$2,0)-MATCH("temp_stage",[2]stages!$2:$2,0)+1,FALSE)</f>
        <v>台湾版降臨10</v>
      </c>
      <c r="H3" s="73">
        <v>2</v>
      </c>
      <c r="I3" s="78">
        <f t="shared" ref="I3:I19" si="0">ROW()-1</f>
        <v>2</v>
      </c>
      <c r="J3" s="74" t="str">
        <f t="shared" ref="J3:J10" si="1">B3&amp;TEXT(I3,"00")</f>
        <v>4801402</v>
      </c>
      <c r="K3" s="72" t="s">
        <v>158</v>
      </c>
      <c r="L3" s="75" t="s">
        <v>197</v>
      </c>
      <c r="M3" s="98" t="s">
        <v>261</v>
      </c>
      <c r="N3" s="45" t="s">
        <v>260</v>
      </c>
    </row>
    <row r="4" spans="1:14" ht="28" x14ac:dyDescent="0.15">
      <c r="A4" s="69" t="s">
        <v>157</v>
      </c>
      <c r="B4" s="70">
        <f>floors!$C$2</f>
        <v>48014</v>
      </c>
      <c r="C4" s="71" t="str">
        <f ca="1">VLOOKUP($B4,OFFSET([2]quests!$A$1,0,0,COUNTA([2]quests!$A:$A),MATCH(C$1,[2]quests!$1:$1,0)-MATCH($B$1,[2]quests!$1:$1,0)+1),MATCH(C$1,[2]quests!$1:$1,0)-MATCH($B$1,[2]quests!$1:$1,0)+1,FALSE)</f>
        <v>藍采和襲来！</v>
      </c>
      <c r="D4" s="71" t="str">
        <f ca="1">VLOOKUP($B4,OFFSET([2]quests!$A$1,0,0,COUNTA([2]quests!$A:$A),MATCH(D$1,[2]quests!$1:$1,0)-MATCH($B$1,[2]quests!$1:$1,0)+1),MATCH(D$1,[2]quests!$1:$1,0)-MATCH($B$1,[2]quests!$1:$1,0)+1,FALSE)</f>
        <v>台湾版降臨10</v>
      </c>
      <c r="E4" s="72">
        <v>1</v>
      </c>
      <c r="F4" s="71" t="str">
        <f ca="1">VLOOKUP($B4&amp;"_"&amp;$E4,OFFSET([2]stages!$A$1,0,0,COUNTA([2]stages!$A:$A),MATCH(F$1,[2]stages!$2:$2,0)-MATCH("temp_stage",[2]stages!$2:$2,0)+1),MATCH(F$1,[2]stages!$2:$2,0)-MATCH("temp_stage",[2]stages!$2:$2,0)+1,FALSE)</f>
        <v>【超絶級】藍采和襲来</v>
      </c>
      <c r="G4" s="71" t="str">
        <f ca="1">VLOOKUP($B4&amp;"_"&amp;$E4,OFFSET([2]stages!$A$1,0,0,COUNTA([2]stages!$A:$A),MATCH(G$1,[2]stages!$2:$2,0)-MATCH("temp_stage",[2]stages!$2:$2,0)+1),MATCH(G$1,[2]stages!$2:$2,0)-MATCH("temp_stage",[2]stages!$2:$2,0)+1,FALSE)</f>
        <v>台湾版降臨10</v>
      </c>
      <c r="H4" s="73">
        <v>2</v>
      </c>
      <c r="I4" s="78">
        <f t="shared" si="0"/>
        <v>3</v>
      </c>
      <c r="J4" s="74" t="str">
        <f t="shared" si="1"/>
        <v>4801403</v>
      </c>
      <c r="K4" s="72" t="s">
        <v>158</v>
      </c>
      <c r="L4" s="75" t="s">
        <v>197</v>
      </c>
      <c r="M4" s="98" t="s">
        <v>262</v>
      </c>
      <c r="N4" s="45" t="s">
        <v>260</v>
      </c>
    </row>
    <row r="5" spans="1:14" ht="42" x14ac:dyDescent="0.15">
      <c r="A5" s="69" t="s">
        <v>157</v>
      </c>
      <c r="B5" s="70">
        <f>floors!$C$2</f>
        <v>48014</v>
      </c>
      <c r="C5" s="71" t="str">
        <f ca="1">VLOOKUP($B5,OFFSET([2]quests!$A$1,0,0,COUNTA([2]quests!$A:$A),MATCH(C$1,[2]quests!$1:$1,0)-MATCH($B$1,[2]quests!$1:$1,0)+1),MATCH(C$1,[2]quests!$1:$1,0)-MATCH($B$1,[2]quests!$1:$1,0)+1,FALSE)</f>
        <v>藍采和襲来！</v>
      </c>
      <c r="D5" s="71" t="str">
        <f ca="1">VLOOKUP($B5,OFFSET([2]quests!$A$1,0,0,COUNTA([2]quests!$A:$A),MATCH(D$1,[2]quests!$1:$1,0)-MATCH($B$1,[2]quests!$1:$1,0)+1),MATCH(D$1,[2]quests!$1:$1,0)-MATCH($B$1,[2]quests!$1:$1,0)+1,FALSE)</f>
        <v>台湾版降臨10</v>
      </c>
      <c r="E5" s="72">
        <v>1</v>
      </c>
      <c r="F5" s="71" t="str">
        <f ca="1">VLOOKUP($B5&amp;"_"&amp;$E5,OFFSET([2]stages!$A$1,0,0,COUNTA([2]stages!$A:$A),MATCH(F$1,[2]stages!$2:$2,0)-MATCH("temp_stage",[2]stages!$2:$2,0)+1),MATCH(F$1,[2]stages!$2:$2,0)-MATCH("temp_stage",[2]stages!$2:$2,0)+1,FALSE)</f>
        <v>【超絶級】藍采和襲来</v>
      </c>
      <c r="G5" s="71" t="str">
        <f ca="1">VLOOKUP($B5&amp;"_"&amp;$E5,OFFSET([2]stages!$A$1,0,0,COUNTA([2]stages!$A:$A),MATCH(G$1,[2]stages!$2:$2,0)-MATCH("temp_stage",[2]stages!$2:$2,0)+1),MATCH(G$1,[2]stages!$2:$2,0)-MATCH("temp_stage",[2]stages!$2:$2,0)+1,FALSE)</f>
        <v>台湾版降臨10</v>
      </c>
      <c r="H5" s="73">
        <v>3</v>
      </c>
      <c r="I5" s="78">
        <f t="shared" si="0"/>
        <v>4</v>
      </c>
      <c r="J5" s="74" t="str">
        <f t="shared" si="1"/>
        <v>4801404</v>
      </c>
      <c r="K5" s="72" t="s">
        <v>158</v>
      </c>
      <c r="L5" s="75" t="s">
        <v>197</v>
      </c>
      <c r="M5" s="98" t="s">
        <v>263</v>
      </c>
      <c r="N5" s="45" t="s">
        <v>260</v>
      </c>
    </row>
    <row r="6" spans="1:14" ht="42" x14ac:dyDescent="0.15">
      <c r="A6" s="69" t="s">
        <v>157</v>
      </c>
      <c r="B6" s="70">
        <f>floors!$C$2</f>
        <v>48014</v>
      </c>
      <c r="C6" s="71" t="str">
        <f ca="1">VLOOKUP($B6,OFFSET([2]quests!$A$1,0,0,COUNTA([2]quests!$A:$A),MATCH(C$1,[2]quests!$1:$1,0)-MATCH($B$1,[2]quests!$1:$1,0)+1),MATCH(C$1,[2]quests!$1:$1,0)-MATCH($B$1,[2]quests!$1:$1,0)+1,FALSE)</f>
        <v>藍采和襲来！</v>
      </c>
      <c r="D6" s="71" t="str">
        <f ca="1">VLOOKUP($B6,OFFSET([2]quests!$A$1,0,0,COUNTA([2]quests!$A:$A),MATCH(D$1,[2]quests!$1:$1,0)-MATCH($B$1,[2]quests!$1:$1,0)+1),MATCH(D$1,[2]quests!$1:$1,0)-MATCH($B$1,[2]quests!$1:$1,0)+1,FALSE)</f>
        <v>台湾版降臨10</v>
      </c>
      <c r="E6" s="72">
        <v>1</v>
      </c>
      <c r="F6" s="71" t="str">
        <f ca="1">VLOOKUP($B6&amp;"_"&amp;$E6,OFFSET([2]stages!$A$1,0,0,COUNTA([2]stages!$A:$A),MATCH(F$1,[2]stages!$2:$2,0)-MATCH("temp_stage",[2]stages!$2:$2,0)+1),MATCH(F$1,[2]stages!$2:$2,0)-MATCH("temp_stage",[2]stages!$2:$2,0)+1,FALSE)</f>
        <v>【超絶級】藍采和襲来</v>
      </c>
      <c r="G6" s="71" t="str">
        <f ca="1">VLOOKUP($B6&amp;"_"&amp;$E6,OFFSET([2]stages!$A$1,0,0,COUNTA([2]stages!$A:$A),MATCH(G$1,[2]stages!$2:$2,0)-MATCH("temp_stage",[2]stages!$2:$2,0)+1),MATCH(G$1,[2]stages!$2:$2,0)-MATCH("temp_stage",[2]stages!$2:$2,0)+1,FALSE)</f>
        <v>台湾版降臨10</v>
      </c>
      <c r="H6" s="73">
        <v>4</v>
      </c>
      <c r="I6" s="78">
        <f t="shared" si="0"/>
        <v>5</v>
      </c>
      <c r="J6" s="74" t="str">
        <f t="shared" si="1"/>
        <v>4801405</v>
      </c>
      <c r="K6" s="72" t="s">
        <v>158</v>
      </c>
      <c r="L6" s="75" t="s">
        <v>197</v>
      </c>
      <c r="M6" s="98" t="s">
        <v>309</v>
      </c>
      <c r="N6" s="45" t="s">
        <v>260</v>
      </c>
    </row>
    <row r="7" spans="1:14" ht="42" x14ac:dyDescent="0.15">
      <c r="A7" s="69" t="s">
        <v>157</v>
      </c>
      <c r="B7" s="70">
        <f>floors!$C$2</f>
        <v>48014</v>
      </c>
      <c r="C7" s="71" t="str">
        <f ca="1">VLOOKUP($B7,OFFSET([2]quests!$A$1,0,0,COUNTA([2]quests!$A:$A),MATCH(C$1,[2]quests!$1:$1,0)-MATCH($B$1,[2]quests!$1:$1,0)+1),MATCH(C$1,[2]quests!$1:$1,0)-MATCH($B$1,[2]quests!$1:$1,0)+1,FALSE)</f>
        <v>藍采和襲来！</v>
      </c>
      <c r="D7" s="71" t="str">
        <f ca="1">VLOOKUP($B7,OFFSET([2]quests!$A$1,0,0,COUNTA([2]quests!$A:$A),MATCH(D$1,[2]quests!$1:$1,0)-MATCH($B$1,[2]quests!$1:$1,0)+1),MATCH(D$1,[2]quests!$1:$1,0)-MATCH($B$1,[2]quests!$1:$1,0)+1,FALSE)</f>
        <v>台湾版降臨10</v>
      </c>
      <c r="E7" s="72">
        <v>1</v>
      </c>
      <c r="F7" s="71" t="str">
        <f ca="1">VLOOKUP($B7&amp;"_"&amp;$E7,OFFSET([2]stages!$A$1,0,0,COUNTA([2]stages!$A:$A),MATCH(F$1,[2]stages!$2:$2,0)-MATCH("temp_stage",[2]stages!$2:$2,0)+1),MATCH(F$1,[2]stages!$2:$2,0)-MATCH("temp_stage",[2]stages!$2:$2,0)+1,FALSE)</f>
        <v>【超絶級】藍采和襲来</v>
      </c>
      <c r="G7" s="71" t="str">
        <f ca="1">VLOOKUP($B7&amp;"_"&amp;$E7,OFFSET([2]stages!$A$1,0,0,COUNTA([2]stages!$A:$A),MATCH(G$1,[2]stages!$2:$2,0)-MATCH("temp_stage",[2]stages!$2:$2,0)+1),MATCH(G$1,[2]stages!$2:$2,0)-MATCH("temp_stage",[2]stages!$2:$2,0)+1,FALSE)</f>
        <v>台湾版降臨10</v>
      </c>
      <c r="H7" s="73">
        <v>4</v>
      </c>
      <c r="I7" s="78">
        <f t="shared" si="0"/>
        <v>6</v>
      </c>
      <c r="J7" s="74" t="str">
        <f t="shared" si="1"/>
        <v>4801406</v>
      </c>
      <c r="K7" s="72" t="s">
        <v>158</v>
      </c>
      <c r="L7" s="75" t="s">
        <v>197</v>
      </c>
      <c r="M7" s="98" t="s">
        <v>307</v>
      </c>
      <c r="N7" s="45" t="s">
        <v>260</v>
      </c>
    </row>
    <row r="8" spans="1:14" ht="42" x14ac:dyDescent="0.15">
      <c r="A8" s="69" t="s">
        <v>157</v>
      </c>
      <c r="B8" s="70">
        <f>floors!$C$2</f>
        <v>48014</v>
      </c>
      <c r="C8" s="71" t="str">
        <f ca="1">VLOOKUP($B8,OFFSET([2]quests!$A$1,0,0,COUNTA([2]quests!$A:$A),MATCH(C$1,[2]quests!$1:$1,0)-MATCH($B$1,[2]quests!$1:$1,0)+1),MATCH(C$1,[2]quests!$1:$1,0)-MATCH($B$1,[2]quests!$1:$1,0)+1,FALSE)</f>
        <v>藍采和襲来！</v>
      </c>
      <c r="D8" s="71" t="str">
        <f ca="1">VLOOKUP($B8,OFFSET([2]quests!$A$1,0,0,COUNTA([2]quests!$A:$A),MATCH(D$1,[2]quests!$1:$1,0)-MATCH($B$1,[2]quests!$1:$1,0)+1),MATCH(D$1,[2]quests!$1:$1,0)-MATCH($B$1,[2]quests!$1:$1,0)+1,FALSE)</f>
        <v>台湾版降臨10</v>
      </c>
      <c r="E8" s="72">
        <v>1</v>
      </c>
      <c r="F8" s="71" t="str">
        <f ca="1">VLOOKUP($B8&amp;"_"&amp;$E8,OFFSET([2]stages!$A$1,0,0,COUNTA([2]stages!$A:$A),MATCH(F$1,[2]stages!$2:$2,0)-MATCH("temp_stage",[2]stages!$2:$2,0)+1),MATCH(F$1,[2]stages!$2:$2,0)-MATCH("temp_stage",[2]stages!$2:$2,0)+1,FALSE)</f>
        <v>【超絶級】藍采和襲来</v>
      </c>
      <c r="G8" s="71" t="str">
        <f ca="1">VLOOKUP($B8&amp;"_"&amp;$E8,OFFSET([2]stages!$A$1,0,0,COUNTA([2]stages!$A:$A),MATCH(G$1,[2]stages!$2:$2,0)-MATCH("temp_stage",[2]stages!$2:$2,0)+1),MATCH(G$1,[2]stages!$2:$2,0)-MATCH("temp_stage",[2]stages!$2:$2,0)+1,FALSE)</f>
        <v>台湾版降臨10</v>
      </c>
      <c r="H8" s="73">
        <v>4</v>
      </c>
      <c r="I8" s="78">
        <f t="shared" si="0"/>
        <v>7</v>
      </c>
      <c r="J8" s="74" t="str">
        <f t="shared" si="1"/>
        <v>4801407</v>
      </c>
      <c r="K8" s="72" t="s">
        <v>158</v>
      </c>
      <c r="L8" s="75" t="s">
        <v>197</v>
      </c>
      <c r="M8" s="98" t="s">
        <v>308</v>
      </c>
      <c r="N8" s="45" t="s">
        <v>260</v>
      </c>
    </row>
    <row r="9" spans="1:14" ht="42" x14ac:dyDescent="0.15">
      <c r="A9" s="69" t="s">
        <v>159</v>
      </c>
      <c r="B9" s="70">
        <f>floors!$C$2</f>
        <v>48014</v>
      </c>
      <c r="C9" s="71" t="str">
        <f ca="1">VLOOKUP($B9,OFFSET([2]quests!$A$1,0,0,COUNTA([2]quests!$A:$A),MATCH(C$1,[2]quests!$1:$1,0)-MATCH($B$1,[2]quests!$1:$1,0)+1),MATCH(C$1,[2]quests!$1:$1,0)-MATCH($B$1,[2]quests!$1:$1,0)+1,FALSE)</f>
        <v>藍采和襲来！</v>
      </c>
      <c r="D9" s="71" t="str">
        <f ca="1">VLOOKUP($B9,OFFSET([2]quests!$A$1,0,0,COUNTA([2]quests!$A:$A),MATCH(D$1,[2]quests!$1:$1,0)-MATCH($B$1,[2]quests!$1:$1,0)+1),MATCH(D$1,[2]quests!$1:$1,0)-MATCH($B$1,[2]quests!$1:$1,0)+1,FALSE)</f>
        <v>台湾版降臨10</v>
      </c>
      <c r="E9" s="72">
        <v>1</v>
      </c>
      <c r="F9" s="71" t="str">
        <f ca="1">VLOOKUP($B9&amp;"_"&amp;$E9,OFFSET([2]stages!$A$1,0,0,COUNTA([2]stages!$A:$A),MATCH(F$1,[2]stages!$2:$2,0)-MATCH("temp_stage",[2]stages!$2:$2,0)+1),MATCH(F$1,[2]stages!$2:$2,0)-MATCH("temp_stage",[2]stages!$2:$2,0)+1,FALSE)</f>
        <v>【超絶級】藍采和襲来</v>
      </c>
      <c r="G9" s="71" t="str">
        <f ca="1">VLOOKUP($B9&amp;"_"&amp;$E9,OFFSET([2]stages!$A$1,0,0,COUNTA([2]stages!$A:$A),MATCH(G$1,[2]stages!$2:$2,0)-MATCH("temp_stage",[2]stages!$2:$2,0)+1),MATCH(G$1,[2]stages!$2:$2,0)-MATCH("temp_stage",[2]stages!$2:$2,0)+1,FALSE)</f>
        <v>台湾版降臨10</v>
      </c>
      <c r="H9" s="73">
        <v>0</v>
      </c>
      <c r="I9" s="78">
        <f t="shared" si="0"/>
        <v>8</v>
      </c>
      <c r="J9" s="74" t="str">
        <f t="shared" si="1"/>
        <v>4801408</v>
      </c>
      <c r="K9" s="72" t="s">
        <v>158</v>
      </c>
      <c r="L9" s="75" t="s">
        <v>264</v>
      </c>
      <c r="M9" s="98" t="s">
        <v>265</v>
      </c>
      <c r="N9" s="45" t="s">
        <v>260</v>
      </c>
    </row>
    <row r="10" spans="1:14" ht="57" thickBot="1" x14ac:dyDescent="0.2">
      <c r="A10" s="146" t="s">
        <v>159</v>
      </c>
      <c r="B10" s="147">
        <f>floors!$C$2</f>
        <v>48014</v>
      </c>
      <c r="C10" s="148" t="str">
        <f ca="1">VLOOKUP($B10,OFFSET([2]quests!$A$1,0,0,COUNTA([2]quests!$A:$A),MATCH(C$1,[2]quests!$1:$1,0)-MATCH($B$1,[2]quests!$1:$1,0)+1),MATCH(C$1,[2]quests!$1:$1,0)-MATCH($B$1,[2]quests!$1:$1,0)+1,FALSE)</f>
        <v>藍采和襲来！</v>
      </c>
      <c r="D10" s="148" t="str">
        <f ca="1">VLOOKUP($B10,OFFSET([2]quests!$A$1,0,0,COUNTA([2]quests!$A:$A),MATCH(D$1,[2]quests!$1:$1,0)-MATCH($B$1,[2]quests!$1:$1,0)+1),MATCH(D$1,[2]quests!$1:$1,0)-MATCH($B$1,[2]quests!$1:$1,0)+1,FALSE)</f>
        <v>台湾版降臨10</v>
      </c>
      <c r="E10" s="149">
        <v>1</v>
      </c>
      <c r="F10" s="148" t="str">
        <f ca="1">VLOOKUP($B10&amp;"_"&amp;$E10,OFFSET([2]stages!$A$1,0,0,COUNTA([2]stages!$A:$A),MATCH(F$1,[2]stages!$2:$2,0)-MATCH("temp_stage",[2]stages!$2:$2,0)+1),MATCH(F$1,[2]stages!$2:$2,0)-MATCH("temp_stage",[2]stages!$2:$2,0)+1,FALSE)</f>
        <v>【超絶級】藍采和襲来</v>
      </c>
      <c r="G10" s="148" t="str">
        <f ca="1">VLOOKUP($B10&amp;"_"&amp;$E10,OFFSET([2]stages!$A$1,0,0,COUNTA([2]stages!$A:$A),MATCH(G$1,[2]stages!$2:$2,0)-MATCH("temp_stage",[2]stages!$2:$2,0)+1),MATCH(G$1,[2]stages!$2:$2,0)-MATCH("temp_stage",[2]stages!$2:$2,0)+1,FALSE)</f>
        <v>台湾版降臨10</v>
      </c>
      <c r="H10" s="150">
        <v>0</v>
      </c>
      <c r="I10" s="151">
        <f t="shared" si="0"/>
        <v>9</v>
      </c>
      <c r="J10" s="152" t="str">
        <f t="shared" si="1"/>
        <v>4801409</v>
      </c>
      <c r="K10" s="149" t="s">
        <v>158</v>
      </c>
      <c r="L10" s="153" t="s">
        <v>266</v>
      </c>
      <c r="M10" s="154" t="s">
        <v>292</v>
      </c>
      <c r="N10" s="155" t="s">
        <v>260</v>
      </c>
    </row>
    <row r="11" spans="1:14" ht="28" x14ac:dyDescent="0.15">
      <c r="A11" s="138" t="s">
        <v>157</v>
      </c>
      <c r="B11" s="139">
        <f>floors!$C$2</f>
        <v>48014</v>
      </c>
      <c r="C11" s="71" t="str">
        <f ca="1">VLOOKUP($B11,OFFSET([2]quests!$A$1,0,0,COUNTA([2]quests!$A:$A),MATCH(C$1,[2]quests!$1:$1,0)-MATCH($B$1,[2]quests!$1:$1,0)+1),MATCH(C$1,[2]quests!$1:$1,0)-MATCH($B$1,[2]quests!$1:$1,0)+1,FALSE)</f>
        <v>藍采和襲来！</v>
      </c>
      <c r="D11" s="71" t="str">
        <f ca="1">VLOOKUP($B11,OFFSET([2]quests!$A$1,0,0,COUNTA([2]quests!$A:$A),MATCH(D$1,[2]quests!$1:$1,0)-MATCH($B$1,[2]quests!$1:$1,0)+1),MATCH(D$1,[2]quests!$1:$1,0)-MATCH($B$1,[2]quests!$1:$1,0)+1,FALSE)</f>
        <v>台湾版降臨10</v>
      </c>
      <c r="E11" s="140">
        <v>2</v>
      </c>
      <c r="F11" s="71" t="str">
        <f ca="1">VLOOKUP($B11&amp;"_"&amp;$E11,OFFSET([2]stages!$A$1,0,0,COUNTA([2]stages!$A:$A),MATCH(F$1,[2]stages!$2:$2,0)-MATCH("temp_stage",[2]stages!$2:$2,0)+1),MATCH(F$1,[2]stages!$2:$2,0)-MATCH("temp_stage",[2]stages!$2:$2,0)+1,FALSE)</f>
        <v>【ウィザード級】藍采和襲来</v>
      </c>
      <c r="G11" s="71" t="str">
        <f ca="1">VLOOKUP($B11&amp;"_"&amp;$E11,OFFSET([2]stages!$A$1,0,0,COUNTA([2]stages!$A:$A),MATCH(G$1,[2]stages!$2:$2,0)-MATCH("temp_stage",[2]stages!$2:$2,0)+1),MATCH(G$1,[2]stages!$2:$2,0)-MATCH("temp_stage",[2]stages!$2:$2,0)+1,FALSE)</f>
        <v>台湾版降臨10</v>
      </c>
      <c r="H11" s="73">
        <v>1</v>
      </c>
      <c r="I11" s="141">
        <f>ROW()-1</f>
        <v>10</v>
      </c>
      <c r="J11" s="142" t="str">
        <f>B11&amp;TEXT(I11,"00")</f>
        <v>4801410</v>
      </c>
      <c r="K11" s="140" t="s">
        <v>158</v>
      </c>
      <c r="L11" s="143" t="s">
        <v>197</v>
      </c>
      <c r="M11" s="144" t="s">
        <v>259</v>
      </c>
      <c r="N11" s="145" t="s">
        <v>260</v>
      </c>
    </row>
    <row r="12" spans="1:14" ht="28" x14ac:dyDescent="0.15">
      <c r="A12" s="69" t="s">
        <v>157</v>
      </c>
      <c r="B12" s="70">
        <f>floors!$C$2</f>
        <v>48014</v>
      </c>
      <c r="C12" s="71" t="str">
        <f ca="1">VLOOKUP($B12,OFFSET([2]quests!$A$1,0,0,COUNTA([2]quests!$A:$A),MATCH(C$1,[2]quests!$1:$1,0)-MATCH($B$1,[2]quests!$1:$1,0)+1),MATCH(C$1,[2]quests!$1:$1,0)-MATCH($B$1,[2]quests!$1:$1,0)+1,FALSE)</f>
        <v>藍采和襲来！</v>
      </c>
      <c r="D12" s="71" t="str">
        <f ca="1">VLOOKUP($B12,OFFSET([2]quests!$A$1,0,0,COUNTA([2]quests!$A:$A),MATCH(D$1,[2]quests!$1:$1,0)-MATCH($B$1,[2]quests!$1:$1,0)+1),MATCH(D$1,[2]quests!$1:$1,0)-MATCH($B$1,[2]quests!$1:$1,0)+1,FALSE)</f>
        <v>台湾版降臨10</v>
      </c>
      <c r="E12" s="72">
        <v>2</v>
      </c>
      <c r="F12" s="71" t="str">
        <f ca="1">VLOOKUP($B12&amp;"_"&amp;$E12,OFFSET([2]stages!$A$1,0,0,COUNTA([2]stages!$A:$A),MATCH(F$1,[2]stages!$2:$2,0)-MATCH("temp_stage",[2]stages!$2:$2,0)+1),MATCH(F$1,[2]stages!$2:$2,0)-MATCH("temp_stage",[2]stages!$2:$2,0)+1,FALSE)</f>
        <v>【ウィザード級】藍采和襲来</v>
      </c>
      <c r="G12" s="71" t="str">
        <f ca="1">VLOOKUP($B12&amp;"_"&amp;$E12,OFFSET([2]stages!$A$1,0,0,COUNTA([2]stages!$A:$A),MATCH(G$1,[2]stages!$2:$2,0)-MATCH("temp_stage",[2]stages!$2:$2,0)+1),MATCH(G$1,[2]stages!$2:$2,0)-MATCH("temp_stage",[2]stages!$2:$2,0)+1,FALSE)</f>
        <v>台湾版降臨10</v>
      </c>
      <c r="H12" s="73">
        <v>2</v>
      </c>
      <c r="I12" s="78">
        <f t="shared" si="0"/>
        <v>11</v>
      </c>
      <c r="J12" s="74" t="str">
        <f t="shared" ref="J12:J19" si="2">B12&amp;TEXT(I12,"00")</f>
        <v>4801411</v>
      </c>
      <c r="K12" s="72" t="s">
        <v>158</v>
      </c>
      <c r="L12" s="75" t="s">
        <v>197</v>
      </c>
      <c r="M12" s="98" t="s">
        <v>261</v>
      </c>
      <c r="N12" s="45" t="s">
        <v>260</v>
      </c>
    </row>
    <row r="13" spans="1:14" ht="28" x14ac:dyDescent="0.15">
      <c r="A13" s="69" t="s">
        <v>157</v>
      </c>
      <c r="B13" s="70">
        <f>floors!$C$2</f>
        <v>48014</v>
      </c>
      <c r="C13" s="71" t="str">
        <f ca="1">VLOOKUP($B13,OFFSET([2]quests!$A$1,0,0,COUNTA([2]quests!$A:$A),MATCH(C$1,[2]quests!$1:$1,0)-MATCH($B$1,[2]quests!$1:$1,0)+1),MATCH(C$1,[2]quests!$1:$1,0)-MATCH($B$1,[2]quests!$1:$1,0)+1,FALSE)</f>
        <v>藍采和襲来！</v>
      </c>
      <c r="D13" s="71" t="str">
        <f ca="1">VLOOKUP($B13,OFFSET([2]quests!$A$1,0,0,COUNTA([2]quests!$A:$A),MATCH(D$1,[2]quests!$1:$1,0)-MATCH($B$1,[2]quests!$1:$1,0)+1),MATCH(D$1,[2]quests!$1:$1,0)-MATCH($B$1,[2]quests!$1:$1,0)+1,FALSE)</f>
        <v>台湾版降臨10</v>
      </c>
      <c r="E13" s="72">
        <v>2</v>
      </c>
      <c r="F13" s="71" t="str">
        <f ca="1">VLOOKUP($B13&amp;"_"&amp;$E13,OFFSET([2]stages!$A$1,0,0,COUNTA([2]stages!$A:$A),MATCH(F$1,[2]stages!$2:$2,0)-MATCH("temp_stage",[2]stages!$2:$2,0)+1),MATCH(F$1,[2]stages!$2:$2,0)-MATCH("temp_stage",[2]stages!$2:$2,0)+1,FALSE)</f>
        <v>【ウィザード級】藍采和襲来</v>
      </c>
      <c r="G13" s="71" t="str">
        <f ca="1">VLOOKUP($B13&amp;"_"&amp;$E13,OFFSET([2]stages!$A$1,0,0,COUNTA([2]stages!$A:$A),MATCH(G$1,[2]stages!$2:$2,0)-MATCH("temp_stage",[2]stages!$2:$2,0)+1),MATCH(G$1,[2]stages!$2:$2,0)-MATCH("temp_stage",[2]stages!$2:$2,0)+1,FALSE)</f>
        <v>台湾版降臨10</v>
      </c>
      <c r="H13" s="73">
        <v>2</v>
      </c>
      <c r="I13" s="78">
        <f t="shared" si="0"/>
        <v>12</v>
      </c>
      <c r="J13" s="74" t="str">
        <f t="shared" si="2"/>
        <v>4801412</v>
      </c>
      <c r="K13" s="72" t="s">
        <v>158</v>
      </c>
      <c r="L13" s="75" t="s">
        <v>197</v>
      </c>
      <c r="M13" s="98" t="s">
        <v>262</v>
      </c>
      <c r="N13" s="45" t="s">
        <v>260</v>
      </c>
    </row>
    <row r="14" spans="1:14" ht="42" x14ac:dyDescent="0.15">
      <c r="A14" s="69" t="s">
        <v>157</v>
      </c>
      <c r="B14" s="70">
        <f>floors!$C$2</f>
        <v>48014</v>
      </c>
      <c r="C14" s="71" t="str">
        <f ca="1">VLOOKUP($B14,OFFSET([2]quests!$A$1,0,0,COUNTA([2]quests!$A:$A),MATCH(C$1,[2]quests!$1:$1,0)-MATCH($B$1,[2]quests!$1:$1,0)+1),MATCH(C$1,[2]quests!$1:$1,0)-MATCH($B$1,[2]quests!$1:$1,0)+1,FALSE)</f>
        <v>藍采和襲来！</v>
      </c>
      <c r="D14" s="71" t="str">
        <f ca="1">VLOOKUP($B14,OFFSET([2]quests!$A$1,0,0,COUNTA([2]quests!$A:$A),MATCH(D$1,[2]quests!$1:$1,0)-MATCH($B$1,[2]quests!$1:$1,0)+1),MATCH(D$1,[2]quests!$1:$1,0)-MATCH($B$1,[2]quests!$1:$1,0)+1,FALSE)</f>
        <v>台湾版降臨10</v>
      </c>
      <c r="E14" s="72">
        <v>2</v>
      </c>
      <c r="F14" s="71" t="str">
        <f ca="1">VLOOKUP($B14&amp;"_"&amp;$E14,OFFSET([2]stages!$A$1,0,0,COUNTA([2]stages!$A:$A),MATCH(F$1,[2]stages!$2:$2,0)-MATCH("temp_stage",[2]stages!$2:$2,0)+1),MATCH(F$1,[2]stages!$2:$2,0)-MATCH("temp_stage",[2]stages!$2:$2,0)+1,FALSE)</f>
        <v>【ウィザード級】藍采和襲来</v>
      </c>
      <c r="G14" s="71" t="str">
        <f ca="1">VLOOKUP($B14&amp;"_"&amp;$E14,OFFSET([2]stages!$A$1,0,0,COUNTA([2]stages!$A:$A),MATCH(G$1,[2]stages!$2:$2,0)-MATCH("temp_stage",[2]stages!$2:$2,0)+1),MATCH(G$1,[2]stages!$2:$2,0)-MATCH("temp_stage",[2]stages!$2:$2,0)+1,FALSE)</f>
        <v>台湾版降臨10</v>
      </c>
      <c r="H14" s="73">
        <v>3</v>
      </c>
      <c r="I14" s="78">
        <f t="shared" si="0"/>
        <v>13</v>
      </c>
      <c r="J14" s="74" t="str">
        <f t="shared" si="2"/>
        <v>4801413</v>
      </c>
      <c r="K14" s="72" t="s">
        <v>158</v>
      </c>
      <c r="L14" s="75" t="s">
        <v>197</v>
      </c>
      <c r="M14" s="98" t="s">
        <v>263</v>
      </c>
      <c r="N14" s="45" t="s">
        <v>260</v>
      </c>
    </row>
    <row r="15" spans="1:14" ht="42" x14ac:dyDescent="0.15">
      <c r="A15" s="69" t="s">
        <v>157</v>
      </c>
      <c r="B15" s="70">
        <f>floors!$C$2</f>
        <v>48014</v>
      </c>
      <c r="C15" s="71" t="str">
        <f ca="1">VLOOKUP($B15,OFFSET([2]quests!$A$1,0,0,COUNTA([2]quests!$A:$A),MATCH(C$1,[2]quests!$1:$1,0)-MATCH($B$1,[2]quests!$1:$1,0)+1),MATCH(C$1,[2]quests!$1:$1,0)-MATCH($B$1,[2]quests!$1:$1,0)+1,FALSE)</f>
        <v>藍采和襲来！</v>
      </c>
      <c r="D15" s="71" t="str">
        <f ca="1">VLOOKUP($B15,OFFSET([2]quests!$A$1,0,0,COUNTA([2]quests!$A:$A),MATCH(D$1,[2]quests!$1:$1,0)-MATCH($B$1,[2]quests!$1:$1,0)+1),MATCH(D$1,[2]quests!$1:$1,0)-MATCH($B$1,[2]quests!$1:$1,0)+1,FALSE)</f>
        <v>台湾版降臨10</v>
      </c>
      <c r="E15" s="72">
        <v>2</v>
      </c>
      <c r="F15" s="71" t="str">
        <f ca="1">VLOOKUP($B15&amp;"_"&amp;$E15,OFFSET([2]stages!$A$1,0,0,COUNTA([2]stages!$A:$A),MATCH(F$1,[2]stages!$2:$2,0)-MATCH("temp_stage",[2]stages!$2:$2,0)+1),MATCH(F$1,[2]stages!$2:$2,0)-MATCH("temp_stage",[2]stages!$2:$2,0)+1,FALSE)</f>
        <v>【ウィザード級】藍采和襲来</v>
      </c>
      <c r="G15" s="71" t="str">
        <f ca="1">VLOOKUP($B15&amp;"_"&amp;$E15,OFFSET([2]stages!$A$1,0,0,COUNTA([2]stages!$A:$A),MATCH(G$1,[2]stages!$2:$2,0)-MATCH("temp_stage",[2]stages!$2:$2,0)+1),MATCH(G$1,[2]stages!$2:$2,0)-MATCH("temp_stage",[2]stages!$2:$2,0)+1,FALSE)</f>
        <v>台湾版降臨10</v>
      </c>
      <c r="H15" s="73">
        <v>4</v>
      </c>
      <c r="I15" s="78">
        <f t="shared" si="0"/>
        <v>14</v>
      </c>
      <c r="J15" s="74" t="str">
        <f t="shared" si="2"/>
        <v>4801414</v>
      </c>
      <c r="K15" s="72" t="s">
        <v>158</v>
      </c>
      <c r="L15" s="75" t="s">
        <v>197</v>
      </c>
      <c r="M15" s="98" t="s">
        <v>294</v>
      </c>
      <c r="N15" s="45" t="s">
        <v>260</v>
      </c>
    </row>
    <row r="16" spans="1:14" ht="42" x14ac:dyDescent="0.15">
      <c r="A16" s="69" t="s">
        <v>157</v>
      </c>
      <c r="B16" s="70">
        <f>floors!$C$2</f>
        <v>48014</v>
      </c>
      <c r="C16" s="71" t="str">
        <f ca="1">VLOOKUP($B16,OFFSET([2]quests!$A$1,0,0,COUNTA([2]quests!$A:$A),MATCH(C$1,[2]quests!$1:$1,0)-MATCH($B$1,[2]quests!$1:$1,0)+1),MATCH(C$1,[2]quests!$1:$1,0)-MATCH($B$1,[2]quests!$1:$1,0)+1,FALSE)</f>
        <v>藍采和襲来！</v>
      </c>
      <c r="D16" s="71" t="str">
        <f ca="1">VLOOKUP($B16,OFFSET([2]quests!$A$1,0,0,COUNTA([2]quests!$A:$A),MATCH(D$1,[2]quests!$1:$1,0)-MATCH($B$1,[2]quests!$1:$1,0)+1),MATCH(D$1,[2]quests!$1:$1,0)-MATCH($B$1,[2]quests!$1:$1,0)+1,FALSE)</f>
        <v>台湾版降臨10</v>
      </c>
      <c r="E16" s="72">
        <v>2</v>
      </c>
      <c r="F16" s="71" t="str">
        <f ca="1">VLOOKUP($B16&amp;"_"&amp;$E16,OFFSET([2]stages!$A$1,0,0,COUNTA([2]stages!$A:$A),MATCH(F$1,[2]stages!$2:$2,0)-MATCH("temp_stage",[2]stages!$2:$2,0)+1),MATCH(F$1,[2]stages!$2:$2,0)-MATCH("temp_stage",[2]stages!$2:$2,0)+1,FALSE)</f>
        <v>【ウィザード級】藍采和襲来</v>
      </c>
      <c r="G16" s="71" t="str">
        <f ca="1">VLOOKUP($B16&amp;"_"&amp;$E16,OFFSET([2]stages!$A$1,0,0,COUNTA([2]stages!$A:$A),MATCH(G$1,[2]stages!$2:$2,0)-MATCH("temp_stage",[2]stages!$2:$2,0)+1),MATCH(G$1,[2]stages!$2:$2,0)-MATCH("temp_stage",[2]stages!$2:$2,0)+1,FALSE)</f>
        <v>台湾版降臨10</v>
      </c>
      <c r="H16" s="73">
        <v>4</v>
      </c>
      <c r="I16" s="78">
        <f t="shared" si="0"/>
        <v>15</v>
      </c>
      <c r="J16" s="74" t="str">
        <f t="shared" si="2"/>
        <v>4801415</v>
      </c>
      <c r="K16" s="72" t="s">
        <v>158</v>
      </c>
      <c r="L16" s="75" t="s">
        <v>197</v>
      </c>
      <c r="M16" s="98" t="s">
        <v>310</v>
      </c>
      <c r="N16" s="45" t="s">
        <v>260</v>
      </c>
    </row>
    <row r="17" spans="1:14" ht="42" x14ac:dyDescent="0.15">
      <c r="A17" s="69" t="s">
        <v>157</v>
      </c>
      <c r="B17" s="70">
        <f>floors!$C$2</f>
        <v>48014</v>
      </c>
      <c r="C17" s="71" t="str">
        <f ca="1">VLOOKUP($B17,OFFSET([2]quests!$A$1,0,0,COUNTA([2]quests!$A:$A),MATCH(C$1,[2]quests!$1:$1,0)-MATCH($B$1,[2]quests!$1:$1,0)+1),MATCH(C$1,[2]quests!$1:$1,0)-MATCH($B$1,[2]quests!$1:$1,0)+1,FALSE)</f>
        <v>藍采和襲来！</v>
      </c>
      <c r="D17" s="71" t="str">
        <f ca="1">VLOOKUP($B17,OFFSET([2]quests!$A$1,0,0,COUNTA([2]quests!$A:$A),MATCH(D$1,[2]quests!$1:$1,0)-MATCH($B$1,[2]quests!$1:$1,0)+1),MATCH(D$1,[2]quests!$1:$1,0)-MATCH($B$1,[2]quests!$1:$1,0)+1,FALSE)</f>
        <v>台湾版降臨10</v>
      </c>
      <c r="E17" s="72">
        <v>2</v>
      </c>
      <c r="F17" s="71" t="str">
        <f ca="1">VLOOKUP($B17&amp;"_"&amp;$E17,OFFSET([2]stages!$A$1,0,0,COUNTA([2]stages!$A:$A),MATCH(F$1,[2]stages!$2:$2,0)-MATCH("temp_stage",[2]stages!$2:$2,0)+1),MATCH(F$1,[2]stages!$2:$2,0)-MATCH("temp_stage",[2]stages!$2:$2,0)+1,FALSE)</f>
        <v>【ウィザード級】藍采和襲来</v>
      </c>
      <c r="G17" s="71" t="str">
        <f ca="1">VLOOKUP($B17&amp;"_"&amp;$E17,OFFSET([2]stages!$A$1,0,0,COUNTA([2]stages!$A:$A),MATCH(G$1,[2]stages!$2:$2,0)-MATCH("temp_stage",[2]stages!$2:$2,0)+1),MATCH(G$1,[2]stages!$2:$2,0)-MATCH("temp_stage",[2]stages!$2:$2,0)+1,FALSE)</f>
        <v>台湾版降臨10</v>
      </c>
      <c r="H17" s="73">
        <v>4</v>
      </c>
      <c r="I17" s="78">
        <f t="shared" si="0"/>
        <v>16</v>
      </c>
      <c r="J17" s="74" t="str">
        <f t="shared" si="2"/>
        <v>4801416</v>
      </c>
      <c r="K17" s="72" t="s">
        <v>158</v>
      </c>
      <c r="L17" s="75" t="s">
        <v>197</v>
      </c>
      <c r="M17" s="98" t="s">
        <v>308</v>
      </c>
      <c r="N17" s="45" t="s">
        <v>260</v>
      </c>
    </row>
    <row r="18" spans="1:14" ht="42" x14ac:dyDescent="0.15">
      <c r="A18" s="69" t="s">
        <v>159</v>
      </c>
      <c r="B18" s="70">
        <f>floors!$C$2</f>
        <v>48014</v>
      </c>
      <c r="C18" s="71" t="str">
        <f ca="1">VLOOKUP($B18,OFFSET([2]quests!$A$1,0,0,COUNTA([2]quests!$A:$A),MATCH(C$1,[2]quests!$1:$1,0)-MATCH($B$1,[2]quests!$1:$1,0)+1),MATCH(C$1,[2]quests!$1:$1,0)-MATCH($B$1,[2]quests!$1:$1,0)+1,FALSE)</f>
        <v>藍采和襲来！</v>
      </c>
      <c r="D18" s="71" t="str">
        <f ca="1">VLOOKUP($B18,OFFSET([2]quests!$A$1,0,0,COUNTA([2]quests!$A:$A),MATCH(D$1,[2]quests!$1:$1,0)-MATCH($B$1,[2]quests!$1:$1,0)+1),MATCH(D$1,[2]quests!$1:$1,0)-MATCH($B$1,[2]quests!$1:$1,0)+1,FALSE)</f>
        <v>台湾版降臨10</v>
      </c>
      <c r="E18" s="72">
        <v>2</v>
      </c>
      <c r="F18" s="71" t="str">
        <f ca="1">VLOOKUP($B18&amp;"_"&amp;$E18,OFFSET([2]stages!$A$1,0,0,COUNTA([2]stages!$A:$A),MATCH(F$1,[2]stages!$2:$2,0)-MATCH("temp_stage",[2]stages!$2:$2,0)+1),MATCH(F$1,[2]stages!$2:$2,0)-MATCH("temp_stage",[2]stages!$2:$2,0)+1,FALSE)</f>
        <v>【ウィザード級】藍采和襲来</v>
      </c>
      <c r="G18" s="71" t="str">
        <f ca="1">VLOOKUP($B18&amp;"_"&amp;$E18,OFFSET([2]stages!$A$1,0,0,COUNTA([2]stages!$A:$A),MATCH(G$1,[2]stages!$2:$2,0)-MATCH("temp_stage",[2]stages!$2:$2,0)+1),MATCH(G$1,[2]stages!$2:$2,0)-MATCH("temp_stage",[2]stages!$2:$2,0)+1,FALSE)</f>
        <v>台湾版降臨10</v>
      </c>
      <c r="H18" s="73">
        <v>0</v>
      </c>
      <c r="I18" s="78">
        <f t="shared" si="0"/>
        <v>17</v>
      </c>
      <c r="J18" s="74" t="str">
        <f t="shared" si="2"/>
        <v>4801417</v>
      </c>
      <c r="K18" s="72" t="s">
        <v>158</v>
      </c>
      <c r="L18" s="75" t="s">
        <v>264</v>
      </c>
      <c r="M18" s="98" t="s">
        <v>265</v>
      </c>
      <c r="N18" s="45" t="s">
        <v>260</v>
      </c>
    </row>
    <row r="19" spans="1:14" ht="56" x14ac:dyDescent="0.15">
      <c r="A19" s="69" t="s">
        <v>159</v>
      </c>
      <c r="B19" s="70">
        <f>floors!$C$2</f>
        <v>48014</v>
      </c>
      <c r="C19" s="71" t="str">
        <f ca="1">VLOOKUP($B19,OFFSET([2]quests!$A$1,0,0,COUNTA([2]quests!$A:$A),MATCH(C$1,[2]quests!$1:$1,0)-MATCH($B$1,[2]quests!$1:$1,0)+1),MATCH(C$1,[2]quests!$1:$1,0)-MATCH($B$1,[2]quests!$1:$1,0)+1,FALSE)</f>
        <v>藍采和襲来！</v>
      </c>
      <c r="D19" s="71" t="str">
        <f ca="1">VLOOKUP($B19,OFFSET([2]quests!$A$1,0,0,COUNTA([2]quests!$A:$A),MATCH(D$1,[2]quests!$1:$1,0)-MATCH($B$1,[2]quests!$1:$1,0)+1),MATCH(D$1,[2]quests!$1:$1,0)-MATCH($B$1,[2]quests!$1:$1,0)+1,FALSE)</f>
        <v>台湾版降臨10</v>
      </c>
      <c r="E19" s="72">
        <v>2</v>
      </c>
      <c r="F19" s="71" t="str">
        <f ca="1">VLOOKUP($B19&amp;"_"&amp;$E19,OFFSET([2]stages!$A$1,0,0,COUNTA([2]stages!$A:$A),MATCH(F$1,[2]stages!$2:$2,0)-MATCH("temp_stage",[2]stages!$2:$2,0)+1),MATCH(F$1,[2]stages!$2:$2,0)-MATCH("temp_stage",[2]stages!$2:$2,0)+1,FALSE)</f>
        <v>【ウィザード級】藍采和襲来</v>
      </c>
      <c r="G19" s="71" t="str">
        <f ca="1">VLOOKUP($B19&amp;"_"&amp;$E19,OFFSET([2]stages!$A$1,0,0,COUNTA([2]stages!$A:$A),MATCH(G$1,[2]stages!$2:$2,0)-MATCH("temp_stage",[2]stages!$2:$2,0)+1),MATCH(G$1,[2]stages!$2:$2,0)-MATCH("temp_stage",[2]stages!$2:$2,0)+1,FALSE)</f>
        <v>台湾版降臨10</v>
      </c>
      <c r="H19" s="73">
        <v>0</v>
      </c>
      <c r="I19" s="78">
        <f t="shared" si="0"/>
        <v>18</v>
      </c>
      <c r="J19" s="74" t="str">
        <f t="shared" si="2"/>
        <v>4801418</v>
      </c>
      <c r="K19" s="72" t="s">
        <v>158</v>
      </c>
      <c r="L19" s="75" t="s">
        <v>266</v>
      </c>
      <c r="M19" s="98" t="s">
        <v>293</v>
      </c>
      <c r="N19" s="45" t="s">
        <v>260</v>
      </c>
    </row>
  </sheetData>
  <phoneticPr fontId="5"/>
  <dataValidations count="1">
    <dataValidation type="list" allowBlank="1" showInputMessage="1" showErrorMessage="1" sqref="A2:A19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82" t="s">
        <v>48</v>
      </c>
      <c r="B1" s="83" t="s">
        <v>125</v>
      </c>
      <c r="C1" s="65" t="s">
        <v>15</v>
      </c>
      <c r="D1" s="65" t="s">
        <v>25</v>
      </c>
      <c r="E1" s="83" t="s">
        <v>126</v>
      </c>
      <c r="F1" s="65" t="s">
        <v>15</v>
      </c>
      <c r="G1" s="65" t="s">
        <v>25</v>
      </c>
      <c r="H1" s="83" t="s">
        <v>145</v>
      </c>
      <c r="I1" s="83" t="s">
        <v>179</v>
      </c>
      <c r="J1" s="83" t="s">
        <v>128</v>
      </c>
      <c r="K1" s="61" t="s">
        <v>139</v>
      </c>
      <c r="L1" s="61" t="s">
        <v>129</v>
      </c>
      <c r="M1" s="61" t="s">
        <v>182</v>
      </c>
      <c r="N1" s="65" t="s">
        <v>15</v>
      </c>
      <c r="O1" s="61" t="s">
        <v>183</v>
      </c>
      <c r="P1" s="61" t="s">
        <v>45</v>
      </c>
      <c r="Q1" s="61" t="s">
        <v>185</v>
      </c>
      <c r="R1" s="61" t="s">
        <v>27</v>
      </c>
      <c r="S1" s="61" t="s">
        <v>29</v>
      </c>
      <c r="T1" s="61" t="s">
        <v>31</v>
      </c>
      <c r="U1" s="61" t="s">
        <v>33</v>
      </c>
      <c r="V1" s="61" t="s">
        <v>138</v>
      </c>
      <c r="W1" s="61" t="s">
        <v>140</v>
      </c>
      <c r="X1" s="61" t="s">
        <v>141</v>
      </c>
    </row>
    <row r="2" spans="1:24" x14ac:dyDescent="0.15">
      <c r="A2" s="84" t="str">
        <f t="shared" ref="A2:A3" si="0">B2&amp;"_"&amp;E2&amp;"_"&amp;I2</f>
        <v>48014_2_no_continue</v>
      </c>
      <c r="B2" s="99">
        <v>48014</v>
      </c>
      <c r="C2" s="71" t="str">
        <f ca="1">VLOOKUP($B2,OFFSET([2]quests!$A$1,0,0,COUNTA([2]quests!$A:$A),MATCH(C$1,[2]quests!$1:$1,0)-MATCH($B$1,[2]quests!$1:$1,0)+1),MATCH(C$1,[2]quests!$1:$1,0)-MATCH($B$1,[2]quests!$1:$1,0)+1,FALSE)</f>
        <v>藍采和襲来！</v>
      </c>
      <c r="D2" s="71" t="str">
        <f ca="1">VLOOKUP($B2,OFFSET([2]quests!$A$1,0,0,COUNTA([2]quests!$A:$A),MATCH(D$1,[2]quests!$1:$1,0)-MATCH($B$1,[2]quests!$1:$1,0)+1),MATCH(D$1,[2]quests!$1:$1,0)-MATCH($B$1,[2]quests!$1:$1,0)+1,FALSE)</f>
        <v>台湾版降臨10</v>
      </c>
      <c r="E2" s="72">
        <v>2</v>
      </c>
      <c r="F2" s="71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【ウィザード級】藍采和襲来</v>
      </c>
      <c r="G2" s="71" t="str">
        <f ca="1">VLOOKUP($B2&amp;"_"&amp;$E2,OFFSET([2]stages!$A$1,0,0,COUNTA([2]stages!$A:$A),MATCH(G$1,[2]stages!$2:$2,0)-MATCH("temp_stage",[2]stages!$2:$2,0)+1),MATCH(G$1,[2]stages!$2:$2,0)-MATCH("temp_stage",[2]stages!$2:$2,0)+1,FALSE)</f>
        <v>台湾版降臨10</v>
      </c>
      <c r="H2" s="73" t="s">
        <v>171</v>
      </c>
      <c r="I2" s="72" t="s">
        <v>173</v>
      </c>
      <c r="J2" s="72">
        <v>1</v>
      </c>
      <c r="K2" s="72">
        <v>1000</v>
      </c>
      <c r="L2" s="72" t="s">
        <v>243</v>
      </c>
      <c r="M2" s="72">
        <v>8041</v>
      </c>
      <c r="N2" s="85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藍采和</v>
      </c>
      <c r="O2" s="72">
        <v>1</v>
      </c>
      <c r="P2" s="72">
        <v>1</v>
      </c>
      <c r="Q2" s="72">
        <v>1</v>
      </c>
      <c r="R2" s="72">
        <v>0</v>
      </c>
      <c r="S2" s="72">
        <v>0</v>
      </c>
      <c r="T2" s="72">
        <v>0</v>
      </c>
      <c r="U2" s="72">
        <v>0</v>
      </c>
      <c r="V2" s="72">
        <v>1</v>
      </c>
      <c r="W2" s="86" t="s">
        <v>267</v>
      </c>
      <c r="X2" s="87" t="s">
        <v>172</v>
      </c>
    </row>
    <row r="3" spans="1:24" x14ac:dyDescent="0.15">
      <c r="A3" s="84" t="str">
        <f t="shared" si="0"/>
        <v>48014_2_full_member</v>
      </c>
      <c r="B3" s="99">
        <v>48014</v>
      </c>
      <c r="C3" s="71" t="str">
        <f ca="1">VLOOKUP($B3,OFFSET([2]quests!$A$1,0,0,COUNTA([2]quests!$A:$A),MATCH(C$1,[2]quests!$1:$1,0)-MATCH($B$1,[2]quests!$1:$1,0)+1),MATCH(C$1,[2]quests!$1:$1,0)-MATCH($B$1,[2]quests!$1:$1,0)+1,FALSE)</f>
        <v>藍采和襲来！</v>
      </c>
      <c r="D3" s="71" t="str">
        <f ca="1">VLOOKUP($B3,OFFSET([2]quests!$A$1,0,0,COUNTA([2]quests!$A:$A),MATCH(D$1,[2]quests!$1:$1,0)-MATCH($B$1,[2]quests!$1:$1,0)+1),MATCH(D$1,[2]quests!$1:$1,0)-MATCH($B$1,[2]quests!$1:$1,0)+1,FALSE)</f>
        <v>台湾版降臨10</v>
      </c>
      <c r="E3" s="72">
        <v>2</v>
      </c>
      <c r="F3" s="71" t="str">
        <f ca="1">VLOOKUP($B3&amp;"_"&amp;$E3,OFFSET([2]stages!$A$1,0,0,COUNTA([2]stages!$A:$A),MATCH(F$1,[2]stages!$2:$2,0)-MATCH("temp_stage",[2]stages!$2:$2,0)+1),MATCH(F$1,[2]stages!$2:$2,0)-MATCH("temp_stage",[2]stages!$2:$2,0)+1,FALSE)</f>
        <v>【ウィザード級】藍采和襲来</v>
      </c>
      <c r="G3" s="71" t="str">
        <f ca="1">VLOOKUP($B3&amp;"_"&amp;$E3,OFFSET([2]stages!$A$1,0,0,COUNTA([2]stages!$A:$A),MATCH(G$1,[2]stages!$2:$2,0)-MATCH("temp_stage",[2]stages!$2:$2,0)+1),MATCH(G$1,[2]stages!$2:$2,0)-MATCH("temp_stage",[2]stages!$2:$2,0)+1,FALSE)</f>
        <v>台湾版降臨10</v>
      </c>
      <c r="H3" s="73" t="s">
        <v>171</v>
      </c>
      <c r="I3" s="72" t="s">
        <v>268</v>
      </c>
      <c r="J3" s="72">
        <v>2</v>
      </c>
      <c r="K3" s="72">
        <v>1000</v>
      </c>
      <c r="L3" s="72" t="s">
        <v>243</v>
      </c>
      <c r="M3" s="72">
        <v>8041</v>
      </c>
      <c r="N3" s="85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>藍采和</v>
      </c>
      <c r="O3" s="72">
        <v>1</v>
      </c>
      <c r="P3" s="72">
        <v>1</v>
      </c>
      <c r="Q3" s="72">
        <v>1</v>
      </c>
      <c r="R3" s="72">
        <v>0</v>
      </c>
      <c r="S3" s="72">
        <v>0</v>
      </c>
      <c r="T3" s="72">
        <v>0</v>
      </c>
      <c r="U3" s="72">
        <v>0</v>
      </c>
      <c r="V3" s="72">
        <v>1</v>
      </c>
      <c r="W3" s="86" t="s">
        <v>267</v>
      </c>
      <c r="X3" s="87" t="s">
        <v>172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2017-05-01T05:38:04Z</dcterms:modified>
</cp:coreProperties>
</file>