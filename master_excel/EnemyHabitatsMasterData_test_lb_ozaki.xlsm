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zakihitoshi/BULL_data/master_excel/"/>
    </mc:Choice>
  </mc:AlternateContent>
  <bookViews>
    <workbookView xWindow="7260" yWindow="1280" windowWidth="21800" windowHeight="1864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" i="11" l="1"/>
  <c r="O18" i="9"/>
  <c r="N18" i="9"/>
  <c r="M18" i="9"/>
  <c r="L18" i="9"/>
  <c r="K18" i="9"/>
  <c r="J18" i="9"/>
  <c r="I18" i="9"/>
  <c r="H18" i="9"/>
  <c r="G18" i="9"/>
  <c r="E18" i="9"/>
  <c r="D18" i="9"/>
  <c r="A18" i="9"/>
  <c r="O12" i="9"/>
  <c r="N12" i="9"/>
  <c r="M12" i="9"/>
  <c r="L12" i="9"/>
  <c r="K12" i="9"/>
  <c r="J12" i="9"/>
  <c r="I12" i="9"/>
  <c r="H12" i="9"/>
  <c r="G12" i="9"/>
  <c r="E12" i="9"/>
  <c r="D12" i="9"/>
  <c r="A12" i="9"/>
  <c r="J13" i="11"/>
  <c r="B18" i="10"/>
  <c r="M18" i="10"/>
  <c r="T18" i="10"/>
  <c r="W18" i="10"/>
  <c r="V18" i="10"/>
  <c r="X18" i="10"/>
  <c r="U18" i="10"/>
  <c r="Y18" i="10"/>
  <c r="B27" i="10"/>
  <c r="M27" i="10"/>
  <c r="S41" i="10"/>
  <c r="N27" i="10"/>
  <c r="Q27" i="10"/>
  <c r="P27" i="10"/>
  <c r="R27" i="10"/>
  <c r="O27" i="10"/>
  <c r="S27" i="10"/>
  <c r="N18" i="10"/>
  <c r="Q18" i="10"/>
  <c r="P18" i="10"/>
  <c r="R18" i="10"/>
  <c r="O18" i="10"/>
  <c r="S18" i="10"/>
  <c r="L18" i="10"/>
  <c r="B13" i="10"/>
  <c r="M13" i="10"/>
  <c r="T13" i="10"/>
  <c r="W13" i="10"/>
  <c r="V13" i="10"/>
  <c r="X13" i="10"/>
  <c r="U13" i="10"/>
  <c r="Y13" i="10"/>
  <c r="M24" i="10"/>
  <c r="S38" i="10"/>
  <c r="N24" i="10"/>
  <c r="Q24" i="10"/>
  <c r="P24" i="10"/>
  <c r="R24" i="10"/>
  <c r="O24" i="10"/>
  <c r="S24" i="10"/>
  <c r="N13" i="10"/>
  <c r="Q13" i="10"/>
  <c r="P13" i="10"/>
  <c r="R13" i="10"/>
  <c r="O13" i="10"/>
  <c r="S13" i="10"/>
  <c r="L13" i="10"/>
  <c r="B14" i="10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M14" i="10"/>
  <c r="T14" i="10"/>
  <c r="W14" i="10"/>
  <c r="V14" i="10"/>
  <c r="X14" i="10"/>
  <c r="U14" i="10"/>
  <c r="Y14" i="10"/>
  <c r="B23" i="10"/>
  <c r="M23" i="10"/>
  <c r="S37" i="10"/>
  <c r="N23" i="10"/>
  <c r="Q23" i="10"/>
  <c r="P23" i="10"/>
  <c r="R23" i="10"/>
  <c r="O23" i="10"/>
  <c r="S23" i="10"/>
  <c r="N14" i="10"/>
  <c r="Q14" i="10"/>
  <c r="P14" i="10"/>
  <c r="R14" i="10"/>
  <c r="O14" i="10"/>
  <c r="S14" i="10"/>
  <c r="L14" i="10"/>
  <c r="B19" i="10"/>
  <c r="B9" i="10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1" i="9"/>
  <c r="N21" i="9"/>
  <c r="M21" i="9"/>
  <c r="L21" i="9"/>
  <c r="K21" i="9"/>
  <c r="J21" i="9"/>
  <c r="I21" i="9"/>
  <c r="H21" i="9"/>
  <c r="G21" i="9"/>
  <c r="E21" i="9"/>
  <c r="D21" i="9"/>
  <c r="A21" i="9"/>
  <c r="O22" i="9"/>
  <c r="N22" i="9"/>
  <c r="M22" i="9"/>
  <c r="L22" i="9"/>
  <c r="K22" i="9"/>
  <c r="J22" i="9"/>
  <c r="I22" i="9"/>
  <c r="H22" i="9"/>
  <c r="G22" i="9"/>
  <c r="E22" i="9"/>
  <c r="D22" i="9"/>
  <c r="A22" i="9"/>
  <c r="J45" i="11"/>
  <c r="J46" i="11"/>
  <c r="J33" i="11"/>
  <c r="J34" i="11"/>
  <c r="J31" i="11"/>
  <c r="J30" i="11"/>
  <c r="J21" i="11"/>
  <c r="J22" i="11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L45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L46" i="10"/>
  <c r="B33" i="10"/>
  <c r="M33" i="10"/>
  <c r="T33" i="10"/>
  <c r="W33" i="10"/>
  <c r="V33" i="10"/>
  <c r="X33" i="10"/>
  <c r="U33" i="10"/>
  <c r="Y33" i="10"/>
  <c r="B47" i="10"/>
  <c r="M47" i="10"/>
  <c r="N47" i="10"/>
  <c r="Q47" i="10"/>
  <c r="P47" i="10"/>
  <c r="R47" i="10"/>
  <c r="O47" i="10"/>
  <c r="S47" i="10"/>
  <c r="N33" i="10"/>
  <c r="Q33" i="10"/>
  <c r="P33" i="10"/>
  <c r="R33" i="10"/>
  <c r="O33" i="10"/>
  <c r="S33" i="10"/>
  <c r="L33" i="10"/>
  <c r="B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L34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L31" i="10"/>
  <c r="M30" i="10"/>
  <c r="T30" i="10"/>
  <c r="W30" i="10"/>
  <c r="V30" i="10"/>
  <c r="X30" i="10"/>
  <c r="U30" i="10"/>
  <c r="Y30" i="10"/>
  <c r="M44" i="10"/>
  <c r="N44" i="10"/>
  <c r="Q44" i="10"/>
  <c r="P44" i="10"/>
  <c r="R44" i="10"/>
  <c r="O44" i="10"/>
  <c r="S44" i="10"/>
  <c r="N30" i="10"/>
  <c r="Q30" i="10"/>
  <c r="P30" i="10"/>
  <c r="R30" i="10"/>
  <c r="O30" i="10"/>
  <c r="S30" i="10"/>
  <c r="L30" i="10"/>
  <c r="B21" i="10"/>
  <c r="M21" i="10"/>
  <c r="T21" i="10"/>
  <c r="W21" i="10"/>
  <c r="V21" i="10"/>
  <c r="X21" i="10"/>
  <c r="U21" i="10"/>
  <c r="Y21" i="10"/>
  <c r="M29" i="10"/>
  <c r="B43" i="10"/>
  <c r="M43" i="10"/>
  <c r="B48" i="10"/>
  <c r="M48" i="10"/>
  <c r="N48" i="10"/>
  <c r="Q48" i="10"/>
  <c r="P48" i="10"/>
  <c r="R48" i="10"/>
  <c r="O48" i="10"/>
  <c r="S48" i="10"/>
  <c r="N43" i="10"/>
  <c r="Q43" i="10"/>
  <c r="P43" i="10"/>
  <c r="R43" i="10"/>
  <c r="O43" i="10"/>
  <c r="S43" i="10"/>
  <c r="N29" i="10"/>
  <c r="Q29" i="10"/>
  <c r="P29" i="10"/>
  <c r="R29" i="10"/>
  <c r="O29" i="10"/>
  <c r="S29" i="10"/>
  <c r="N21" i="10"/>
  <c r="Q21" i="10"/>
  <c r="P21" i="10"/>
  <c r="R21" i="10"/>
  <c r="O21" i="10"/>
  <c r="S21" i="10"/>
  <c r="L21" i="10"/>
  <c r="B22" i="10"/>
  <c r="M22" i="10"/>
  <c r="T22" i="10"/>
  <c r="W22" i="10"/>
  <c r="V22" i="10"/>
  <c r="X22" i="10"/>
  <c r="U22" i="10"/>
  <c r="Y22" i="10"/>
  <c r="B32" i="10"/>
  <c r="M3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L22" i="10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21" i="18"/>
  <c r="D21" i="18"/>
  <c r="C33" i="18"/>
  <c r="D33" i="18"/>
  <c r="C9" i="18"/>
  <c r="D9" i="18"/>
  <c r="C32" i="18"/>
  <c r="D32" i="18"/>
  <c r="C31" i="18"/>
  <c r="D31" i="18"/>
  <c r="C30" i="18"/>
  <c r="D30" i="18"/>
  <c r="C22" i="18"/>
  <c r="D22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8" i="18"/>
  <c r="D8" i="18"/>
  <c r="C7" i="18"/>
  <c r="D7" i="18"/>
  <c r="C6" i="18"/>
  <c r="D6" i="18"/>
  <c r="C5" i="18"/>
  <c r="D5" i="18"/>
  <c r="C4" i="18"/>
  <c r="D4" i="18"/>
  <c r="C3" i="18"/>
  <c r="D3" i="18"/>
  <c r="AE20" i="1"/>
  <c r="AF20" i="1"/>
  <c r="AG20" i="1"/>
  <c r="B12" i="10"/>
  <c r="L12" i="10"/>
  <c r="M12" i="10"/>
  <c r="B37" i="10"/>
  <c r="M37" i="10"/>
  <c r="N37" i="10"/>
  <c r="Q37" i="10"/>
  <c r="P37" i="10"/>
  <c r="R37" i="10"/>
  <c r="O37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9" i="10"/>
  <c r="M19" i="10"/>
  <c r="B28" i="10"/>
  <c r="M28" i="10"/>
  <c r="B42" i="10"/>
  <c r="M42" i="10"/>
  <c r="N42" i="10"/>
  <c r="Q42" i="10"/>
  <c r="P42" i="10"/>
  <c r="R42" i="10"/>
  <c r="O42" i="10"/>
  <c r="S42" i="10"/>
  <c r="N28" i="10"/>
  <c r="Q28" i="10"/>
  <c r="P28" i="10"/>
  <c r="R28" i="10"/>
  <c r="O28" i="10"/>
  <c r="S28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J12" i="11"/>
  <c r="J19" i="11"/>
  <c r="B8" i="10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T48" i="10"/>
  <c r="W48" i="10"/>
  <c r="V48" i="10"/>
  <c r="X48" i="10"/>
  <c r="U48" i="10"/>
  <c r="Y48" i="10"/>
  <c r="L48" i="10"/>
  <c r="A47" i="9"/>
  <c r="J47" i="11"/>
  <c r="O47" i="9"/>
  <c r="N47" i="9"/>
  <c r="M47" i="9"/>
  <c r="L47" i="9"/>
  <c r="K47" i="9"/>
  <c r="J47" i="9"/>
  <c r="I47" i="9"/>
  <c r="H47" i="9"/>
  <c r="G47" i="9"/>
  <c r="E47" i="9"/>
  <c r="D47" i="9"/>
  <c r="T47" i="10"/>
  <c r="W47" i="10"/>
  <c r="V47" i="10"/>
  <c r="X47" i="10"/>
  <c r="U47" i="10"/>
  <c r="Y47" i="10"/>
  <c r="L47" i="10"/>
  <c r="E20" i="9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E32" i="9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B16" i="10"/>
  <c r="B2" i="10"/>
  <c r="G2" i="10"/>
  <c r="H2" i="10"/>
  <c r="B3" i="10"/>
  <c r="G3" i="10"/>
  <c r="H3" i="10"/>
  <c r="B4" i="10"/>
  <c r="B5" i="10"/>
  <c r="B6" i="10"/>
  <c r="B7" i="10"/>
  <c r="D37" i="9"/>
  <c r="J44" i="11"/>
  <c r="J43" i="11"/>
  <c r="J42" i="11"/>
  <c r="J41" i="11"/>
  <c r="J40" i="11"/>
  <c r="J39" i="11"/>
  <c r="J38" i="11"/>
  <c r="J37" i="11"/>
  <c r="J36" i="11"/>
  <c r="J35" i="11"/>
  <c r="J32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2" i="9"/>
  <c r="N32" i="9"/>
  <c r="M32" i="9"/>
  <c r="L32" i="9"/>
  <c r="K32" i="9"/>
  <c r="J32" i="9"/>
  <c r="I32" i="9"/>
  <c r="H32" i="9"/>
  <c r="G32" i="9"/>
  <c r="D32" i="9"/>
  <c r="A32" i="9"/>
  <c r="T44" i="10"/>
  <c r="W44" i="10"/>
  <c r="V44" i="10"/>
  <c r="X44" i="10"/>
  <c r="U44" i="10"/>
  <c r="Y44" i="10"/>
  <c r="L44" i="10"/>
  <c r="T43" i="10"/>
  <c r="W43" i="10"/>
  <c r="V43" i="10"/>
  <c r="X43" i="10"/>
  <c r="U43" i="10"/>
  <c r="Y43" i="10"/>
  <c r="L43" i="10"/>
  <c r="T42" i="10"/>
  <c r="W42" i="10"/>
  <c r="V42" i="10"/>
  <c r="X42" i="10"/>
  <c r="U42" i="10"/>
  <c r="Y42" i="10"/>
  <c r="L42" i="10"/>
  <c r="B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L41" i="10"/>
  <c r="B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L40" i="10"/>
  <c r="B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L39" i="10"/>
  <c r="B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L38" i="10"/>
  <c r="T37" i="10"/>
  <c r="W37" i="10"/>
  <c r="V37" i="10"/>
  <c r="X37" i="10"/>
  <c r="U37" i="10"/>
  <c r="Y37" i="10"/>
  <c r="L37" i="10"/>
  <c r="B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L36" i="10"/>
  <c r="B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L35" i="10"/>
  <c r="T32" i="10"/>
  <c r="W32" i="10"/>
  <c r="V32" i="10"/>
  <c r="X32" i="10"/>
  <c r="U32" i="10"/>
  <c r="Y32" i="10"/>
  <c r="L32" i="10"/>
  <c r="J2" i="11"/>
  <c r="O2" i="9"/>
  <c r="N2" i="9"/>
  <c r="M2" i="9"/>
  <c r="L2" i="9"/>
  <c r="K2" i="9"/>
  <c r="J2" i="9"/>
  <c r="I2" i="9"/>
  <c r="H2" i="9"/>
  <c r="G2" i="9"/>
  <c r="E2" i="9"/>
  <c r="D2" i="9"/>
  <c r="A2" i="9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J2" i="10"/>
  <c r="I2" i="10"/>
  <c r="K2" i="10"/>
  <c r="L2" i="10"/>
  <c r="B24" i="10"/>
  <c r="B10" i="10"/>
  <c r="B11" i="10"/>
  <c r="B15" i="10"/>
  <c r="B17" i="10"/>
  <c r="B20" i="10"/>
  <c r="B25" i="10"/>
  <c r="B26" i="10"/>
  <c r="J29" i="11"/>
  <c r="J27" i="11"/>
  <c r="J28" i="11"/>
  <c r="J26" i="11"/>
  <c r="T29" i="10"/>
  <c r="W29" i="10"/>
  <c r="V29" i="10"/>
  <c r="X29" i="10"/>
  <c r="U29" i="10"/>
  <c r="Y29" i="10"/>
  <c r="L29" i="10"/>
  <c r="T28" i="10"/>
  <c r="W28" i="10"/>
  <c r="V28" i="10"/>
  <c r="X28" i="10"/>
  <c r="U28" i="10"/>
  <c r="Y28" i="10"/>
  <c r="L28" i="10"/>
  <c r="T27" i="10"/>
  <c r="W27" i="10"/>
  <c r="V27" i="10"/>
  <c r="X27" i="10"/>
  <c r="U27" i="10"/>
  <c r="Y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L25" i="10"/>
  <c r="T24" i="10"/>
  <c r="W24" i="10"/>
  <c r="V24" i="10"/>
  <c r="X24" i="10"/>
  <c r="U24" i="10"/>
  <c r="Y24" i="10"/>
  <c r="L24" i="10"/>
  <c r="T23" i="10"/>
  <c r="W23" i="10"/>
  <c r="V23" i="10"/>
  <c r="X23" i="10"/>
  <c r="U23" i="10"/>
  <c r="Y23" i="10"/>
  <c r="L23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L15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L4" i="10"/>
  <c r="O26" i="9"/>
  <c r="N26" i="9"/>
  <c r="M26" i="9"/>
  <c r="L26" i="9"/>
  <c r="K26" i="9"/>
  <c r="J26" i="9"/>
  <c r="I26" i="9"/>
  <c r="H26" i="9"/>
  <c r="G26" i="9"/>
  <c r="E26" i="9"/>
  <c r="D26" i="9"/>
  <c r="A26" i="9"/>
  <c r="Y4" i="7"/>
  <c r="Y3" i="7"/>
  <c r="Y2" i="7"/>
  <c r="E4" i="9"/>
  <c r="X3" i="1"/>
  <c r="E5" i="9"/>
  <c r="X4" i="1"/>
  <c r="X5" i="1"/>
  <c r="E6" i="9"/>
  <c r="X6" i="1"/>
  <c r="E7" i="9"/>
  <c r="X7" i="1"/>
  <c r="E8" i="9"/>
  <c r="X8" i="1"/>
  <c r="E10" i="9"/>
  <c r="X9" i="1"/>
  <c r="E15" i="9"/>
  <c r="X10" i="1"/>
  <c r="E16" i="9"/>
  <c r="X11" i="1"/>
  <c r="E3" i="9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2" i="1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25" i="11"/>
  <c r="J24" i="11"/>
  <c r="J23" i="11"/>
  <c r="J20" i="11"/>
  <c r="J16" i="11"/>
  <c r="J15" i="11"/>
  <c r="J11" i="11"/>
  <c r="J10" i="11"/>
  <c r="J9" i="11"/>
  <c r="J8" i="11"/>
  <c r="J7" i="11"/>
  <c r="J6" i="11"/>
  <c r="J5" i="11"/>
  <c r="J4" i="11"/>
  <c r="J3" i="11"/>
  <c r="A4" i="9"/>
  <c r="D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3" i="9"/>
  <c r="D13" i="9"/>
  <c r="E13" i="9"/>
  <c r="G13" i="9"/>
  <c r="H13" i="9"/>
  <c r="I13" i="9"/>
  <c r="J13" i="9"/>
  <c r="K13" i="9"/>
  <c r="L13" i="9"/>
  <c r="M13" i="9"/>
  <c r="N13" i="9"/>
  <c r="O13" i="9"/>
  <c r="A15" i="9"/>
  <c r="D15" i="9"/>
  <c r="G15" i="9"/>
  <c r="H15" i="9"/>
  <c r="I15" i="9"/>
  <c r="J15" i="9"/>
  <c r="K15" i="9"/>
  <c r="L15" i="9"/>
  <c r="M15" i="9"/>
  <c r="N15" i="9"/>
  <c r="O15" i="9"/>
  <c r="A16" i="9"/>
  <c r="D16" i="9"/>
  <c r="G16" i="9"/>
  <c r="H16" i="9"/>
  <c r="I16" i="9"/>
  <c r="J16" i="9"/>
  <c r="K16" i="9"/>
  <c r="L16" i="9"/>
  <c r="M16" i="9"/>
  <c r="N16" i="9"/>
  <c r="O16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G20" i="9"/>
  <c r="H20" i="9"/>
  <c r="I20" i="9"/>
  <c r="J20" i="9"/>
  <c r="K20" i="9"/>
  <c r="L20" i="9"/>
  <c r="M20" i="9"/>
  <c r="N20" i="9"/>
  <c r="O20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D2" i="1"/>
  <c r="E2" i="1"/>
  <c r="F2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A3" i="1"/>
  <c r="H3" i="1"/>
  <c r="I3" i="1"/>
  <c r="J3" i="1"/>
  <c r="M3" i="1"/>
  <c r="N3" i="1"/>
  <c r="O3" i="1"/>
  <c r="P3" i="1"/>
  <c r="Q3" i="1"/>
  <c r="T3" i="1"/>
  <c r="V3" i="1"/>
  <c r="AE3" i="1"/>
  <c r="AF3" i="1"/>
  <c r="AG3" i="1"/>
  <c r="AI3" i="1"/>
  <c r="A4" i="1"/>
  <c r="H4" i="1"/>
  <c r="I4" i="1"/>
  <c r="J4" i="1"/>
  <c r="M4" i="1"/>
  <c r="N4" i="1"/>
  <c r="O4" i="1"/>
  <c r="P4" i="1"/>
  <c r="Q4" i="1"/>
  <c r="T4" i="1"/>
  <c r="V4" i="1"/>
  <c r="AE4" i="1"/>
  <c r="AF4" i="1"/>
  <c r="AG4" i="1"/>
  <c r="AI4" i="1"/>
  <c r="A5" i="1"/>
  <c r="H5" i="1"/>
  <c r="I5" i="1"/>
  <c r="J5" i="1"/>
  <c r="M5" i="1"/>
  <c r="N5" i="1"/>
  <c r="O5" i="1"/>
  <c r="P5" i="1"/>
  <c r="Q5" i="1"/>
  <c r="T5" i="1"/>
  <c r="V5" i="1"/>
  <c r="AE5" i="1"/>
  <c r="AF5" i="1"/>
  <c r="AG5" i="1"/>
  <c r="AI5" i="1"/>
  <c r="A6" i="1"/>
  <c r="H6" i="1"/>
  <c r="I6" i="1"/>
  <c r="J6" i="1"/>
  <c r="M6" i="1"/>
  <c r="N6" i="1"/>
  <c r="O6" i="1"/>
  <c r="P6" i="1"/>
  <c r="Q6" i="1"/>
  <c r="T6" i="1"/>
  <c r="V6" i="1"/>
  <c r="AE6" i="1"/>
  <c r="AF6" i="1"/>
  <c r="AG6" i="1"/>
  <c r="AI6" i="1"/>
  <c r="A7" i="1"/>
  <c r="H7" i="1"/>
  <c r="I7" i="1"/>
  <c r="J7" i="1"/>
  <c r="M7" i="1"/>
  <c r="N7" i="1"/>
  <c r="O7" i="1"/>
  <c r="P7" i="1"/>
  <c r="Q7" i="1"/>
  <c r="T7" i="1"/>
  <c r="V7" i="1"/>
  <c r="AE7" i="1"/>
  <c r="AF7" i="1"/>
  <c r="AG7" i="1"/>
  <c r="AI7" i="1"/>
  <c r="A8" i="1"/>
  <c r="H8" i="1"/>
  <c r="I8" i="1"/>
  <c r="J8" i="1"/>
  <c r="M8" i="1"/>
  <c r="N8" i="1"/>
  <c r="O8" i="1"/>
  <c r="P8" i="1"/>
  <c r="Q8" i="1"/>
  <c r="T8" i="1"/>
  <c r="V8" i="1"/>
  <c r="AE8" i="1"/>
  <c r="AF8" i="1"/>
  <c r="AG8" i="1"/>
  <c r="AI8" i="1"/>
  <c r="A9" i="1"/>
  <c r="H9" i="1"/>
  <c r="I9" i="1"/>
  <c r="J9" i="1"/>
  <c r="M9" i="1"/>
  <c r="N9" i="1"/>
  <c r="O9" i="1"/>
  <c r="P9" i="1"/>
  <c r="Q9" i="1"/>
  <c r="T9" i="1"/>
  <c r="V9" i="1"/>
  <c r="AE9" i="1"/>
  <c r="AF9" i="1"/>
  <c r="AG9" i="1"/>
  <c r="AI9" i="1"/>
  <c r="A10" i="1"/>
  <c r="H10" i="1"/>
  <c r="I10" i="1"/>
  <c r="J10" i="1"/>
  <c r="M10" i="1"/>
  <c r="N10" i="1"/>
  <c r="O10" i="1"/>
  <c r="P10" i="1"/>
  <c r="Q10" i="1"/>
  <c r="T10" i="1"/>
  <c r="V10" i="1"/>
  <c r="AE10" i="1"/>
  <c r="AF10" i="1"/>
  <c r="AG10" i="1"/>
  <c r="AI10" i="1"/>
  <c r="A11" i="1"/>
  <c r="H11" i="1"/>
  <c r="I11" i="1"/>
  <c r="J11" i="1"/>
  <c r="M11" i="1"/>
  <c r="N11" i="1"/>
  <c r="O11" i="1"/>
  <c r="P11" i="1"/>
  <c r="Q11" i="1"/>
  <c r="T11" i="1"/>
  <c r="V11" i="1"/>
  <c r="AE11" i="1"/>
  <c r="AF11" i="1"/>
  <c r="AG11" i="1"/>
  <c r="AI11" i="1"/>
  <c r="A12" i="1"/>
  <c r="H12" i="1"/>
  <c r="I12" i="1"/>
  <c r="J12" i="1"/>
  <c r="M12" i="1"/>
  <c r="N12" i="1"/>
  <c r="O12" i="1"/>
  <c r="P12" i="1"/>
  <c r="Q12" i="1"/>
  <c r="T12" i="1"/>
  <c r="V12" i="1"/>
  <c r="AE12" i="1"/>
  <c r="AF12" i="1"/>
  <c r="AG12" i="1"/>
  <c r="AI12" i="1"/>
  <c r="A13" i="1"/>
  <c r="H13" i="1"/>
  <c r="I13" i="1"/>
  <c r="J13" i="1"/>
  <c r="M13" i="1"/>
  <c r="N13" i="1"/>
  <c r="O13" i="1"/>
  <c r="P13" i="1"/>
  <c r="Q13" i="1"/>
  <c r="T13" i="1"/>
  <c r="V13" i="1"/>
  <c r="AE13" i="1"/>
  <c r="AF13" i="1"/>
  <c r="AG13" i="1"/>
  <c r="AI13" i="1"/>
  <c r="A14" i="1"/>
  <c r="H14" i="1"/>
  <c r="I14" i="1"/>
  <c r="J14" i="1"/>
  <c r="M14" i="1"/>
  <c r="N14" i="1"/>
  <c r="O14" i="1"/>
  <c r="P14" i="1"/>
  <c r="Q14" i="1"/>
  <c r="T14" i="1"/>
  <c r="V14" i="1"/>
  <c r="AE14" i="1"/>
  <c r="AF14" i="1"/>
  <c r="AG14" i="1"/>
  <c r="AI14" i="1"/>
  <c r="A15" i="1"/>
  <c r="H15" i="1"/>
  <c r="I15" i="1"/>
  <c r="J15" i="1"/>
  <c r="M15" i="1"/>
  <c r="N15" i="1"/>
  <c r="O15" i="1"/>
  <c r="P15" i="1"/>
  <c r="Q15" i="1"/>
  <c r="T15" i="1"/>
  <c r="V15" i="1"/>
  <c r="AE15" i="1"/>
  <c r="AF15" i="1"/>
  <c r="AG15" i="1"/>
  <c r="AI15" i="1"/>
  <c r="A16" i="1"/>
  <c r="H16" i="1"/>
  <c r="I16" i="1"/>
  <c r="J16" i="1"/>
  <c r="M16" i="1"/>
  <c r="N16" i="1"/>
  <c r="O16" i="1"/>
  <c r="P16" i="1"/>
  <c r="Q16" i="1"/>
  <c r="T16" i="1"/>
  <c r="V16" i="1"/>
  <c r="AE16" i="1"/>
  <c r="AF16" i="1"/>
  <c r="AG16" i="1"/>
  <c r="AI16" i="1"/>
  <c r="A17" i="1"/>
  <c r="H17" i="1"/>
  <c r="I17" i="1"/>
  <c r="J17" i="1"/>
  <c r="M17" i="1"/>
  <c r="N17" i="1"/>
  <c r="O17" i="1"/>
  <c r="P17" i="1"/>
  <c r="Q17" i="1"/>
  <c r="T17" i="1"/>
  <c r="V17" i="1"/>
  <c r="AE17" i="1"/>
  <c r="AF17" i="1"/>
  <c r="AG17" i="1"/>
  <c r="AI17" i="1"/>
  <c r="A18" i="1"/>
  <c r="H18" i="1"/>
  <c r="I18" i="1"/>
  <c r="J18" i="1"/>
  <c r="M18" i="1"/>
  <c r="N18" i="1"/>
  <c r="O18" i="1"/>
  <c r="P18" i="1"/>
  <c r="Q18" i="1"/>
  <c r="T18" i="1"/>
  <c r="V18" i="1"/>
  <c r="AE18" i="1"/>
  <c r="AF18" i="1"/>
  <c r="AG18" i="1"/>
  <c r="AI18" i="1"/>
  <c r="A19" i="1"/>
  <c r="H19" i="1"/>
  <c r="I19" i="1"/>
  <c r="J19" i="1"/>
  <c r="M19" i="1"/>
  <c r="N19" i="1"/>
  <c r="O19" i="1"/>
  <c r="P19" i="1"/>
  <c r="Q19" i="1"/>
  <c r="T19" i="1"/>
  <c r="V19" i="1"/>
  <c r="AE19" i="1"/>
  <c r="AF19" i="1"/>
  <c r="AG19" i="1"/>
  <c r="AI19" i="1"/>
  <c r="A20" i="1"/>
  <c r="H20" i="1"/>
  <c r="I20" i="1"/>
  <c r="J20" i="1"/>
  <c r="M20" i="1"/>
  <c r="N20" i="1"/>
  <c r="O20" i="1"/>
  <c r="P20" i="1"/>
  <c r="Q20" i="1"/>
  <c r="T20" i="1"/>
  <c r="V20" i="1"/>
  <c r="AI20" i="1"/>
  <c r="A21" i="1"/>
  <c r="H21" i="1"/>
  <c r="I21" i="1"/>
  <c r="J21" i="1"/>
  <c r="M21" i="1"/>
  <c r="N21" i="1"/>
  <c r="O21" i="1"/>
  <c r="P21" i="1"/>
  <c r="Q21" i="1"/>
  <c r="T21" i="1"/>
  <c r="V21" i="1"/>
  <c r="AE21" i="1"/>
  <c r="AF21" i="1"/>
  <c r="AG21" i="1"/>
  <c r="AI21" i="1"/>
  <c r="A22" i="1"/>
  <c r="H22" i="1"/>
  <c r="I22" i="1"/>
  <c r="J22" i="1"/>
  <c r="M22" i="1"/>
  <c r="N22" i="1"/>
  <c r="O22" i="1"/>
  <c r="P22" i="1"/>
  <c r="Q22" i="1"/>
  <c r="T22" i="1"/>
  <c r="V22" i="1"/>
  <c r="AE22" i="1"/>
  <c r="AF22" i="1"/>
  <c r="AG22" i="1"/>
  <c r="AI22" i="1"/>
  <c r="A23" i="1"/>
  <c r="H23" i="1"/>
  <c r="I23" i="1"/>
  <c r="J23" i="1"/>
  <c r="M23" i="1"/>
  <c r="N23" i="1"/>
  <c r="O23" i="1"/>
  <c r="P23" i="1"/>
  <c r="Q23" i="1"/>
  <c r="T23" i="1"/>
  <c r="V23" i="1"/>
  <c r="AE23" i="1"/>
  <c r="AF23" i="1"/>
  <c r="AG23" i="1"/>
  <c r="AI23" i="1"/>
  <c r="A24" i="1"/>
  <c r="H24" i="1"/>
  <c r="I24" i="1"/>
  <c r="J24" i="1"/>
  <c r="M24" i="1"/>
  <c r="N24" i="1"/>
  <c r="O24" i="1"/>
  <c r="P24" i="1"/>
  <c r="Q24" i="1"/>
  <c r="T24" i="1"/>
  <c r="V24" i="1"/>
  <c r="AE24" i="1"/>
  <c r="AF24" i="1"/>
  <c r="AG24" i="1"/>
  <c r="AI24" i="1"/>
  <c r="A25" i="1"/>
  <c r="H25" i="1"/>
  <c r="I25" i="1"/>
  <c r="J25" i="1"/>
  <c r="M25" i="1"/>
  <c r="N25" i="1"/>
  <c r="O25" i="1"/>
  <c r="P25" i="1"/>
  <c r="Q25" i="1"/>
  <c r="T25" i="1"/>
  <c r="V25" i="1"/>
  <c r="AE25" i="1"/>
  <c r="AF25" i="1"/>
  <c r="AG25" i="1"/>
  <c r="AI25" i="1"/>
  <c r="A26" i="1"/>
  <c r="H26" i="1"/>
  <c r="I26" i="1"/>
  <c r="J26" i="1"/>
  <c r="M26" i="1"/>
  <c r="N26" i="1"/>
  <c r="O26" i="1"/>
  <c r="P26" i="1"/>
  <c r="Q26" i="1"/>
  <c r="T26" i="1"/>
  <c r="V26" i="1"/>
  <c r="AE26" i="1"/>
  <c r="AF26" i="1"/>
  <c r="AG26" i="1"/>
  <c r="AI26" i="1"/>
  <c r="A27" i="1"/>
  <c r="H27" i="1"/>
  <c r="I27" i="1"/>
  <c r="J27" i="1"/>
  <c r="M27" i="1"/>
  <c r="N27" i="1"/>
  <c r="O27" i="1"/>
  <c r="P27" i="1"/>
  <c r="Q27" i="1"/>
  <c r="T27" i="1"/>
  <c r="V27" i="1"/>
  <c r="AE27" i="1"/>
  <c r="AF27" i="1"/>
  <c r="AG27" i="1"/>
  <c r="AI27" i="1"/>
  <c r="A28" i="1"/>
  <c r="H28" i="1"/>
  <c r="I28" i="1"/>
  <c r="J28" i="1"/>
  <c r="M28" i="1"/>
  <c r="N28" i="1"/>
  <c r="O28" i="1"/>
  <c r="P28" i="1"/>
  <c r="Q28" i="1"/>
  <c r="T28" i="1"/>
  <c r="V28" i="1"/>
  <c r="AE28" i="1"/>
  <c r="AF28" i="1"/>
  <c r="AG28" i="1"/>
  <c r="AI28" i="1"/>
  <c r="A29" i="1"/>
  <c r="H29" i="1"/>
  <c r="I29" i="1"/>
  <c r="J29" i="1"/>
  <c r="M29" i="1"/>
  <c r="N29" i="1"/>
  <c r="O29" i="1"/>
  <c r="P29" i="1"/>
  <c r="Q29" i="1"/>
  <c r="T29" i="1"/>
  <c r="V29" i="1"/>
  <c r="AE29" i="1"/>
  <c r="AF29" i="1"/>
  <c r="AG29" i="1"/>
  <c r="AI29" i="1"/>
  <c r="A30" i="1"/>
  <c r="H30" i="1"/>
  <c r="I30" i="1"/>
  <c r="J30" i="1"/>
  <c r="M30" i="1"/>
  <c r="N30" i="1"/>
  <c r="O30" i="1"/>
  <c r="P30" i="1"/>
  <c r="Q30" i="1"/>
  <c r="T30" i="1"/>
  <c r="V30" i="1"/>
  <c r="AE30" i="1"/>
  <c r="AF30" i="1"/>
  <c r="AG30" i="1"/>
  <c r="AI30" i="1"/>
  <c r="A31" i="1"/>
  <c r="H31" i="1"/>
  <c r="I31" i="1"/>
  <c r="J31" i="1"/>
  <c r="M31" i="1"/>
  <c r="N31" i="1"/>
  <c r="O31" i="1"/>
  <c r="P31" i="1"/>
  <c r="Q31" i="1"/>
  <c r="T31" i="1"/>
  <c r="V31" i="1"/>
  <c r="AE31" i="1"/>
  <c r="AF31" i="1"/>
  <c r="AG31" i="1"/>
  <c r="AI31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O3" i="9"/>
  <c r="N3" i="9"/>
  <c r="M3" i="9"/>
  <c r="L3" i="9"/>
  <c r="K3" i="9"/>
  <c r="J3" i="9"/>
  <c r="I3" i="9"/>
  <c r="H3" i="9"/>
  <c r="G3" i="9"/>
  <c r="D3" i="9"/>
  <c r="E9" i="16"/>
  <c r="R2" i="7"/>
  <c r="Q2" i="7"/>
  <c r="P2" i="7"/>
  <c r="O2" i="7"/>
  <c r="N2" i="7"/>
  <c r="AG2" i="1"/>
  <c r="AF2" i="1"/>
  <c r="AE2" i="1"/>
  <c r="Q2" i="1"/>
  <c r="P2" i="1"/>
  <c r="O2" i="1"/>
  <c r="N2" i="1"/>
  <c r="M2" i="1"/>
  <c r="M3" i="10"/>
  <c r="T3" i="10"/>
  <c r="V3" i="10"/>
  <c r="N3" i="10"/>
  <c r="P3" i="10"/>
  <c r="I3" i="10"/>
  <c r="X3" i="10"/>
  <c r="W3" i="10"/>
  <c r="U3" i="10"/>
  <c r="Y3" i="10"/>
  <c r="R3" i="10"/>
  <c r="Q3" i="10"/>
  <c r="O3" i="10"/>
  <c r="S3" i="10"/>
  <c r="K3" i="10"/>
  <c r="J3" i="10"/>
  <c r="L3" i="10"/>
  <c r="H2" i="7"/>
  <c r="J2" i="7"/>
  <c r="E8" i="16"/>
  <c r="E7" i="16"/>
  <c r="E6" i="16"/>
  <c r="E5" i="16"/>
  <c r="E4" i="16"/>
  <c r="E3" i="16"/>
  <c r="E2" i="16"/>
  <c r="A2" i="1"/>
  <c r="AI2" i="1"/>
  <c r="A3" i="9"/>
  <c r="J2" i="1"/>
  <c r="I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<sst xmlns="http://schemas.openxmlformats.org/spreadsheetml/2006/main" count="1680" uniqueCount="457">
  <si>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</si>
  <si>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</si>
  <si>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</si>
  <si>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</si>
  <si>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</si>
  <si>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</si>
  <si>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</si>
  <si>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</si>
  <si>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</si>
  <si>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</si>
  <si>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</si>
  <si>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</si>
  <si>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</si>
  <si>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</si>
  <si>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</si>
  <si>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</si>
  <si>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</si>
  <si>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</si>
  <si>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</si>
  <si>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</si>
  <si>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</si>
  <si>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</si>
  <si>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</si>
  <si>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</si>
  <si>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</si>
  <si>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</si>
  <si>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</si>
  <si>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</si>
  <si>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</si>
  <si>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</si>
  <si>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</si>
  <si>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</si>
  <si>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</si>
  <si>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</si>
  <si>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</si>
  <si>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</si>
  <si>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</si>
  <si>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</si>
  <si>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</si>
  <si>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</si>
  <si>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</si>
  <si>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</si>
  <si>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</si>
  <si>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</si>
  <si>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</si>
  <si>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</si>
  <si>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</si>
  <si>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</si>
  <si>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</si>
  <si>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</si>
  <si>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</si>
  <si>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</si>
  <si>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</si>
  <si>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</si>
  <si>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</si>
  <si>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</si>
  <si>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</si>
  <si>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</si>
  <si>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</si>
  <si>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</si>
  <si>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</si>
  <si>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</si>
  <si>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</si>
  <si>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</si>
  <si>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</si>
  <si>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</si>
  <si>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</si>
  <si>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</si>
  <si>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</si>
  <si>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</si>
  <si>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</si>
  <si>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</si>
  <si>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</si>
  <si>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</si>
  <si>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</si>
  <si>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</si>
  <si>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</si>
  <si>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</si>
  <si>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</si>
  <si>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</si>
  <si>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</si>
  <si>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</si>
  <si>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</si>
  <si>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</si>
  <si>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</si>
  <si>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</si>
  <si>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</si>
  <si>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</si>
  <si>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</si>
  <si>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</si>
  <si>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</si>
  <si>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</si>
  <si>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</si>
  <si>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</si>
  <si>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</si>
  <si>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</si>
  <si>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</si>
  <si>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</si>
  <si>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</si>
  <si>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</si>
  <si>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</si>
  <si>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</si>
  <si>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</si>
  <si>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</si>
  <si>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</si>
  <si>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</si>
  <si>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</si>
  <si>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</si>
  <si>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</si>
  <si>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</si>
  <si>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</si>
  <si>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</si>
  <si>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</si>
  <si>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</si>
  <si>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</si>
  <si>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</si>
  <si>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</si>
  <si>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</si>
  <si>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</si>
  <si>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</si>
  <si>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</si>
  <si>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</si>
  <si>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</si>
  <si>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</si>
  <si>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</si>
  <si>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</si>
  <si>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</si>
  <si>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</si>
  <si>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</si>
  <si>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</si>
  <si>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</si>
  <si>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</si>
  <si>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</si>
  <si>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</si>
  <si>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</si>
  <si>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</si>
  <si>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</si>
  <si>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</si>
  <si>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</si>
  <si>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</si>
  <si>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</si>
  <si>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</si>
  <si>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</si>
  <si>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</si>
  <si>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</si>
  <si>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</si>
  <si>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</si>
  <si>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</si>
  <si>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</si>
  <si>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</si>
  <si>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</si>
  <si>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</si>
  <si>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</si>
  <si>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</si>
  <si>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</si>
  <si>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</si>
  <si>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</si>
  <si>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</si>
  <si>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</si>
  <si>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</si>
  <si>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</si>
  <si>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</si>
  <si>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</si>
  <si>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</si>
  <si>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</si>
  <si>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</si>
  <si>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</si>
  <si>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</si>
  <si>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</si>
  <si>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</si>
  <si>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</si>
  <si>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</si>
  <si>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</si>
  <si>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</si>
  <si>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</si>
  <si>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</si>
  <si>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</si>
  <si>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</si>
  <si>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</si>
  <si>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</si>
  <si>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</si>
  <si>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</si>
  <si>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</si>
  <si>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</si>
  <si>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</si>
  <si>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</si>
  <si>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</si>
  <si>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</si>
  <si>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</si>
  <si>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</si>
  <si>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</si>
  <si>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</si>
  <si>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</si>
  <si>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</si>
  <si>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</si>
  <si>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</si>
  <si>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</si>
  <si>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</si>
  <si>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</si>
  <si>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</si>
  <si>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</si>
  <si>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</si>
  <si>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</si>
  <si>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</si>
  <si>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</si>
  <si>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</si>
  <si>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</si>
  <si>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</si>
  <si>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</si>
  <si>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</si>
  <si>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</si>
  <si>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</si>
  <si>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</si>
  <si>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</si>
  <si>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</si>
  <si>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</si>
  <si>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</si>
  <si>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</si>
  <si>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</si>
  <si>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</si>
  <si>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</si>
  <si>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</si>
  <si>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</si>
  <si>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</si>
  <si>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</si>
  <si>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</si>
  <si>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</si>
  <si>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</si>
  <si>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</si>
  <si>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</si>
  <si>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</si>
  <si>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</si>
  <si>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</si>
  <si>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</si>
  <si>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</si>
  <si>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</si>
  <si>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</si>
  <si>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</si>
  <si>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</si>
  <si>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</si>
  <si>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</si>
  <si>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</si>
  <si>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</si>
  <si>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</si>
  <si>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</si>
  <si>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</si>
  <si>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</si>
  <si>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</si>
  <si>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</si>
  <si>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</si>
  <si>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</si>
  <si>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</si>
  <si>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</si>
  <si>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</si>
  <si>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[effect:critical, val:1.5, animation:enemy_critical]</t>
  </si>
  <si>
    <t>old</t>
    <phoneticPr fontId="5"/>
  </si>
  <si>
    <t>ファイアサポート</t>
  </si>
  <si>
    <t>クリティカル！</t>
  </si>
  <si>
    <t>ティアDLP 構築</t>
  </si>
  <si>
    <t>ティアサポート</t>
  </si>
  <si>
    <t>ダックスの防御力1000UP</t>
  </si>
  <si>
    <t>災害対策プログラム 作動</t>
  </si>
  <si>
    <t>やっぱり燃やすのがイチバンだッブ！</t>
  </si>
  <si>
    <t>いやーぁ、安全が第一ぶぅー</t>
  </si>
  <si>
    <t>コワいプゥ…もっと丈夫につつむプゥ…</t>
  </si>
  <si>
    <t>青パネルを吸収して全体にダメージ</t>
  </si>
  <si>
    <t>解除されるまで攻撃力を30%UP</t>
  </si>
  <si>
    <t>[effect:heal, target:enemy_all, val:0.3, animation:enemy_heal],[effect:spread, val:0.25]</t>
  </si>
  <si>
    <t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t>
  </si>
  <si>
    <t>[effect:force_change_block, new_block:damage, target:block_red, color:block_red, count:3, val:0.03, animation:change_block],[effect:rush, count:1, val:1.0]</t>
  </si>
  <si>
    <t>[effect:break_attack_fix, target:unit_all, val:80, lowest_val:1000, count:-1, color:yellow, block01:block_blue]</t>
  </si>
  <si>
    <t>[effect:force_change_block, new_block:jammer, target:block_yellow, count:3, val:0, animation:change_block],[effect:force_change_block, new_block:jammer, target:damage, count:0, val:0],[effect:rush, count:1, val:1.0]</t>
    <phoneticPr fontId="5"/>
  </si>
  <si>
    <t>[effect:panel_freeze, target:normal, color:block_blue, count:3],[effect:panel_freeze, target:jammer, count:0],[effect:force_change_block, new_block:block_blue, target:jammer, count:0, val:0],[effect:rush, count:1, val:1.0]</t>
    <phoneticPr fontId="5"/>
  </si>
  <si>
    <t>OUT-Yガードシステム停…止…</t>
    <phoneticPr fontId="5"/>
  </si>
  <si>
    <t>緊急事態、電脳要塞プロトコル 発動します</t>
    <rPh sb="0" eb="4">
      <t>キンキュウジt</t>
    </rPh>
    <rPh sb="5" eb="7">
      <t>デンn</t>
    </rPh>
    <rPh sb="7" eb="9">
      <t>ヨウサ</t>
    </rPh>
    <rPh sb="15" eb="17">
      <t>ハt</t>
    </rPh>
    <phoneticPr fontId="5"/>
  </si>
  <si>
    <t>アニキのトコ
には通さねぇ</t>
    <rPh sb="9" eb="10">
      <t>トオサn</t>
    </rPh>
    <phoneticPr fontId="5"/>
  </si>
  <si>
    <t>ファイアウォール 起動</t>
    <phoneticPr fontId="5"/>
  </si>
  <si>
    <t>威風</t>
    <rPh sb="0" eb="2">
      <t>イフ</t>
    </rPh>
    <phoneticPr fontId="5"/>
  </si>
  <si>
    <t>武威</t>
    <rPh sb="0" eb="2">
      <t>ブイ</t>
    </rPh>
    <phoneticPr fontId="5"/>
  </si>
  <si>
    <t>赤パネルをダメージパネルに3個変換+単体攻撃</t>
    <phoneticPr fontId="5"/>
  </si>
  <si>
    <t>ファイアフォックスの攻撃頻度UP+単体攻撃</t>
    <phoneticPr fontId="5"/>
  </si>
  <si>
    <t>青パネルをプロテクトパネルに3個変換+単体攻撃</t>
    <phoneticPr fontId="5"/>
  </si>
  <si>
    <t>ダックスの攻撃頻度UP+単体攻撃</t>
    <phoneticPr fontId="5"/>
  </si>
  <si>
    <t>種族Unknownの敵に大ダメージ</t>
    <phoneticPr fontId="5"/>
  </si>
  <si>
    <t>黄パネルをお邪魔パネルに3個変換+単体攻撃</t>
    <phoneticPr fontId="5"/>
  </si>
  <si>
    <t>全体30%回復+全体攻撃</t>
    <phoneticPr fontId="5"/>
  </si>
  <si>
    <t>トトの攻撃頻度UP+2回連続攻撃</t>
    <phoneticPr fontId="5"/>
  </si>
  <si>
    <t>赤パネルをダメージパネル、青パネルをプロテクトパネル、黄パネルをお邪魔パネルにそれぞれ2個ずつ変換</t>
    <phoneticPr fontId="5"/>
  </si>
  <si>
    <t>黄パネルを3個とダメージパネル全てをお邪魔パネルに変換+単体攻撃</t>
    <phoneticPr fontId="5"/>
  </si>
  <si>
    <t>青パネル3個とお邪魔パネル全てを青のプロテクトパネルに変換+単体攻撃</t>
    <phoneticPr fontId="5"/>
  </si>
  <si>
    <t>赤パネルをダメージパネル、青パネルをプロテクトパネル、黄パネルをお邪魔パネルにそれぞれ2個ずつ変換+単体攻撃</t>
    <phoneticPr fontId="5"/>
  </si>
  <si>
    <t>[effect:break_attack_fix, target:unit_all, val:50, lowest_val:800, count:-1, color:yellow, block01:block_blue]</t>
  </si>
  <si>
    <t>「「「つぎは…もっとたくさんの兄弟で壁を創るブー…」」」</t>
  </si>
  <si>
    <t>「「「つぎは…もっとたくさんの兄弟で壁を創るブー…」」」</t>
    <rPh sb="15" eb="17">
      <t>キョウダ</t>
    </rPh>
    <rPh sb="18" eb="19">
      <t>カb</t>
    </rPh>
    <rPh sb="20" eb="21">
      <t>ツクル</t>
    </rPh>
    <phoneticPr fontId="5"/>
  </si>
  <si>
    <t>「「「いそいで壁をなおすブー！！！」」」</t>
    <phoneticPr fontId="5"/>
  </si>
  <si>
    <t>「「「いそいで壁を創りなおすブー！！！」」」</t>
    <phoneticPr fontId="5"/>
  </si>
  <si>
    <t>電脳ワラをかき集めている</t>
    <rPh sb="0" eb="2">
      <t>デンn</t>
    </rPh>
    <phoneticPr fontId="5"/>
  </si>
  <si>
    <t>サイバー目薬をさしている</t>
    <rPh sb="4" eb="6">
      <t>メグスr</t>
    </rPh>
    <phoneticPr fontId="5"/>
  </si>
  <si>
    <t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t>
    <phoneticPr fontId="5"/>
  </si>
  <si>
    <t>ここにパラムを入力</t>
    <rPh sb="7" eb="9">
      <t>ニュウry</t>
    </rPh>
    <phoneticPr fontId="5"/>
  </si>
  <si>
    <t>侵入者 発見！</t>
    <rPh sb="0" eb="3">
      <t>シンニュ</t>
    </rPh>
    <rPh sb="4" eb="6">
      <t>ハッケn</t>
    </rPh>
    <phoneticPr fontId="5"/>
  </si>
  <si>
    <t>仮想コンクリを混ぜている</t>
    <rPh sb="0" eb="2">
      <t>カソ</t>
    </rPh>
    <rPh sb="7" eb="8">
      <t>マz</t>
    </rPh>
    <phoneticPr fontId="5"/>
  </si>
  <si>
    <t>うぅ…もうナミダも枯れてるプゥ…</t>
    <rPh sb="9" eb="10">
      <t>カr</t>
    </rPh>
    <phoneticPr fontId="5"/>
  </si>
  <si>
    <t>急がず慌てずぅー、安全ー確認ー</t>
    <rPh sb="0" eb="1">
      <t>イソガz</t>
    </rPh>
    <rPh sb="3" eb="4">
      <t>アワt</t>
    </rPh>
    <rPh sb="9" eb="11">
      <t>アンゼn</t>
    </rPh>
    <rPh sb="12" eb="14">
      <t>カクニn</t>
    </rPh>
    <phoneticPr fontId="5"/>
  </si>
  <si>
    <t>[effect:enemy_message, val1:3.2, val2:3.3, dead_type:suicide]</t>
  </si>
  <si>
    <t>[effect:force_change_block, new_block:damage, target:block_red, color:block_red, count:3, val:0.03, animation:change_block],[effect:rush, count:1, val:1.0]</t>
    <phoneticPr fontId="5"/>
  </si>
  <si>
    <t>[effect:panel_freeze, target:normal, color:block_blue, count:3],[effect:rush, count:1, val:1.0]</t>
    <phoneticPr fontId="5"/>
  </si>
  <si>
    <t>[effect:suicide, target:enemy_all, val:1, dead_type:suicide, animation:enemy_suicide]</t>
  </si>
  <si>
    <t>[effect:force_change_block, new_block:jammer, target:block_yellow, count:3, val:0, animation:change_block],[effect:rush, count:1, val:1.0]</t>
    <phoneticPr fontId="5"/>
  </si>
  <si>
    <t>[effect:freq_turn, target:enemy_red/enemy_animal/and, turn:1, val:1, animation:enemy_freq_turn],[effect:rush, count:1, val:1.3]</t>
    <phoneticPr fontId="5"/>
  </si>
  <si>
    <t>[effect:freq_turn, target:enemy_blue/enemy_animal/and, turn:1, val:1, animation:enemy_freq_turn],[effect:rush, count:1, val:1.3]</t>
    <phoneticPr fontId="5"/>
  </si>
  <si>
    <t>[effect:freq_turn, target:enemy_yellow/enemy_animal/and, turn:1, val:1, animation:enemy_freq_turn],[effect:rush, count:2, val:0.45]</t>
    <phoneticPr fontId="5"/>
  </si>
  <si>
    <t>「ッブ…壁の…」「…厚みがぁ…」
「足りなかったプゥ…」</t>
    <rPh sb="4" eb="5">
      <t>カベ</t>
    </rPh>
    <rPh sb="10" eb="11">
      <t>アツm</t>
    </rPh>
    <rPh sb="18" eb="19">
      <t>タリn</t>
    </rPh>
    <phoneticPr fontId="5"/>
  </si>
  <si>
    <t>ピピ…ガ…ッ</t>
    <phoneticPr fontId="5"/>
  </si>
  <si>
    <t>[表示しない]</t>
    <rPh sb="1" eb="3">
      <t>ヒョ</t>
    </rPh>
    <phoneticPr fontId="5"/>
  </si>
  <si>
    <t>ピピが</t>
    <phoneticPr fontId="5"/>
  </si>
  <si>
    <t>[effect:ability_lock, target:unit_all, turn:1],[effect:sleep, target:unit_all, turn:1, rate:1, calc_type:target_all],[effect:fix_speed, target:myself, turn:1]</t>
    <phoneticPr fontId="5"/>
  </si>
  <si>
    <t>[effect:enhance_enemy, target:myself, turn:-1, status:attack, val:1.3, calc:mul, animation:enemy_enhance_attack],[effect:ability_lock, target:unit_all, turn:1],[effect:sleep, target:unit_all, turn:1, rate:1, calc_type:target_all],[effect:fix_speed, target:myself, turn:1]</t>
  </si>
  <si>
    <t>[effect:enhance_enemy, target:myself, turn:-1, status:attack, val:1.3, calc:mul, animation:enemy_enhance_attack],[effect:ability_lock, target:unit_all, turn:1],[effect:sleep, target:unit_all, turn:1, rate:1, calc_type:target_all],[effect:fix_speed, target:myself, turn:1]</t>
    <phoneticPr fontId="5"/>
  </si>
  <si>
    <t>[effect:panel_freeze, target:normal, color:block_blue, count:3],[effect:panel_freeze, target:jammer, count:-1],[effect:force_change_block, new_block:block_blue, target:jammer, count:0, val:0],[effect:rush, count:1, val:1.0]</t>
    <phoneticPr fontId="5"/>
  </si>
  <si>
    <t>全体30%回復+全体攻撃</t>
    <rPh sb="10" eb="12">
      <t>コウゲk</t>
    </rPh>
    <phoneticPr fontId="5"/>
  </si>
  <si>
    <t>青パネルを吸収して全体攻撃</t>
    <rPh sb="11" eb="13">
      <t>コウゲk</t>
    </rPh>
    <phoneticPr fontId="5"/>
  </si>
  <si>
    <t>緑属性以外の敵に大ダメージ</t>
    <rPh sb="0" eb="3">
      <t>ミドr</t>
    </rPh>
    <rPh sb="3" eb="5">
      <t>イガ</t>
    </rPh>
    <phoneticPr fontId="5"/>
  </si>
  <si>
    <t>[effect:enhance_enemy, target:enemy_blue/enemy_animal/and, turn:6, status:defense, val:1000, calc:add, animation:enemy_enhance_defense]</t>
    <phoneticPr fontId="5"/>
  </si>
  <si>
    <t>6ターンダックスの防御力UP</t>
    <phoneticPr fontId="5"/>
  </si>
  <si>
    <t>防御上げる</t>
    <rPh sb="0" eb="2">
      <t>ボ</t>
    </rPh>
    <rPh sb="2" eb="3">
      <t>アg</t>
    </rPh>
    <phoneticPr fontId="5"/>
  </si>
  <si>
    <t>防御上げる</t>
    <rPh sb="0" eb="2">
      <t>ボウgy</t>
    </rPh>
    <rPh sb="2" eb="3">
      <t>アg</t>
    </rPh>
    <phoneticPr fontId="5"/>
  </si>
  <si>
    <t>ミョルニルの防御力激烈UP</t>
    <phoneticPr fontId="5"/>
  </si>
  <si>
    <t>防衛弾幕</t>
    <rPh sb="0" eb="2">
      <t>ボウエ</t>
    </rPh>
    <rPh sb="2" eb="4">
      <t>ダンマk</t>
    </rPh>
    <phoneticPr fontId="5"/>
  </si>
  <si>
    <t>妨害電波</t>
    <rPh sb="0" eb="2">
      <t>ボウg</t>
    </rPh>
    <rPh sb="2" eb="4">
      <t>デンp</t>
    </rPh>
    <phoneticPr fontId="5"/>
  </si>
  <si>
    <t>緊急事態 電脳要塞プロトコル 発動します</t>
    <rPh sb="0" eb="4">
      <t>キンキュウジt</t>
    </rPh>
    <rPh sb="5" eb="7">
      <t>デンn</t>
    </rPh>
    <rPh sb="7" eb="9">
      <t>ヨウサ</t>
    </rPh>
    <rPh sb="15" eb="17">
      <t>ハt</t>
    </rPh>
    <phoneticPr fontId="5"/>
  </si>
  <si>
    <t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t>
    <phoneticPr fontId="5"/>
  </si>
  <si>
    <t>赤パネルを赤のダメージパネルに3個変換+単体攻撃</t>
  </si>
  <si>
    <t>赤パネルを赤のダメージパネルに3個変換+単体攻撃</t>
    <rPh sb="5" eb="6">
      <t>アk</t>
    </rPh>
    <phoneticPr fontId="5"/>
  </si>
  <si>
    <t>青パネルをプロテクト(最大3個)+単体攻撃</t>
    <rPh sb="11" eb="13">
      <t>サイダ</t>
    </rPh>
    <phoneticPr fontId="5"/>
  </si>
  <si>
    <t>1ターンファイアフォックスの行動頻度UP+単体攻撃</t>
    <rPh sb="14" eb="16">
      <t>コウd</t>
    </rPh>
    <phoneticPr fontId="5"/>
  </si>
  <si>
    <t>１ターンダックスの行動頻度UP+単体攻撃</t>
    <rPh sb="9" eb="11">
      <t>コウド</t>
    </rPh>
    <phoneticPr fontId="5"/>
  </si>
  <si>
    <t>１ターントトの行動頻度UP+2回連続攻撃</t>
    <rPh sb="7" eb="9">
      <t>コウd</t>
    </rPh>
    <phoneticPr fontId="5"/>
  </si>
  <si>
    <t>攻撃力UP</t>
  </si>
  <si>
    <t>攻撃力UP</t>
    <phoneticPr fontId="5"/>
  </si>
  <si>
    <t>青パネルを吸収して全体攻撃</t>
  </si>
  <si>
    <t>黄パネルを3個お邪魔パネルに変換+
ダメージパネルをお邪魔パネルに変換+単体攻撃</t>
  </si>
  <si>
    <t>黄パネルを3個お邪魔パネルに変換+
ダメージパネルをお邪魔パネルに変換+単体攻撃</t>
    <phoneticPr fontId="5"/>
  </si>
  <si>
    <t>赤パネルを赤のダメージパネルに2個変換+
青パネルをプロテクト(最大2個)+
黄パネルをお邪魔パネルに2個変換</t>
  </si>
  <si>
    <t>赤パネルを赤のダメージパネルに2個変換+
青パネルをプロテクト(最大2個)+
黄パネルをお邪魔パネルに2個変換</t>
    <rPh sb="5" eb="6">
      <t>アk</t>
    </rPh>
    <rPh sb="17" eb="19">
      <t>ヘn</t>
    </rPh>
    <rPh sb="32" eb="34">
      <t>サイダ</t>
    </rPh>
    <phoneticPr fontId="5"/>
  </si>
  <si>
    <t>「「「そんな…僕らのセキュリティが、破られるなんて…」」」</t>
    <phoneticPr fontId="5"/>
  </si>
  <si>
    <t>赤パネルを赤のダメージパネルに2個変換+
青パネルをプロテクト(最大2個)+
黄パネルをお邪魔パネルに2個変換+単体攻撃</t>
  </si>
  <si>
    <t>赤パネルを赤のダメージパネルに2個変換+
青パネルをプロテクト(最大2個)+
黄パネルをお邪魔パネルに2個変換+単体攻撃</t>
    <phoneticPr fontId="5"/>
  </si>
  <si>
    <t>青パネルをプロテクト(最大3個)+
お邪魔パネルをプロテクトして青パネルに変換+単体攻撃</t>
  </si>
  <si>
    <t>青パネルをプロテクト(最大3個)+
お邪魔パネルをプロテクトして青パネルに変換+単体攻撃</t>
    <rPh sb="11" eb="13">
      <t>サイダ</t>
    </rPh>
    <rPh sb="32" eb="33">
      <t>ア</t>
    </rPh>
    <phoneticPr fontId="5"/>
  </si>
  <si>
    <t>サンド
サポート</t>
    <phoneticPr fontId="5"/>
  </si>
  <si>
    <t>「「「どくブ！僕の壁がイチバン
なんだブー！！！」」」</t>
  </si>
  <si>
    <t>「「「どくブ！僕の壁がイチバン
なんだブー！！！」」」</t>
    <phoneticPr fontId="5"/>
  </si>
  <si>
    <t>「ッブ…壁の…」「…厚みがぁ…」
「足りなかったプゥ…」</t>
  </si>
  <si>
    <t>ムムム…燃やすテクスチャが
足りないッブ…！</t>
    <rPh sb="4" eb="5">
      <t>モヤs</t>
    </rPh>
    <rPh sb="14" eb="15">
      <t>タr</t>
    </rPh>
    <phoneticPr fontId="5"/>
  </si>
  <si>
    <t>おうちを
守れ！</t>
    <phoneticPr fontId="5"/>
  </si>
  <si>
    <t>オウチヲ
まもレ！</t>
    <phoneticPr fontId="5"/>
  </si>
  <si>
    <t>サンドボックス
配置</t>
    <phoneticPr fontId="5"/>
  </si>
  <si>
    <t>OUT-Y対策システム
オーバー…ヒート…</t>
    <rPh sb="5" eb="7">
      <t>タイサk</t>
    </rPh>
    <phoneticPr fontId="5"/>
  </si>
  <si>
    <t>「「「つぎは…もっとたくさんの兄弟で壁を創るブー…」」」</t>
    <phoneticPr fontId="5"/>
  </si>
  <si>
    <t>「こんな壁じゃ駄目ッブ！」「なおすぶぅー」
「ええっ嫌プゥ…」</t>
    <phoneticPr fontId="5"/>
  </si>
  <si>
    <t>link</t>
  </si>
  <si>
    <t>unit</t>
  </si>
  <si>
    <t>専用セリフ</t>
    <rPh sb="0" eb="2">
      <t>センヨ</t>
    </rPh>
    <phoneticPr fontId="5"/>
  </si>
  <si>
    <t>対ローレンス</t>
    <rPh sb="0" eb="1">
      <t>タイ</t>
    </rPh>
    <phoneticPr fontId="5"/>
  </si>
  <si>
    <t>対ウルフ</t>
    <rPh sb="0" eb="1">
      <t>タ</t>
    </rPh>
    <phoneticPr fontId="5"/>
  </si>
  <si>
    <t>「「「ピギィーッ！なんでもいいから
持ってくるブー！！！」」」</t>
    <phoneticPr fontId="5"/>
  </si>
  <si>
    <t>complete</t>
  </si>
  <si>
    <t>惑乱の双神使！？</t>
  </si>
  <si>
    <t>日本神話シリーズ　超級</t>
  </si>
  <si>
    <t>【中級】惑乱の双神使！？</t>
  </si>
  <si>
    <t>ターゲット</t>
  </si>
  <si>
    <t>敵ユニットをタップすると
その敵を狙い撃ちできます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</si>
  <si>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</si>
  <si>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</si>
  <si>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</si>
  <si>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</si>
  <si>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</si>
  <si>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</si>
  <si>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</si>
  <si>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</si>
  <si>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</si>
  <si>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</si>
  <si>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</si>
  <si>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</si>
  <si>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</si>
  <si>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</si>
  <si>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</si>
  <si>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</si>
  <si>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</si>
  <si>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</si>
  <si>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</si>
  <si>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</si>
  <si>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</si>
  <si>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</si>
  <si>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</si>
  <si>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</si>
  <si>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</si>
  <si>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</si>
  <si>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ソロ専用タワーオブザクイーン</t>
  </si>
  <si>
    <t>ソロ専用の「タワーオブザクイーン」は
期間限定で定期的に開催されます
ここでしか獲得できない報酬もあるようです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</si>
  <si>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</si>
  <si>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</si>
  <si>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</si>
  <si>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</si>
  <si>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</si>
  <si>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</si>
  <si>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</si>
  <si>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</si>
  <si>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果実を使って限界突破</t>
  </si>
  <si>
    <t>攻めの果実 癒しの果実
生命の果実をユニット強化に使うと
ステータスが限界突破します（計99個迄）</t>
  </si>
  <si>
    <t>スキルレベルアップ</t>
  </si>
  <si>
    <t>「秘術の果実」を強化に使うと
スキルレベルを上げることができます</t>
  </si>
  <si>
    <t>スキルレベルの効果</t>
  </si>
  <si>
    <t>スキルレベルが上がると
短いターンでスキルを使うことができます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</si>
  <si>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</si>
  <si>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</si>
  <si>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</si>
  <si>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</si>
  <si>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</si>
  <si>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</si>
  <si>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</si>
  <si>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</si>
  <si>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</si>
  <si>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</si>
  <si>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</si>
  <si>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</si>
  <si>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</si>
  <si>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</si>
  <si>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</si>
  <si>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</si>
  <si>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</si>
  <si>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</si>
  <si>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システム適合者を確認</t>
  </si>
  <si>
    <t>ALICEが 「アナタ」を呼んでいます</t>
  </si>
  <si>
    <t>【上級】惑乱の双神使！？</t>
  </si>
  <si>
    <t>タワーオブザクイーンのボス</t>
  </si>
  <si>
    <t>「タワーオブザクイーン」最上階のボスは
15階の初回クリア報酬で獲得できるほか
その階にて低確率でドロップもします</t>
  </si>
  <si>
    <t>限界突破値の引き継ぎ</t>
  </si>
  <si>
    <t>同じユニットを強化で合成すると
限界突破値を引き継げます（覚醒前後も可）</t>
  </si>
  <si>
    <t>【超級】惑乱の双神使！？</t>
  </si>
  <si>
    <t>ほんぶん</t>
    <phoneticPr fontId="5"/>
  </si>
  <si>
    <t>なんかせりふ</t>
    <phoneticPr fontId="5"/>
  </si>
  <si>
    <t>3ターンミョルニルの防御力激烈UP</t>
    <phoneticPr fontId="5"/>
  </si>
  <si>
    <t>[effect:enhance_enemy, target:enemy_yellow/enemy_machine/enemy_attack/and, turn:3, status:defense, val:2222222, calc:add, animation:enemy_enhance_defense]</t>
    <phoneticPr fontId="5"/>
  </si>
  <si>
    <t>[effect:damage_anti_color, target:unit_all, color:green, val1:0.2, val2:0.5]</t>
    <phoneticPr fontId="5"/>
  </si>
  <si>
    <t>カウンター</t>
    <phoneticPr fontId="5"/>
  </si>
  <si>
    <t>[effect:enemy_counter, target:enemy_one, invoke_condition:unit_all, counter_target:attacker, turn:1, val:0.8, animation:enemy_counter],[effect:rush, count:1, val:1.0]</t>
    <phoneticPr fontId="5"/>
  </si>
  <si>
    <t>自動迎撃プログラム 作動</t>
    <rPh sb="0" eb="2">
      <t>ジド</t>
    </rPh>
    <rPh sb="2" eb="4">
      <t>ゲイゲk</t>
    </rPh>
    <rPh sb="10" eb="12">
      <t>サド</t>
    </rPh>
    <phoneticPr fontId="5"/>
  </si>
  <si>
    <t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t>
    <phoneticPr fontId="5"/>
  </si>
  <si>
    <t>1ターン全ユニットの攻撃をカウンター+単体攻撃</t>
    <rPh sb="4" eb="5">
      <t>ゼン</t>
    </rPh>
    <rPh sb="10" eb="12">
      <t>コウゲk</t>
    </rPh>
    <rPh sb="19" eb="21">
      <t>タンタ</t>
    </rPh>
    <rPh sb="21" eb="23">
      <t>コウゲk</t>
    </rPh>
    <phoneticPr fontId="5"/>
  </si>
  <si>
    <t>ちっ…
しくじった…</t>
    <phoneticPr fontId="5"/>
  </si>
  <si>
    <t>ピッ…
ピガッ…</t>
    <phoneticPr fontId="5"/>
  </si>
  <si>
    <t>[effect:remove_enhancement, target:enemy_yellow/enemy_machine/enemy_attack/and, target_effect:all, target_type:buff, animation:frozen_wave_unit]</t>
    <phoneticPr fontId="5"/>
  </si>
  <si>
    <t>ミョルニルの全てのプラス効果を解除</t>
    <rPh sb="6" eb="7">
      <t>スベt</t>
    </rPh>
    <rPh sb="12" eb="14">
      <t>コウk</t>
    </rPh>
    <rPh sb="15" eb="17">
      <t>カ</t>
    </rPh>
    <phoneticPr fontId="5"/>
  </si>
  <si>
    <t>防御下げる</t>
    <rPh sb="0" eb="2">
      <t>ボウgy</t>
    </rPh>
    <rPh sb="2" eb="3">
      <t>サg</t>
    </rPh>
    <phoneticPr fontId="5"/>
  </si>
  <si>
    <t>防御下げる</t>
    <rPh sb="0" eb="2">
      <t>ボ</t>
    </rPh>
    <rPh sb="2" eb="3">
      <t>サゲr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</si>
</sst>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70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8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7" xfId="0" applyFont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 wrapText="1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1" fillId="35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6" fillId="36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 wrapText="1"/>
    </xf>
    <xf numFmtId="0" fontId="16" fillId="36" borderId="0" xfId="0" applyFont="1" applyFill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 wrapText="1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7" xfId="0" applyBorder="1"/>
    <xf numFmtId="0" fontId="0" fillId="3" borderId="27" xfId="0" applyFill="1" applyBorder="1"/>
    <xf numFmtId="0" fontId="6" fillId="5" borderId="2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26" fillId="0" borderId="0" xfId="0" applyFont="1"/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27" fillId="0" borderId="27" xfId="0" applyFont="1" applyFill="1" applyBorder="1"/>
    <xf numFmtId="0" fontId="28" fillId="0" borderId="27" xfId="0" applyFont="1" applyFill="1" applyBorder="1"/>
    <xf numFmtId="0" fontId="29" fillId="3" borderId="27" xfId="0" applyFont="1" applyFill="1" applyBorder="1" applyAlignment="1">
      <alignment vertical="center"/>
    </xf>
    <xf numFmtId="0" fontId="30" fillId="0" borderId="27" xfId="0" applyFont="1" applyFill="1" applyBorder="1"/>
    <xf numFmtId="0" fontId="29" fillId="0" borderId="27" xfId="0" applyFont="1" applyFill="1" applyBorder="1" applyAlignment="1">
      <alignment vertical="center"/>
    </xf>
    <xf numFmtId="0" fontId="30" fillId="30" borderId="27" xfId="0" applyFont="1" applyFill="1" applyBorder="1"/>
    <xf numFmtId="0" fontId="30" fillId="14" borderId="27" xfId="0" applyFont="1" applyFill="1" applyBorder="1"/>
    <xf numFmtId="0" fontId="31" fillId="0" borderId="27" xfId="0" applyFont="1" applyFill="1" applyBorder="1"/>
  </cellXfs>
  <cellStyles count="70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47013</v>
          </cell>
        </row>
        <row r="282">
          <cell r="A282">
            <v>49001</v>
          </cell>
        </row>
        <row r="283">
          <cell r="A283">
            <v>49002</v>
          </cell>
        </row>
        <row r="284">
          <cell r="A284">
            <v>49003</v>
          </cell>
        </row>
        <row r="285">
          <cell r="A285">
            <v>49004</v>
          </cell>
        </row>
        <row r="286">
          <cell r="A286">
            <v>49005</v>
          </cell>
        </row>
        <row r="287">
          <cell r="A287">
            <v>49006</v>
          </cell>
        </row>
        <row r="288">
          <cell r="A288">
            <v>49007</v>
          </cell>
        </row>
        <row r="289">
          <cell r="A289">
            <v>49008</v>
          </cell>
        </row>
        <row r="290">
          <cell r="A290">
            <v>49009</v>
          </cell>
        </row>
        <row r="291">
          <cell r="A291">
            <v>49010</v>
          </cell>
        </row>
        <row r="292">
          <cell r="A292">
            <v>49011</v>
          </cell>
        </row>
        <row r="293">
          <cell r="A293">
            <v>49012</v>
          </cell>
        </row>
        <row r="294">
          <cell r="A294">
            <v>49013</v>
          </cell>
        </row>
        <row r="295">
          <cell r="A295">
            <v>49014</v>
          </cell>
        </row>
        <row r="296">
          <cell r="A296">
            <v>49015</v>
          </cell>
        </row>
        <row r="297">
          <cell r="A297">
            <v>50001</v>
          </cell>
        </row>
        <row r="298">
          <cell r="A298">
            <v>50002</v>
          </cell>
        </row>
        <row r="299">
          <cell r="A299">
            <v>50003</v>
          </cell>
        </row>
        <row r="300">
          <cell r="A300">
            <v>50004</v>
          </cell>
        </row>
        <row r="301">
          <cell r="A301">
            <v>50005</v>
          </cell>
        </row>
        <row r="302">
          <cell r="A302">
            <v>50006</v>
          </cell>
        </row>
        <row r="303">
          <cell r="A303">
            <v>50007</v>
          </cell>
        </row>
        <row r="304">
          <cell r="A304">
            <v>50008</v>
          </cell>
        </row>
        <row r="305">
          <cell r="A305">
            <v>50009</v>
          </cell>
        </row>
        <row r="306">
          <cell r="A306">
            <v>50010</v>
          </cell>
        </row>
        <row r="307">
          <cell r="A307">
            <v>50011</v>
          </cell>
        </row>
        <row r="308">
          <cell r="A308">
            <v>50012</v>
          </cell>
        </row>
        <row r="309">
          <cell r="A309">
            <v>50013</v>
          </cell>
        </row>
        <row r="310">
          <cell r="A310">
            <v>50014</v>
          </cell>
        </row>
        <row r="311">
          <cell r="A311">
            <v>50015</v>
          </cell>
        </row>
        <row r="312">
          <cell r="A312">
            <v>51001</v>
          </cell>
        </row>
        <row r="313">
          <cell r="A313">
            <v>51002</v>
          </cell>
        </row>
        <row r="314">
          <cell r="A314">
            <v>58001</v>
          </cell>
        </row>
        <row r="315">
          <cell r="A315">
            <v>59001</v>
          </cell>
        </row>
        <row r="316">
          <cell r="A316">
            <v>59002</v>
          </cell>
        </row>
        <row r="317">
          <cell r="A317">
            <v>60001</v>
          </cell>
        </row>
        <row r="318">
          <cell r="A318">
            <v>60002</v>
          </cell>
        </row>
        <row r="319">
          <cell r="A319">
            <v>60003</v>
          </cell>
        </row>
        <row r="320">
          <cell r="A320">
            <v>60004</v>
          </cell>
        </row>
        <row r="321">
          <cell r="A321">
            <v>60005</v>
          </cell>
        </row>
        <row r="322">
          <cell r="A322">
            <v>60006</v>
          </cell>
        </row>
        <row r="323">
          <cell r="A323">
            <v>60007</v>
          </cell>
        </row>
        <row r="324">
          <cell r="A324">
            <v>60010</v>
          </cell>
        </row>
        <row r="325">
          <cell r="A325">
            <v>60011</v>
          </cell>
        </row>
        <row r="326">
          <cell r="A326">
            <v>61011</v>
          </cell>
        </row>
        <row r="327">
          <cell r="A327">
            <v>60012</v>
          </cell>
        </row>
        <row r="328">
          <cell r="A328">
            <v>60013</v>
          </cell>
        </row>
        <row r="329">
          <cell r="A329">
            <v>60014</v>
          </cell>
        </row>
        <row r="330">
          <cell r="A330">
            <v>60015</v>
          </cell>
        </row>
        <row r="331">
          <cell r="A331">
            <v>60016</v>
          </cell>
        </row>
        <row r="332">
          <cell r="A332">
            <v>60017</v>
          </cell>
        </row>
        <row r="333">
          <cell r="A333">
            <v>60018</v>
          </cell>
        </row>
        <row r="334">
          <cell r="A334">
            <v>60019</v>
          </cell>
        </row>
        <row r="335">
          <cell r="A335">
            <v>60020</v>
          </cell>
        </row>
        <row r="336">
          <cell r="A336">
            <v>60025</v>
          </cell>
        </row>
        <row r="337">
          <cell r="A337">
            <v>60026</v>
          </cell>
        </row>
        <row r="338">
          <cell r="A338">
            <v>60027</v>
          </cell>
        </row>
        <row r="339">
          <cell r="A339">
            <v>60028</v>
          </cell>
        </row>
        <row r="340">
          <cell r="A340">
            <v>60029</v>
          </cell>
        </row>
        <row r="341">
          <cell r="A341">
            <v>65523</v>
          </cell>
        </row>
        <row r="342">
          <cell r="A342">
            <v>65524</v>
          </cell>
        </row>
        <row r="343">
          <cell r="A343">
            <v>65525</v>
          </cell>
        </row>
        <row r="344">
          <cell r="A344">
            <v>65526</v>
          </cell>
        </row>
        <row r="345">
          <cell r="A345">
            <v>65527</v>
          </cell>
        </row>
        <row r="346">
          <cell r="A346">
            <v>65528</v>
          </cell>
        </row>
        <row r="347">
          <cell r="A347">
            <v>65529</v>
          </cell>
        </row>
        <row r="348">
          <cell r="A348">
            <v>65530</v>
          </cell>
        </row>
        <row r="349">
          <cell r="A349">
            <v>65531</v>
          </cell>
        </row>
        <row r="350">
          <cell r="A350">
            <v>65532</v>
          </cell>
        </row>
        <row r="351">
          <cell r="A351">
            <v>65533</v>
          </cell>
        </row>
        <row r="352">
          <cell r="A352">
            <v>65534</v>
          </cell>
        </row>
        <row r="353">
          <cell r="A353">
            <v>65535</v>
          </cell>
        </row>
        <row r="354">
          <cell r="A354">
            <v>60021</v>
          </cell>
        </row>
        <row r="355">
          <cell r="A355">
            <v>60022</v>
          </cell>
        </row>
        <row r="356">
          <cell r="A356">
            <v>60023</v>
          </cell>
        </row>
        <row r="357">
          <cell r="A35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47013_1</v>
          </cell>
        </row>
        <row r="862">
          <cell r="A862" t="str">
            <v>47013_2</v>
          </cell>
        </row>
        <row r="863">
          <cell r="A863" t="str">
            <v>48001_1</v>
          </cell>
        </row>
        <row r="864">
          <cell r="A864" t="str">
            <v>48002_1</v>
          </cell>
        </row>
        <row r="865">
          <cell r="A865" t="str">
            <v>48002_2</v>
          </cell>
        </row>
        <row r="866">
          <cell r="A866" t="str">
            <v>48002_3</v>
          </cell>
        </row>
        <row r="867">
          <cell r="A867" t="str">
            <v>48003_1</v>
          </cell>
        </row>
        <row r="868">
          <cell r="A868" t="str">
            <v>48003_2</v>
          </cell>
        </row>
        <row r="869">
          <cell r="A869" t="str">
            <v>48004_1</v>
          </cell>
        </row>
        <row r="870">
          <cell r="A870" t="str">
            <v>48004_2</v>
          </cell>
        </row>
        <row r="871">
          <cell r="A871" t="str">
            <v>48005_1</v>
          </cell>
        </row>
        <row r="872">
          <cell r="A872" t="str">
            <v>48005_2</v>
          </cell>
        </row>
        <row r="873">
          <cell r="A873" t="str">
            <v>48006_1</v>
          </cell>
        </row>
        <row r="874">
          <cell r="A874" t="str">
            <v>48006_2</v>
          </cell>
        </row>
        <row r="875">
          <cell r="A875" t="str">
            <v>48007_1</v>
          </cell>
        </row>
        <row r="876">
          <cell r="A876" t="str">
            <v>48007_2</v>
          </cell>
        </row>
        <row r="877">
          <cell r="A877" t="str">
            <v>48008_1</v>
          </cell>
        </row>
        <row r="878">
          <cell r="A878" t="str">
            <v>48008_2</v>
          </cell>
        </row>
        <row r="879">
          <cell r="A879" t="str">
            <v>48009_1</v>
          </cell>
        </row>
        <row r="880">
          <cell r="A880" t="str">
            <v>48009_2</v>
          </cell>
        </row>
        <row r="881">
          <cell r="A881" t="str">
            <v>48010_1</v>
          </cell>
        </row>
        <row r="882">
          <cell r="A882" t="str">
            <v>48011_1</v>
          </cell>
        </row>
        <row r="883">
          <cell r="A883" t="str">
            <v>48011_2</v>
          </cell>
        </row>
        <row r="884">
          <cell r="A884" t="str">
            <v>48012_1</v>
          </cell>
        </row>
        <row r="885">
          <cell r="A885" t="str">
            <v>48012_2</v>
          </cell>
        </row>
        <row r="886">
          <cell r="A886" t="str">
            <v>48501_1</v>
          </cell>
        </row>
        <row r="887">
          <cell r="A887" t="str">
            <v>48501_2</v>
          </cell>
        </row>
        <row r="888">
          <cell r="A888" t="str">
            <v>48502_1</v>
          </cell>
        </row>
        <row r="889">
          <cell r="A889" t="str">
            <v>48502_2</v>
          </cell>
        </row>
        <row r="890">
          <cell r="A890" t="str">
            <v>48701_1</v>
          </cell>
        </row>
        <row r="891">
          <cell r="A891" t="str">
            <v>48701_2</v>
          </cell>
        </row>
        <row r="892">
          <cell r="A892" t="str">
            <v>48702_1</v>
          </cell>
        </row>
        <row r="893">
          <cell r="A893" t="str">
            <v>48702_2</v>
          </cell>
        </row>
        <row r="894">
          <cell r="A894" t="str">
            <v>49001_1</v>
          </cell>
        </row>
        <row r="895">
          <cell r="A895" t="str">
            <v>49002_1</v>
          </cell>
        </row>
        <row r="896">
          <cell r="A896" t="str">
            <v>49002_2</v>
          </cell>
        </row>
        <row r="897">
          <cell r="A897" t="str">
            <v>49003_1</v>
          </cell>
        </row>
        <row r="898">
          <cell r="A898" t="str">
            <v>49003_2</v>
          </cell>
        </row>
        <row r="899">
          <cell r="A899" t="str">
            <v>49004_1</v>
          </cell>
        </row>
        <row r="900">
          <cell r="A900" t="str">
            <v>49004_2</v>
          </cell>
        </row>
        <row r="901">
          <cell r="A901" t="str">
            <v>49004_3</v>
          </cell>
        </row>
        <row r="902">
          <cell r="A902" t="str">
            <v>49005_1</v>
          </cell>
        </row>
        <row r="903">
          <cell r="A903" t="str">
            <v>49006_1</v>
          </cell>
        </row>
        <row r="904">
          <cell r="A904" t="str">
            <v>49006_2</v>
          </cell>
        </row>
        <row r="905">
          <cell r="A905" t="str">
            <v>49007_1</v>
          </cell>
        </row>
        <row r="906">
          <cell r="A906" t="str">
            <v>49007_2</v>
          </cell>
        </row>
        <row r="907">
          <cell r="A907" t="str">
            <v>49007_3</v>
          </cell>
        </row>
        <row r="908">
          <cell r="A908" t="str">
            <v>49008_1</v>
          </cell>
        </row>
        <row r="909">
          <cell r="A909" t="str">
            <v>49009_1</v>
          </cell>
        </row>
        <row r="910">
          <cell r="A910" t="str">
            <v>49010_1</v>
          </cell>
        </row>
        <row r="911">
          <cell r="A911" t="str">
            <v>49011_1</v>
          </cell>
        </row>
        <row r="912">
          <cell r="A912" t="str">
            <v>49012_1</v>
          </cell>
        </row>
        <row r="913">
          <cell r="A913" t="str">
            <v>49013_1</v>
          </cell>
        </row>
        <row r="914">
          <cell r="A914" t="str">
            <v>49014_1</v>
          </cell>
        </row>
        <row r="915">
          <cell r="A915" t="str">
            <v>49014_2</v>
          </cell>
        </row>
        <row r="916">
          <cell r="A916" t="str">
            <v>49015_1</v>
          </cell>
        </row>
        <row r="917">
          <cell r="A917" t="str">
            <v>49015_2</v>
          </cell>
        </row>
        <row r="918">
          <cell r="A918" t="str">
            <v>49015_3</v>
          </cell>
        </row>
        <row r="919">
          <cell r="A919" t="str">
            <v>50001_1</v>
          </cell>
        </row>
        <row r="920">
          <cell r="A920" t="str">
            <v>50002_1</v>
          </cell>
        </row>
        <row r="921">
          <cell r="A921" t="str">
            <v>50003_1</v>
          </cell>
        </row>
        <row r="922">
          <cell r="A922" t="str">
            <v>50004_1</v>
          </cell>
        </row>
        <row r="923">
          <cell r="A923" t="str">
            <v>50005_1</v>
          </cell>
        </row>
        <row r="924">
          <cell r="A924" t="str">
            <v>50006_1</v>
          </cell>
        </row>
        <row r="925">
          <cell r="A925" t="str">
            <v>50007_1</v>
          </cell>
        </row>
        <row r="926">
          <cell r="A926" t="str">
            <v>50008_1</v>
          </cell>
        </row>
        <row r="927">
          <cell r="A927" t="str">
            <v>50009_1</v>
          </cell>
        </row>
        <row r="928">
          <cell r="A928" t="str">
            <v>50010_1</v>
          </cell>
        </row>
        <row r="929">
          <cell r="A929" t="str">
            <v>50011_1</v>
          </cell>
        </row>
        <row r="930">
          <cell r="A930" t="str">
            <v>50012_1</v>
          </cell>
        </row>
        <row r="931">
          <cell r="A931" t="str">
            <v>50013_1</v>
          </cell>
        </row>
        <row r="932">
          <cell r="A932" t="str">
            <v>50014_1</v>
          </cell>
        </row>
        <row r="933">
          <cell r="A933" t="str">
            <v>50015_1</v>
          </cell>
        </row>
        <row r="934">
          <cell r="A934" t="str">
            <v>51001_1</v>
          </cell>
        </row>
        <row r="935">
          <cell r="A935" t="str">
            <v>51002_1</v>
          </cell>
        </row>
        <row r="936">
          <cell r="A936" t="str">
            <v>58001_1</v>
          </cell>
        </row>
        <row r="937">
          <cell r="A937" t="str">
            <v>59001_1</v>
          </cell>
        </row>
        <row r="938">
          <cell r="A938" t="str">
            <v>59002_1</v>
          </cell>
        </row>
        <row r="939">
          <cell r="A939" t="str">
            <v>60001_1</v>
          </cell>
        </row>
        <row r="940">
          <cell r="A940" t="str">
            <v>60002_1</v>
          </cell>
        </row>
        <row r="941">
          <cell r="A941" t="str">
            <v>60002_2</v>
          </cell>
        </row>
        <row r="942">
          <cell r="A942" t="str">
            <v>60003_1</v>
          </cell>
        </row>
        <row r="943">
          <cell r="A943" t="str">
            <v>60003_2</v>
          </cell>
        </row>
        <row r="944">
          <cell r="A944" t="str">
            <v>60003_3</v>
          </cell>
        </row>
        <row r="945">
          <cell r="A945" t="str">
            <v>60004_1</v>
          </cell>
        </row>
        <row r="946">
          <cell r="A946" t="str">
            <v>60005_1</v>
          </cell>
        </row>
        <row r="947">
          <cell r="A947" t="str">
            <v>60006_1</v>
          </cell>
        </row>
        <row r="948">
          <cell r="A948" t="str">
            <v>60006_2</v>
          </cell>
        </row>
        <row r="949">
          <cell r="A949" t="str">
            <v>60006_3</v>
          </cell>
        </row>
        <row r="950">
          <cell r="A950" t="str">
            <v>60007_1</v>
          </cell>
        </row>
        <row r="951">
          <cell r="A951" t="str">
            <v>60007_2</v>
          </cell>
        </row>
        <row r="952">
          <cell r="A952" t="str">
            <v>60007_3</v>
          </cell>
        </row>
        <row r="953">
          <cell r="A953" t="str">
            <v>60010_1</v>
          </cell>
        </row>
        <row r="954">
          <cell r="A954" t="str">
            <v>60011_1</v>
          </cell>
        </row>
        <row r="955">
          <cell r="A955" t="str">
            <v>60011_2</v>
          </cell>
        </row>
        <row r="956">
          <cell r="A956" t="str">
            <v>60012_1</v>
          </cell>
        </row>
        <row r="957">
          <cell r="A957" t="str">
            <v>60013_1</v>
          </cell>
        </row>
        <row r="958">
          <cell r="A958" t="str">
            <v>60013_2</v>
          </cell>
        </row>
        <row r="959">
          <cell r="A959" t="str">
            <v>60013_3</v>
          </cell>
        </row>
        <row r="960">
          <cell r="A960" t="str">
            <v>60014_1</v>
          </cell>
        </row>
        <row r="961">
          <cell r="A961" t="str">
            <v>60015_1</v>
          </cell>
        </row>
        <row r="962">
          <cell r="A962" t="str">
            <v>60016_1</v>
          </cell>
        </row>
        <row r="963">
          <cell r="A963" t="str">
            <v>60017_1</v>
          </cell>
        </row>
        <row r="964">
          <cell r="A964" t="str">
            <v>60018_1</v>
          </cell>
        </row>
        <row r="965">
          <cell r="A965" t="str">
            <v>60019_1</v>
          </cell>
        </row>
        <row r="966">
          <cell r="A966" t="str">
            <v>60020_1</v>
          </cell>
        </row>
        <row r="967">
          <cell r="A967" t="str">
            <v>60021_3</v>
          </cell>
        </row>
        <row r="968">
          <cell r="A968" t="str">
            <v>60022_3</v>
          </cell>
        </row>
        <row r="969">
          <cell r="A969" t="str">
            <v>60023_3</v>
          </cell>
        </row>
        <row r="970">
          <cell r="A970" t="str">
            <v>60024_3</v>
          </cell>
        </row>
        <row r="971">
          <cell r="A971" t="str">
            <v>60025_1</v>
          </cell>
        </row>
        <row r="972">
          <cell r="A972" t="str">
            <v>60026_1</v>
          </cell>
        </row>
        <row r="973">
          <cell r="A973" t="str">
            <v>61011_1</v>
          </cell>
        </row>
        <row r="974">
          <cell r="A974" t="str">
            <v>60027_1</v>
          </cell>
        </row>
        <row r="975">
          <cell r="A975" t="str">
            <v>60028_1</v>
          </cell>
        </row>
        <row r="976">
          <cell r="A976" t="str">
            <v>60029_1</v>
          </cell>
        </row>
        <row r="977">
          <cell r="A977" t="str">
            <v>65523_1</v>
          </cell>
        </row>
        <row r="978">
          <cell r="A978" t="str">
            <v>65523_2</v>
          </cell>
        </row>
        <row r="979">
          <cell r="A979" t="str">
            <v>65523_3</v>
          </cell>
        </row>
        <row r="980">
          <cell r="A980" t="str">
            <v>65524_1</v>
          </cell>
        </row>
        <row r="981">
          <cell r="A981" t="str">
            <v>65524_2</v>
          </cell>
        </row>
        <row r="982">
          <cell r="A982" t="str">
            <v>65525_1</v>
          </cell>
        </row>
        <row r="983">
          <cell r="A983" t="str">
            <v>65526_1</v>
          </cell>
        </row>
        <row r="984">
          <cell r="A984" t="str">
            <v>65526_2</v>
          </cell>
        </row>
        <row r="985">
          <cell r="A985" t="str">
            <v>65527_1</v>
          </cell>
        </row>
        <row r="986">
          <cell r="A986" t="str">
            <v>65528_1</v>
          </cell>
        </row>
        <row r="987">
          <cell r="A987" t="str">
            <v>65529_1</v>
          </cell>
        </row>
        <row r="988">
          <cell r="A988" t="str">
            <v>65530_1</v>
          </cell>
        </row>
        <row r="989">
          <cell r="A989" t="str">
            <v>65531_1</v>
          </cell>
        </row>
        <row r="990">
          <cell r="A990" t="str">
            <v>65531_2</v>
          </cell>
        </row>
        <row r="991">
          <cell r="A991" t="str">
            <v>65532_1</v>
          </cell>
        </row>
        <row r="992">
          <cell r="A992" t="str">
            <v>65532_2</v>
          </cell>
        </row>
        <row r="993">
          <cell r="A993" t="str">
            <v>65533_1</v>
          </cell>
        </row>
        <row r="994">
          <cell r="A994" t="str">
            <v>65533_2</v>
          </cell>
        </row>
        <row r="995">
          <cell r="A995" t="str">
            <v>65534_1</v>
          </cell>
        </row>
        <row r="996">
          <cell r="A996" t="str">
            <v>65534_2</v>
          </cell>
        </row>
        <row r="997">
          <cell r="A997" t="str">
            <v>65535_1</v>
          </cell>
        </row>
        <row r="998">
          <cell r="A998" t="str">
            <v>65535_2</v>
          </cell>
        </row>
        <row r="999">
          <cell r="A999" t="str">
            <v>65535_3</v>
          </cell>
        </row>
        <row r="1000">
          <cell r="A1000" t="str">
            <v>65535_4</v>
          </cell>
        </row>
        <row r="1001">
          <cell r="A1001" t="str">
            <v>65535_5</v>
          </cell>
        </row>
        <row r="1002">
          <cell r="A1002" t="str">
            <v>65535_6</v>
          </cell>
        </row>
        <row r="1003">
          <cell r="A1003" t="str">
            <v>65535_7</v>
          </cell>
        </row>
        <row r="1004">
          <cell r="A1004" t="str">
            <v>65535_8</v>
          </cell>
        </row>
        <row r="1005">
          <cell r="A1005" t="str">
            <v>65535_9</v>
          </cell>
        </row>
        <row r="1006">
          <cell r="A100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28.1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127</v>
      </c>
      <c r="B1" s="54" t="s">
        <v>98</v>
      </c>
      <c r="C1" s="54" t="s">
        <v>99</v>
      </c>
      <c r="D1" s="54" t="s">
        <v>100</v>
      </c>
      <c r="E1" s="54" t="s">
        <v>101</v>
      </c>
      <c r="F1" s="54" t="s">
        <v>102</v>
      </c>
      <c r="G1" s="54" t="s">
        <v>103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255</v>
      </c>
      <c r="B2" s="56" t="s">
        <v>104</v>
      </c>
      <c r="C2" s="61">
        <v>65523</v>
      </c>
      <c r="D2" s="56" t="s">
        <v>105</v>
      </c>
      <c r="E2" s="55" t="str">
        <f>B2&amp;C2&amp;D2</f>
        <v>floors_65523.tmp</v>
      </c>
      <c r="F2" s="56" t="s">
        <v>106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255</v>
      </c>
      <c r="B3" s="56" t="s">
        <v>107</v>
      </c>
      <c r="C3" s="61">
        <v>65523</v>
      </c>
      <c r="D3" s="56" t="s">
        <v>105</v>
      </c>
      <c r="E3" s="55" t="str">
        <f>B3&amp;C3&amp;D3</f>
        <v>enemy_habitats_65523.tmp</v>
      </c>
      <c r="F3" s="56" t="s">
        <v>108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176</v>
      </c>
    </row>
    <row r="4" spans="1:30" x14ac:dyDescent="0.15">
      <c r="A4" s="60" t="s">
        <v>255</v>
      </c>
      <c r="B4" s="56" t="s">
        <v>109</v>
      </c>
      <c r="C4" s="61">
        <v>65523</v>
      </c>
      <c r="D4" s="56" t="s">
        <v>105</v>
      </c>
      <c r="E4" s="55" t="str">
        <f>B4&amp;C4&amp;D4</f>
        <v>enemy_habitat_S_65523.tmp</v>
      </c>
      <c r="F4" s="56" t="s">
        <v>110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255</v>
      </c>
      <c r="B5" s="56" t="s">
        <v>111</v>
      </c>
      <c r="C5" s="61">
        <v>65523</v>
      </c>
      <c r="D5" s="56" t="s">
        <v>105</v>
      </c>
      <c r="E5" s="55" t="str">
        <f>B5&amp;C5&amp;D5</f>
        <v>enemy_skill_sets_65523.tmp</v>
      </c>
      <c r="F5" s="56" t="s">
        <v>112</v>
      </c>
      <c r="G5" s="58" t="s">
        <v>22</v>
      </c>
      <c r="H5" s="58" t="s">
        <v>97</v>
      </c>
      <c r="I5" s="58" t="s">
        <v>92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255</v>
      </c>
      <c r="B6" s="56" t="s">
        <v>113</v>
      </c>
      <c r="C6" s="61">
        <v>65523</v>
      </c>
      <c r="D6" s="56" t="s">
        <v>114</v>
      </c>
      <c r="E6" s="55" t="str">
        <f t="shared" ref="E6:E10" si="0">B6&amp;C6&amp;D6</f>
        <v>enemy_skills_tmp_65523.tmp</v>
      </c>
      <c r="F6" s="56" t="s">
        <v>88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255</v>
      </c>
      <c r="B7" s="56" t="s">
        <v>115</v>
      </c>
      <c r="C7" s="61">
        <v>65523</v>
      </c>
      <c r="D7" s="56" t="s">
        <v>105</v>
      </c>
      <c r="E7" s="55" t="str">
        <f>B7&amp;C7&amp;D7</f>
        <v>enemy_skills_i18n_65523.tmp</v>
      </c>
      <c r="F7" s="56" t="s">
        <v>116</v>
      </c>
      <c r="G7" s="57" t="s">
        <v>78</v>
      </c>
      <c r="H7" s="57" t="s">
        <v>89</v>
      </c>
      <c r="I7" s="57" t="s">
        <v>90</v>
      </c>
      <c r="J7" s="57" t="s">
        <v>91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255</v>
      </c>
      <c r="B8" s="56" t="s">
        <v>117</v>
      </c>
      <c r="C8" s="61">
        <v>65523</v>
      </c>
      <c r="D8" s="56" t="s">
        <v>118</v>
      </c>
      <c r="E8" s="55" t="str">
        <f t="shared" si="0"/>
        <v>enemy_skill_triggers_65523.tmp</v>
      </c>
      <c r="F8" s="56" t="s">
        <v>119</v>
      </c>
      <c r="G8" s="57" t="s">
        <v>92</v>
      </c>
      <c r="H8" s="57" t="s">
        <v>93</v>
      </c>
      <c r="I8" s="57" t="s">
        <v>94</v>
      </c>
      <c r="J8" s="57" t="s">
        <v>95</v>
      </c>
      <c r="K8" s="57" t="s">
        <v>120</v>
      </c>
      <c r="L8" s="57" t="s">
        <v>96</v>
      </c>
      <c r="M8" s="57" t="s">
        <v>121</v>
      </c>
      <c r="N8" s="57" t="s">
        <v>122</v>
      </c>
      <c r="O8" s="57" t="s">
        <v>123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255</v>
      </c>
      <c r="B9" s="66" t="s">
        <v>175</v>
      </c>
      <c r="C9" s="61">
        <v>65523</v>
      </c>
      <c r="D9" s="66" t="s">
        <v>169</v>
      </c>
      <c r="E9" s="67" t="str">
        <f t="shared" si="0"/>
        <v>stage_bug_bonuses_65523.tmp</v>
      </c>
      <c r="F9" s="66" t="s">
        <v>170</v>
      </c>
      <c r="G9" s="63" t="s">
        <v>147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153</v>
      </c>
      <c r="M9" s="63" t="s">
        <v>154</v>
      </c>
      <c r="N9" s="63" t="s">
        <v>155</v>
      </c>
      <c r="O9" s="63" t="s">
        <v>156</v>
      </c>
      <c r="P9" s="63" t="s">
        <v>157</v>
      </c>
      <c r="Q9" s="63" t="s">
        <v>158</v>
      </c>
      <c r="R9" s="63" t="s">
        <v>159</v>
      </c>
      <c r="S9" s="63" t="s">
        <v>160</v>
      </c>
      <c r="T9" s="63" t="s">
        <v>161</v>
      </c>
      <c r="U9" s="63" t="s">
        <v>162</v>
      </c>
      <c r="V9" s="63" t="s">
        <v>163</v>
      </c>
      <c r="W9" s="63" t="s">
        <v>164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255</v>
      </c>
      <c r="B10" s="66" t="s">
        <v>197</v>
      </c>
      <c r="C10" s="61">
        <v>65523</v>
      </c>
      <c r="D10" s="66" t="s">
        <v>178</v>
      </c>
      <c r="E10" s="67" t="str">
        <f t="shared" si="0"/>
        <v>stage_hints_data_c_65523.tmp</v>
      </c>
      <c r="F10" s="66" t="s">
        <v>205</v>
      </c>
      <c r="G10" s="72" t="s">
        <v>179</v>
      </c>
      <c r="H10" s="72" t="s">
        <v>171</v>
      </c>
      <c r="I10" s="73" t="s">
        <v>180</v>
      </c>
      <c r="J10" s="65" t="s">
        <v>181</v>
      </c>
      <c r="K10" s="65" t="s">
        <v>182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4" customFormat="1" x14ac:dyDescent="0.15">
      <c r="A11" s="60" t="s">
        <v>255</v>
      </c>
      <c r="B11" s="66" t="s">
        <v>198</v>
      </c>
      <c r="C11" s="61">
        <v>65523</v>
      </c>
      <c r="D11" s="66" t="s">
        <v>169</v>
      </c>
      <c r="E11" s="67" t="str">
        <f t="shared" ref="E11:E13" si="1">B11&amp;C11&amp;D11</f>
        <v>stage_hints_data_f_65523.tmp</v>
      </c>
      <c r="F11" s="66" t="s">
        <v>206</v>
      </c>
      <c r="G11" s="72" t="s">
        <v>179</v>
      </c>
      <c r="H11" s="72" t="s">
        <v>171</v>
      </c>
      <c r="I11" s="73" t="s">
        <v>180</v>
      </c>
      <c r="J11" s="65" t="s">
        <v>181</v>
      </c>
      <c r="K11" s="65" t="s">
        <v>182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4" customFormat="1" x14ac:dyDescent="0.15">
      <c r="A12" s="60" t="s">
        <v>255</v>
      </c>
      <c r="B12" s="66" t="s">
        <v>199</v>
      </c>
      <c r="C12" s="61">
        <v>65523</v>
      </c>
      <c r="D12" s="66" t="s">
        <v>169</v>
      </c>
      <c r="E12" s="67" t="str">
        <f t="shared" si="1"/>
        <v>stage_hints_i18n_65523.tmp</v>
      </c>
      <c r="F12" s="66" t="s">
        <v>207</v>
      </c>
      <c r="G12" s="73" t="s">
        <v>200</v>
      </c>
      <c r="H12" s="93" t="s">
        <v>201</v>
      </c>
      <c r="I12" s="72" t="s">
        <v>202</v>
      </c>
      <c r="J12" s="101" t="s">
        <v>203</v>
      </c>
      <c r="K12" s="65" t="s">
        <v>204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4" customFormat="1" x14ac:dyDescent="0.15">
      <c r="A13" s="60" t="s">
        <v>255</v>
      </c>
      <c r="B13" s="66" t="s">
        <v>248</v>
      </c>
      <c r="C13" s="61">
        <v>65523</v>
      </c>
      <c r="D13" s="66" t="s">
        <v>229</v>
      </c>
      <c r="E13" s="67" t="str">
        <f t="shared" si="1"/>
        <v>stage_bonuses_65523.tmp</v>
      </c>
      <c r="F13" s="66" t="s">
        <v>228</v>
      </c>
      <c r="G13" s="72" t="s">
        <v>230</v>
      </c>
      <c r="H13" s="72" t="s">
        <v>231</v>
      </c>
      <c r="I13" s="72" t="s">
        <v>232</v>
      </c>
      <c r="J13" s="72" t="s">
        <v>233</v>
      </c>
      <c r="K13" s="72" t="s">
        <v>234</v>
      </c>
      <c r="L13" s="72" t="s">
        <v>235</v>
      </c>
      <c r="M13" s="72" t="s">
        <v>236</v>
      </c>
      <c r="N13" s="72" t="s">
        <v>237</v>
      </c>
      <c r="O13" s="72" t="s">
        <v>238</v>
      </c>
      <c r="P13" s="72" t="s">
        <v>239</v>
      </c>
      <c r="Q13" s="72" t="s">
        <v>240</v>
      </c>
      <c r="R13" s="72" t="s">
        <v>241</v>
      </c>
      <c r="S13" s="72" t="s">
        <v>242</v>
      </c>
      <c r="T13" s="72" t="s">
        <v>243</v>
      </c>
      <c r="U13" s="72" t="s">
        <v>244</v>
      </c>
      <c r="V13" s="72" t="s">
        <v>245</v>
      </c>
      <c r="W13" s="72" t="s">
        <v>246</v>
      </c>
      <c r="X13" s="72" t="s">
        <v>247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3.6640625" style="3" bestFit="1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65523_1-1</v>
      </c>
      <c r="B2" s="16" t="str">
        <f>IF(COUNTIF(enemy_habitats!$H:$H,A2),"OK","NG")</f>
        <v>OK</v>
      </c>
      <c r="C2" s="7">
        <v>65523</v>
      </c>
      <c r="D2" s="11" t="str">
        <f ca="1">VLOOKUP($C2,OFFSET([2]quests!$A$1,0,0,COUNTA([2]quests!$A:$A),MATCH(D$1,[2]quests!$1:$1,0)-MATCH($C$1,[2]quests!$1:$1,0)+1),MATCH(D$1,[2]quests!$1:$1,0)-MATCH($C$1,[2]quests!$1:$1,0)+1,FALSE)</f>
        <v>【LB尾崎】検証クエスト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童話シリーズ　超級</v>
      </c>
      <c r="F2" s="21">
        <v>1</v>
      </c>
      <c r="G2" s="23" t="str">
        <f>C2&amp;"_"&amp;F2</f>
        <v>65523_1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【超級】スリーピギーズ（仮）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0" si="0">G3&amp;"-"&amp;I3</f>
        <v>65523_1-2</v>
      </c>
      <c r="B3" s="16" t="str">
        <f>IF(COUNTIF(enemy_habitats!$H:$H,A3),"OK","NG")</f>
        <v>OK</v>
      </c>
      <c r="C3" s="7">
        <v>65523</v>
      </c>
      <c r="D3" s="11" t="str">
        <f ca="1">VLOOKUP($C3,OFFSET([2]quests!$A$1,0,0,COUNTA([2]quests!$A:$A),MATCH(D$1,[2]quests!$1:$1,0)-MATCH($C$1,[2]quests!$1:$1,0)+1),MATCH(D$1,[2]quests!$1:$1,0)-MATCH($C$1,[2]quests!$1:$1,0)+1,FALSE)</f>
        <v>【LB尾崎】検証クエスト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童話シリーズ　超級</v>
      </c>
      <c r="F3" s="21">
        <v>1</v>
      </c>
      <c r="G3" s="23" t="str">
        <f t="shared" ref="G3:G10" si="1">C3&amp;"_"&amp;F3</f>
        <v>65523_1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【超級】スリーピギーズ（仮）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65523_1-3</v>
      </c>
      <c r="B4" s="16" t="str">
        <f>IF(COUNTIF(enemy_habitats!$H:$H,A4),"OK","NG")</f>
        <v>OK</v>
      </c>
      <c r="C4" s="7">
        <v>65523</v>
      </c>
      <c r="D4" s="11" t="str">
        <f ca="1">VLOOKUP($C4,OFFSET([2]quests!$A$1,0,0,COUNTA([2]quests!$A:$A),MATCH(D$1,[2]quests!$1:$1,0)-MATCH($C$1,[2]quests!$1:$1,0)+1),MATCH(D$1,[2]quests!$1:$1,0)-MATCH($C$1,[2]quests!$1:$1,0)+1,FALSE)</f>
        <v>【LB尾崎】検証クエスト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童話シリーズ　超級</v>
      </c>
      <c r="F4" s="21">
        <v>1</v>
      </c>
      <c r="G4" s="23" t="str">
        <f t="shared" si="1"/>
        <v>65523_1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【超級】スリーピギーズ（仮）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65523_2-1</v>
      </c>
      <c r="B5" s="16" t="str">
        <f>IF(COUNTIF(enemy_habitats!$H:$H,A5),"OK","NG")</f>
        <v>OK</v>
      </c>
      <c r="C5" s="7">
        <v>65523</v>
      </c>
      <c r="D5" s="11" t="str">
        <f ca="1">VLOOKUP($C5,OFFSET([2]quests!$A$1,0,0,COUNTA([2]quests!$A:$A),MATCH(D$1,[2]quests!$1:$1,0)-MATCH($C$1,[2]quests!$1:$1,0)+1),MATCH(D$1,[2]quests!$1:$1,0)-MATCH($C$1,[2]quests!$1:$1,0)+1,FALSE)</f>
        <v>【LB尾崎】検証クエスト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童話シリーズ　超級</v>
      </c>
      <c r="F5" s="21">
        <v>2</v>
      </c>
      <c r="G5" s="23" t="str">
        <f t="shared" si="1"/>
        <v>65523_2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【超級】スリーピギーズ（仮）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65523_2-2</v>
      </c>
      <c r="B6" s="16" t="str">
        <f>IF(COUNTIF(enemy_habitats!$H:$H,A6),"OK","NG")</f>
        <v>OK</v>
      </c>
      <c r="C6" s="7">
        <v>65523</v>
      </c>
      <c r="D6" s="11" t="str">
        <f ca="1">VLOOKUP($C6,OFFSET([2]quests!$A$1,0,0,COUNTA([2]quests!$A:$A),MATCH(D$1,[2]quests!$1:$1,0)-MATCH($C$1,[2]quests!$1:$1,0)+1),MATCH(D$1,[2]quests!$1:$1,0)-MATCH($C$1,[2]quests!$1:$1,0)+1,FALSE)</f>
        <v>【LB尾崎】検証クエスト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童話シリーズ　超級</v>
      </c>
      <c r="F6" s="21">
        <v>2</v>
      </c>
      <c r="G6" s="23" t="str">
        <f t="shared" si="1"/>
        <v>65523_2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【超級】スリーピギーズ（仮）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65523_2-3</v>
      </c>
      <c r="B7" s="16" t="str">
        <f>IF(COUNTIF(enemy_habitats!$H:$H,A7),"OK","NG")</f>
        <v>OK</v>
      </c>
      <c r="C7" s="7">
        <v>65523</v>
      </c>
      <c r="D7" s="11" t="str">
        <f ca="1">VLOOKUP($C7,OFFSET([2]quests!$A$1,0,0,COUNTA([2]quests!$A:$A),MATCH(D$1,[2]quests!$1:$1,0)-MATCH($C$1,[2]quests!$1:$1,0)+1),MATCH(D$1,[2]quests!$1:$1,0)-MATCH($C$1,[2]quests!$1:$1,0)+1,FALSE)</f>
        <v>【LB尾崎】検証クエスト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童話シリーズ　超級</v>
      </c>
      <c r="F7" s="21">
        <v>2</v>
      </c>
      <c r="G7" s="23" t="str">
        <f t="shared" si="1"/>
        <v>65523_2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【超級】スリーピギーズ（仮）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65523_3-1</v>
      </c>
      <c r="B8" s="16" t="str">
        <f>IF(COUNTIF(enemy_habitats!$H:$H,A8),"OK","NG")</f>
        <v>OK</v>
      </c>
      <c r="C8" s="7">
        <v>65523</v>
      </c>
      <c r="D8" s="11" t="str">
        <f ca="1">VLOOKUP($C8,OFFSET([2]quests!$A$1,0,0,COUNTA([2]quests!$A:$A),MATCH(D$1,[2]quests!$1:$1,0)-MATCH($C$1,[2]quests!$1:$1,0)+1),MATCH(D$1,[2]quests!$1:$1,0)-MATCH($C$1,[2]quests!$1:$1,0)+1,FALSE)</f>
        <v>【LB尾崎】検証クエスト</v>
      </c>
      <c r="E8" s="18" t="str">
        <f ca="1">VLOOKUP($C8,OFFSET([2]quests!$A$1,0,0,COUNTA([2]quests!$A:$A),MATCH(E$1,[2]quests!$1:$1,0)-MATCH($C$1,[2]quests!$1:$1,0)+1),MATCH(E$1,[2]quests!$1:$1,0)-MATCH($C$1,[2]quests!$1:$1,0)+1,FALSE)</f>
        <v>童話シリーズ　超級</v>
      </c>
      <c r="F8" s="21">
        <v>3</v>
      </c>
      <c r="G8" s="23" t="str">
        <f t="shared" si="1"/>
        <v>65523_3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【超級】スリーピギーズ（仮）</v>
      </c>
      <c r="I8" s="21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65523_3-2</v>
      </c>
      <c r="B9" s="16" t="str">
        <f>IF(COUNTIF(enemy_habitats!$H:$H,A9),"OK","NG")</f>
        <v>OK</v>
      </c>
      <c r="C9" s="7">
        <v>65523</v>
      </c>
      <c r="D9" s="11" t="str">
        <f ca="1">VLOOKUP($C9,OFFSET([2]quests!$A$1,0,0,COUNTA([2]quests!$A:$A),MATCH(D$1,[2]quests!$1:$1,0)-MATCH($C$1,[2]quests!$1:$1,0)+1),MATCH(D$1,[2]quests!$1:$1,0)-MATCH($C$1,[2]quests!$1:$1,0)+1,FALSE)</f>
        <v>【LB尾崎】検証クエスト</v>
      </c>
      <c r="E9" s="18" t="str">
        <f ca="1">VLOOKUP($C9,OFFSET([2]quests!$A$1,0,0,COUNTA([2]quests!$A:$A),MATCH(E$1,[2]quests!$1:$1,0)-MATCH($C$1,[2]quests!$1:$1,0)+1),MATCH(E$1,[2]quests!$1:$1,0)-MATCH($C$1,[2]quests!$1:$1,0)+1,FALSE)</f>
        <v>童話シリーズ　超級</v>
      </c>
      <c r="F9" s="21">
        <v>3</v>
      </c>
      <c r="G9" s="23" t="str">
        <f t="shared" si="1"/>
        <v>65523_3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【超級】スリーピギーズ（仮）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65523_3-3</v>
      </c>
      <c r="B10" s="16" t="str">
        <f>IF(COUNTIF(enemy_habitats!$H:$H,A10),"OK","NG")</f>
        <v>OK</v>
      </c>
      <c r="C10" s="7">
        <v>65523</v>
      </c>
      <c r="D10" s="11" t="str">
        <f ca="1">VLOOKUP($C10,OFFSET([2]quests!$A$1,0,0,COUNTA([2]quests!$A:$A),MATCH(D$1,[2]quests!$1:$1,0)-MATCH($C$1,[2]quests!$1:$1,0)+1),MATCH(D$1,[2]quests!$1:$1,0)-MATCH($C$1,[2]quests!$1:$1,0)+1,FALSE)</f>
        <v>【LB尾崎】検証クエスト</v>
      </c>
      <c r="E10" s="18" t="str">
        <f ca="1">VLOOKUP($C10,OFFSET([2]quests!$A$1,0,0,COUNTA([2]quests!$A:$A),MATCH(E$1,[2]quests!$1:$1,0)-MATCH($C$1,[2]quests!$1:$1,0)+1),MATCH(E$1,[2]quests!$1:$1,0)-MATCH($C$1,[2]quests!$1:$1,0)+1,FALSE)</f>
        <v>童話シリーズ　超級</v>
      </c>
      <c r="F10" s="21">
        <v>3</v>
      </c>
      <c r="G10" s="23" t="str">
        <f t="shared" si="1"/>
        <v>65523_3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【超級】スリーピギーズ（仮）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1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30.832031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7.83203125" style="3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43.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8.83203125" style="13" hidden="1" customWidth="1" outlineLevel="1"/>
    <col min="32" max="32" width="8" style="14" hidden="1" customWidth="1" outlineLevel="1"/>
    <col min="33" max="33" width="12" style="14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249</v>
      </c>
      <c r="U1" s="26" t="s">
        <v>50</v>
      </c>
      <c r="V1" s="102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65523_1-1/65&lt;lv16&gt;s2</v>
      </c>
      <c r="B2" s="22">
        <v>65523</v>
      </c>
      <c r="C2" s="21">
        <v>1</v>
      </c>
      <c r="D2" s="2" t="str">
        <f>B2&amp;"_"&amp;C2</f>
        <v>65523_1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【LB尾崎】検証クエスト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【超級】スリーピギーズ（仮）</v>
      </c>
      <c r="G2" s="21">
        <v>1</v>
      </c>
      <c r="H2" s="15" t="str">
        <f>B2&amp;"_"&amp;C2&amp;"-"&amp;G2</f>
        <v>65523_1-1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252</v>
      </c>
      <c r="L2" s="20">
        <v>65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ファイアフォックス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16</v>
      </c>
      <c r="S2" s="25">
        <v>7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24500</v>
      </c>
      <c r="U2" s="25">
        <v>0.5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783.5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緊急事態 電脳要塞プロトコル 発動します</v>
      </c>
      <c r="Y2" s="47">
        <v>65523001</v>
      </c>
      <c r="Z2" s="6">
        <v>1</v>
      </c>
      <c r="AA2" s="6">
        <v>100</v>
      </c>
      <c r="AB2" s="6">
        <v>1</v>
      </c>
      <c r="AC2" s="17">
        <v>2</v>
      </c>
      <c r="AD2" s="24">
        <v>65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ca="1">AF2</f>
        <v>2</v>
      </c>
      <c r="AJ2" s="8">
        <v>15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31" si="0">B3&amp;"_"&amp;C3&amp;"-"&amp;G3&amp;"/"&amp;L3&amp;"&lt;lv"&amp;R3&amp;"&gt;s"&amp;AC3</f>
        <v>65523_1-1/31&lt;lv16&gt;s1</v>
      </c>
      <c r="B3" s="22">
        <v>65523</v>
      </c>
      <c r="C3" s="21">
        <v>1</v>
      </c>
      <c r="D3" s="2" t="str">
        <f t="shared" ref="D3:D31" si="1">B3&amp;"_"&amp;C3</f>
        <v>65523_1</v>
      </c>
      <c r="E3" s="4" t="str">
        <f ca="1">VLOOKUP($B3,OFFSET([2]quests!$A$1,0,0,COUNTA([2]quests!$A:$A),MATCH(E$1,[2]quests!$1:$1,0)-MATCH($B$1,[2]quests!$1:$1,0)+1),MATCH(E$1,[2]quests!$1:$1,0)-MATCH($B$1,[2]quests!$1:$1,0)+1,FALSE)</f>
        <v>【LB尾崎】検証クエスト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【超級】スリーピギーズ（仮）</v>
      </c>
      <c r="G3" s="21">
        <v>1</v>
      </c>
      <c r="H3" s="15" t="str">
        <f t="shared" ref="H3:H31" si="2">B3&amp;"_"&amp;C3&amp;"-"&amp;G3</f>
        <v>65523_1-1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252</v>
      </c>
      <c r="L3" s="20">
        <v>31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マービー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16</v>
      </c>
      <c r="S3" s="25">
        <v>6.2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19139.400000000001</v>
      </c>
      <c r="U3" s="25">
        <v>1.4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1335.6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1ターンファイアフォックスの行動頻度UP+単体攻撃</v>
      </c>
      <c r="Y3" s="47">
        <v>65523002</v>
      </c>
      <c r="Z3" s="6">
        <v>1</v>
      </c>
      <c r="AA3" s="6">
        <v>100</v>
      </c>
      <c r="AB3" s="6">
        <v>2</v>
      </c>
      <c r="AC3" s="17">
        <v>1</v>
      </c>
      <c r="AD3" s="24">
        <v>31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ref="AI3:AI31" ca="1" si="3">AF3</f>
        <v>1</v>
      </c>
      <c r="AJ3" s="8">
        <v>15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65523_1-1/13&lt;lv16&gt;s2</v>
      </c>
      <c r="B4" s="22">
        <v>65523</v>
      </c>
      <c r="C4" s="21">
        <v>1</v>
      </c>
      <c r="D4" s="2" t="str">
        <f t="shared" si="1"/>
        <v>65523_1</v>
      </c>
      <c r="E4" s="4" t="str">
        <f ca="1">VLOOKUP($B4,OFFSET([2]quests!$A$1,0,0,COUNTA([2]quests!$A:$A),MATCH(E$1,[2]quests!$1:$1,0)-MATCH($B$1,[2]quests!$1:$1,0)+1),MATCH(E$1,[2]quests!$1:$1,0)-MATCH($B$1,[2]quests!$1:$1,0)+1,FALSE)</f>
        <v>【LB尾崎】検証クエスト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【超級】スリーピギーズ（仮）</v>
      </c>
      <c r="G4" s="21">
        <v>1</v>
      </c>
      <c r="H4" s="15" t="str">
        <f t="shared" si="2"/>
        <v>65523_1-1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252</v>
      </c>
      <c r="L4" s="20">
        <v>13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16</v>
      </c>
      <c r="S4" s="25">
        <v>3.8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13034</v>
      </c>
      <c r="U4" s="25">
        <v>1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1552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47">
        <v>65523003</v>
      </c>
      <c r="Z4" s="6">
        <v>1</v>
      </c>
      <c r="AA4" s="6">
        <v>100</v>
      </c>
      <c r="AB4" s="6">
        <v>3</v>
      </c>
      <c r="AC4" s="17">
        <v>2</v>
      </c>
      <c r="AD4" s="24">
        <v>13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ミミ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" s="7">
        <v>1</v>
      </c>
      <c r="AI4" s="24">
        <f t="shared" ca="1" si="3"/>
        <v>1</v>
      </c>
      <c r="AJ4" s="8">
        <v>15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65523_1-1/13&lt;lv17&gt;s2</v>
      </c>
      <c r="B5" s="22">
        <v>65523</v>
      </c>
      <c r="C5" s="21">
        <v>1</v>
      </c>
      <c r="D5" s="2" t="str">
        <f t="shared" si="1"/>
        <v>65523_1</v>
      </c>
      <c r="E5" s="4" t="str">
        <f ca="1">VLOOKUP($B5,OFFSET([2]quests!$A$1,0,0,COUNTA([2]quests!$A:$A),MATCH(E$1,[2]quests!$1:$1,0)-MATCH($B$1,[2]quests!$1:$1,0)+1),MATCH(E$1,[2]quests!$1:$1,0)-MATCH($B$1,[2]quests!$1:$1,0)+1,FALSE)</f>
        <v>【LB尾崎】検証クエスト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【超級】スリーピギーズ（仮）</v>
      </c>
      <c r="G5" s="21">
        <v>1</v>
      </c>
      <c r="H5" s="15" t="str">
        <f t="shared" si="2"/>
        <v>65523_1-1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252</v>
      </c>
      <c r="L5" s="20">
        <v>13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17</v>
      </c>
      <c r="S5" s="25">
        <v>3.8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13778.8</v>
      </c>
      <c r="U5" s="25">
        <v>1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1640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47">
        <v>65523003</v>
      </c>
      <c r="Z5" s="6">
        <v>1</v>
      </c>
      <c r="AA5" s="6">
        <v>100</v>
      </c>
      <c r="AB5" s="6">
        <v>4</v>
      </c>
      <c r="AC5" s="17">
        <v>2</v>
      </c>
      <c r="AD5" s="24">
        <v>13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ミミ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Drop1W</v>
      </c>
      <c r="AH5" s="7">
        <v>1</v>
      </c>
      <c r="AI5" s="24">
        <f t="shared" ca="1" si="3"/>
        <v>1</v>
      </c>
      <c r="AJ5" s="8">
        <v>15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65523_1-2/71&lt;lv16&gt;s2</v>
      </c>
      <c r="B6" s="22">
        <v>65523</v>
      </c>
      <c r="C6" s="21">
        <v>1</v>
      </c>
      <c r="D6" s="2" t="str">
        <f t="shared" si="1"/>
        <v>65523_1</v>
      </c>
      <c r="E6" s="4" t="str">
        <f ca="1">VLOOKUP($B6,OFFSET([2]quests!$A$1,0,0,COUNTA([2]quests!$A:$A),MATCH(E$1,[2]quests!$1:$1,0)-MATCH($B$1,[2]quests!$1:$1,0)+1),MATCH(E$1,[2]quests!$1:$1,0)-MATCH($B$1,[2]quests!$1:$1,0)+1,FALSE)</f>
        <v>【LB尾崎】検証クエスト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【超級】スリーピギーズ（仮）</v>
      </c>
      <c r="G6" s="21">
        <v>2</v>
      </c>
      <c r="H6" s="15" t="str">
        <f t="shared" si="2"/>
        <v>65523_1-2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252</v>
      </c>
      <c r="L6" s="20">
        <v>71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ダックス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16</v>
      </c>
      <c r="S6" s="25">
        <v>7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24500</v>
      </c>
      <c r="U6" s="25">
        <v>0.9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1018.8000000000001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青パネルをプロテクト(最大3個)+単体攻撃</v>
      </c>
      <c r="Y6" s="47">
        <v>65523004</v>
      </c>
      <c r="Z6" s="6">
        <v>1</v>
      </c>
      <c r="AA6" s="6">
        <v>100</v>
      </c>
      <c r="AB6" s="6">
        <v>2</v>
      </c>
      <c r="AC6" s="17">
        <v>2</v>
      </c>
      <c r="AD6" s="24">
        <v>71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ダックス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3"/>
        <v>2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65523_1-2/31&lt;lv16&gt;s1</v>
      </c>
      <c r="B7" s="22">
        <v>65523</v>
      </c>
      <c r="C7" s="21">
        <v>1</v>
      </c>
      <c r="D7" s="2" t="str">
        <f t="shared" si="1"/>
        <v>65523_1</v>
      </c>
      <c r="E7" s="4" t="str">
        <f ca="1">VLOOKUP($B7,OFFSET([2]quests!$A$1,0,0,COUNTA([2]quests!$A:$A),MATCH(E$1,[2]quests!$1:$1,0)-MATCH($B$1,[2]quests!$1:$1,0)+1),MATCH(E$1,[2]quests!$1:$1,0)-MATCH($B$1,[2]quests!$1:$1,0)+1,FALSE)</f>
        <v>【LB尾崎】検証クエスト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【超級】スリーピギーズ（仮）</v>
      </c>
      <c r="G7" s="21">
        <v>2</v>
      </c>
      <c r="H7" s="15" t="str">
        <f t="shared" si="2"/>
        <v>65523_1-2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252</v>
      </c>
      <c r="L7" s="20">
        <v>31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マービー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16</v>
      </c>
      <c r="S7" s="25">
        <v>6.2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19139.400000000001</v>
      </c>
      <c r="U7" s="25">
        <v>1.2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1144.8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１ターンダックスの行動頻度UP+単体攻撃</v>
      </c>
      <c r="Y7" s="47">
        <v>65523005</v>
      </c>
      <c r="Z7" s="6">
        <v>1</v>
      </c>
      <c r="AA7" s="6">
        <v>100</v>
      </c>
      <c r="AB7" s="6">
        <v>3</v>
      </c>
      <c r="AC7" s="17">
        <v>1</v>
      </c>
      <c r="AD7" s="24">
        <v>31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7">
        <v>1</v>
      </c>
      <c r="AI7" s="24">
        <f t="shared" ca="1" si="3"/>
        <v>1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65523_1-2/95&lt;lv16&gt;s1</v>
      </c>
      <c r="B8" s="22">
        <v>65523</v>
      </c>
      <c r="C8" s="21">
        <v>1</v>
      </c>
      <c r="D8" s="2" t="str">
        <f t="shared" si="1"/>
        <v>65523_1</v>
      </c>
      <c r="E8" s="4" t="str">
        <f ca="1">VLOOKUP($B8,OFFSET([2]quests!$A$1,0,0,COUNTA([2]quests!$A:$A),MATCH(E$1,[2]quests!$1:$1,0)-MATCH($B$1,[2]quests!$1:$1,0)+1),MATCH(E$1,[2]quests!$1:$1,0)-MATCH($B$1,[2]quests!$1:$1,0)+1,FALSE)</f>
        <v>【LB尾崎】検証クエスト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【超級】スリーピギーズ（仮）</v>
      </c>
      <c r="G8" s="21">
        <v>2</v>
      </c>
      <c r="H8" s="15" t="str">
        <f t="shared" si="2"/>
        <v>65523_1-2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252</v>
      </c>
      <c r="L8" s="20">
        <v>95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守護者 白虎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16</v>
      </c>
      <c r="S8" s="25">
        <v>1.5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33442.5</v>
      </c>
      <c r="U8" s="25">
        <v>0.3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786.6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6ターンダックスの防御力UP</v>
      </c>
      <c r="Y8" s="47">
        <v>65523006</v>
      </c>
      <c r="Z8" s="6">
        <v>1</v>
      </c>
      <c r="AA8" s="6">
        <v>100</v>
      </c>
      <c r="AB8" s="6">
        <v>4</v>
      </c>
      <c r="AC8" s="17">
        <v>1</v>
      </c>
      <c r="AD8" s="24">
        <v>94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白虎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3"/>
        <v>3</v>
      </c>
      <c r="AJ8" s="8">
        <v>15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65523_1-3/366&lt;lv16&gt;s2</v>
      </c>
      <c r="B9" s="22">
        <v>65523</v>
      </c>
      <c r="C9" s="21">
        <v>1</v>
      </c>
      <c r="D9" s="2" t="str">
        <f t="shared" si="1"/>
        <v>65523_1</v>
      </c>
      <c r="E9" s="4" t="str">
        <f ca="1">VLOOKUP($B9,OFFSET([2]quests!$A$1,0,0,COUNTA([2]quests!$A:$A),MATCH(E$1,[2]quests!$1:$1,0)-MATCH($B$1,[2]quests!$1:$1,0)+1),MATCH(E$1,[2]quests!$1:$1,0)-MATCH($B$1,[2]quests!$1:$1,0)+1,FALSE)</f>
        <v>【LB尾崎】検証クエスト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【超級】スリーピギーズ（仮）</v>
      </c>
      <c r="G9" s="21">
        <v>3</v>
      </c>
      <c r="H9" s="15" t="str">
        <f t="shared" si="2"/>
        <v>65523_1-3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252</v>
      </c>
      <c r="L9" s="20">
        <v>366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トト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16</v>
      </c>
      <c r="S9" s="25">
        <v>8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27440</v>
      </c>
      <c r="U9" s="25">
        <v>1.2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1400.3999999999999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9" s="47">
        <v>65523007</v>
      </c>
      <c r="Z9" s="6">
        <v>1</v>
      </c>
      <c r="AA9" s="6">
        <v>100</v>
      </c>
      <c r="AB9" s="6">
        <v>2</v>
      </c>
      <c r="AC9" s="17">
        <v>2</v>
      </c>
      <c r="AD9" s="24">
        <v>366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トト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3"/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65523_1-3/583&lt;lv16&gt;s2</v>
      </c>
      <c r="B10" s="22">
        <v>65523</v>
      </c>
      <c r="C10" s="21">
        <v>1</v>
      </c>
      <c r="D10" s="2" t="str">
        <f t="shared" si="1"/>
        <v>65523_1</v>
      </c>
      <c r="E10" s="4" t="str">
        <f ca="1">VLOOKUP($B10,OFFSET([2]quests!$A$1,0,0,COUNTA([2]quests!$A:$A),MATCH(E$1,[2]quests!$1:$1,0)-MATCH($B$1,[2]quests!$1:$1,0)+1),MATCH(E$1,[2]quests!$1:$1,0)-MATCH($B$1,[2]quests!$1:$1,0)+1,FALSE)</f>
        <v>【LB尾崎】検証クエスト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【超級】スリーピギーズ（仮）</v>
      </c>
      <c r="G10" s="21">
        <v>3</v>
      </c>
      <c r="H10" s="15" t="str">
        <f t="shared" si="2"/>
        <v>65523_1-3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583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ミョルニル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16</v>
      </c>
      <c r="S10" s="25">
        <v>1.8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40131</v>
      </c>
      <c r="U10" s="25">
        <v>1.4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3337.6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1ターン全ユニットの攻撃をカウンター+単体攻撃</v>
      </c>
      <c r="Y10" s="47">
        <v>65523008</v>
      </c>
      <c r="Z10" s="6">
        <v>1</v>
      </c>
      <c r="AA10" s="6">
        <v>100</v>
      </c>
      <c r="AB10" s="6">
        <v>1</v>
      </c>
      <c r="AC10" s="17">
        <v>2</v>
      </c>
      <c r="AD10" s="24">
        <v>1373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3"/>
        <v>4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thickBot="1" x14ac:dyDescent="0.2">
      <c r="A11" s="134" t="str">
        <f t="shared" si="0"/>
        <v>65523_1-3/32&lt;lv16&gt;s1</v>
      </c>
      <c r="B11" s="135">
        <v>65523</v>
      </c>
      <c r="C11" s="136">
        <v>1</v>
      </c>
      <c r="D11" s="137" t="str">
        <f t="shared" si="1"/>
        <v>65523_1</v>
      </c>
      <c r="E11" s="138" t="str">
        <f ca="1">VLOOKUP($B11,OFFSET([2]quests!$A$1,0,0,COUNTA([2]quests!$A:$A),MATCH(E$1,[2]quests!$1:$1,0)-MATCH($B$1,[2]quests!$1:$1,0)+1),MATCH(E$1,[2]quests!$1:$1,0)-MATCH($B$1,[2]quests!$1:$1,0)+1,FALSE)</f>
        <v>【LB尾崎】検証クエスト</v>
      </c>
      <c r="F11" s="138" t="str">
        <f ca="1">VLOOKUP($D11,OFFSET([2]stages!$A$1,0,0,COUNTA([2]stages!$A:$A),MATCH(F$1,[2]stages!$2:$2,0)-MATCH($D$1,[2]stages!$2:$2,0)+1),MATCH(F$1,[2]stages!$2:$2,0)-MATCH($D$1,[2]stages!$2:$2,0)+1,FALSE)</f>
        <v>【超級】スリーピギーズ（仮）</v>
      </c>
      <c r="G11" s="136">
        <v>3</v>
      </c>
      <c r="H11" s="137" t="str">
        <f t="shared" si="2"/>
        <v>65523_1-3</v>
      </c>
      <c r="I11" s="138">
        <f ca="1">VLOOKUP($H11,OFFSET(floors!$A$1,0,0,COUNTA(floors!$A:$A),MATCH(I$1,floors!$1:$1,0)-MATCH($H$1,floors!$1:$1,0)+1),MATCH(I$1,floors!$1:$1,0)-MATCH($H$1,floors!$1:$1,0)+1,FALSE)</f>
        <v>60</v>
      </c>
      <c r="J11" s="138">
        <f ca="1">VLOOKUP($H11,OFFSET(floors!$A$1,0,0,COUNTA(floors!$A:$A),MATCH(J$1,floors!$1:$1,0)-MATCH($H$1,floors!$1:$1,0)+1),MATCH(J$1,floors!$1:$1,0)-MATCH($H$1,floors!$1:$1,0)+1,FALSE)</f>
        <v>60</v>
      </c>
      <c r="K11" s="139" t="s">
        <v>252</v>
      </c>
      <c r="L11" s="140">
        <v>32</v>
      </c>
      <c r="M11" s="141" t="str">
        <f ca="1">VLOOKUP($L11,OFFSET([3]enemies!$A$1,0,0,COUNTA([3]enemies!$A:$A),MATCH(M$1,[3]enemies!$1:$1,0)-MATCH($L$1,[3]enemies!$1:$1,0)+1),MATCH(M$1,[3]enemies!$1:$1,0)-MATCH($L$1,[3]enemies!$1:$1,0)+1,FALSE)</f>
        <v>沈黙のジャミング マービー</v>
      </c>
      <c r="N11" s="141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41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1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41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16</v>
      </c>
      <c r="S11" s="143">
        <v>9</v>
      </c>
      <c r="T11" s="14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27783</v>
      </c>
      <c r="U11" s="143">
        <v>1.7</v>
      </c>
      <c r="V11" s="14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1621.8</v>
      </c>
      <c r="W11" s="142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11" s="47">
        <v>65523009</v>
      </c>
      <c r="Z11" s="6">
        <v>1</v>
      </c>
      <c r="AA11" s="145">
        <v>100</v>
      </c>
      <c r="AB11" s="145">
        <v>3</v>
      </c>
      <c r="AC11" s="141">
        <v>1</v>
      </c>
      <c r="AD11" s="146">
        <v>31</v>
      </c>
      <c r="AE11" s="138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1" s="138">
        <f ca="1">VLOOKUP($AD11,OFFSET([4]characters!$A$1,0,0,COUNTA([4]characters!$A:$A),MATCH(AF$1,[4]characters!$1:$1,0)-MATCH("character_id",[4]characters!$1:$1,0)+1),MATCH(AF$1,[4]characters!$1:$1,0)-MATCH("character_id",[4]characters!$1:$1,0)+1,FALSE)</f>
        <v>1</v>
      </c>
      <c r="AG11" s="138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147">
        <v>1</v>
      </c>
      <c r="AI11" s="146">
        <f t="shared" ca="1" si="3"/>
        <v>1</v>
      </c>
      <c r="AJ11" s="148">
        <v>0</v>
      </c>
      <c r="AK11" s="147">
        <v>0</v>
      </c>
      <c r="AL11" s="147">
        <v>0</v>
      </c>
      <c r="AM11" s="147">
        <v>0</v>
      </c>
      <c r="AN11" s="147">
        <v>0</v>
      </c>
      <c r="AO11" s="147">
        <v>1</v>
      </c>
      <c r="AP11" s="149">
        <v>1</v>
      </c>
    </row>
    <row r="12" spans="1:42" ht="21" customHeight="1" x14ac:dyDescent="0.15">
      <c r="A12" s="16" t="str">
        <f t="shared" si="0"/>
        <v>65523_2-1/65&lt;lv20&gt;s2</v>
      </c>
      <c r="B12" s="22">
        <v>65523</v>
      </c>
      <c r="C12" s="123">
        <v>2</v>
      </c>
      <c r="D12" s="124" t="str">
        <f t="shared" si="1"/>
        <v>65523_2</v>
      </c>
      <c r="E12" s="4" t="str">
        <f ca="1">VLOOKUP($B12,OFFSET([2]quests!$A$1,0,0,COUNTA([2]quests!$A:$A),MATCH(E$1,[2]quests!$1:$1,0)-MATCH($B$1,[2]quests!$1:$1,0)+1),MATCH(E$1,[2]quests!$1:$1,0)-MATCH($B$1,[2]quests!$1:$1,0)+1,FALSE)</f>
        <v>【LB尾崎】検証クエスト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【超級】スリーピギーズ（仮）</v>
      </c>
      <c r="G12" s="123">
        <v>1</v>
      </c>
      <c r="H12" s="124" t="str">
        <f t="shared" si="2"/>
        <v>65523_2-1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25" t="s">
        <v>252</v>
      </c>
      <c r="L12" s="126">
        <v>65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ファイアフォックス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20</v>
      </c>
      <c r="S12" s="25">
        <v>7</v>
      </c>
      <c r="T12" s="12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30100</v>
      </c>
      <c r="U12" s="25">
        <v>0.5</v>
      </c>
      <c r="V12" s="12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962.5</v>
      </c>
      <c r="W12" s="127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緊急事態 電脳要塞プロトコル 発動します</v>
      </c>
      <c r="Y12" s="47">
        <v>65523001</v>
      </c>
      <c r="Z12" s="6">
        <v>1</v>
      </c>
      <c r="AA12" s="129">
        <v>100</v>
      </c>
      <c r="AB12" s="6">
        <v>1</v>
      </c>
      <c r="AC12" s="17">
        <v>2</v>
      </c>
      <c r="AD12" s="130">
        <v>65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131">
        <v>1</v>
      </c>
      <c r="AI12" s="130">
        <f t="shared" ca="1" si="3"/>
        <v>2</v>
      </c>
      <c r="AJ12" s="132">
        <v>15</v>
      </c>
      <c r="AK12" s="131">
        <v>0</v>
      </c>
      <c r="AL12" s="131">
        <v>0</v>
      </c>
      <c r="AM12" s="131">
        <v>0</v>
      </c>
      <c r="AN12" s="131">
        <v>0</v>
      </c>
      <c r="AO12" s="131">
        <v>1</v>
      </c>
      <c r="AP12" s="133">
        <v>1</v>
      </c>
    </row>
    <row r="13" spans="1:42" ht="21" customHeight="1" x14ac:dyDescent="0.15">
      <c r="A13" s="16" t="str">
        <f t="shared" si="0"/>
        <v>65523_2-1/31&lt;lv20&gt;s1</v>
      </c>
      <c r="B13" s="22">
        <v>65523</v>
      </c>
      <c r="C13" s="21">
        <v>2</v>
      </c>
      <c r="D13" s="2" t="str">
        <f t="shared" si="1"/>
        <v>65523_2</v>
      </c>
      <c r="E13" s="4" t="str">
        <f ca="1">VLOOKUP($B13,OFFSET([2]quests!$A$1,0,0,COUNTA([2]quests!$A:$A),MATCH(E$1,[2]quests!$1:$1,0)-MATCH($B$1,[2]quests!$1:$1,0)+1),MATCH(E$1,[2]quests!$1:$1,0)-MATCH($B$1,[2]quests!$1:$1,0)+1,FALSE)</f>
        <v>【LB尾崎】検証クエスト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【超級】スリーピギーズ（仮）</v>
      </c>
      <c r="G13" s="21">
        <v>1</v>
      </c>
      <c r="H13" s="15" t="str">
        <f t="shared" si="2"/>
        <v>65523_2-1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252</v>
      </c>
      <c r="L13" s="20">
        <v>31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マービー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20</v>
      </c>
      <c r="S13" s="25">
        <v>6.2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23516.600000000002</v>
      </c>
      <c r="U13" s="25">
        <v>1.4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1642.1999999999998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1ターンファイアフォックスの行動頻度UP+単体攻撃</v>
      </c>
      <c r="Y13" s="47">
        <v>65523002</v>
      </c>
      <c r="Z13" s="6">
        <v>1</v>
      </c>
      <c r="AA13" s="6">
        <v>100</v>
      </c>
      <c r="AB13" s="6">
        <v>2</v>
      </c>
      <c r="AC13" s="17">
        <v>1</v>
      </c>
      <c r="AD13" s="24">
        <v>31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3"/>
        <v>1</v>
      </c>
      <c r="AJ13" s="8">
        <v>15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6" t="str">
        <f t="shared" si="0"/>
        <v>65523_2-1/13&lt;lv20&gt;s2</v>
      </c>
      <c r="B14" s="22">
        <v>65523</v>
      </c>
      <c r="C14" s="21">
        <v>2</v>
      </c>
      <c r="D14" s="2" t="str">
        <f t="shared" si="1"/>
        <v>65523_2</v>
      </c>
      <c r="E14" s="4" t="str">
        <f ca="1">VLOOKUP($B14,OFFSET([2]quests!$A$1,0,0,COUNTA([2]quests!$A:$A),MATCH(E$1,[2]quests!$1:$1,0)-MATCH($B$1,[2]quests!$1:$1,0)+1),MATCH(E$1,[2]quests!$1:$1,0)-MATCH($B$1,[2]quests!$1:$1,0)+1,FALSE)</f>
        <v>【LB尾崎】検証クエスト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【超級】スリーピギーズ（仮）</v>
      </c>
      <c r="G14" s="21">
        <v>1</v>
      </c>
      <c r="H14" s="15" t="str">
        <f t="shared" si="2"/>
        <v>65523_2-1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252</v>
      </c>
      <c r="L14" s="20">
        <v>13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ミミ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20</v>
      </c>
      <c r="S14" s="25">
        <v>3.8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16013.199999999999</v>
      </c>
      <c r="U14" s="25">
        <v>1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1906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4" s="47">
        <v>65523003</v>
      </c>
      <c r="Z14" s="6">
        <v>1</v>
      </c>
      <c r="AA14" s="6">
        <v>100</v>
      </c>
      <c r="AB14" s="6">
        <v>3</v>
      </c>
      <c r="AC14" s="17">
        <v>2</v>
      </c>
      <c r="AD14" s="24">
        <v>13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ミミ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Drop1W</v>
      </c>
      <c r="AH14" s="7">
        <v>1</v>
      </c>
      <c r="AI14" s="24">
        <f t="shared" ca="1" si="3"/>
        <v>1</v>
      </c>
      <c r="AJ14" s="8">
        <v>15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6" t="str">
        <f t="shared" si="0"/>
        <v>65523_2-1/13&lt;lv21&gt;s2</v>
      </c>
      <c r="B15" s="22">
        <v>65523</v>
      </c>
      <c r="C15" s="21">
        <v>2</v>
      </c>
      <c r="D15" s="2" t="str">
        <f t="shared" si="1"/>
        <v>65523_2</v>
      </c>
      <c r="E15" s="4" t="str">
        <f ca="1">VLOOKUP($B15,OFFSET([2]quests!$A$1,0,0,COUNTA([2]quests!$A:$A),MATCH(E$1,[2]quests!$1:$1,0)-MATCH($B$1,[2]quests!$1:$1,0)+1),MATCH(E$1,[2]quests!$1:$1,0)-MATCH($B$1,[2]quests!$1:$1,0)+1,FALSE)</f>
        <v>【LB尾崎】検証クエスト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【超級】スリーピギーズ（仮）</v>
      </c>
      <c r="G15" s="21">
        <v>1</v>
      </c>
      <c r="H15" s="15" t="str">
        <f t="shared" si="2"/>
        <v>65523_2-1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252</v>
      </c>
      <c r="L15" s="20">
        <v>13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ミミ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21</v>
      </c>
      <c r="S15" s="25">
        <v>3.8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16758</v>
      </c>
      <c r="U15" s="25">
        <v>1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1995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5" s="47">
        <v>65523003</v>
      </c>
      <c r="Z15" s="6">
        <v>1</v>
      </c>
      <c r="AA15" s="6">
        <v>100</v>
      </c>
      <c r="AB15" s="6">
        <v>4</v>
      </c>
      <c r="AC15" s="17">
        <v>2</v>
      </c>
      <c r="AD15" s="24">
        <v>13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ミミ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5" s="7">
        <v>1</v>
      </c>
      <c r="AI15" s="24">
        <f t="shared" ca="1" si="3"/>
        <v>1</v>
      </c>
      <c r="AJ15" s="8">
        <v>15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  <row r="16" spans="1:42" ht="21" customHeight="1" x14ac:dyDescent="0.15">
      <c r="A16" s="16" t="str">
        <f t="shared" si="0"/>
        <v>65523_2-2/71&lt;lv20&gt;s2</v>
      </c>
      <c r="B16" s="22">
        <v>65523</v>
      </c>
      <c r="C16" s="21">
        <v>2</v>
      </c>
      <c r="D16" s="2" t="str">
        <f t="shared" si="1"/>
        <v>65523_2</v>
      </c>
      <c r="E16" s="4" t="str">
        <f ca="1">VLOOKUP($B16,OFFSET([2]quests!$A$1,0,0,COUNTA([2]quests!$A:$A),MATCH(E$1,[2]quests!$1:$1,0)-MATCH($B$1,[2]quests!$1:$1,0)+1),MATCH(E$1,[2]quests!$1:$1,0)-MATCH($B$1,[2]quests!$1:$1,0)+1,FALSE)</f>
        <v>【LB尾崎】検証クエスト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【超級】スリーピギーズ（仮）</v>
      </c>
      <c r="G16" s="21">
        <v>2</v>
      </c>
      <c r="H16" s="15" t="str">
        <f t="shared" si="2"/>
        <v>65523_2-2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252</v>
      </c>
      <c r="L16" s="20">
        <v>71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ダックス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20</v>
      </c>
      <c r="S16" s="25">
        <v>7</v>
      </c>
      <c r="T16" s="103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30100</v>
      </c>
      <c r="U16" s="25">
        <v>0.9</v>
      </c>
      <c r="V16" s="103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1251.9000000000001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青パネルをプロテクト(最大3個)+単体攻撃</v>
      </c>
      <c r="Y16" s="47">
        <v>65523004</v>
      </c>
      <c r="Z16" s="6">
        <v>1</v>
      </c>
      <c r="AA16" s="6">
        <v>100</v>
      </c>
      <c r="AB16" s="6">
        <v>2</v>
      </c>
      <c r="AC16" s="17">
        <v>2</v>
      </c>
      <c r="AD16" s="24">
        <v>71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ダックス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4">
        <f t="shared" ca="1" si="3"/>
        <v>2</v>
      </c>
      <c r="AJ16" s="8">
        <v>15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8">
        <v>1</v>
      </c>
    </row>
    <row r="17" spans="1:42" ht="21" customHeight="1" x14ac:dyDescent="0.15">
      <c r="A17" s="16" t="str">
        <f t="shared" si="0"/>
        <v>65523_2-2/31&lt;lv20&gt;s1</v>
      </c>
      <c r="B17" s="22">
        <v>65523</v>
      </c>
      <c r="C17" s="21">
        <v>2</v>
      </c>
      <c r="D17" s="2" t="str">
        <f t="shared" si="1"/>
        <v>65523_2</v>
      </c>
      <c r="E17" s="4" t="str">
        <f ca="1">VLOOKUP($B17,OFFSET([2]quests!$A$1,0,0,COUNTA([2]quests!$A:$A),MATCH(E$1,[2]quests!$1:$1,0)-MATCH($B$1,[2]quests!$1:$1,0)+1),MATCH(E$1,[2]quests!$1:$1,0)-MATCH($B$1,[2]quests!$1:$1,0)+1,FALSE)</f>
        <v>【LB尾崎】検証クエスト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【超級】スリーピギーズ（仮）</v>
      </c>
      <c r="G17" s="21">
        <v>2</v>
      </c>
      <c r="H17" s="15" t="str">
        <f t="shared" si="2"/>
        <v>65523_2-2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252</v>
      </c>
      <c r="L17" s="20">
        <v>31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マービー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20</v>
      </c>
      <c r="S17" s="25">
        <v>6.2</v>
      </c>
      <c r="T17" s="103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23516.600000000002</v>
      </c>
      <c r="U17" s="25">
        <v>1.2</v>
      </c>
      <c r="V17" s="103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1407.6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１ターンダックスの行動頻度UP+単体攻撃</v>
      </c>
      <c r="Y17" s="47">
        <v>65523005</v>
      </c>
      <c r="Z17" s="6">
        <v>1</v>
      </c>
      <c r="AA17" s="6">
        <v>100</v>
      </c>
      <c r="AB17" s="6">
        <v>3</v>
      </c>
      <c r="AC17" s="17">
        <v>1</v>
      </c>
      <c r="AD17" s="24">
        <v>31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1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7">
        <v>1</v>
      </c>
      <c r="AI17" s="24">
        <f t="shared" ca="1" si="3"/>
        <v>1</v>
      </c>
      <c r="AJ17" s="8">
        <v>15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8">
        <v>1</v>
      </c>
    </row>
    <row r="18" spans="1:42" ht="21" customHeight="1" x14ac:dyDescent="0.15">
      <c r="A18" s="16" t="str">
        <f t="shared" si="0"/>
        <v>65523_2-2/95&lt;lv20&gt;s1</v>
      </c>
      <c r="B18" s="22">
        <v>65523</v>
      </c>
      <c r="C18" s="21">
        <v>2</v>
      </c>
      <c r="D18" s="2" t="str">
        <f t="shared" si="1"/>
        <v>65523_2</v>
      </c>
      <c r="E18" s="4" t="str">
        <f ca="1">VLOOKUP($B18,OFFSET([2]quests!$A$1,0,0,COUNTA([2]quests!$A:$A),MATCH(E$1,[2]quests!$1:$1,0)-MATCH($B$1,[2]quests!$1:$1,0)+1),MATCH(E$1,[2]quests!$1:$1,0)-MATCH($B$1,[2]quests!$1:$1,0)+1,FALSE)</f>
        <v>【LB尾崎】検証クエスト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【超級】スリーピギーズ（仮）</v>
      </c>
      <c r="G18" s="21">
        <v>2</v>
      </c>
      <c r="H18" s="15" t="str">
        <f t="shared" si="2"/>
        <v>65523_2-2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252</v>
      </c>
      <c r="L18" s="20">
        <v>95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守護者 白虎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20</v>
      </c>
      <c r="S18" s="25">
        <v>1.5</v>
      </c>
      <c r="T18" s="103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41086.5</v>
      </c>
      <c r="U18" s="25">
        <v>0.3</v>
      </c>
      <c r="V18" s="103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966.3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6ターンダックスの防御力UP</v>
      </c>
      <c r="Y18" s="47">
        <v>65523006</v>
      </c>
      <c r="Z18" s="6">
        <v>1</v>
      </c>
      <c r="AA18" s="6">
        <v>100</v>
      </c>
      <c r="AB18" s="6">
        <v>4</v>
      </c>
      <c r="AC18" s="17">
        <v>1</v>
      </c>
      <c r="AD18" s="24">
        <v>94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白虎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Drop2N</v>
      </c>
      <c r="AH18" s="7">
        <v>1</v>
      </c>
      <c r="AI18" s="24">
        <f t="shared" ca="1" si="3"/>
        <v>3</v>
      </c>
      <c r="AJ18" s="8">
        <v>15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x14ac:dyDescent="0.15">
      <c r="A19" s="16" t="str">
        <f t="shared" si="0"/>
        <v>65523_2-3/366&lt;lv20&gt;s2</v>
      </c>
      <c r="B19" s="22">
        <v>65523</v>
      </c>
      <c r="C19" s="21">
        <v>2</v>
      </c>
      <c r="D19" s="2" t="str">
        <f t="shared" si="1"/>
        <v>65523_2</v>
      </c>
      <c r="E19" s="4" t="str">
        <f ca="1">VLOOKUP($B19,OFFSET([2]quests!$A$1,0,0,COUNTA([2]quests!$A:$A),MATCH(E$1,[2]quests!$1:$1,0)-MATCH($B$1,[2]quests!$1:$1,0)+1),MATCH(E$1,[2]quests!$1:$1,0)-MATCH($B$1,[2]quests!$1:$1,0)+1,FALSE)</f>
        <v>【LB尾崎】検証クエスト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【超級】スリーピギーズ（仮）</v>
      </c>
      <c r="G19" s="21">
        <v>3</v>
      </c>
      <c r="H19" s="15" t="str">
        <f t="shared" si="2"/>
        <v>65523_2-3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252</v>
      </c>
      <c r="L19" s="20">
        <v>366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トト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20</v>
      </c>
      <c r="S19" s="25">
        <v>8</v>
      </c>
      <c r="T19" s="103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33712</v>
      </c>
      <c r="U19" s="25">
        <v>1.2</v>
      </c>
      <c r="V19" s="103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1719.6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19" s="47">
        <v>65523007</v>
      </c>
      <c r="Z19" s="6">
        <v>1</v>
      </c>
      <c r="AA19" s="6">
        <v>100</v>
      </c>
      <c r="AB19" s="6">
        <v>2</v>
      </c>
      <c r="AC19" s="17">
        <v>2</v>
      </c>
      <c r="AD19" s="24">
        <v>366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トト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2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Drop1S</v>
      </c>
      <c r="AH19" s="7">
        <v>1</v>
      </c>
      <c r="AI19" s="24">
        <f t="shared" ca="1" si="3"/>
        <v>2</v>
      </c>
      <c r="AJ19" s="8">
        <v>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8">
        <v>1</v>
      </c>
    </row>
    <row r="20" spans="1:42" ht="21" customHeight="1" x14ac:dyDescent="0.15">
      <c r="A20" s="16" t="str">
        <f t="shared" si="0"/>
        <v>65523_2-3/583&lt;lv20&gt;s2</v>
      </c>
      <c r="B20" s="22">
        <v>65523</v>
      </c>
      <c r="C20" s="21">
        <v>2</v>
      </c>
      <c r="D20" s="2" t="str">
        <f t="shared" si="1"/>
        <v>65523_2</v>
      </c>
      <c r="E20" s="4" t="str">
        <f ca="1">VLOOKUP($B20,OFFSET([2]quests!$A$1,0,0,COUNTA([2]quests!$A:$A),MATCH(E$1,[2]quests!$1:$1,0)-MATCH($B$1,[2]quests!$1:$1,0)+1),MATCH(E$1,[2]quests!$1:$1,0)-MATCH($B$1,[2]quests!$1:$1,0)+1,FALSE)</f>
        <v>【LB尾崎】検証クエスト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【超級】スリーピギーズ（仮）</v>
      </c>
      <c r="G20" s="21">
        <v>3</v>
      </c>
      <c r="H20" s="15" t="str">
        <f t="shared" si="2"/>
        <v>65523_2-3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1</v>
      </c>
      <c r="L20" s="20">
        <v>583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ミョルニル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machine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20</v>
      </c>
      <c r="S20" s="25">
        <v>1.8</v>
      </c>
      <c r="T20" s="103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49303.8</v>
      </c>
      <c r="U20" s="25">
        <v>1.4</v>
      </c>
      <c r="V20" s="103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4100.5999999999995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1ターン全ユニットの攻撃をカウンター+単体攻撃</v>
      </c>
      <c r="Y20" s="47">
        <v>65523008</v>
      </c>
      <c r="Z20" s="6">
        <v>1</v>
      </c>
      <c r="AA20" s="6">
        <v>100</v>
      </c>
      <c r="AB20" s="6">
        <v>1</v>
      </c>
      <c r="AC20" s="17">
        <v>2</v>
      </c>
      <c r="AD20" s="24">
        <v>1373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4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Drop2N</v>
      </c>
      <c r="AH20" s="7">
        <v>1</v>
      </c>
      <c r="AI20" s="24">
        <f t="shared" ca="1" si="3"/>
        <v>4</v>
      </c>
      <c r="AJ20" s="8">
        <v>50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8">
        <v>1</v>
      </c>
    </row>
    <row r="21" spans="1:42" ht="21" customHeight="1" thickBot="1" x14ac:dyDescent="0.2">
      <c r="A21" s="134" t="str">
        <f t="shared" si="0"/>
        <v>65523_2-3/32&lt;lv20&gt;s1</v>
      </c>
      <c r="B21" s="135">
        <v>65523</v>
      </c>
      <c r="C21" s="136">
        <v>2</v>
      </c>
      <c r="D21" s="137" t="str">
        <f t="shared" si="1"/>
        <v>65523_2</v>
      </c>
      <c r="E21" s="138" t="str">
        <f ca="1">VLOOKUP($B21,OFFSET([2]quests!$A$1,0,0,COUNTA([2]quests!$A:$A),MATCH(E$1,[2]quests!$1:$1,0)-MATCH($B$1,[2]quests!$1:$1,0)+1),MATCH(E$1,[2]quests!$1:$1,0)-MATCH($B$1,[2]quests!$1:$1,0)+1,FALSE)</f>
        <v>【LB尾崎】検証クエスト</v>
      </c>
      <c r="F21" s="138" t="str">
        <f ca="1">VLOOKUP($D21,OFFSET([2]stages!$A$1,0,0,COUNTA([2]stages!$A:$A),MATCH(F$1,[2]stages!$2:$2,0)-MATCH($D$1,[2]stages!$2:$2,0)+1),MATCH(F$1,[2]stages!$2:$2,0)-MATCH($D$1,[2]stages!$2:$2,0)+1,FALSE)</f>
        <v>【超級】スリーピギーズ（仮）</v>
      </c>
      <c r="G21" s="136">
        <v>3</v>
      </c>
      <c r="H21" s="137" t="str">
        <f t="shared" si="2"/>
        <v>65523_2-3</v>
      </c>
      <c r="I21" s="138">
        <f ca="1">VLOOKUP($H21,OFFSET(floors!$A$1,0,0,COUNTA(floors!$A:$A),MATCH(I$1,floors!$1:$1,0)-MATCH($H$1,floors!$1:$1,0)+1),MATCH(I$1,floors!$1:$1,0)-MATCH($H$1,floors!$1:$1,0)+1,FALSE)</f>
        <v>60</v>
      </c>
      <c r="J21" s="138">
        <f ca="1">VLOOKUP($H21,OFFSET(floors!$A$1,0,0,COUNTA(floors!$A:$A),MATCH(J$1,floors!$1:$1,0)-MATCH($H$1,floors!$1:$1,0)+1),MATCH(J$1,floors!$1:$1,0)-MATCH($H$1,floors!$1:$1,0)+1,FALSE)</f>
        <v>60</v>
      </c>
      <c r="K21" s="139" t="s">
        <v>252</v>
      </c>
      <c r="L21" s="140">
        <v>32</v>
      </c>
      <c r="M21" s="141" t="str">
        <f ca="1">VLOOKUP($L21,OFFSET([3]enemies!$A$1,0,0,COUNTA([3]enemies!$A:$A),MATCH(M$1,[3]enemies!$1:$1,0)-MATCH($L$1,[3]enemies!$1:$1,0)+1),MATCH(M$1,[3]enemies!$1:$1,0)-MATCH($L$1,[3]enemies!$1:$1,0)+1,FALSE)</f>
        <v>沈黙のジャミング マービー</v>
      </c>
      <c r="N21" s="141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41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41" t="str">
        <f ca="1">VLOOKUP($L21,OFFSET([3]enemies!$A$1,0,0,COUNTA([3]enemies!$A:$A),MATCH(P$1,[3]enemies!$1:$1,0)-MATCH($L$1,[3]enemies!$1:$1,0)+1),MATCH(P$1,[3]enemies!$1:$1,0)-MATCH($L$1,[3]enemies!$1:$1,0)+1,FALSE)</f>
        <v>machine</v>
      </c>
      <c r="Q21" s="141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20</v>
      </c>
      <c r="S21" s="143">
        <v>9</v>
      </c>
      <c r="T21" s="144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34137</v>
      </c>
      <c r="U21" s="143">
        <v>1.7</v>
      </c>
      <c r="V21" s="144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1994.1</v>
      </c>
      <c r="W21" s="142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21" s="47">
        <v>65523009</v>
      </c>
      <c r="Z21" s="6">
        <v>1</v>
      </c>
      <c r="AA21" s="145">
        <v>100</v>
      </c>
      <c r="AB21" s="145">
        <v>3</v>
      </c>
      <c r="AC21" s="141">
        <v>1</v>
      </c>
      <c r="AD21" s="146">
        <v>31</v>
      </c>
      <c r="AE21" s="138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21" s="138">
        <f ca="1">VLOOKUP($AD21,OFFSET([4]characters!$A$1,0,0,COUNTA([4]characters!$A:$A),MATCH(AF$1,[4]characters!$1:$1,0)-MATCH("character_id",[4]characters!$1:$1,0)+1),MATCH(AF$1,[4]characters!$1:$1,0)-MATCH("character_id",[4]characters!$1:$1,0)+1,FALSE)</f>
        <v>1</v>
      </c>
      <c r="AG21" s="138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Drop1N</v>
      </c>
      <c r="AH21" s="147">
        <v>1</v>
      </c>
      <c r="AI21" s="146">
        <f t="shared" ca="1" si="3"/>
        <v>1</v>
      </c>
      <c r="AJ21" s="148">
        <v>0</v>
      </c>
      <c r="AK21" s="147">
        <v>0</v>
      </c>
      <c r="AL21" s="147">
        <v>0</v>
      </c>
      <c r="AM21" s="147">
        <v>0</v>
      </c>
      <c r="AN21" s="147">
        <v>0</v>
      </c>
      <c r="AO21" s="147">
        <v>1</v>
      </c>
      <c r="AP21" s="149">
        <v>1</v>
      </c>
    </row>
    <row r="22" spans="1:42" ht="21" customHeight="1" x14ac:dyDescent="0.15">
      <c r="A22" s="16" t="str">
        <f t="shared" si="0"/>
        <v>65523_3-1/65&lt;lv25&gt;s2</v>
      </c>
      <c r="B22" s="22">
        <v>65523</v>
      </c>
      <c r="C22" s="123">
        <v>3</v>
      </c>
      <c r="D22" s="124" t="str">
        <f t="shared" si="1"/>
        <v>65523_3</v>
      </c>
      <c r="E22" s="4" t="str">
        <f ca="1">VLOOKUP($B22,OFFSET([2]quests!$A$1,0,0,COUNTA([2]quests!$A:$A),MATCH(E$1,[2]quests!$1:$1,0)-MATCH($B$1,[2]quests!$1:$1,0)+1),MATCH(E$1,[2]quests!$1:$1,0)-MATCH($B$1,[2]quests!$1:$1,0)+1,FALSE)</f>
        <v>【LB尾崎】検証クエスト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【超級】スリーピギーズ（仮）</v>
      </c>
      <c r="G22" s="123">
        <v>1</v>
      </c>
      <c r="H22" s="124" t="str">
        <f t="shared" si="2"/>
        <v>65523_3-1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125" t="s">
        <v>252</v>
      </c>
      <c r="L22" s="126">
        <v>65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ファイアフォックス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25</v>
      </c>
      <c r="S22" s="25">
        <v>7</v>
      </c>
      <c r="T22" s="128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37100</v>
      </c>
      <c r="U22" s="25">
        <v>0.5</v>
      </c>
      <c r="V22" s="128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1186.5</v>
      </c>
      <c r="W22" s="127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緊急事態 電脳要塞プロトコル 発動します</v>
      </c>
      <c r="Y22" s="47">
        <v>65523001</v>
      </c>
      <c r="Z22" s="6">
        <v>1</v>
      </c>
      <c r="AA22" s="129">
        <v>100</v>
      </c>
      <c r="AB22" s="6">
        <v>1</v>
      </c>
      <c r="AC22" s="17">
        <v>2</v>
      </c>
      <c r="AD22" s="130">
        <v>65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2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2" s="131">
        <v>1</v>
      </c>
      <c r="AI22" s="130">
        <f t="shared" ca="1" si="3"/>
        <v>2</v>
      </c>
      <c r="AJ22" s="132">
        <v>15</v>
      </c>
      <c r="AK22" s="131">
        <v>0</v>
      </c>
      <c r="AL22" s="131">
        <v>0</v>
      </c>
      <c r="AM22" s="131">
        <v>0</v>
      </c>
      <c r="AN22" s="131">
        <v>0</v>
      </c>
      <c r="AO22" s="131">
        <v>1</v>
      </c>
      <c r="AP22" s="133">
        <v>1</v>
      </c>
    </row>
    <row r="23" spans="1:42" ht="21" customHeight="1" x14ac:dyDescent="0.15">
      <c r="A23" s="16" t="str">
        <f t="shared" si="0"/>
        <v>65523_3-1/31&lt;lv25&gt;s1</v>
      </c>
      <c r="B23" s="22">
        <v>65523</v>
      </c>
      <c r="C23" s="21">
        <v>3</v>
      </c>
      <c r="D23" s="2" t="str">
        <f t="shared" si="1"/>
        <v>65523_3</v>
      </c>
      <c r="E23" s="4" t="str">
        <f ca="1">VLOOKUP($B23,OFFSET([2]quests!$A$1,0,0,COUNTA([2]quests!$A:$A),MATCH(E$1,[2]quests!$1:$1,0)-MATCH($B$1,[2]quests!$1:$1,0)+1),MATCH(E$1,[2]quests!$1:$1,0)-MATCH($B$1,[2]quests!$1:$1,0)+1,FALSE)</f>
        <v>【LB尾崎】検証クエスト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【超級】スリーピギーズ（仮）</v>
      </c>
      <c r="G23" s="21">
        <v>1</v>
      </c>
      <c r="H23" s="15" t="str">
        <f t="shared" si="2"/>
        <v>65523_3-1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252</v>
      </c>
      <c r="L23" s="20">
        <v>31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マービー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machine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25</v>
      </c>
      <c r="S23" s="25">
        <v>6.2</v>
      </c>
      <c r="T23" s="103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28985</v>
      </c>
      <c r="U23" s="25">
        <v>1.4</v>
      </c>
      <c r="V23" s="103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2022.9999999999998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1ターンファイアフォックスの行動頻度UP+単体攻撃</v>
      </c>
      <c r="Y23" s="47">
        <v>65523002</v>
      </c>
      <c r="Z23" s="6">
        <v>1</v>
      </c>
      <c r="AA23" s="6">
        <v>100</v>
      </c>
      <c r="AB23" s="6">
        <v>2</v>
      </c>
      <c r="AC23" s="17">
        <v>1</v>
      </c>
      <c r="AD23" s="24">
        <v>31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1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Drop1N</v>
      </c>
      <c r="AH23" s="7">
        <v>1</v>
      </c>
      <c r="AI23" s="24">
        <f t="shared" ca="1" si="3"/>
        <v>1</v>
      </c>
      <c r="AJ23" s="8">
        <v>15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8">
        <v>1</v>
      </c>
    </row>
    <row r="24" spans="1:42" ht="21" customHeight="1" x14ac:dyDescent="0.15">
      <c r="A24" s="16" t="str">
        <f t="shared" si="0"/>
        <v>65523_3-1/13&lt;lv25&gt;s2</v>
      </c>
      <c r="B24" s="22">
        <v>65523</v>
      </c>
      <c r="C24" s="21">
        <v>3</v>
      </c>
      <c r="D24" s="2" t="str">
        <f t="shared" si="1"/>
        <v>65523_3</v>
      </c>
      <c r="E24" s="4" t="str">
        <f ca="1">VLOOKUP($B24,OFFSET([2]quests!$A$1,0,0,COUNTA([2]quests!$A:$A),MATCH(E$1,[2]quests!$1:$1,0)-MATCH($B$1,[2]quests!$1:$1,0)+1),MATCH(E$1,[2]quests!$1:$1,0)-MATCH($B$1,[2]quests!$1:$1,0)+1,FALSE)</f>
        <v>【LB尾崎】検証クエスト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【超級】スリーピギーズ（仮）</v>
      </c>
      <c r="G24" s="21">
        <v>1</v>
      </c>
      <c r="H24" s="15" t="str">
        <f t="shared" si="2"/>
        <v>65523_3-1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252</v>
      </c>
      <c r="L24" s="20">
        <v>13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ミミ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Drop1W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25</v>
      </c>
      <c r="S24" s="25">
        <v>3.8</v>
      </c>
      <c r="T24" s="103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19737.2</v>
      </c>
      <c r="U24" s="25">
        <v>1.4</v>
      </c>
      <c r="V24" s="103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3288.6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4" s="47">
        <v>65523003</v>
      </c>
      <c r="Z24" s="6">
        <v>1</v>
      </c>
      <c r="AA24" s="6">
        <v>100</v>
      </c>
      <c r="AB24" s="6">
        <v>3</v>
      </c>
      <c r="AC24" s="17">
        <v>2</v>
      </c>
      <c r="AD24" s="24">
        <v>13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ミミ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1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Drop1W</v>
      </c>
      <c r="AH24" s="7">
        <v>1</v>
      </c>
      <c r="AI24" s="24">
        <f t="shared" ca="1" si="3"/>
        <v>1</v>
      </c>
      <c r="AJ24" s="8">
        <v>15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8">
        <v>1</v>
      </c>
    </row>
    <row r="25" spans="1:42" ht="21" customHeight="1" x14ac:dyDescent="0.15">
      <c r="A25" s="16" t="str">
        <f t="shared" si="0"/>
        <v>65523_3-1/13&lt;lv26&gt;s2</v>
      </c>
      <c r="B25" s="22">
        <v>65523</v>
      </c>
      <c r="C25" s="21">
        <v>3</v>
      </c>
      <c r="D25" s="2" t="str">
        <f t="shared" si="1"/>
        <v>65523_3</v>
      </c>
      <c r="E25" s="4" t="str">
        <f ca="1">VLOOKUP($B25,OFFSET([2]quests!$A$1,0,0,COUNTA([2]quests!$A:$A),MATCH(E$1,[2]quests!$1:$1,0)-MATCH($B$1,[2]quests!$1:$1,0)+1),MATCH(E$1,[2]quests!$1:$1,0)-MATCH($B$1,[2]quests!$1:$1,0)+1,FALSE)</f>
        <v>【LB尾崎】検証クエスト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【超級】スリーピギーズ（仮）</v>
      </c>
      <c r="G25" s="21">
        <v>1</v>
      </c>
      <c r="H25" s="15" t="str">
        <f t="shared" si="2"/>
        <v>65523_3-1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252</v>
      </c>
      <c r="L25" s="20">
        <v>13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ミミ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26</v>
      </c>
      <c r="S25" s="25">
        <v>3.8</v>
      </c>
      <c r="T25" s="103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20482</v>
      </c>
      <c r="U25" s="25">
        <v>1.4</v>
      </c>
      <c r="V25" s="103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3413.2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5" s="47">
        <v>65523003</v>
      </c>
      <c r="Z25" s="6">
        <v>1</v>
      </c>
      <c r="AA25" s="6">
        <v>100</v>
      </c>
      <c r="AB25" s="6">
        <v>4</v>
      </c>
      <c r="AC25" s="17">
        <v>2</v>
      </c>
      <c r="AD25" s="24">
        <v>13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ミミ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1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Drop1W</v>
      </c>
      <c r="AH25" s="7">
        <v>1</v>
      </c>
      <c r="AI25" s="24">
        <f t="shared" ca="1" si="3"/>
        <v>1</v>
      </c>
      <c r="AJ25" s="8">
        <v>15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8">
        <v>1</v>
      </c>
    </row>
    <row r="26" spans="1:42" ht="21" customHeight="1" x14ac:dyDescent="0.15">
      <c r="A26" s="16" t="str">
        <f t="shared" si="0"/>
        <v>65523_3-2/71&lt;lv25&gt;s2</v>
      </c>
      <c r="B26" s="22">
        <v>65523</v>
      </c>
      <c r="C26" s="21">
        <v>3</v>
      </c>
      <c r="D26" s="2" t="str">
        <f t="shared" si="1"/>
        <v>65523_3</v>
      </c>
      <c r="E26" s="4" t="str">
        <f ca="1">VLOOKUP($B26,OFFSET([2]quests!$A$1,0,0,COUNTA([2]quests!$A:$A),MATCH(E$1,[2]quests!$1:$1,0)-MATCH($B$1,[2]quests!$1:$1,0)+1),MATCH(E$1,[2]quests!$1:$1,0)-MATCH($B$1,[2]quests!$1:$1,0)+1,FALSE)</f>
        <v>【LB尾崎】検証クエスト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【超級】スリーピギーズ（仮）</v>
      </c>
      <c r="G26" s="21">
        <v>2</v>
      </c>
      <c r="H26" s="15" t="str">
        <f t="shared" si="2"/>
        <v>65523_3-2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252</v>
      </c>
      <c r="L26" s="20">
        <v>71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ダックス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animal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25</v>
      </c>
      <c r="S26" s="25">
        <v>7</v>
      </c>
      <c r="T26" s="103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37100</v>
      </c>
      <c r="U26" s="25">
        <v>0.9</v>
      </c>
      <c r="V26" s="103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1542.6000000000001</v>
      </c>
      <c r="W26" s="5">
        <v>0</v>
      </c>
      <c r="X26" s="4" t="str">
        <f ca="1">VLOOKUP($Y26,OFFSET(enemy_skill_sets!$B$1,0,0,COUNTA(enemy_skill_sets!$B:$B),MATCH(M$1,enemy_skill_sets!$1:$1,0)-MATCH($Y$1,enemy_skill_sets!$1:$1,0)+2),MATCH(M$1,enemy_skill_sets!$1:$1,0)-MATCH($Y$1,enemy_skill_sets!$1:$1,0)+2,FALSE)</f>
        <v>青パネルをプロテクト(最大3個)+単体攻撃</v>
      </c>
      <c r="Y26" s="47">
        <v>65523004</v>
      </c>
      <c r="Z26" s="6">
        <v>1</v>
      </c>
      <c r="AA26" s="6">
        <v>100</v>
      </c>
      <c r="AB26" s="6">
        <v>2</v>
      </c>
      <c r="AC26" s="17">
        <v>2</v>
      </c>
      <c r="AD26" s="24">
        <v>71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ダックス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2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Drop1S</v>
      </c>
      <c r="AH26" s="7">
        <v>1</v>
      </c>
      <c r="AI26" s="24">
        <f t="shared" ca="1" si="3"/>
        <v>2</v>
      </c>
      <c r="AJ26" s="8">
        <v>15</v>
      </c>
      <c r="AK26" s="7">
        <v>0</v>
      </c>
      <c r="AL26" s="7">
        <v>0</v>
      </c>
      <c r="AM26" s="7">
        <v>0</v>
      </c>
      <c r="AN26" s="7">
        <v>0</v>
      </c>
      <c r="AO26" s="7">
        <v>1</v>
      </c>
      <c r="AP26" s="68">
        <v>1</v>
      </c>
    </row>
    <row r="27" spans="1:42" ht="21" customHeight="1" x14ac:dyDescent="0.15">
      <c r="A27" s="16" t="str">
        <f t="shared" si="0"/>
        <v>65523_3-2/31&lt;lv25&gt;s1</v>
      </c>
      <c r="B27" s="22">
        <v>65523</v>
      </c>
      <c r="C27" s="21">
        <v>3</v>
      </c>
      <c r="D27" s="2" t="str">
        <f t="shared" si="1"/>
        <v>65523_3</v>
      </c>
      <c r="E27" s="4" t="str">
        <f ca="1">VLOOKUP($B27,OFFSET([2]quests!$A$1,0,0,COUNTA([2]quests!$A:$A),MATCH(E$1,[2]quests!$1:$1,0)-MATCH($B$1,[2]quests!$1:$1,0)+1),MATCH(E$1,[2]quests!$1:$1,0)-MATCH($B$1,[2]quests!$1:$1,0)+1,FALSE)</f>
        <v>【LB尾崎】検証クエスト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【超級】スリーピギーズ（仮）</v>
      </c>
      <c r="G27" s="21">
        <v>2</v>
      </c>
      <c r="H27" s="15" t="str">
        <f t="shared" si="2"/>
        <v>65523_3-2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252</v>
      </c>
      <c r="L27" s="20">
        <v>31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マービー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25</v>
      </c>
      <c r="S27" s="25">
        <v>6.2</v>
      </c>
      <c r="T27" s="103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28985</v>
      </c>
      <c r="U27" s="25">
        <v>1.2</v>
      </c>
      <c r="V27" s="103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1734</v>
      </c>
      <c r="W27" s="5">
        <v>0</v>
      </c>
      <c r="X27" s="4" t="str">
        <f ca="1">VLOOKUP($Y27,OFFSET(enemy_skill_sets!$B$1,0,0,COUNTA(enemy_skill_sets!$B:$B),MATCH(M$1,enemy_skill_sets!$1:$1,0)-MATCH($Y$1,enemy_skill_sets!$1:$1,0)+2),MATCH(M$1,enemy_skill_sets!$1:$1,0)-MATCH($Y$1,enemy_skill_sets!$1:$1,0)+2,FALSE)</f>
        <v>１ターンダックスの行動頻度UP+単体攻撃</v>
      </c>
      <c r="Y27" s="47">
        <v>65523005</v>
      </c>
      <c r="Z27" s="6">
        <v>1</v>
      </c>
      <c r="AA27" s="6">
        <v>100</v>
      </c>
      <c r="AB27" s="6">
        <v>3</v>
      </c>
      <c r="AC27" s="17">
        <v>1</v>
      </c>
      <c r="AD27" s="24">
        <v>31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1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Drop1N</v>
      </c>
      <c r="AH27" s="7">
        <v>1</v>
      </c>
      <c r="AI27" s="24">
        <f t="shared" ca="1" si="3"/>
        <v>1</v>
      </c>
      <c r="AJ27" s="8">
        <v>15</v>
      </c>
      <c r="AK27" s="7">
        <v>0</v>
      </c>
      <c r="AL27" s="7">
        <v>0</v>
      </c>
      <c r="AM27" s="7">
        <v>0</v>
      </c>
      <c r="AN27" s="7">
        <v>0</v>
      </c>
      <c r="AO27" s="7">
        <v>1</v>
      </c>
      <c r="AP27" s="68">
        <v>1</v>
      </c>
    </row>
    <row r="28" spans="1:42" ht="21" customHeight="1" x14ac:dyDescent="0.15">
      <c r="A28" s="16" t="str">
        <f t="shared" si="0"/>
        <v>65523_3-2/95&lt;lv25&gt;s1</v>
      </c>
      <c r="B28" s="22">
        <v>65523</v>
      </c>
      <c r="C28" s="21">
        <v>3</v>
      </c>
      <c r="D28" s="2" t="str">
        <f t="shared" si="1"/>
        <v>65523_3</v>
      </c>
      <c r="E28" s="4" t="str">
        <f ca="1">VLOOKUP($B28,OFFSET([2]quests!$A$1,0,0,COUNTA([2]quests!$A:$A),MATCH(E$1,[2]quests!$1:$1,0)-MATCH($B$1,[2]quests!$1:$1,0)+1),MATCH(E$1,[2]quests!$1:$1,0)-MATCH($B$1,[2]quests!$1:$1,0)+1,FALSE)</f>
        <v>【LB尾崎】検証クエスト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【超級】スリーピギーズ（仮）</v>
      </c>
      <c r="G28" s="21">
        <v>2</v>
      </c>
      <c r="H28" s="15" t="str">
        <f t="shared" si="2"/>
        <v>65523_3-2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252</v>
      </c>
      <c r="L28" s="20">
        <v>95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守護者 白虎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Drop2N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30</v>
      </c>
      <c r="R28" s="5">
        <v>25</v>
      </c>
      <c r="S28" s="25">
        <v>1.5</v>
      </c>
      <c r="T28" s="103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50641.5</v>
      </c>
      <c r="U28" s="25">
        <v>0.3</v>
      </c>
      <c r="V28" s="103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1191.3</v>
      </c>
      <c r="W28" s="5">
        <v>0</v>
      </c>
      <c r="X28" s="4" t="str">
        <f ca="1">VLOOKUP($Y28,OFFSET(enemy_skill_sets!$B$1,0,0,COUNTA(enemy_skill_sets!$B:$B),MATCH(M$1,enemy_skill_sets!$1:$1,0)-MATCH($Y$1,enemy_skill_sets!$1:$1,0)+2),MATCH(M$1,enemy_skill_sets!$1:$1,0)-MATCH($Y$1,enemy_skill_sets!$1:$1,0)+2,FALSE)</f>
        <v>6ターンダックスの防御力UP</v>
      </c>
      <c r="Y28" s="47">
        <v>65523006</v>
      </c>
      <c r="Z28" s="6">
        <v>1</v>
      </c>
      <c r="AA28" s="6">
        <v>100</v>
      </c>
      <c r="AB28" s="6">
        <v>4</v>
      </c>
      <c r="AC28" s="17">
        <v>1</v>
      </c>
      <c r="AD28" s="24">
        <v>94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白虎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3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Drop2N</v>
      </c>
      <c r="AH28" s="7">
        <v>1</v>
      </c>
      <c r="AI28" s="24">
        <f t="shared" ca="1" si="3"/>
        <v>3</v>
      </c>
      <c r="AJ28" s="8">
        <v>15</v>
      </c>
      <c r="AK28" s="7">
        <v>0</v>
      </c>
      <c r="AL28" s="7">
        <v>0</v>
      </c>
      <c r="AM28" s="7">
        <v>0</v>
      </c>
      <c r="AN28" s="7">
        <v>0</v>
      </c>
      <c r="AO28" s="7">
        <v>1</v>
      </c>
      <c r="AP28" s="68">
        <v>1</v>
      </c>
    </row>
    <row r="29" spans="1:42" ht="21" customHeight="1" x14ac:dyDescent="0.15">
      <c r="A29" s="16" t="str">
        <f t="shared" si="0"/>
        <v>65523_3-3/366&lt;lv25&gt;s2</v>
      </c>
      <c r="B29" s="22">
        <v>65523</v>
      </c>
      <c r="C29" s="21">
        <v>3</v>
      </c>
      <c r="D29" s="2" t="str">
        <f t="shared" si="1"/>
        <v>65523_3</v>
      </c>
      <c r="E29" s="4" t="str">
        <f ca="1">VLOOKUP($B29,OFFSET([2]quests!$A$1,0,0,COUNTA([2]quests!$A:$A),MATCH(E$1,[2]quests!$1:$1,0)-MATCH($B$1,[2]quests!$1:$1,0)+1),MATCH(E$1,[2]quests!$1:$1,0)-MATCH($B$1,[2]quests!$1:$1,0)+1,FALSE)</f>
        <v>【LB尾崎】検証クエスト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【超級】スリーピギーズ（仮）</v>
      </c>
      <c r="G29" s="21">
        <v>3</v>
      </c>
      <c r="H29" s="15" t="str">
        <f t="shared" si="2"/>
        <v>65523_3-3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 t="s">
        <v>252</v>
      </c>
      <c r="L29" s="20">
        <v>366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トト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25</v>
      </c>
      <c r="S29" s="25">
        <v>8</v>
      </c>
      <c r="T29" s="103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41552</v>
      </c>
      <c r="U29" s="25">
        <v>1.2</v>
      </c>
      <c r="V29" s="103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2119.1999999999998</v>
      </c>
      <c r="W29" s="5">
        <v>0</v>
      </c>
      <c r="X29" s="4" t="str">
        <f ca="1">VLOOKUP($Y29,OFFSET(enemy_skill_sets!$B$1,0,0,COUNTA(enemy_skill_sets!$B:$B),MATCH(M$1,enemy_skill_sets!$1:$1,0)-MATCH($Y$1,enemy_skill_sets!$1:$1,0)+2),MATCH(M$1,enemy_skill_sets!$1:$1,0)-MATCH($Y$1,enemy_skill_sets!$1:$1,0)+2,FALSE)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29" s="47">
        <v>65523007</v>
      </c>
      <c r="Z29" s="6">
        <v>1</v>
      </c>
      <c r="AA29" s="6">
        <v>100</v>
      </c>
      <c r="AB29" s="6">
        <v>2</v>
      </c>
      <c r="AC29" s="17">
        <v>2</v>
      </c>
      <c r="AD29" s="24">
        <v>366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トト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2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Drop1S</v>
      </c>
      <c r="AH29" s="7">
        <v>1</v>
      </c>
      <c r="AI29" s="24">
        <f t="shared" ca="1" si="3"/>
        <v>2</v>
      </c>
      <c r="AJ29" s="8">
        <v>0</v>
      </c>
      <c r="AK29" s="7">
        <v>0</v>
      </c>
      <c r="AL29" s="7">
        <v>0</v>
      </c>
      <c r="AM29" s="7">
        <v>0</v>
      </c>
      <c r="AN29" s="7">
        <v>0</v>
      </c>
      <c r="AO29" s="7">
        <v>1</v>
      </c>
      <c r="AP29" s="68">
        <v>1</v>
      </c>
    </row>
    <row r="30" spans="1:42" ht="21" customHeight="1" x14ac:dyDescent="0.15">
      <c r="A30" s="16" t="str">
        <f t="shared" si="0"/>
        <v>65523_3-3/583&lt;lv25&gt;s2</v>
      </c>
      <c r="B30" s="22">
        <v>65523</v>
      </c>
      <c r="C30" s="21">
        <v>3</v>
      </c>
      <c r="D30" s="2" t="str">
        <f t="shared" si="1"/>
        <v>65523_3</v>
      </c>
      <c r="E30" s="4" t="str">
        <f ca="1">VLOOKUP($B30,OFFSET([2]quests!$A$1,0,0,COUNTA([2]quests!$A:$A),MATCH(E$1,[2]quests!$1:$1,0)-MATCH($B$1,[2]quests!$1:$1,0)+1),MATCH(E$1,[2]quests!$1:$1,0)-MATCH($B$1,[2]quests!$1:$1,0)+1,FALSE)</f>
        <v>【LB尾崎】検証クエスト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【超級】スリーピギーズ（仮）</v>
      </c>
      <c r="G30" s="21">
        <v>3</v>
      </c>
      <c r="H30" s="15" t="str">
        <f t="shared" si="2"/>
        <v>65523_3-3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>
        <v>1</v>
      </c>
      <c r="L30" s="20">
        <v>583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ミョルニル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Drop2N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machine</v>
      </c>
      <c r="Q30" s="17">
        <f ca="1">VLOOKUP($L30,OFFSET([3]enemies!$A$1,0,0,COUNTA([3]enemies!$A:$A),MATCH(Q$1,[3]enemies!$1:$1,0)-MATCH($L$1,[3]enemies!$1:$1,0)+1),MATCH(Q$1,[3]enemies!$1:$1,0)-MATCH($L$1,[3]enemies!$1:$1,0)+1,FALSE)</f>
        <v>30</v>
      </c>
      <c r="R30" s="5">
        <v>25</v>
      </c>
      <c r="S30" s="25">
        <v>1.8</v>
      </c>
      <c r="T30" s="103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60769.8</v>
      </c>
      <c r="U30" s="25">
        <v>1.4</v>
      </c>
      <c r="V30" s="103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5054</v>
      </c>
      <c r="W30" s="5">
        <v>0</v>
      </c>
      <c r="X30" s="4" t="str">
        <f ca="1">VLOOKUP($Y30,OFFSET(enemy_skill_sets!$B$1,0,0,COUNTA(enemy_skill_sets!$B:$B),MATCH(M$1,enemy_skill_sets!$1:$1,0)-MATCH($Y$1,enemy_skill_sets!$1:$1,0)+2),MATCH(M$1,enemy_skill_sets!$1:$1,0)-MATCH($Y$1,enemy_skill_sets!$1:$1,0)+2,FALSE)</f>
        <v>1ターン全ユニットの攻撃をカウンター+単体攻撃</v>
      </c>
      <c r="Y30" s="47">
        <v>65523008</v>
      </c>
      <c r="Z30" s="6">
        <v>1</v>
      </c>
      <c r="AA30" s="6">
        <v>100</v>
      </c>
      <c r="AB30" s="6">
        <v>1</v>
      </c>
      <c r="AC30" s="17">
        <v>2</v>
      </c>
      <c r="AD30" s="24">
        <v>1373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4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Drop2N</v>
      </c>
      <c r="AH30" s="7">
        <v>1</v>
      </c>
      <c r="AI30" s="24">
        <f t="shared" ca="1" si="3"/>
        <v>4</v>
      </c>
      <c r="AJ30" s="8">
        <v>100</v>
      </c>
      <c r="AK30" s="7">
        <v>0</v>
      </c>
      <c r="AL30" s="7">
        <v>0</v>
      </c>
      <c r="AM30" s="7">
        <v>0</v>
      </c>
      <c r="AN30" s="7">
        <v>0</v>
      </c>
      <c r="AO30" s="7">
        <v>1</v>
      </c>
      <c r="AP30" s="68">
        <v>1</v>
      </c>
    </row>
    <row r="31" spans="1:42" ht="21" customHeight="1" thickBot="1" x14ac:dyDescent="0.2">
      <c r="A31" s="16" t="str">
        <f t="shared" si="0"/>
        <v>65523_3-3/32&lt;lv25&gt;s1</v>
      </c>
      <c r="B31" s="22">
        <v>65523</v>
      </c>
      <c r="C31" s="21">
        <v>3</v>
      </c>
      <c r="D31" s="2" t="str">
        <f t="shared" si="1"/>
        <v>65523_3</v>
      </c>
      <c r="E31" s="4" t="str">
        <f ca="1">VLOOKUP($B31,OFFSET([2]quests!$A$1,0,0,COUNTA([2]quests!$A:$A),MATCH(E$1,[2]quests!$1:$1,0)-MATCH($B$1,[2]quests!$1:$1,0)+1),MATCH(E$1,[2]quests!$1:$1,0)-MATCH($B$1,[2]quests!$1:$1,0)+1,FALSE)</f>
        <v>【LB尾崎】検証クエスト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【超級】スリーピギーズ（仮）</v>
      </c>
      <c r="G31" s="21">
        <v>3</v>
      </c>
      <c r="H31" s="15" t="str">
        <f t="shared" si="2"/>
        <v>65523_3-3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 t="s">
        <v>252</v>
      </c>
      <c r="L31" s="20">
        <v>32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沈黙のジャミング マービー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Drop1N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machine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25</v>
      </c>
      <c r="S31" s="143">
        <v>9</v>
      </c>
      <c r="T31" s="103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42075</v>
      </c>
      <c r="U31" s="143">
        <v>1.7</v>
      </c>
      <c r="V31" s="103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2456.5</v>
      </c>
      <c r="W31" s="5">
        <v>0</v>
      </c>
      <c r="X31" s="4" t="str">
        <f ca="1">VLOOKUP($Y31,OFFSET(enemy_skill_sets!$B$1,0,0,COUNTA(enemy_skill_sets!$B:$B),MATCH(M$1,enemy_skill_sets!$1:$1,0)-MATCH($Y$1,enemy_skill_sets!$1:$1,0)+2),MATCH(M$1,enemy_skill_sets!$1:$1,0)-MATCH($Y$1,enemy_skill_sets!$1:$1,0)+2,FALSE)</f>
        <v>3ターンミョルニルの防御力激烈UP</v>
      </c>
      <c r="Y31" s="47">
        <v>65523009</v>
      </c>
      <c r="Z31" s="6">
        <v>1</v>
      </c>
      <c r="AA31" s="6">
        <v>100</v>
      </c>
      <c r="AB31" s="145">
        <v>3</v>
      </c>
      <c r="AC31" s="17">
        <v>1</v>
      </c>
      <c r="AD31" s="24">
        <v>31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1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Drop1N</v>
      </c>
      <c r="AH31" s="7">
        <v>1</v>
      </c>
      <c r="AI31" s="24">
        <f t="shared" ca="1" si="3"/>
        <v>1</v>
      </c>
      <c r="AJ31" s="8">
        <v>0</v>
      </c>
      <c r="AK31" s="7">
        <v>0</v>
      </c>
      <c r="AL31" s="7">
        <v>0</v>
      </c>
      <c r="AM31" s="7">
        <v>0</v>
      </c>
      <c r="AN31" s="7">
        <v>0</v>
      </c>
      <c r="AO31" s="7">
        <v>1</v>
      </c>
      <c r="AP31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39.5" style="3" customWidth="1"/>
    <col min="26" max="26" width="17.5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249</v>
      </c>
      <c r="V1" s="26" t="s">
        <v>50</v>
      </c>
      <c r="W1" s="102" t="s">
        <v>250</v>
      </c>
      <c r="X1" s="26" t="s">
        <v>52</v>
      </c>
      <c r="Y1" s="28" t="s">
        <v>126</v>
      </c>
      <c r="Z1" s="29" t="s">
        <v>125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65523_1-3/583&lt;lv16&gt;sq1st2</v>
      </c>
      <c r="B2" s="22">
        <v>65523</v>
      </c>
      <c r="C2" s="21">
        <v>1</v>
      </c>
      <c r="D2" s="2" t="str">
        <f>B2&amp;"_"&amp;C2</f>
        <v>65523_1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【LB尾崎】検証クエスト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【超級】スリーピギーズ（仮）</v>
      </c>
      <c r="G2" s="21">
        <v>3</v>
      </c>
      <c r="H2" s="15" t="str">
        <f>B2&amp;"_"&amp;C2&amp;"-"&amp;G2</f>
        <v>65523_1-3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ミョルニル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16</v>
      </c>
      <c r="T2" s="25">
        <v>5.8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129311</v>
      </c>
      <c r="V2" s="25">
        <v>0.8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1907.2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2" s="47">
        <v>65523201</v>
      </c>
      <c r="AA2" s="69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65523_2-3/583&lt;lv20&gt;sq1st2</v>
      </c>
      <c r="B3" s="22">
        <v>65523</v>
      </c>
      <c r="C3" s="21">
        <v>2</v>
      </c>
      <c r="D3" s="2" t="str">
        <f t="shared" ref="D3:D4" si="1">B3&amp;"_"&amp;C3</f>
        <v>65523_2</v>
      </c>
      <c r="E3" s="4" t="str">
        <f ca="1">VLOOKUP($B3,OFFSET([2]quests!$A$1,0,0,COUNTA([2]quests!$A:$A),MATCH(E$1,[2]quests!$1:$1,0)-MATCH($B$1,[2]quests!$1:$1,0)+1),MATCH(E$1,[2]quests!$1:$1,0)-MATCH($B$1,[2]quests!$1:$1,0)+1,FALSE)</f>
        <v>【LB尾崎】検証クエスト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【超級】スリーピギーズ（仮）</v>
      </c>
      <c r="G3" s="21">
        <v>3</v>
      </c>
      <c r="H3" s="15" t="str">
        <f t="shared" ref="H3:H4" si="2">B3&amp;"_"&amp;C3&amp;"-"&amp;G3</f>
        <v>65523_2-3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583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ミョルニル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20</v>
      </c>
      <c r="T3" s="25">
        <v>5.8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158867.79999999999</v>
      </c>
      <c r="V3" s="25">
        <v>0.8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2343.2000000000003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3" s="47">
        <v>65523201</v>
      </c>
      <c r="AA3" s="69">
        <v>1</v>
      </c>
    </row>
    <row r="4" spans="1:27" ht="21" customHeight="1" x14ac:dyDescent="0.15">
      <c r="A4" s="16" t="str">
        <f t="shared" si="0"/>
        <v>65523_3-3/583&lt;lv25&gt;sq1st2</v>
      </c>
      <c r="B4" s="22">
        <v>65523</v>
      </c>
      <c r="C4" s="21">
        <v>3</v>
      </c>
      <c r="D4" s="2" t="str">
        <f t="shared" si="1"/>
        <v>65523_3</v>
      </c>
      <c r="E4" s="4" t="str">
        <f ca="1">VLOOKUP($B4,OFFSET([2]quests!$A$1,0,0,COUNTA([2]quests!$A:$A),MATCH(E$1,[2]quests!$1:$1,0)-MATCH($B$1,[2]quests!$1:$1,0)+1),MATCH(E$1,[2]quests!$1:$1,0)-MATCH($B$1,[2]quests!$1:$1,0)+1,FALSE)</f>
        <v>【LB尾崎】検証クエスト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【超級】スリーピギーズ（仮）</v>
      </c>
      <c r="G4" s="21">
        <v>3</v>
      </c>
      <c r="H4" s="15" t="str">
        <f t="shared" si="2"/>
        <v>65523_3-3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583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ミョルニル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25</v>
      </c>
      <c r="T4" s="25">
        <v>5.8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195813.8</v>
      </c>
      <c r="V4" s="25">
        <v>0.8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2888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4" s="47">
        <v>65523201</v>
      </c>
      <c r="AA4" s="69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65523_1-3/1373&lt;lv16&gt;sq1st3</v>
      </c>
      <c r="B5" s="22">
        <v>65523</v>
      </c>
      <c r="C5" s="21">
        <v>1</v>
      </c>
      <c r="D5" s="2" t="str">
        <f>B5&amp;"_"&amp;C5</f>
        <v>65523_1</v>
      </c>
      <c r="E5" s="4" t="str">
        <f ca="1">VLOOKUP($B5,OFFSET([2]quests!$A$1,0,0,COUNTA([2]quests!$A:$A),MATCH(E$1,[2]quests!$1:$1,0)-MATCH($B$1,[2]quests!$1:$1,0)+1),MATCH(E$1,[2]quests!$1:$1,0)-MATCH($B$1,[2]quests!$1:$1,0)+1,FALSE)</f>
        <v>【LB尾崎】検証クエスト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【超級】スリーピギーズ（仮）</v>
      </c>
      <c r="G5" s="21">
        <v>3</v>
      </c>
      <c r="H5" s="15" t="str">
        <f>B5&amp;"_"&amp;C5&amp;"-"&amp;G5</f>
        <v>65523_1-3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3</v>
      </c>
      <c r="M5" s="20">
        <v>1373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スリー・ピギーズ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16</v>
      </c>
      <c r="T5" s="25">
        <v>5.8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172550</v>
      </c>
      <c r="V5" s="25">
        <v>0.8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2281.6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赤パネルを赤のダメージパネルに2個変換+_x000D_青パネルをプロテクト(最大2個)+_x000D_黄パネルをお邪魔パネルに2個変換</v>
      </c>
      <c r="Z5" s="105">
        <v>65523101</v>
      </c>
      <c r="AA5" s="69">
        <v>1</v>
      </c>
    </row>
    <row r="6" spans="1:27" ht="21" customHeight="1" x14ac:dyDescent="0.15">
      <c r="A6" s="16" t="str">
        <f t="shared" ref="A6:A7" si="3">B6&amp;"_"&amp;C6&amp;"-"&amp;G6&amp;"/"&amp;M6&amp;"&lt;lv"&amp;S6&amp;"&gt;sq"&amp;K6&amp;"st"&amp;L6</f>
        <v>65523_2-3/1373&lt;lv20&gt;sq1st3</v>
      </c>
      <c r="B6" s="22">
        <v>65523</v>
      </c>
      <c r="C6" s="21">
        <v>2</v>
      </c>
      <c r="D6" s="2" t="str">
        <f t="shared" ref="D6:D7" si="4">B6&amp;"_"&amp;C6</f>
        <v>65523_2</v>
      </c>
      <c r="E6" s="4" t="str">
        <f ca="1">VLOOKUP($B6,OFFSET([2]quests!$A$1,0,0,COUNTA([2]quests!$A:$A),MATCH(E$1,[2]quests!$1:$1,0)-MATCH($B$1,[2]quests!$1:$1,0)+1),MATCH(E$1,[2]quests!$1:$1,0)-MATCH($B$1,[2]quests!$1:$1,0)+1,FALSE)</f>
        <v>【LB尾崎】検証クエスト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【超級】スリーピギーズ（仮）</v>
      </c>
      <c r="G6" s="21">
        <v>3</v>
      </c>
      <c r="H6" s="15" t="str">
        <f t="shared" ref="H6:H7" si="5">B6&amp;"_"&amp;C6&amp;"-"&amp;G6</f>
        <v>65523_2-3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3</v>
      </c>
      <c r="M6" s="20">
        <v>1373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スリー・ピギーズ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20</v>
      </c>
      <c r="T6" s="25">
        <v>5.8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211990</v>
      </c>
      <c r="V6" s="25">
        <v>0.8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2803.2000000000003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赤パネルを赤のダメージパネルに2個変換+_x000D_青パネルをプロテクト(最大2個)+_x000D_黄パネルをお邪魔パネルに2個変換</v>
      </c>
      <c r="Z6" s="105">
        <v>65523101</v>
      </c>
      <c r="AA6" s="69">
        <v>1</v>
      </c>
    </row>
    <row r="7" spans="1:27" ht="21" customHeight="1" x14ac:dyDescent="0.15">
      <c r="A7" s="16" t="str">
        <f t="shared" si="3"/>
        <v>65523_3-3/1373&lt;lv25&gt;sq1st3</v>
      </c>
      <c r="B7" s="22">
        <v>65523</v>
      </c>
      <c r="C7" s="21">
        <v>3</v>
      </c>
      <c r="D7" s="2" t="str">
        <f t="shared" si="4"/>
        <v>65523_3</v>
      </c>
      <c r="E7" s="4" t="str">
        <f ca="1">VLOOKUP($B7,OFFSET([2]quests!$A$1,0,0,COUNTA([2]quests!$A:$A),MATCH(E$1,[2]quests!$1:$1,0)-MATCH($B$1,[2]quests!$1:$1,0)+1),MATCH(E$1,[2]quests!$1:$1,0)-MATCH($B$1,[2]quests!$1:$1,0)+1,FALSE)</f>
        <v>【LB尾崎】検証クエスト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【超級】スリーピギーズ（仮）</v>
      </c>
      <c r="G7" s="21">
        <v>3</v>
      </c>
      <c r="H7" s="15" t="str">
        <f t="shared" si="5"/>
        <v>65523_3-3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1373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スリー・ピギーズ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30</v>
      </c>
      <c r="S7" s="5">
        <v>25</v>
      </c>
      <c r="T7" s="25">
        <v>6.2</v>
      </c>
      <c r="U7" s="103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279310</v>
      </c>
      <c r="V7" s="25">
        <v>0.8</v>
      </c>
      <c r="W7" s="103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3454.4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赤パネルを赤のダメージパネルに2個変換+_x000D_青パネルをプロテクト(最大2個)+_x000D_黄パネルをお邪魔パネルに2個変換</v>
      </c>
      <c r="Z7" s="105">
        <v>65523010</v>
      </c>
      <c r="AA7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2" sqref="A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18.33203125" style="49" customWidth="1"/>
    <col min="3" max="3" width="13.1640625" style="49" customWidth="1"/>
    <col min="4" max="4" width="18.5" style="49" customWidth="1" outlineLevel="1"/>
    <col min="5" max="5" width="44.1640625" style="49" customWidth="1" outlineLevel="1"/>
    <col min="6" max="6" width="12.1640625" style="49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65523001_65523009</v>
      </c>
      <c r="B2" s="47">
        <v>65523001</v>
      </c>
      <c r="C2" s="106">
        <v>65523009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侵入者 発見！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緊急事態 電脳要塞プロトコル 発動します</v>
      </c>
      <c r="F2" s="106">
        <v>65523009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65523001_65523111</v>
      </c>
      <c r="B3" s="47">
        <v>65523001</v>
      </c>
      <c r="C3" s="106">
        <v>65523111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ファイアウォール 起動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赤パネルを赤のダメージパネルに3個変換+単体攻撃</v>
      </c>
      <c r="F3" s="106">
        <v>65523111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29" si="2">B4&amp;"_"&amp;C4</f>
        <v>65523002_65523121</v>
      </c>
      <c r="B4" s="47">
        <v>65523002</v>
      </c>
      <c r="C4" s="106">
        <v>65523121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ファイアサポート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1ターンファイアフォックスの行動頻度UP+単体攻撃</v>
      </c>
      <c r="F4" s="106">
        <v>65523121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2"/>
        <v>65523003_65523131</v>
      </c>
      <c r="B5" s="47">
        <v>65523003</v>
      </c>
      <c r="C5" s="106">
        <v>65523131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アニキのトコ_x000D_には通さねぇ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106">
        <v>65523131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65523004_65523211</v>
      </c>
      <c r="B6" s="47">
        <v>65523004</v>
      </c>
      <c r="C6" s="107">
        <v>65523211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ティアDLP 構築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青パネルをプロテクト(最大3個)+単体攻撃</v>
      </c>
      <c r="F6" s="107">
        <v>65523211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65523005_65523221</v>
      </c>
      <c r="B7" s="47">
        <v>65523005</v>
      </c>
      <c r="C7" s="107">
        <v>65523221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ティアサポート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１ターンダックスの行動頻度UP+単体攻撃</v>
      </c>
      <c r="F7" s="107">
        <v>65523221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2"/>
        <v>65523006_65523231</v>
      </c>
      <c r="B8" s="47">
        <v>65523006</v>
      </c>
      <c r="C8" s="107">
        <v>65523231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威風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6ターンダックスの防御力UP</v>
      </c>
      <c r="F8" s="107">
        <v>65523231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65523006_65523232</v>
      </c>
      <c r="B9" s="47">
        <v>65523006</v>
      </c>
      <c r="C9" s="107">
        <v>65523232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武威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緑属性以外の敵に大ダメージ</v>
      </c>
      <c r="F9" s="107">
        <v>65523232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65523007_65523313</v>
      </c>
      <c r="B10" s="47">
        <v>65523007</v>
      </c>
      <c r="C10" s="108">
        <v>65523313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おうちを_x000D_守れ！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3ターンミョルニルの防御力激烈UP</v>
      </c>
      <c r="F10" s="108">
        <v>65523313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65523007_65523311</v>
      </c>
      <c r="B11" s="47">
        <v>65523007</v>
      </c>
      <c r="C11" s="108">
        <v>65523311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サンドボックス_x000D_配置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黄パネルをお邪魔パネルに3個変換+単体攻撃</v>
      </c>
      <c r="F11" s="108">
        <v>65523311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3">B12&amp;"_"&amp;C12</f>
        <v>65523007_65523312</v>
      </c>
      <c r="B12" s="47">
        <v>65523007</v>
      </c>
      <c r="C12" s="108">
        <v>65523312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防衛弾幕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3ターンミョルニルの防御力激烈UP</v>
      </c>
      <c r="F12" s="108">
        <v>65523312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65523007_65523314</v>
      </c>
      <c r="B13" s="47">
        <v>65523007</v>
      </c>
      <c r="C13" s="108">
        <v>65523314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ちっ…_x000D_しくじった…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ミョルニルの全てのプラス効果を解除</v>
      </c>
      <c r="F13" s="108">
        <v>65523314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4">B14&amp;"_"&amp;C14</f>
        <v>65523008_65523323</v>
      </c>
      <c r="B14" s="47">
        <v>65523008</v>
      </c>
      <c r="C14" s="108">
        <v>65523323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自動迎撃プログラム 作動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1ターン全ユニットの攻撃をカウンター+単体攻撃</v>
      </c>
      <c r="F14" s="108">
        <v>65523323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65523008_65523322</v>
      </c>
      <c r="B15" s="47">
        <v>65523008</v>
      </c>
      <c r="C15" s="108">
        <v>65523322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災害対策プログラム 作動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全体30%回復+全体攻撃</v>
      </c>
      <c r="F15" s="108">
        <v>65523322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65523009_65523331</v>
      </c>
      <c r="B16" s="47">
        <v>65523009</v>
      </c>
      <c r="C16" s="108">
        <v>65523331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オウチヲ_x000D_まもレ！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3ターンミョルニルの防御力激烈UP</v>
      </c>
      <c r="F16" s="108">
        <v>65523331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18" si="5">B17&amp;"_"&amp;C17</f>
        <v>65523009_65523332</v>
      </c>
      <c r="B17" s="47">
        <v>65523009</v>
      </c>
      <c r="C17" s="108">
        <v>65523332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サンド_x000D_サポート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１ターントトの行動頻度UP+2回連続攻撃</v>
      </c>
      <c r="F17" s="108">
        <v>65523332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5"/>
        <v>65523009_65523333</v>
      </c>
      <c r="B18" s="47">
        <v>65523009</v>
      </c>
      <c r="C18" s="108">
        <v>65523333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妨害電波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3ターンミョルニルの防御力激烈UP</v>
      </c>
      <c r="F18" s="108">
        <v>65523333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65523009_65523334</v>
      </c>
      <c r="B19" s="47">
        <v>65523009</v>
      </c>
      <c r="C19" s="108">
        <v>65523334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ピッ…_x000D_ピガッ…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ミョルニルの全てのプラス効果を解除</v>
      </c>
      <c r="F19" s="108">
        <v>65523334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65523010_65523381</v>
      </c>
      <c r="B20" s="47">
        <v>65523010</v>
      </c>
      <c r="C20" s="109">
        <v>65523381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「「「いそいで壁をなおすブー！！！」」」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20" s="109">
        <v>65523381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" si="6">B21&amp;"_"&amp;C21</f>
        <v>65523010_65523611</v>
      </c>
      <c r="B21" s="47">
        <v>65523010</v>
      </c>
      <c r="C21" s="168">
        <v>65523611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対ローレンス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21" s="168">
        <v>65523611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602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7">B22&amp;"_"&amp;C22</f>
        <v>65523010_65523612</v>
      </c>
      <c r="B22" s="47">
        <v>65523010</v>
      </c>
      <c r="C22" s="168">
        <v>65523612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対ウルフ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22" s="168">
        <v>65523612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65523010_65523391</v>
      </c>
      <c r="B23" s="47">
        <v>65523010</v>
      </c>
      <c r="C23" s="109">
        <v>65523391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やっぱり燃やすのがイチバンだッブ！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赤パネルを赤のダメージパネルに3個変換+単体攻撃</v>
      </c>
      <c r="F23" s="109">
        <v>65523391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65523010_65523392</v>
      </c>
      <c r="B24" s="47">
        <v>65523010</v>
      </c>
      <c r="C24" s="109">
        <v>65523392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いやーぁ、安全が第一ぶぅー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黄パネルを3個お邪魔パネルに変換+_x000D_ダメージパネルをお邪魔パネルに変換+単体攻撃</v>
      </c>
      <c r="F24" s="109">
        <v>65523392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65523010_65523393</v>
      </c>
      <c r="B25" s="47">
        <v>65523010</v>
      </c>
      <c r="C25" s="109">
        <v>65523393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コワいプゥ…もっと丈夫につつむプゥ…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青パネルをプロテクト(最大3個)+_x000D_お邪魔パネルをプロテクトして青パネルに変換+単体攻撃</v>
      </c>
      <c r="F25" s="109">
        <v>65523393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8">B26&amp;"_"&amp;C26</f>
        <v>65523010_65523394</v>
      </c>
      <c r="B26" s="47">
        <v>65523010</v>
      </c>
      <c r="C26" s="109">
        <v>65523394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「こんな壁じゃ駄目ッブ！」「なおすぶぅー」_x000D_「ええっ嫌プゥ…」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6" s="109">
        <v>65523394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555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65523010_65523395</v>
      </c>
      <c r="B27" s="47">
        <v>65523010</v>
      </c>
      <c r="C27" s="109">
        <v>65523395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「「「ピギィーッ！なんでもいいから_x000D_持ってくるブー！！！」」」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攻撃力UP</v>
      </c>
      <c r="F27" s="109">
        <v>65523395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566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65523010_65523396</v>
      </c>
      <c r="B28" s="47">
        <v>65523010</v>
      </c>
      <c r="C28" s="109">
        <v>65523396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「「「どくブ！僕の壁がイチバン_x000D_なんだブー！！！」」」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赤パネルを赤のダメージパネルに2個変換+_x000D_青パネルをプロテクト(最大2個)+_x000D_黄パネルをお邪魔パネルに2個変換+単体攻撃</v>
      </c>
      <c r="F28" s="109">
        <v>65523396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2"/>
        <v>65523010_65523399</v>
      </c>
      <c r="B29" s="47">
        <v>65523010</v>
      </c>
      <c r="C29" s="109">
        <v>65523399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「ッブ…壁の…」「…厚みがぁ…」_x000D_「足りなかったプゥ…」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「「「つぎは…もっとたくさんの兄弟で壁を創るブー…」」」</v>
      </c>
      <c r="F29" s="109">
        <v>65523399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" si="9">B30&amp;"_"&amp;C30</f>
        <v>65523010_65523613</v>
      </c>
      <c r="B30" s="47">
        <v>65523010</v>
      </c>
      <c r="C30" s="168">
        <v>65523613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対ローレンス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なんかせりふ</v>
      </c>
      <c r="F30" s="168">
        <v>65523613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611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10">B31&amp;"_"&amp;C31</f>
        <v>65523010_65523614</v>
      </c>
      <c r="B31" s="47">
        <v>65523010</v>
      </c>
      <c r="C31" s="168">
        <v>65523614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対ウルフ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なんかせりふ</v>
      </c>
      <c r="F31" s="168">
        <v>65523614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612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44" si="11">B32&amp;"_"&amp;C32</f>
        <v>65523101_65523481</v>
      </c>
      <c r="B32" s="47">
        <v>65523101</v>
      </c>
      <c r="C32" s="151">
        <v>65523481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「「「いそいで壁を創りなおすブー！！！」」」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32" s="151">
        <v>65523481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12">B33&amp;"_"&amp;C33</f>
        <v>65523101_65523621</v>
      </c>
      <c r="B33" s="47">
        <v>65523101</v>
      </c>
      <c r="C33" s="168">
        <v>65523621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対ローレンス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33" s="168">
        <v>65523621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602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13">B34&amp;"_"&amp;C34</f>
        <v>65523101_655234622</v>
      </c>
      <c r="B34" s="47">
        <v>65523101</v>
      </c>
      <c r="C34" s="168">
        <v>655234622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対ウルフ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</v>
      </c>
      <c r="F34" s="168">
        <v>655234622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603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1"/>
        <v>65523101_65523482</v>
      </c>
      <c r="B35" s="47">
        <v>65523101</v>
      </c>
      <c r="C35" s="151">
        <v>65523482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ムムム…燃やすテクスチャが_x000D_足りないッブ…！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電脳ワラをかき集めている</v>
      </c>
      <c r="F35" s="151">
        <v>65523482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6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6</v>
      </c>
      <c r="P35" s="47"/>
      <c r="Q35" s="47"/>
      <c r="R35" s="47"/>
    </row>
    <row r="36" spans="1:18" ht="21" customHeight="1" x14ac:dyDescent="0.15">
      <c r="A36" s="39" t="str">
        <f t="shared" si="11"/>
        <v>65523101_65523483</v>
      </c>
      <c r="B36" s="47">
        <v>65523101</v>
      </c>
      <c r="C36" s="151">
        <v>65523483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うぅ…もうナミダも枯れてるプゥ…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サイバー目薬をさしている</v>
      </c>
      <c r="F36" s="151">
        <v>65523483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6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6</v>
      </c>
      <c r="P36" s="47"/>
      <c r="Q36" s="47"/>
      <c r="R36" s="47"/>
    </row>
    <row r="37" spans="1:18" ht="21" customHeight="1" x14ac:dyDescent="0.15">
      <c r="A37" s="39" t="str">
        <f t="shared" si="11"/>
        <v>65523101_65523484</v>
      </c>
      <c r="B37" s="47">
        <v>65523101</v>
      </c>
      <c r="C37" s="151">
        <v>65523484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急がず慌てずぅー、安全ー確認ー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仮想コンクリを混ぜている</v>
      </c>
      <c r="F37" s="151">
        <v>65523484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6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6</v>
      </c>
      <c r="P37" s="47"/>
      <c r="Q37" s="47"/>
      <c r="R37" s="47"/>
    </row>
    <row r="38" spans="1:18" ht="21" customHeight="1" x14ac:dyDescent="0.15">
      <c r="A38" s="39" t="str">
        <f t="shared" si="11"/>
        <v>65523101_65523471</v>
      </c>
      <c r="B38" s="47">
        <v>65523101</v>
      </c>
      <c r="C38" s="151">
        <v>65523471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やっぱり燃やすのがイチバンだッブ！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赤パネルを赤のダメージパネルに3個変換+単体攻撃</v>
      </c>
      <c r="F38" s="151">
        <v>65523471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1"/>
        <v>65523101_65523472</v>
      </c>
      <c r="B39" s="47">
        <v>65523101</v>
      </c>
      <c r="C39" s="151">
        <v>65523472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いやーぁ、安全が第一ぶぅー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黄パネルを3個お邪魔パネルに変換+_x000D_ダメージパネルをお邪魔パネルに変換+単体攻撃</v>
      </c>
      <c r="F39" s="151">
        <v>65523472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1"/>
        <v>65523101_65523473</v>
      </c>
      <c r="B40" s="47">
        <v>65523101</v>
      </c>
      <c r="C40" s="151">
        <v>65523473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コワいプゥ…もっと丈夫につつむプゥ…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青パネルをプロテクト(最大3個)+_x000D_お邪魔パネルをプロテクトして青パネルに変換+単体攻撃</v>
      </c>
      <c r="F40" s="151">
        <v>65523473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1"/>
        <v>65523101_65523474</v>
      </c>
      <c r="B41" s="47">
        <v>65523101</v>
      </c>
      <c r="C41" s="151">
        <v>65523474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「こんな壁じゃ駄目ッブ！」「なおすぶぅー」_x000D_「ええっ嫌プゥ…」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41" s="151">
        <v>65523474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555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1"/>
        <v>65523101_65523475</v>
      </c>
      <c r="B42" s="47">
        <v>65523101</v>
      </c>
      <c r="C42" s="151">
        <v>65523475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「「「ピギィーッ！なんでもいいから_x000D_持ってくるブー！！！」」」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攻撃力UP</v>
      </c>
      <c r="F42" s="151">
        <v>65523475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525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1"/>
        <v>65523101_65523476</v>
      </c>
      <c r="B43" s="47">
        <v>65523101</v>
      </c>
      <c r="C43" s="151">
        <v>65523476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「「「どくブ！僕の壁がイチバン_x000D_なんだブー！！！」」」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赤パネルを赤のダメージパネルに2個変換+_x000D_青パネルをプロテクト(最大2個)+_x000D_黄パネルをお邪魔パネルに2個変換+単体攻撃</v>
      </c>
      <c r="F43" s="151">
        <v>65523476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11"/>
        <v>65523101_65523479</v>
      </c>
      <c r="B44" s="47">
        <v>65523101</v>
      </c>
      <c r="C44" s="151">
        <v>65523479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「ッブ…壁の…」「…厚みがぁ…」_x000D_「足りなかったプゥ…」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「「「つぎは…もっとたくさんの兄弟で壁を創るブー…」」」</v>
      </c>
      <c r="F44" s="151">
        <v>65523479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" si="14">B45&amp;"_"&amp;C45</f>
        <v>65523101_65523623</v>
      </c>
      <c r="B45" s="47">
        <v>65523101</v>
      </c>
      <c r="C45" s="168">
        <v>65523623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対ローレンス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なんかせりふ</v>
      </c>
      <c r="F45" s="168">
        <v>65523623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611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" si="15">B46&amp;"_"&amp;C46</f>
        <v>65523101_65523424</v>
      </c>
      <c r="B46" s="47">
        <v>65523101</v>
      </c>
      <c r="C46" s="168">
        <v>65523424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対ウルフ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なんかせりふ</v>
      </c>
      <c r="F46" s="168">
        <v>65523424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612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" si="16">B47&amp;"_"&amp;C47</f>
        <v>65523201_65523511</v>
      </c>
      <c r="B47" s="47">
        <v>65523201</v>
      </c>
      <c r="C47" s="156">
        <v>65523511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ピピ…ガ…ッ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56">
        <v>65523511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ref="A48" si="17">B48&amp;"_"&amp;C48</f>
        <v>65523201_65523512</v>
      </c>
      <c r="B48" s="47">
        <v>65523201</v>
      </c>
      <c r="C48" s="156">
        <v>65523512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OUT-Y対策システム_x000D_オーバー…ヒート…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「「「そんな…僕らのセキュリティが、破られるなんて…」」」</v>
      </c>
      <c r="F48" s="156">
        <v>65523512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605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62"/>
  <sheetViews>
    <sheetView showGridLines="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outlineLevelCol="1" x14ac:dyDescent="0.15"/>
  <cols>
    <col min="1" max="1" width="12.33203125" style="49" customWidth="1"/>
    <col min="2" max="2" width="75" style="49" customWidth="1"/>
    <col min="3" max="3" width="5" style="49" customWidth="1"/>
    <col min="4" max="4" width="4.83203125" style="49" customWidth="1"/>
    <col min="5" max="5" width="32.1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9.6640625" style="49" customWidth="1" collapsed="1"/>
    <col min="13" max="18" width="9.6640625" style="49" hidden="1" customWidth="1" outlineLevel="1"/>
    <col min="19" max="19" width="9.6640625" style="49" customWidth="1" collapsed="1"/>
    <col min="20" max="24" width="9.6640625" style="49" hidden="1" customWidth="1" outlineLevel="1"/>
    <col min="25" max="25" width="9.6640625" style="49" customWidth="1" collapsed="1"/>
    <col min="26" max="26" width="6.83203125" style="49" customWidth="1"/>
    <col min="27" max="27" width="6.6640625" style="49" customWidth="1"/>
    <col min="28" max="28" width="8.83203125" style="49" customWidth="1"/>
    <col min="29" max="29" width="88.33203125" style="49" customWidth="1"/>
    <col min="30" max="16384" width="12.83203125" style="49"/>
  </cols>
  <sheetData>
    <row r="1" spans="1:29" ht="21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129</v>
      </c>
      <c r="H1" s="41" t="s">
        <v>135</v>
      </c>
      <c r="I1" s="41" t="s">
        <v>137</v>
      </c>
      <c r="J1" s="41" t="s">
        <v>136</v>
      </c>
      <c r="K1" s="41" t="s">
        <v>138</v>
      </c>
      <c r="L1" s="41" t="s">
        <v>130</v>
      </c>
      <c r="M1" s="41" t="s">
        <v>128</v>
      </c>
      <c r="N1" s="41" t="s">
        <v>131</v>
      </c>
      <c r="O1" s="41" t="s">
        <v>139</v>
      </c>
      <c r="P1" s="41" t="s">
        <v>140</v>
      </c>
      <c r="Q1" s="41" t="s">
        <v>141</v>
      </c>
      <c r="R1" s="41" t="s">
        <v>142</v>
      </c>
      <c r="S1" s="41" t="s">
        <v>132</v>
      </c>
      <c r="T1" s="41" t="s">
        <v>133</v>
      </c>
      <c r="U1" s="41" t="s">
        <v>143</v>
      </c>
      <c r="V1" s="41" t="s">
        <v>144</v>
      </c>
      <c r="W1" s="41" t="s">
        <v>145</v>
      </c>
      <c r="X1" s="41" t="s">
        <v>146</v>
      </c>
      <c r="Y1" s="41" t="s">
        <v>134</v>
      </c>
      <c r="Z1" s="41" t="s">
        <v>75</v>
      </c>
      <c r="AA1" s="41" t="s">
        <v>76</v>
      </c>
      <c r="AB1" s="41" t="s">
        <v>77</v>
      </c>
      <c r="AC1" s="155" t="s">
        <v>299</v>
      </c>
    </row>
    <row r="2" spans="1:29" ht="34" customHeight="1" x14ac:dyDescent="0.15">
      <c r="A2" s="106">
        <v>65523009</v>
      </c>
      <c r="B2" s="150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","&amp;AC2,AC2)</f>
        <v>[effect:enemy_message, val1:1.2, val2:2.0]</v>
      </c>
      <c r="C2" s="111">
        <v>1</v>
      </c>
      <c r="D2" s="111" t="s">
        <v>195</v>
      </c>
      <c r="E2" s="112" t="s">
        <v>300</v>
      </c>
      <c r="F2" s="112" t="s">
        <v>330</v>
      </c>
      <c r="G2" s="62" t="str">
        <f>IFERROR(LEFT(B2,FIND("],",B2)),B2)</f>
        <v>[effect:enemy_message, val1:1.2, val2:2.0]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none</v>
      </c>
      <c r="N2" s="48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50"/>
      <c r="AA2" s="51"/>
      <c r="AB2" s="50"/>
      <c r="AC2" s="110"/>
    </row>
    <row r="3" spans="1:29" ht="34" customHeight="1" x14ac:dyDescent="0.15">
      <c r="A3" s="106">
        <v>65523111</v>
      </c>
      <c r="B3" s="150" t="str">
        <f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","&amp;AC3,AC3)</f>
        <v>[effect:enemy_message, val1:1.2, val2:2.4],[effect:force_change_block, new_block:damage, target:block_red, color:block_red, count:3, val:0.03, animation:change_block],[effect:rush, count:1, val:1.0]</v>
      </c>
      <c r="C3" s="111">
        <v>1</v>
      </c>
      <c r="D3" s="111" t="s">
        <v>253</v>
      </c>
      <c r="E3" s="112" t="s">
        <v>276</v>
      </c>
      <c r="F3" s="112" t="s">
        <v>333</v>
      </c>
      <c r="G3" s="62" t="str">
        <f>IFERROR(LEFT(B3,FIND("],",B3)),B3)</f>
        <v>[effect:enemy_message, val1:1.2, val2:2.4]</v>
      </c>
      <c r="H3" s="62">
        <f>FIND("effect:",G3)+7</f>
        <v>9</v>
      </c>
      <c r="I3" s="62">
        <f>IFERROR(FIND(",",G3),LEN(G3))</f>
        <v>22</v>
      </c>
      <c r="J3" s="62" t="e">
        <f>FIND("target:",G3)+7</f>
        <v>#VALUE!</v>
      </c>
      <c r="K3" s="62">
        <f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>IFERROR(RIGHT(B3,LEN(B3)-FIND("],",B3)-1),"none")</f>
        <v>[effect:force_change_block, new_block:damage, target:block_red, color:block_red, count:3, val:0.03, animation:change_block],[effect:rush, count:1, val:1.0]</v>
      </c>
      <c r="N3" s="48" t="str">
        <f>IFERROR(LEFT(M3,FIND("],",M3)+S15),M3)</f>
        <v>[effect:force_change_block, new_block:damage, target:block_red, color:block_red, count:3, val:0.03, animation:change_block],[effect:rush, count:1, val:1.0]</v>
      </c>
      <c r="O3" s="62">
        <f>FIND("effect:",N3)+7</f>
        <v>9</v>
      </c>
      <c r="P3" s="62">
        <f>IFERROR(FIND(",",N3),LEN(N3))</f>
        <v>27</v>
      </c>
      <c r="Q3" s="62">
        <f>FIND("target:",N3)+7</f>
        <v>54</v>
      </c>
      <c r="R3" s="62">
        <f>FIND(",",N3,P3+1)</f>
        <v>45</v>
      </c>
      <c r="S3" s="62" t="str">
        <f>IFERROR(VLOOKUP(MID(N3,Q3,R3-Q3),[5]skilldef!$C:$D,2,FALSE),"-") &amp; " / " &amp; IFERROR(VLOOKUP(MID(N3,O3,P3-O3),[5]skilldef!$A:$B,2,FALSE),"-")</f>
        <v>- / -</v>
      </c>
      <c r="T3" s="48" t="str">
        <f>IFERROR(RIGHT(M3,LEN(M3)-FIND("],",M3)-1),"none")</f>
        <v>[effect:rush, count:1, val:1.0]</v>
      </c>
      <c r="U3" s="62">
        <f>FIND("effect:",T3)+7</f>
        <v>9</v>
      </c>
      <c r="V3" s="62">
        <f>IFERROR(FIND(",",T3),LEN(T3))</f>
        <v>13</v>
      </c>
      <c r="W3" s="62" t="e">
        <f>FIND("target:",T3)+7</f>
        <v>#VALUE!</v>
      </c>
      <c r="X3" s="62">
        <f>FIND(",",T3,V3+1)</f>
        <v>22</v>
      </c>
      <c r="Y3" s="62" t="str">
        <f>IFERROR(VLOOKUP(MID(T3,W3,X3-W3),[5]skilldef!$C:$D,2,FALSE),"-") &amp; " / " &amp; IFERROR(VLOOKUP(MID(T3,U3,V3-U3),[5]skilldef!$A:$B,2,FALSE),"-")</f>
        <v>- / 連続攻撃</v>
      </c>
      <c r="Z3" s="50"/>
      <c r="AA3" s="51"/>
      <c r="AB3" s="50"/>
      <c r="AC3" s="110" t="s">
        <v>305</v>
      </c>
    </row>
    <row r="4" spans="1:29" ht="34" customHeight="1" x14ac:dyDescent="0.15">
      <c r="A4" s="106">
        <v>65523121</v>
      </c>
      <c r="B4" s="150" t="str">
        <f t="shared" ref="B4:B28" si="0">"[effect:enemy_message, val1:"&amp;TEXT(IF(TEXT(E4,0)="[表示しない]", "0", IF(LEN(SUBSTITUTE(E4,CHAR(13),""))*0.1&lt;1.2, 1.2, LEN(SUBSTITUTE(E4,CHAR(13),""))*0.1)), "0.0")&amp;", val2:"&amp;TEXT(IF(TEXT(F4,0)="[表示しない]", "0", IF(LEN(SUBSTITUTE(F4,CHAR(13),""))*0.1&lt;1.2, 1.2, LEN(SUBSTITUTE(F4,CHAR(13),""))*0.1)),"0.0")&amp;"]"&amp;IF(LEN(AC4)&gt;0, ","&amp;AC4,AC4)</f>
        <v>[effect:enemy_message, val1:1.2, val2:2.5],[effect:freq_turn, target:enemy_red/enemy_animal/and, turn:1, val:1, animation:enemy_freq_turn],[effect:rush, count:1, val:1.3]</v>
      </c>
      <c r="C4" s="111">
        <v>1</v>
      </c>
      <c r="D4" s="111" t="s">
        <v>253</v>
      </c>
      <c r="E4" s="112" t="s">
        <v>256</v>
      </c>
      <c r="F4" s="112" t="s">
        <v>335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ref="M4:M29" si="1">IFERROR(RIGHT(B4,LEN(B4)-FIND("],",B4)-1),"none")</f>
        <v>[effect:freq_turn, target:enemy_red/enemy_animal/and, turn:1, val:1, animation:enemy_freq_turn],[effect:rush, count:1, val:1.3]</v>
      </c>
      <c r="N4" s="48" t="str">
        <f>IFERROR(LEFT(M4,FIND("],",M4)+#REF!),M4)</f>
        <v>[effect:freq_turn, target:enemy_red/enemy_animal/and, turn:1, val:1, animation:enemy_freq_turn],[effect:rush, count:1, val:1.3]</v>
      </c>
      <c r="O4" s="62">
        <f t="shared" ref="O4:O29" si="2">FIND("effect:",N4)+7</f>
        <v>9</v>
      </c>
      <c r="P4" s="62">
        <f t="shared" ref="P4:P29" si="3">IFERROR(FIND(",",N4),LEN(N4))</f>
        <v>18</v>
      </c>
      <c r="Q4" s="62">
        <f t="shared" ref="Q4:Q29" si="4">FIND("target:",N4)+7</f>
        <v>27</v>
      </c>
      <c r="R4" s="62">
        <f t="shared" ref="R4:R29" si="5">FIND(",",N4,P4+1)</f>
        <v>53</v>
      </c>
      <c r="S4" s="62" t="str">
        <f>IFERROR(VLOOKUP(MID(N4,Q4,R4-Q4),[5]skilldef!$C:$D,2,FALSE),"-") &amp; " / " &amp; IFERROR(VLOOKUP(MID(N4,O4,P4-O4),[5]skilldef!$A:$B,2,FALSE),"-")</f>
        <v>- / 攻撃頻度がUP</v>
      </c>
      <c r="T4" s="48" t="str">
        <f t="shared" ref="T4:T29" si="6">IFERROR(RIGHT(M4,LEN(M4)-FIND("],",M4)-1),"none")</f>
        <v>[effect:rush, count:1, val:1.3]</v>
      </c>
      <c r="U4" s="62">
        <f t="shared" ref="U4:U29" si="7">FIND("effect:",T4)+7</f>
        <v>9</v>
      </c>
      <c r="V4" s="62">
        <f t="shared" ref="V4:V29" si="8">IFERROR(FIND(",",T4),LEN(T4))</f>
        <v>13</v>
      </c>
      <c r="W4" s="62" t="e">
        <f t="shared" ref="W4:W29" si="9">FIND("target:",T4)+7</f>
        <v>#VALUE!</v>
      </c>
      <c r="X4" s="62">
        <f t="shared" ref="X4:X29" si="10">FIND(",",T4,V4+1)</f>
        <v>22</v>
      </c>
      <c r="Y4" s="62" t="str">
        <f>IFERROR(VLOOKUP(MID(T4,W4,X4-W4),[5]skilldef!$C:$D,2,FALSE),"-") &amp; " / " &amp; IFERROR(VLOOKUP(MID(T4,U4,V4-U4),[5]skilldef!$A:$B,2,FALSE),"-")</f>
        <v>- / 連続攻撃</v>
      </c>
      <c r="Z4" s="50"/>
      <c r="AA4" s="51"/>
      <c r="AB4" s="50"/>
      <c r="AC4" s="110" t="s">
        <v>309</v>
      </c>
    </row>
    <row r="5" spans="1:29" ht="34" customHeight="1" x14ac:dyDescent="0.15">
      <c r="A5" s="106">
        <v>65523131</v>
      </c>
      <c r="B5" s="150" t="str">
        <f t="shared" si="0"/>
        <v>[effect:enemy_message, val1:1.2, val2:1.2],[effect:critical, val:1.5, animation:enemy_critical]</v>
      </c>
      <c r="C5" s="111">
        <v>1</v>
      </c>
      <c r="D5" s="111" t="s">
        <v>253</v>
      </c>
      <c r="E5" s="112" t="s">
        <v>275</v>
      </c>
      <c r="F5" s="112" t="s">
        <v>257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1"/>
        <v>[effect:critical, val:1.5, animation:enemy_critical]</v>
      </c>
      <c r="N5" s="48" t="str">
        <f>IFERROR(LEFT(M5,FIND("],",M5)+S16),M5)</f>
        <v>[effect:critical, val:1.5, animation:enemy_critical]</v>
      </c>
      <c r="O5" s="62">
        <f t="shared" si="2"/>
        <v>9</v>
      </c>
      <c r="P5" s="62">
        <f t="shared" si="3"/>
        <v>17</v>
      </c>
      <c r="Q5" s="62" t="e">
        <f t="shared" si="4"/>
        <v>#VALUE!</v>
      </c>
      <c r="R5" s="62">
        <f t="shared" si="5"/>
        <v>26</v>
      </c>
      <c r="S5" s="62" t="str">
        <f>IFERROR(VLOOKUP(MID(N5,Q5,R5-Q5),[5]skilldef!$C:$D,2,FALSE),"-") &amp; " / " &amp; IFERROR(VLOOKUP(MID(N5,O5,P5-O5),[5]skilldef!$A:$B,2,FALSE),"-")</f>
        <v>- / 大攻撃</v>
      </c>
      <c r="T5" s="48" t="str">
        <f t="shared" si="6"/>
        <v>none</v>
      </c>
      <c r="U5" s="62" t="e">
        <f t="shared" si="7"/>
        <v>#VALUE!</v>
      </c>
      <c r="V5" s="62">
        <f t="shared" si="8"/>
        <v>4</v>
      </c>
      <c r="W5" s="62" t="e">
        <f t="shared" si="9"/>
        <v>#VALUE!</v>
      </c>
      <c r="X5" s="62" t="e">
        <f t="shared" si="10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50"/>
      <c r="AA5" s="51"/>
      <c r="AB5" s="50"/>
      <c r="AC5" s="110" t="s">
        <v>254</v>
      </c>
    </row>
    <row r="6" spans="1:29" ht="34" customHeight="1" x14ac:dyDescent="0.15">
      <c r="A6" s="107">
        <v>65523211</v>
      </c>
      <c r="B6" s="150" t="str">
        <f t="shared" si="0"/>
        <v>[effect:enemy_message, val1:1.2, val2:2.1],[effect:panel_freeze, target:normal, color:block_blue, count:3],[effect:rush, count:1, val:1.0]</v>
      </c>
      <c r="C6" s="114">
        <v>1</v>
      </c>
      <c r="D6" s="114" t="s">
        <v>253</v>
      </c>
      <c r="E6" s="115" t="s">
        <v>258</v>
      </c>
      <c r="F6" s="115" t="s">
        <v>334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 t="shared" si="1"/>
        <v>[effect:panel_freeze, target:normal, color:block_blue, count:3],[effect:rush, count:1, val:1.0]</v>
      </c>
      <c r="N6" s="48" t="str">
        <f>IFERROR(LEFT(M6,FIND("],",M6)+S17),M6)</f>
        <v>[effect:panel_freeze, target:normal, color:block_blue, count:3],[effect:rush, count:1, val:1.0]</v>
      </c>
      <c r="O6" s="62">
        <f t="shared" si="2"/>
        <v>9</v>
      </c>
      <c r="P6" s="62">
        <f t="shared" si="3"/>
        <v>21</v>
      </c>
      <c r="Q6" s="62">
        <f t="shared" si="4"/>
        <v>30</v>
      </c>
      <c r="R6" s="62">
        <f t="shared" si="5"/>
        <v>36</v>
      </c>
      <c r="S6" s="62" t="str">
        <f>IFERROR(VLOOKUP(MID(N6,Q6,R6-Q6),[5]skilldef!$C:$D,2,FALSE),"-") &amp; " / " &amp; IFERROR(VLOOKUP(MID(N6,O6,P6-O6),[5]skilldef!$A:$B,2,FALSE),"-")</f>
        <v>- / -</v>
      </c>
      <c r="T6" s="48" t="str">
        <f t="shared" si="6"/>
        <v>[effect:rush, count:1, val:1.0]</v>
      </c>
      <c r="U6" s="62">
        <f t="shared" si="7"/>
        <v>9</v>
      </c>
      <c r="V6" s="62">
        <f t="shared" si="8"/>
        <v>13</v>
      </c>
      <c r="W6" s="62" t="e">
        <f t="shared" si="9"/>
        <v>#VALUE!</v>
      </c>
      <c r="X6" s="62">
        <f t="shared" si="10"/>
        <v>22</v>
      </c>
      <c r="Y6" s="62" t="str">
        <f>IFERROR(VLOOKUP(MID(T6,W6,X6-W6),[5]skilldef!$C:$D,2,FALSE),"-") &amp; " / " &amp; IFERROR(VLOOKUP(MID(T6,U6,V6-U6),[5]skilldef!$A:$B,2,FALSE),"-")</f>
        <v>- / 連続攻撃</v>
      </c>
      <c r="Z6" s="50"/>
      <c r="AA6" s="51"/>
      <c r="AB6" s="50"/>
      <c r="AC6" s="113" t="s">
        <v>306</v>
      </c>
    </row>
    <row r="7" spans="1:29" ht="34" customHeight="1" x14ac:dyDescent="0.15">
      <c r="A7" s="107">
        <v>65523221</v>
      </c>
      <c r="B7" s="150" t="str">
        <f t="shared" si="0"/>
        <v>[effect:enemy_message, val1:1.2, val2:2.0],[effect:freq_turn, target:enemy_blue/enemy_animal/and, turn:1, val:1, animation:enemy_freq_turn],[effect:rush, count:1, val:1.3]</v>
      </c>
      <c r="C7" s="114">
        <v>1</v>
      </c>
      <c r="D7" s="114" t="s">
        <v>253</v>
      </c>
      <c r="E7" s="115" t="s">
        <v>259</v>
      </c>
      <c r="F7" s="115" t="s">
        <v>336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1"/>
        <v>[effect:freq_turn, target:enemy_blue/enemy_animal/and, turn:1, val:1, animation:enemy_freq_turn],[effect:rush, count:1, val:1.3]</v>
      </c>
      <c r="N7" s="48" t="str">
        <f>IFERROR(LEFT(M7,FIND("],",M7)+S19),M7)</f>
        <v>[effect:freq_turn, target:enemy_blue/enemy_animal/and, turn:1, val:1, animation:enemy_freq_turn],[effect:rush, count:1, val:1.3]</v>
      </c>
      <c r="O7" s="62">
        <f t="shared" si="2"/>
        <v>9</v>
      </c>
      <c r="P7" s="62">
        <f t="shared" si="3"/>
        <v>18</v>
      </c>
      <c r="Q7" s="62">
        <f t="shared" si="4"/>
        <v>27</v>
      </c>
      <c r="R7" s="62">
        <f t="shared" si="5"/>
        <v>54</v>
      </c>
      <c r="S7" s="62" t="str">
        <f>IFERROR(VLOOKUP(MID(N7,Q7,R7-Q7),[5]skilldef!$C:$D,2,FALSE),"-") &amp; " / " &amp; IFERROR(VLOOKUP(MID(N7,O7,P7-O7),[5]skilldef!$A:$B,2,FALSE),"-")</f>
        <v>- / 攻撃頻度がUP</v>
      </c>
      <c r="T7" s="48" t="str">
        <f t="shared" si="6"/>
        <v>[effect:rush, count:1, val:1.3]</v>
      </c>
      <c r="U7" s="62">
        <f t="shared" si="7"/>
        <v>9</v>
      </c>
      <c r="V7" s="62">
        <f t="shared" si="8"/>
        <v>13</v>
      </c>
      <c r="W7" s="62" t="e">
        <f t="shared" si="9"/>
        <v>#VALUE!</v>
      </c>
      <c r="X7" s="62">
        <f t="shared" si="10"/>
        <v>22</v>
      </c>
      <c r="Y7" s="62" t="str">
        <f>IFERROR(VLOOKUP(MID(T7,W7,X7-W7),[5]skilldef!$C:$D,2,FALSE),"-") &amp; " / " &amp; IFERROR(VLOOKUP(MID(T7,U7,V7-U7),[5]skilldef!$A:$B,2,FALSE),"-")</f>
        <v>- / 連続攻撃</v>
      </c>
      <c r="Z7" s="50"/>
      <c r="AA7" s="51"/>
      <c r="AB7" s="50"/>
      <c r="AC7" s="113" t="s">
        <v>310</v>
      </c>
    </row>
    <row r="8" spans="1:29" ht="34" customHeight="1" x14ac:dyDescent="0.15">
      <c r="A8" s="107">
        <v>65523231</v>
      </c>
      <c r="B8" s="150" t="str">
        <f>"[effect:enemy_message, val1:"&amp;TEXT(IF(TEXT(E8,0)="[表示しない]", "0", IF(LEN(SUBSTITUTE(E8,CHAR(13),""))*0.1&lt;1.2, 1.2, LEN(SUBSTITUTE(E8,CHAR(13),""))*0.1)), "0.0")&amp;", val2:"&amp;TEXT(IF(TEXT(F8,0)="[表示しない]", "0", IF(LEN(SUBSTITUTE(F8,CHAR(13),""))*0.1&lt;1.2, 1.2, LEN(SUBSTITUTE(F8,CHAR(13),""))*0.1)),"0.0")&amp;"]"&amp;IF(LEN(AC8)&gt;0, ","&amp;AC8,AC8)</f>
        <v>[effect:enemy_message, val1:1.2, val2:1.4],[effect:enhance_enemy, target:enemy_blue/enemy_animal/and, turn:6, status:defense, val:1000, calc:add, animation:enemy_enhance_defense]</v>
      </c>
      <c r="C8" s="114">
        <v>1</v>
      </c>
      <c r="D8" s="114" t="s">
        <v>253</v>
      </c>
      <c r="E8" s="115" t="s">
        <v>277</v>
      </c>
      <c r="F8" s="115" t="s">
        <v>324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1"/>
        <v>[effect:enhance_enemy, target:enemy_blue/enemy_animal/and, turn:6, status:defense, val:1000, calc:add, animation:enemy_enhance_defense]</v>
      </c>
      <c r="N8" s="48" t="str">
        <f>IFERROR(LEFT(M8,FIND("],",M8)+S20),M8)</f>
        <v>[effect:enhance_enemy, target:enemy_blue/enemy_animal/and, turn:6, status:defense, val:1000, calc:add, animation:enemy_enhance_defense]</v>
      </c>
      <c r="O8" s="62">
        <f t="shared" si="2"/>
        <v>9</v>
      </c>
      <c r="P8" s="62">
        <f t="shared" si="3"/>
        <v>22</v>
      </c>
      <c r="Q8" s="62">
        <f t="shared" si="4"/>
        <v>31</v>
      </c>
      <c r="R8" s="62">
        <f t="shared" si="5"/>
        <v>58</v>
      </c>
      <c r="S8" s="62" t="str">
        <f>IFERROR(VLOOKUP(MID(N8,Q8,R8-Q8),[5]skilldef!$C:$D,2,FALSE),"-") &amp; " / " &amp; IFERROR(VLOOKUP(MID(N8,O8,P8-O8),[5]skilldef!$A:$B,2,FALSE),"-")</f>
        <v>- / ステータス強化</v>
      </c>
      <c r="T8" s="48" t="str">
        <f t="shared" si="6"/>
        <v>none</v>
      </c>
      <c r="U8" s="62" t="e">
        <f t="shared" si="7"/>
        <v>#VALUE!</v>
      </c>
      <c r="V8" s="62">
        <f t="shared" si="8"/>
        <v>4</v>
      </c>
      <c r="W8" s="62" t="e">
        <f t="shared" si="9"/>
        <v>#VALUE!</v>
      </c>
      <c r="X8" s="62" t="e">
        <f t="shared" si="10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50"/>
      <c r="AA8" s="51"/>
      <c r="AB8" s="50"/>
      <c r="AC8" s="113" t="s">
        <v>323</v>
      </c>
    </row>
    <row r="9" spans="1:29" ht="34" customHeight="1" x14ac:dyDescent="0.15">
      <c r="A9" s="107">
        <v>65523232</v>
      </c>
      <c r="B9" s="150" t="str">
        <f>"[effect:enemy_message, val1:"&amp;TEXT(IF(TEXT(E9,0)="[表示しない]", "0", IF(LEN(SUBSTITUTE(E9,CHAR(13),""))*0.1&lt;1.2, 1.2, LEN(SUBSTITUTE(E9,CHAR(13),""))*0.1)), "0.0")&amp;", val2:"&amp;TEXT(IF(TEXT(F9,0)="[表示しない]", "0", IF(LEN(SUBSTITUTE(F9,CHAR(13),""))*0.1&lt;1.2, 1.2, LEN(SUBSTITUTE(F9,CHAR(13),""))*0.1)),"0.0")&amp;"]"&amp;IF(LEN(AC9)&gt;0, ","&amp;AC9,AC9)</f>
        <v>[effect:enemy_message, val1:1.2, val2:1.3],[effect:damage_anti_color, target:unit_all, color:green, val1:0.2, val2:0.5]</v>
      </c>
      <c r="C9" s="114">
        <v>1</v>
      </c>
      <c r="D9" s="114" t="s">
        <v>253</v>
      </c>
      <c r="E9" s="115" t="s">
        <v>278</v>
      </c>
      <c r="F9" s="115" t="s">
        <v>322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1"/>
        <v>[effect:damage_anti_color, target:unit_all, color:green, val1:0.2, val2:0.5]</v>
      </c>
      <c r="N9" s="48" t="str">
        <f>IFERROR(LEFT(M9,FIND("],",M9)+#REF!),M9)</f>
        <v>[effect:damage_anti_color, target:unit_all, color:green, val1:0.2, val2:0.5]</v>
      </c>
      <c r="O9" s="62">
        <f t="shared" si="2"/>
        <v>9</v>
      </c>
      <c r="P9" s="62">
        <f t="shared" si="3"/>
        <v>26</v>
      </c>
      <c r="Q9" s="62">
        <f t="shared" si="4"/>
        <v>35</v>
      </c>
      <c r="R9" s="62">
        <f t="shared" si="5"/>
        <v>43</v>
      </c>
      <c r="S9" s="62" t="str">
        <f>IFERROR(VLOOKUP(MID(N9,Q9,R9-Q9),[5]skilldef!$C:$D,2,FALSE),"-") &amp; " / " &amp; IFERROR(VLOOKUP(MID(N9,O9,P9-O9),[5]skilldef!$A:$B,2,FALSE),"-")</f>
        <v>味方全体に / 属性キラー</v>
      </c>
      <c r="T9" s="48" t="str">
        <f t="shared" si="6"/>
        <v>none</v>
      </c>
      <c r="U9" s="62" t="e">
        <f t="shared" si="7"/>
        <v>#VALUE!</v>
      </c>
      <c r="V9" s="62">
        <f t="shared" si="8"/>
        <v>4</v>
      </c>
      <c r="W9" s="62" t="e">
        <f t="shared" si="9"/>
        <v>#VALUE!</v>
      </c>
      <c r="X9" s="62" t="e">
        <f t="shared" si="10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50"/>
      <c r="AA9" s="51"/>
      <c r="AB9" s="50"/>
      <c r="AC9" s="113" t="s">
        <v>445</v>
      </c>
    </row>
    <row r="10" spans="1:29" ht="59" customHeight="1" x14ac:dyDescent="0.15">
      <c r="A10" s="108">
        <v>65523313</v>
      </c>
      <c r="B10" s="150" t="str">
        <f t="shared" si="0"/>
        <v>[effect:enemy_message, val1:1.2, val2:1.7],[effect:enhance_enemy, target:enemy_yellow/enemy_machine/enemy_attack/and, turn:3, status:defense, val:2222222, calc:add, animation:enemy_enhance_defense]</v>
      </c>
      <c r="C10" s="117">
        <v>1</v>
      </c>
      <c r="D10" s="117" t="s">
        <v>253</v>
      </c>
      <c r="E10" s="118" t="s">
        <v>355</v>
      </c>
      <c r="F10" s="118" t="s">
        <v>443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1"/>
        <v>[effect:enhance_enemy, target:enemy_yellow/enemy_machine/enemy_attack/and, turn:3, status:defense, val:2222222, calc:add, animation:enemy_enhance_defense]</v>
      </c>
      <c r="N10" s="48" t="str">
        <f>IFERROR(LEFT(M10,FIND("],",M10)+#REF!),M10)</f>
        <v>[effect:enhance_enemy, target:enemy_yellow/enemy_machine/enemy_attack/and, turn:3, status:defense, val:2222222, calc:add, animation:enemy_enhance_defense]</v>
      </c>
      <c r="O10" s="62">
        <f t="shared" si="2"/>
        <v>9</v>
      </c>
      <c r="P10" s="62">
        <f t="shared" si="3"/>
        <v>22</v>
      </c>
      <c r="Q10" s="62">
        <f t="shared" si="4"/>
        <v>31</v>
      </c>
      <c r="R10" s="62">
        <f t="shared" si="5"/>
        <v>74</v>
      </c>
      <c r="S10" s="62" t="str">
        <f>IFERROR(VLOOKUP(MID(N10,Q10,R10-Q10),[5]skilldef!$C:$D,2,FALSE),"-") &amp; " / " &amp; IFERROR(VLOOKUP(MID(N10,O10,P10-O10),[5]skilldef!$A:$B,2,FALSE),"-")</f>
        <v>- / ステータス強化</v>
      </c>
      <c r="T10" s="48" t="str">
        <f t="shared" si="6"/>
        <v>none</v>
      </c>
      <c r="U10" s="62" t="e">
        <f t="shared" si="7"/>
        <v>#VALUE!</v>
      </c>
      <c r="V10" s="62">
        <f t="shared" si="8"/>
        <v>4</v>
      </c>
      <c r="W10" s="62" t="e">
        <f t="shared" si="9"/>
        <v>#VALUE!</v>
      </c>
      <c r="X10" s="62" t="e">
        <f t="shared" si="10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50"/>
      <c r="AA10" s="51"/>
      <c r="AB10" s="50"/>
      <c r="AC10" s="116" t="s">
        <v>444</v>
      </c>
    </row>
    <row r="11" spans="1:29" ht="34" customHeight="1" x14ac:dyDescent="0.15">
      <c r="A11" s="108">
        <v>65523311</v>
      </c>
      <c r="B11" s="150" t="str">
        <f t="shared" si="0"/>
        <v>[effect:enemy_message, val1:1.2, val2:2.1],[effect:force_change_block, new_block:jammer, target:block_yellow, count:3, val:0, animation:change_block],[effect:rush, count:1, val:1.0]</v>
      </c>
      <c r="C11" s="117">
        <v>1</v>
      </c>
      <c r="D11" s="117" t="s">
        <v>253</v>
      </c>
      <c r="E11" s="118" t="s">
        <v>357</v>
      </c>
      <c r="F11" s="118" t="s">
        <v>284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1"/>
        <v>[effect:force_change_block, new_block:jammer, target:block_yellow, count:3, val:0, animation:change_block],[effect:rush, count:1, val:1.0]</v>
      </c>
      <c r="N11" s="48" t="str">
        <f>IFERROR(LEFT(M11,FIND("],",M11)+#REF!),M11)</f>
        <v>[effect:force_change_block, new_block:jammer, target:block_yellow, count:3, val:0, animation:change_block],[effect:rush, count:1, val:1.0]</v>
      </c>
      <c r="O11" s="62">
        <f t="shared" si="2"/>
        <v>9</v>
      </c>
      <c r="P11" s="62">
        <f t="shared" si="3"/>
        <v>27</v>
      </c>
      <c r="Q11" s="62">
        <f t="shared" si="4"/>
        <v>54</v>
      </c>
      <c r="R11" s="62">
        <f t="shared" si="5"/>
        <v>45</v>
      </c>
      <c r="S11" s="62" t="str">
        <f>IFERROR(VLOOKUP(MID(N11,Q11,R11-Q11),[5]skilldef!$C:$D,2,FALSE),"-") &amp; " / " &amp; IFERROR(VLOOKUP(MID(N11,O11,P11-O11),[5]skilldef!$A:$B,2,FALSE),"-")</f>
        <v>- / -</v>
      </c>
      <c r="T11" s="48" t="str">
        <f t="shared" si="6"/>
        <v>[effect:rush, count:1, val:1.0]</v>
      </c>
      <c r="U11" s="62">
        <f t="shared" si="7"/>
        <v>9</v>
      </c>
      <c r="V11" s="62">
        <f t="shared" si="8"/>
        <v>13</v>
      </c>
      <c r="W11" s="62" t="e">
        <f t="shared" si="9"/>
        <v>#VALUE!</v>
      </c>
      <c r="X11" s="62">
        <f t="shared" si="10"/>
        <v>22</v>
      </c>
      <c r="Y11" s="62" t="str">
        <f>IFERROR(VLOOKUP(MID(T11,W11,X11-W11),[5]skilldef!$C:$D,2,FALSE),"-") &amp; " / " &amp; IFERROR(VLOOKUP(MID(T11,U11,V11-U11),[5]skilldef!$A:$B,2,FALSE),"-")</f>
        <v>- / 連続攻撃</v>
      </c>
      <c r="Z11" s="50"/>
      <c r="AA11" s="51"/>
      <c r="AB11" s="50"/>
      <c r="AC11" s="116" t="s">
        <v>308</v>
      </c>
    </row>
    <row r="12" spans="1:29" ht="34" customHeight="1" x14ac:dyDescent="0.15">
      <c r="A12" s="108">
        <v>65523312</v>
      </c>
      <c r="B12" s="150" t="str">
        <f t="shared" si="0"/>
        <v>[effect:enemy_message, val1:1.2, val2:1.7],[effect:enhance_enemy, target:enemy_yellow/enemy_machine/enemy_attack/and, turn:3, status:defense, val:2222222, calc:add, animation:enemy_enhance_defense]</v>
      </c>
      <c r="C12" s="117">
        <v>1</v>
      </c>
      <c r="D12" s="117" t="s">
        <v>253</v>
      </c>
      <c r="E12" s="118" t="s">
        <v>328</v>
      </c>
      <c r="F12" s="118" t="s">
        <v>443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1"/>
        <v>[effect:enhance_enemy, target:enemy_yellow/enemy_machine/enemy_attack/and, turn:3, status:defense, val:2222222, calc:add, animation:enemy_enhance_defense]</v>
      </c>
      <c r="N12" s="48" t="str">
        <f>IFERROR(LEFT(M12,FIND("],",M12)+S23),M12)</f>
        <v>[effect:enhance_enemy, target:enemy_yellow/enemy_machine/enemy_attack/and, turn:3, status:defense, val:2222222, calc:add, animation:enemy_enhance_defense]</v>
      </c>
      <c r="O12" s="62">
        <f t="shared" si="2"/>
        <v>9</v>
      </c>
      <c r="P12" s="62">
        <f t="shared" si="3"/>
        <v>22</v>
      </c>
      <c r="Q12" s="62">
        <f t="shared" si="4"/>
        <v>31</v>
      </c>
      <c r="R12" s="62">
        <f t="shared" si="5"/>
        <v>74</v>
      </c>
      <c r="S12" s="62" t="str">
        <f>IFERROR(VLOOKUP(MID(N12,Q12,R12-Q12),[5]skilldef!$C:$D,2,FALSE),"-") &amp; " / " &amp; IFERROR(VLOOKUP(MID(N12,O12,P12-O12),[5]skilldef!$A:$B,2,FALSE),"-")</f>
        <v>- / ステータス強化</v>
      </c>
      <c r="T12" s="48" t="str">
        <f t="shared" si="6"/>
        <v>none</v>
      </c>
      <c r="U12" s="62" t="e">
        <f t="shared" si="7"/>
        <v>#VALUE!</v>
      </c>
      <c r="V12" s="62">
        <f t="shared" si="8"/>
        <v>4</v>
      </c>
      <c r="W12" s="62" t="e">
        <f t="shared" si="9"/>
        <v>#VALUE!</v>
      </c>
      <c r="X12" s="62" t="e">
        <f t="shared" si="10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50"/>
      <c r="AA12" s="51"/>
      <c r="AB12" s="50"/>
      <c r="AC12" s="116" t="s">
        <v>444</v>
      </c>
    </row>
    <row r="13" spans="1:29" ht="34" customHeight="1" x14ac:dyDescent="0.15">
      <c r="A13" s="108">
        <v>65523314</v>
      </c>
      <c r="B13" s="150" t="str">
        <f t="shared" ref="B13" si="11">"[effect:enemy_message, val1:"&amp;TEXT(IF(TEXT(E13,0)="[表示しない]", "0", IF(LEN(SUBSTITUTE(E13,CHAR(13),""))*0.1&lt;1.2, 1.2, LEN(SUBSTITUTE(E13,CHAR(13),""))*0.1)), "0.0")&amp;", val2:"&amp;TEXT(IF(TEXT(F13,0)="[表示しない]", "0", IF(LEN(SUBSTITUTE(F13,CHAR(13),""))*0.1&lt;1.2, 1.2, LEN(SUBSTITUTE(F13,CHAR(13),""))*0.1)),"0.0")&amp;"]"&amp;IF(LEN(AC13)&gt;0, ","&amp;AC13,AC13)</f>
        <v>[effect:enemy_message, val1:1.2, val2:1.7],[effect:remove_enhancement, target:enemy_yellow/enemy_machine/enemy_attack/and, target_effect:all, target_type:buff, animation:frozen_wave_unit]</v>
      </c>
      <c r="C13" s="117">
        <v>1</v>
      </c>
      <c r="D13" s="117" t="s">
        <v>195</v>
      </c>
      <c r="E13" s="118" t="s">
        <v>451</v>
      </c>
      <c r="F13" s="118" t="s">
        <v>454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ref="M13" si="12">IFERROR(RIGHT(B13,LEN(B13)-FIND("],",B13)-1),"none")</f>
        <v>[effect:remove_enhancement, target:enemy_yellow/enemy_machine/enemy_attack/and, target_effect:all, target_type:buff, animation:frozen_wave_unit]</v>
      </c>
      <c r="N13" s="48" t="str">
        <f>IFERROR(LEFT(M13,FIND("],",M13)+S24),M13)</f>
        <v>[effect:remove_enhancement, target:enemy_yellow/enemy_machine/enemy_attack/and, target_effect:all, target_type:buff, animation:frozen_wave_unit]</v>
      </c>
      <c r="O13" s="62">
        <f t="shared" ref="O13" si="13">FIND("effect:",N13)+7</f>
        <v>9</v>
      </c>
      <c r="P13" s="62">
        <f t="shared" ref="P13" si="14">IFERROR(FIND(",",N13),LEN(N13))</f>
        <v>27</v>
      </c>
      <c r="Q13" s="62">
        <f t="shared" ref="Q13" si="15">FIND("target:",N13)+7</f>
        <v>36</v>
      </c>
      <c r="R13" s="62">
        <f t="shared" ref="R13" si="16">FIND(",",N13,P13+1)</f>
        <v>79</v>
      </c>
      <c r="S13" s="62" t="str">
        <f>IFERROR(VLOOKUP(MID(N13,Q13,R13-Q13),[5]skilldef!$C:$D,2,FALSE),"-") &amp; " / " &amp; IFERROR(VLOOKUP(MID(N13,O13,P13-O13),[5]skilldef!$A:$B,2,FALSE),"-")</f>
        <v>- / -</v>
      </c>
      <c r="T13" s="48" t="str">
        <f t="shared" ref="T13" si="17">IFERROR(RIGHT(M13,LEN(M13)-FIND("],",M13)-1),"none")</f>
        <v>none</v>
      </c>
      <c r="U13" s="62" t="e">
        <f t="shared" ref="U13" si="18">FIND("effect:",T13)+7</f>
        <v>#VALUE!</v>
      </c>
      <c r="V13" s="62">
        <f t="shared" ref="V13" si="19">IFERROR(FIND(",",T13),LEN(T13))</f>
        <v>4</v>
      </c>
      <c r="W13" s="62" t="e">
        <f t="shared" ref="W13" si="20">FIND("target:",T13)+7</f>
        <v>#VALUE!</v>
      </c>
      <c r="X13" s="62" t="e">
        <f t="shared" ref="X13" si="21">FIND(",",T13,V13+1)</f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50"/>
      <c r="AA13" s="51"/>
      <c r="AB13" s="50"/>
      <c r="AC13" s="116" t="s">
        <v>453</v>
      </c>
    </row>
    <row r="14" spans="1:29" ht="34" customHeight="1" x14ac:dyDescent="0.15">
      <c r="A14" s="108">
        <v>65523323</v>
      </c>
      <c r="B14" s="150" t="str">
        <f>"[effect:enemy_message, val1:"&amp;TEXT(IF(TEXT(E14,0)="[表示しない]", "0", IF(LEN(SUBSTITUTE(E14,CHAR(13),""))*0.1&lt;1.2, 1.2, LEN(SUBSTITUTE(E14,CHAR(13),""))*0.1)), "0.0")&amp;", val2:"&amp;TEXT(IF(TEXT(F14,0)="[表示しない]", "0", IF(LEN(SUBSTITUTE(F14,CHAR(13),""))*0.1&lt;1.2, 1.2, LEN(SUBSTITUTE(F14,CHAR(13),""))*0.1)),"0.0")&amp;"]"&amp;IF(LEN(AC14)&gt;0, ","&amp;AC14,AC14)</f>
        <v>[effect:enemy_message, val1:1.2, val2:2.3],[effect:enemy_counter, target:enemy_one, invoke_condition:unit_all, counter_target:attacker, turn:1, val:0.8, animation:enemy_counter],[effect:rush, count:1, val:1.0]</v>
      </c>
      <c r="C14" s="117">
        <v>1</v>
      </c>
      <c r="D14" s="117" t="s">
        <v>195</v>
      </c>
      <c r="E14" s="118" t="s">
        <v>448</v>
      </c>
      <c r="F14" s="118" t="s">
        <v>450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ref="M14" si="22">IFERROR(RIGHT(B14,LEN(B14)-FIND("],",B14)-1),"none")</f>
        <v>[effect:enemy_counter, target:enemy_one, invoke_condition:unit_all, counter_target:attacker, turn:1, val:0.8, animation:enemy_counter],[effect:rush, count:1, val:1.0]</v>
      </c>
      <c r="N14" s="48" t="str">
        <f>IFERROR(LEFT(M14,FIND("],",M14)+S23),M14)</f>
        <v>[effect:enemy_counter, target:enemy_one, invoke_condition:unit_all, counter_target:attacker, turn:1, val:0.8, animation:enemy_counter],[effect:rush, count:1, val:1.0]</v>
      </c>
      <c r="O14" s="62">
        <f t="shared" ref="O14" si="23">FIND("effect:",N14)+7</f>
        <v>9</v>
      </c>
      <c r="P14" s="62">
        <f t="shared" ref="P14" si="24">IFERROR(FIND(",",N14),LEN(N14))</f>
        <v>22</v>
      </c>
      <c r="Q14" s="62">
        <f t="shared" ref="Q14" si="25">FIND("target:",N14)+7</f>
        <v>31</v>
      </c>
      <c r="R14" s="62">
        <f t="shared" ref="R14" si="26">FIND(",",N14,P14+1)</f>
        <v>40</v>
      </c>
      <c r="S14" s="62" t="str">
        <f>IFERROR(VLOOKUP(MID(N14,Q14,R14-Q14),[5]skilldef!$C:$D,2,FALSE),"-") &amp; " / " &amp; IFERROR(VLOOKUP(MID(N14,O14,P14-O14),[5]skilldef!$A:$B,2,FALSE),"-")</f>
        <v>敵単体に / カウンター</v>
      </c>
      <c r="T14" s="48" t="str">
        <f t="shared" ref="T14" si="27">IFERROR(RIGHT(M14,LEN(M14)-FIND("],",M14)-1),"none")</f>
        <v>[effect:rush, count:1, val:1.0]</v>
      </c>
      <c r="U14" s="62">
        <f t="shared" ref="U14" si="28">FIND("effect:",T14)+7</f>
        <v>9</v>
      </c>
      <c r="V14" s="62">
        <f t="shared" ref="V14" si="29">IFERROR(FIND(",",T14),LEN(T14))</f>
        <v>13</v>
      </c>
      <c r="W14" s="62" t="e">
        <f t="shared" ref="W14" si="30">FIND("target:",T14)+7</f>
        <v>#VALUE!</v>
      </c>
      <c r="X14" s="62">
        <f t="shared" ref="X14" si="31">FIND(",",T14,V14+1)</f>
        <v>22</v>
      </c>
      <c r="Y14" s="62" t="str">
        <f>IFERROR(VLOOKUP(MID(T14,W14,X14-W14),[5]skilldef!$C:$D,2,FALSE),"-") &amp; " / " &amp; IFERROR(VLOOKUP(MID(T14,U14,V14-U14),[5]skilldef!$A:$B,2,FALSE),"-")</f>
        <v>- / 連続攻撃</v>
      </c>
      <c r="Z14" s="50"/>
      <c r="AA14" s="51"/>
      <c r="AB14" s="50"/>
      <c r="AC14" s="116" t="s">
        <v>447</v>
      </c>
    </row>
    <row r="15" spans="1:29" ht="34" customHeight="1" x14ac:dyDescent="0.15">
      <c r="A15" s="108">
        <v>65523322</v>
      </c>
      <c r="B15" s="150" t="str">
        <f t="shared" si="0"/>
        <v>[effect:enemy_message, val1:1.2, val2:1.2],[effect:heal, target:enemy_all, val:0.3, animation:enemy_heal],[effect:spread, val:0.25]</v>
      </c>
      <c r="C15" s="117">
        <v>1</v>
      </c>
      <c r="D15" s="117" t="s">
        <v>253</v>
      </c>
      <c r="E15" s="118" t="s">
        <v>261</v>
      </c>
      <c r="F15" s="118" t="s">
        <v>320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1"/>
        <v>[effect:heal, target:enemy_all, val:0.3, animation:enemy_heal],[effect:spread, val:0.25]</v>
      </c>
      <c r="N15" s="48" t="str">
        <f>IFERROR(LEFT(M15,FIND("],",M15)+S24),M15)</f>
        <v>[effect:heal, target:enemy_all, val:0.3, animation:enemy_heal],[effect:spread, val:0.25]</v>
      </c>
      <c r="O15" s="62">
        <f t="shared" si="2"/>
        <v>9</v>
      </c>
      <c r="P15" s="62">
        <f t="shared" si="3"/>
        <v>13</v>
      </c>
      <c r="Q15" s="62">
        <f t="shared" si="4"/>
        <v>22</v>
      </c>
      <c r="R15" s="62">
        <f t="shared" si="5"/>
        <v>31</v>
      </c>
      <c r="S15" s="62" t="str">
        <f>IFERROR(VLOOKUP(MID(N15,Q15,R15-Q15),[5]skilldef!$C:$D,2,FALSE),"-") &amp; " / " &amp; IFERROR(VLOOKUP(MID(N15,O15,P15-O15),[5]skilldef!$A:$B,2,FALSE),"-")</f>
        <v>敵全体に / 回復</v>
      </c>
      <c r="T15" s="48" t="str">
        <f t="shared" si="6"/>
        <v>[effect:spread, val:0.25]</v>
      </c>
      <c r="U15" s="62">
        <f t="shared" si="7"/>
        <v>9</v>
      </c>
      <c r="V15" s="62">
        <f t="shared" si="8"/>
        <v>15</v>
      </c>
      <c r="W15" s="62" t="e">
        <f t="shared" si="9"/>
        <v>#VALUE!</v>
      </c>
      <c r="X15" s="62" t="e">
        <f t="shared" si="10"/>
        <v>#VALUE!</v>
      </c>
      <c r="Y15" s="62" t="str">
        <f>IFERROR(VLOOKUP(MID(T15,W15,X15-W15),[5]skilldef!$C:$D,2,FALSE),"-") &amp; " / " &amp; IFERROR(VLOOKUP(MID(T15,U15,V15-U15),[5]skilldef!$A:$B,2,FALSE),"-")</f>
        <v>- / 全体攻撃</v>
      </c>
      <c r="Z15" s="50"/>
      <c r="AA15" s="51"/>
      <c r="AB15" s="50"/>
      <c r="AC15" s="116" t="s">
        <v>267</v>
      </c>
    </row>
    <row r="16" spans="1:29" ht="59" customHeight="1" x14ac:dyDescent="0.15">
      <c r="A16" s="108">
        <v>65523331</v>
      </c>
      <c r="B16" s="150" t="str">
        <f>"[effect:enemy_message, val1:"&amp;TEXT(IF(TEXT(E16,0)="[表示しない]", "0", IF(LEN(SUBSTITUTE(E16,CHAR(13),""))*0.1&lt;1.2, 1.2, LEN(SUBSTITUTE(E16,CHAR(13),""))*0.1)), "0.0")&amp;", val2:"&amp;TEXT(IF(TEXT(F16,0)="[表示しない]", "0", IF(LEN(SUBSTITUTE(F16,CHAR(13),""))*0.1&lt;1.2, 1.2, LEN(SUBSTITUTE(F16,CHAR(13),""))*0.1)),"0.0")&amp;"]"&amp;IF(LEN(AC16)&gt;0, ","&amp;AC16,AC16)</f>
        <v>[effect:enemy_message, val1:1.2, val2:1.7],[effect:enhance_enemy, target:enemy_yellow/enemy_machine/enemy_attack/and, turn:3, status:defense, val:2222222, calc:add, animation:enemy_enhance_defense]</v>
      </c>
      <c r="C16" s="117">
        <v>1</v>
      </c>
      <c r="D16" s="117" t="s">
        <v>253</v>
      </c>
      <c r="E16" s="118" t="s">
        <v>356</v>
      </c>
      <c r="F16" s="119" t="s">
        <v>443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1"/>
        <v>[effect:enhance_enemy, target:enemy_yellow/enemy_machine/enemy_attack/and, turn:3, status:defense, val:2222222, calc:add, animation:enemy_enhance_defense]</v>
      </c>
      <c r="N16" s="48" t="str">
        <f>IFERROR(LEFT(M16,FIND("],",M16)+S26),M16)</f>
        <v>[effect:enhance_enemy, target:enemy_yellow/enemy_machine/enemy_attack/and, turn:3, status:defense, val:2222222, calc:add, animation:enemy_enhance_defense]</v>
      </c>
      <c r="O16" s="62">
        <f t="shared" si="2"/>
        <v>9</v>
      </c>
      <c r="P16" s="62">
        <f t="shared" si="3"/>
        <v>22</v>
      </c>
      <c r="Q16" s="62">
        <f t="shared" si="4"/>
        <v>31</v>
      </c>
      <c r="R16" s="62">
        <f t="shared" si="5"/>
        <v>74</v>
      </c>
      <c r="S16" s="62" t="str">
        <f>IFERROR(VLOOKUP(MID(N16,Q16,R16-Q16),[5]skilldef!$C:$D,2,FALSE),"-") &amp; " / " &amp; IFERROR(VLOOKUP(MID(N16,O16,P16-O16),[5]skilldef!$A:$B,2,FALSE),"-")</f>
        <v>- / ステータス強化</v>
      </c>
      <c r="T16" s="48" t="str">
        <f t="shared" si="6"/>
        <v>none</v>
      </c>
      <c r="U16" s="62" t="e">
        <f t="shared" si="7"/>
        <v>#VALUE!</v>
      </c>
      <c r="V16" s="62">
        <f t="shared" si="8"/>
        <v>4</v>
      </c>
      <c r="W16" s="62" t="e">
        <f t="shared" si="9"/>
        <v>#VALUE!</v>
      </c>
      <c r="X16" s="62" t="e">
        <f t="shared" si="10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1"/>
      <c r="AB16" s="50"/>
      <c r="AC16" s="116" t="s">
        <v>444</v>
      </c>
    </row>
    <row r="17" spans="1:29" ht="34" customHeight="1" x14ac:dyDescent="0.15">
      <c r="A17" s="108">
        <v>65523332</v>
      </c>
      <c r="B17" s="150" t="str">
        <f t="shared" si="0"/>
        <v>[effect:enemy_message, val1:1.2, val2:2.0],[effect:freq_turn, target:enemy_yellow/enemy_animal/and, turn:1, val:1, animation:enemy_freq_turn],[effect:rush, count:2, val:0.45]</v>
      </c>
      <c r="C17" s="117">
        <v>1</v>
      </c>
      <c r="D17" s="117" t="s">
        <v>253</v>
      </c>
      <c r="E17" s="118" t="s">
        <v>350</v>
      </c>
      <c r="F17" s="118" t="s">
        <v>337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1"/>
        <v>[effect:freq_turn, target:enemy_yellow/enemy_animal/and, turn:1, val:1, animation:enemy_freq_turn],[effect:rush, count:2, val:0.45]</v>
      </c>
      <c r="N17" s="48" t="str">
        <f>IFERROR(LEFT(M17,FIND("],",M17)+S27),M17)</f>
        <v>[effect:freq_turn, target:enemy_yellow/enemy_animal/and, turn:1, val:1, animation:enemy_freq_turn],[effect:rush, count:2, val:0.45]</v>
      </c>
      <c r="O17" s="62">
        <f t="shared" si="2"/>
        <v>9</v>
      </c>
      <c r="P17" s="62">
        <f t="shared" si="3"/>
        <v>18</v>
      </c>
      <c r="Q17" s="62">
        <f t="shared" si="4"/>
        <v>27</v>
      </c>
      <c r="R17" s="62">
        <f t="shared" si="5"/>
        <v>56</v>
      </c>
      <c r="S17" s="62" t="str">
        <f>IFERROR(VLOOKUP(MID(N17,Q17,R17-Q17),[5]skilldef!$C:$D,2,FALSE),"-") &amp; " / " &amp; IFERROR(VLOOKUP(MID(N17,O17,P17-O17),[5]skilldef!$A:$B,2,FALSE),"-")</f>
        <v>- / 攻撃頻度がUP</v>
      </c>
      <c r="T17" s="48" t="str">
        <f t="shared" si="6"/>
        <v>[effect:rush, count:2, val:0.45]</v>
      </c>
      <c r="U17" s="62">
        <f t="shared" si="7"/>
        <v>9</v>
      </c>
      <c r="V17" s="62">
        <f t="shared" si="8"/>
        <v>13</v>
      </c>
      <c r="W17" s="62" t="e">
        <f t="shared" si="9"/>
        <v>#VALUE!</v>
      </c>
      <c r="X17" s="62">
        <f t="shared" si="10"/>
        <v>22</v>
      </c>
      <c r="Y17" s="62" t="str">
        <f>IFERROR(VLOOKUP(MID(T17,W17,X17-W17),[5]skilldef!$C:$D,2,FALSE),"-") &amp; " / " &amp; IFERROR(VLOOKUP(MID(T17,U17,V17-U17),[5]skilldef!$A:$B,2,FALSE),"-")</f>
        <v>- / 連続攻撃</v>
      </c>
      <c r="Z17" s="50"/>
      <c r="AA17" s="51"/>
      <c r="AB17" s="50"/>
      <c r="AC17" s="116" t="s">
        <v>311</v>
      </c>
    </row>
    <row r="18" spans="1:29" ht="34" customHeight="1" x14ac:dyDescent="0.15">
      <c r="A18" s="108">
        <v>65523333</v>
      </c>
      <c r="B18" s="150" t="str">
        <f>"[effect:enemy_message, val1:"&amp;TEXT(IF(TEXT(E18,0)="[表示しない]", "0", IF(LEN(SUBSTITUTE(E18,CHAR(13),""))*0.1&lt;1.2, 1.2, LEN(SUBSTITUTE(E18,CHAR(13),""))*0.1)), "0.0")&amp;", val2:"&amp;TEXT(IF(TEXT(F18,0)="[表示しない]", "0", IF(LEN(SUBSTITUTE(F18,CHAR(13),""))*0.1&lt;1.2, 1.2, LEN(SUBSTITUTE(F18,CHAR(13),""))*0.1)),"0.0")&amp;"]"&amp;IF(LEN(AC18)&gt;0, ","&amp;AC18,AC18)</f>
        <v>[effect:enemy_message, val1:1.2, val2:1.7],[effect:enhance_enemy, target:enemy_yellow/enemy_machine/enemy_attack/and, turn:3, status:defense, val:2222222, calc:add, animation:enemy_enhance_defense]</v>
      </c>
      <c r="C18" s="117">
        <v>1</v>
      </c>
      <c r="D18" s="117" t="s">
        <v>195</v>
      </c>
      <c r="E18" s="118" t="s">
        <v>329</v>
      </c>
      <c r="F18" s="118" t="s">
        <v>443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" si="32">IFERROR(RIGHT(B18,LEN(B18)-FIND("],",B18)-1),"none")</f>
        <v>[effect:enhance_enemy, target:enemy_yellow/enemy_machine/enemy_attack/and, turn:3, status:defense, val:2222222, calc:add, animation:enemy_enhance_defense]</v>
      </c>
      <c r="N18" s="48" t="str">
        <f>IFERROR(LEFT(M18,FIND("],",M18)+S27),M18)</f>
        <v>[effect:enhance_enemy, target:enemy_yellow/enemy_machine/enemy_attack/and, turn:3, status:defense, val:2222222, calc:add, animation:enemy_enhance_defense]</v>
      </c>
      <c r="O18" s="62">
        <f t="shared" ref="O18" si="33">FIND("effect:",N18)+7</f>
        <v>9</v>
      </c>
      <c r="P18" s="62">
        <f t="shared" ref="P18" si="34">IFERROR(FIND(",",N18),LEN(N18))</f>
        <v>22</v>
      </c>
      <c r="Q18" s="62">
        <f t="shared" ref="Q18" si="35">FIND("target:",N18)+7</f>
        <v>31</v>
      </c>
      <c r="R18" s="62">
        <f t="shared" ref="R18" si="36">FIND(",",N18,P18+1)</f>
        <v>74</v>
      </c>
      <c r="S18" s="62" t="str">
        <f>IFERROR(VLOOKUP(MID(N18,Q18,R18-Q18),[5]skilldef!$C:$D,2,FALSE),"-") &amp; " / " &amp; IFERROR(VLOOKUP(MID(N18,O18,P18-O18),[5]skilldef!$A:$B,2,FALSE),"-")</f>
        <v>- / ステータス強化</v>
      </c>
      <c r="T18" s="48" t="str">
        <f t="shared" ref="T18" si="37">IFERROR(RIGHT(M18,LEN(M18)-FIND("],",M18)-1),"none")</f>
        <v>none</v>
      </c>
      <c r="U18" s="62" t="e">
        <f t="shared" ref="U18" si="38">FIND("effect:",T18)+7</f>
        <v>#VALUE!</v>
      </c>
      <c r="V18" s="62">
        <f t="shared" ref="V18" si="39">IFERROR(FIND(",",T18),LEN(T18))</f>
        <v>4</v>
      </c>
      <c r="W18" s="62" t="e">
        <f t="shared" ref="W18" si="40">FIND("target:",T18)+7</f>
        <v>#VALUE!</v>
      </c>
      <c r="X18" s="62" t="e">
        <f t="shared" ref="X18" si="41">FIND(",",T18,V18+1)</f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50"/>
      <c r="AA18" s="51"/>
      <c r="AB18" s="50"/>
      <c r="AC18" s="116" t="s">
        <v>444</v>
      </c>
    </row>
    <row r="19" spans="1:29" ht="34" customHeight="1" x14ac:dyDescent="0.15">
      <c r="A19" s="108">
        <v>65523334</v>
      </c>
      <c r="B19" s="150" t="str">
        <f>"[effect:enemy_message, val1:"&amp;TEXT(IF(TEXT(E19,0)="[表示しない]", "0", IF(LEN(SUBSTITUTE(E19,CHAR(13),""))*0.1&lt;1.2, 1.2, LEN(SUBSTITUTE(E19,CHAR(13),""))*0.1)), "0.0")&amp;", val2:"&amp;TEXT(IF(TEXT(F19,0)="[表示しない]", "0", IF(LEN(SUBSTITUTE(F19,CHAR(13),""))*0.1&lt;1.2, 1.2, LEN(SUBSTITUTE(F19,CHAR(13),""))*0.1)),"0.0")&amp;"]"&amp;IF(LEN(AC19)&gt;0, ","&amp;AC19,AC19)</f>
        <v>[effect:enemy_message, val1:1.2, val2:1.7],[effect:remove_enhancement, target:enemy_yellow/enemy_machine/enemy_attack/and, target_effect:all, target_type:buff, animation:frozen_wave_unit]</v>
      </c>
      <c r="C19" s="117">
        <v>1</v>
      </c>
      <c r="D19" s="117" t="s">
        <v>253</v>
      </c>
      <c r="E19" s="118" t="s">
        <v>452</v>
      </c>
      <c r="F19" s="118" t="s">
        <v>454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1"/>
        <v>[effect:remove_enhancement, target:enemy_yellow/enemy_machine/enemy_attack/and, target_effect:all, target_type:buff, animation:frozen_wave_unit]</v>
      </c>
      <c r="N19" s="48" t="str">
        <f>IFERROR(LEFT(M19,FIND("],",M19)+S28),M19)</f>
        <v>[effect:remove_enhancement, target:enemy_yellow/enemy_machine/enemy_attack/and, target_effect:all, target_type:buff, animation:frozen_wave_unit]</v>
      </c>
      <c r="O19" s="62">
        <f t="shared" si="2"/>
        <v>9</v>
      </c>
      <c r="P19" s="62">
        <f t="shared" si="3"/>
        <v>27</v>
      </c>
      <c r="Q19" s="62">
        <f t="shared" si="4"/>
        <v>36</v>
      </c>
      <c r="R19" s="62">
        <f t="shared" si="5"/>
        <v>79</v>
      </c>
      <c r="S19" s="62" t="str">
        <f>IFERROR(VLOOKUP(MID(N19,Q19,R19-Q19),[5]skilldef!$C:$D,2,FALSE),"-") &amp; " / " &amp; IFERROR(VLOOKUP(MID(N19,O19,P19-O19),[5]skilldef!$A:$B,2,FALSE),"-")</f>
        <v>- / -</v>
      </c>
      <c r="T19" s="48" t="str">
        <f t="shared" si="6"/>
        <v>none</v>
      </c>
      <c r="U19" s="62" t="e">
        <f t="shared" si="7"/>
        <v>#VALUE!</v>
      </c>
      <c r="V19" s="62">
        <f t="shared" si="8"/>
        <v>4</v>
      </c>
      <c r="W19" s="62" t="e">
        <f t="shared" si="9"/>
        <v>#VALUE!</v>
      </c>
      <c r="X19" s="62" t="e">
        <f t="shared" si="10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50"/>
      <c r="AA19" s="51"/>
      <c r="AB19" s="50"/>
      <c r="AC19" s="116" t="s">
        <v>453</v>
      </c>
    </row>
    <row r="20" spans="1:29" ht="50" customHeight="1" x14ac:dyDescent="0.15">
      <c r="A20" s="109">
        <v>65523381</v>
      </c>
      <c r="B20" s="150" t="str">
        <f t="shared" si="0"/>
        <v>[effect:enemy_message, val1:2.0,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20" s="121">
        <v>1</v>
      </c>
      <c r="D20" s="121" t="s">
        <v>253</v>
      </c>
      <c r="E20" s="122" t="s">
        <v>294</v>
      </c>
      <c r="F20" s="122" t="s">
        <v>344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1"/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20" s="48" t="str">
        <f>IFERROR(LEFT(M20,FIND("],",M20)+S29),M20)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20" s="62">
        <f t="shared" si="2"/>
        <v>9</v>
      </c>
      <c r="P20" s="62">
        <f t="shared" si="3"/>
        <v>27</v>
      </c>
      <c r="Q20" s="62">
        <f t="shared" si="4"/>
        <v>54</v>
      </c>
      <c r="R20" s="62">
        <f t="shared" si="5"/>
        <v>45</v>
      </c>
      <c r="S20" s="62" t="str">
        <f>IFERROR(VLOOKUP(MID(N20,Q20,R20-Q20),[5]skilldef!$C:$D,2,FALSE),"-") &amp; " / " &amp; IFERROR(VLOOKUP(MID(N20,O20,P20-O20),[5]skilldef!$A:$B,2,FALSE),"-")</f>
        <v>- / -</v>
      </c>
      <c r="T20" s="48" t="str">
        <f t="shared" si="6"/>
        <v>[effect:force_change_block, new_block:jammer, target:block_yellow, count:2, val:0, animation:change_block],[effect:panel_freeze, target:normal, color:block_blue, count:2]</v>
      </c>
      <c r="U20" s="62">
        <f t="shared" si="7"/>
        <v>9</v>
      </c>
      <c r="V20" s="62">
        <f t="shared" si="8"/>
        <v>27</v>
      </c>
      <c r="W20" s="62">
        <f t="shared" si="9"/>
        <v>54</v>
      </c>
      <c r="X20" s="62">
        <f t="shared" si="10"/>
        <v>45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1"/>
      <c r="AB20" s="50"/>
      <c r="AC20" s="120" t="s">
        <v>268</v>
      </c>
    </row>
    <row r="21" spans="1:29" ht="50" customHeight="1" x14ac:dyDescent="0.15">
      <c r="A21" s="168">
        <v>65523611</v>
      </c>
      <c r="B21" s="150" t="str">
        <f t="shared" si="0"/>
        <v>[effect:enemy_message, val1:1.2,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21" s="166">
        <v>1</v>
      </c>
      <c r="D21" s="166" t="s">
        <v>253</v>
      </c>
      <c r="E21" s="167" t="s">
        <v>364</v>
      </c>
      <c r="F21" s="167" t="s">
        <v>344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1"/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21" s="48" t="str">
        <f>IFERROR(LEFT(M21,FIND("],",M21)+S29),M21)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21" s="62">
        <f t="shared" si="2"/>
        <v>9</v>
      </c>
      <c r="P21" s="62">
        <f t="shared" si="3"/>
        <v>27</v>
      </c>
      <c r="Q21" s="62">
        <f t="shared" si="4"/>
        <v>54</v>
      </c>
      <c r="R21" s="62">
        <f t="shared" si="5"/>
        <v>45</v>
      </c>
      <c r="S21" s="62" t="str">
        <f>IFERROR(VLOOKUP(MID(N21,Q21,R21-Q21),[5]skilldef!$C:$D,2,FALSE),"-") &amp; " / " &amp; IFERROR(VLOOKUP(MID(N21,O21,P21-O21),[5]skilldef!$A:$B,2,FALSE),"-")</f>
        <v>- / -</v>
      </c>
      <c r="T21" s="48" t="str">
        <f t="shared" si="6"/>
        <v>[effect:force_change_block, new_block:jammer, target:block_yellow, count:2, val:0, animation:change_block],[effect:panel_freeze, target:normal, color:block_blue, count:2]</v>
      </c>
      <c r="U21" s="62">
        <f t="shared" si="7"/>
        <v>9</v>
      </c>
      <c r="V21" s="62">
        <f t="shared" si="8"/>
        <v>27</v>
      </c>
      <c r="W21" s="62">
        <f t="shared" si="9"/>
        <v>54</v>
      </c>
      <c r="X21" s="62">
        <f t="shared" si="10"/>
        <v>45</v>
      </c>
      <c r="Y21" s="62" t="str">
        <f>IFERROR(VLOOKUP(MID(T21,W21,X21-W21),[5]skilldef!$C:$D,2,FALSE),"-") &amp; " / " &amp; IFERROR(VLOOKUP(MID(T21,U21,V21-U21),[5]skilldef!$A:$B,2,FALSE),"-")</f>
        <v>- / -</v>
      </c>
      <c r="Z21" s="50"/>
      <c r="AA21" s="51"/>
      <c r="AB21" s="50"/>
      <c r="AC21" s="120" t="s">
        <v>268</v>
      </c>
    </row>
    <row r="22" spans="1:29" ht="50" customHeight="1" x14ac:dyDescent="0.15">
      <c r="A22" s="168">
        <v>65523612</v>
      </c>
      <c r="B22" s="150" t="str">
        <f t="shared" ref="B22" si="42">"[effect:enemy_message, val1:"&amp;TEXT(IF(TEXT(E22,0)="[表示しない]", "0", IF(LEN(SUBSTITUTE(E22,CHAR(13),""))*0.1&lt;1.2, 1.2, LEN(SUBSTITUTE(E22,CHAR(13),""))*0.1)), "0.0")&amp;", val2:"&amp;TEXT(IF(TEXT(F22,0)="[表示しない]", "0", IF(LEN(SUBSTITUTE(F22,CHAR(13),""))*0.1&lt;1.2, 1.2, LEN(SUBSTITUTE(F22,CHAR(13),""))*0.1)),"0.0")&amp;"]"&amp;IF(LEN(AC22)&gt;0, ","&amp;AC22,AC22)</f>
        <v>[effect:enemy_message, val1:1.2,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22" s="166">
        <v>1</v>
      </c>
      <c r="D22" s="166" t="s">
        <v>253</v>
      </c>
      <c r="E22" s="167" t="s">
        <v>365</v>
      </c>
      <c r="F22" s="167" t="s">
        <v>344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" si="43">IFERROR(RIGHT(B22,LEN(B22)-FIND("],",B22)-1),"none")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22" s="48" t="str">
        <f>IFERROR(LEFT(M22,FIND("],",M22)+S32),M22)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22" s="62">
        <f t="shared" ref="O22" si="44">FIND("effect:",N22)+7</f>
        <v>9</v>
      </c>
      <c r="P22" s="62">
        <f t="shared" ref="P22" si="45">IFERROR(FIND(",",N22),LEN(N22))</f>
        <v>27</v>
      </c>
      <c r="Q22" s="62">
        <f t="shared" ref="Q22" si="46">FIND("target:",N22)+7</f>
        <v>54</v>
      </c>
      <c r="R22" s="62">
        <f t="shared" ref="R22" si="47">FIND(",",N22,P22+1)</f>
        <v>45</v>
      </c>
      <c r="S22" s="62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48">IFERROR(RIGHT(M22,LEN(M22)-FIND("],",M22)-1),"none")</f>
        <v>[effect:force_change_block, new_block:jammer, target:block_yellow, count:2, val:0, animation:change_block],[effect:panel_freeze, target:normal, color:block_blue, count:2]</v>
      </c>
      <c r="U22" s="62">
        <f t="shared" ref="U22" si="49">FIND("effect:",T22)+7</f>
        <v>9</v>
      </c>
      <c r="V22" s="62">
        <f t="shared" ref="V22" si="50">IFERROR(FIND(",",T22),LEN(T22))</f>
        <v>27</v>
      </c>
      <c r="W22" s="62">
        <f t="shared" ref="W22" si="51">FIND("target:",T22)+7</f>
        <v>54</v>
      </c>
      <c r="X22" s="62">
        <f t="shared" ref="X22" si="52">FIND(",",T22,V22+1)</f>
        <v>45</v>
      </c>
      <c r="Y22" s="62" t="str">
        <f>IFERROR(VLOOKUP(MID(T22,W22,X22-W22),[5]skilldef!$C:$D,2,FALSE),"-") &amp; " / " &amp; IFERROR(VLOOKUP(MID(T22,U22,V22-U22),[5]skilldef!$A:$B,2,FALSE),"-")</f>
        <v>- / -</v>
      </c>
      <c r="Z22" s="50"/>
      <c r="AA22" s="51"/>
      <c r="AB22" s="50"/>
      <c r="AC22" s="120" t="s">
        <v>268</v>
      </c>
    </row>
    <row r="23" spans="1:29" ht="34" customHeight="1" x14ac:dyDescent="0.15">
      <c r="A23" s="109">
        <v>65523391</v>
      </c>
      <c r="B23" s="150" t="str">
        <f t="shared" si="0"/>
        <v>[effect:enemy_message, val1:1.7, val2:2.4],[effect:force_change_block, new_block:damage, target:block_red, color:block_red, count:3, val:0.03, animation:change_block],[effect:rush, count:1, val:1.0]</v>
      </c>
      <c r="C23" s="121">
        <v>1</v>
      </c>
      <c r="D23" s="121" t="s">
        <v>253</v>
      </c>
      <c r="E23" s="122" t="s">
        <v>262</v>
      </c>
      <c r="F23" s="122" t="s">
        <v>333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1"/>
        <v>[effect:force_change_block, new_block:damage, target:block_red, color:block_red, count:3, val:0.03, animation:change_block],[effect:rush, count:1, val:1.0]</v>
      </c>
      <c r="N23" s="48" t="str">
        <f t="shared" ref="N23:N30" si="53">IFERROR(LEFT(M23,FIND("],",M23)+S37),M23)</f>
        <v>[effect:force_change_block, new_block:damage, target:block_red, color:block_red, count:3, val:0.03, animation:change_block],[effect:rush, count:1, val:1.0]</v>
      </c>
      <c r="O23" s="62">
        <f t="shared" si="2"/>
        <v>9</v>
      </c>
      <c r="P23" s="62">
        <f t="shared" si="3"/>
        <v>27</v>
      </c>
      <c r="Q23" s="62">
        <f t="shared" si="4"/>
        <v>54</v>
      </c>
      <c r="R23" s="62">
        <f t="shared" si="5"/>
        <v>45</v>
      </c>
      <c r="S23" s="62" t="str">
        <f>IFERROR(VLOOKUP(MID(N23,Q23,R23-Q23),[5]skilldef!$C:$D,2,FALSE),"-") &amp; " / " &amp; IFERROR(VLOOKUP(MID(N23,O23,P23-O23),[5]skilldef!$A:$B,2,FALSE),"-")</f>
        <v>- / -</v>
      </c>
      <c r="T23" s="48" t="str">
        <f t="shared" si="6"/>
        <v>[effect:rush, count:1, val:1.0]</v>
      </c>
      <c r="U23" s="62">
        <f t="shared" si="7"/>
        <v>9</v>
      </c>
      <c r="V23" s="62">
        <f t="shared" si="8"/>
        <v>13</v>
      </c>
      <c r="W23" s="62" t="e">
        <f t="shared" si="9"/>
        <v>#VALUE!</v>
      </c>
      <c r="X23" s="62">
        <f t="shared" si="10"/>
        <v>22</v>
      </c>
      <c r="Y23" s="62" t="str">
        <f>IFERROR(VLOOKUP(MID(T23,W23,X23-W23),[5]skilldef!$C:$D,2,FALSE),"-") &amp; " / " &amp; IFERROR(VLOOKUP(MID(T23,U23,V23-U23),[5]skilldef!$A:$B,2,FALSE),"-")</f>
        <v>- / 連続攻撃</v>
      </c>
      <c r="Z23" s="50"/>
      <c r="AA23" s="51"/>
      <c r="AB23" s="50"/>
      <c r="AC23" s="120" t="s">
        <v>269</v>
      </c>
    </row>
    <row r="24" spans="1:29" ht="51" customHeight="1" x14ac:dyDescent="0.15">
      <c r="A24" s="109">
        <v>65523392</v>
      </c>
      <c r="B24" s="150" t="str">
        <f>"[effect:enemy_message, val1:"&amp;TEXT(IF(TEXT(E24,0)="[表示しない]", "0", IF(LEN(SUBSTITUTE(E24,CHAR(13),""))*0.1&lt;1.2, 1.2, LEN(SUBSTITUTE(E24,CHAR(13),""))*0.1)), "0.0")&amp;", val2:"&amp;TEXT(IF(TEXT(F24,0)="[表示しない]", "0", IF(LEN(SUBSTITUTE(F24,CHAR(13),""))*0.1&lt;1.2, 1.2, LEN(SUBSTITUTE(F24,CHAR(13),""))*0.1)),"0.0")&amp;"]"&amp;IF(LEN(AC24)&gt;0, ","&amp;AC24,AC24)</f>
        <v>[effect:enemy_message, val1:1.3, val2:3.9],[effect:force_change_block, new_block:jammer, target:block_yellow, count:3, val:0, animation:change_block],[effect:force_change_block, new_block:jammer, target:damage, count:0, val:0],[effect:rush, count:1, val:1.0]</v>
      </c>
      <c r="C24" s="121">
        <v>1</v>
      </c>
      <c r="D24" s="121" t="s">
        <v>253</v>
      </c>
      <c r="E24" s="122" t="s">
        <v>263</v>
      </c>
      <c r="F24" s="122" t="s">
        <v>342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1"/>
        <v>[effect:force_change_block, new_block:jammer, target:block_yellow, count:3, val:0, animation:change_block],[effect:force_change_block, new_block:jammer, target:damage, count:0, val:0],[effect:rush, count:1, val:1.0]</v>
      </c>
      <c r="N24" s="48" t="str">
        <f t="shared" si="53"/>
        <v>[effect:force_change_block, new_block:jammer, target:block_yellow, count:3, val:0, animation:change_block],[effect:force_change_block, new_block:jammer, target:damage, count:0, val:0],[effect:rush, count:1, val:1.0]</v>
      </c>
      <c r="O24" s="62">
        <f t="shared" si="2"/>
        <v>9</v>
      </c>
      <c r="P24" s="62">
        <f t="shared" si="3"/>
        <v>27</v>
      </c>
      <c r="Q24" s="62">
        <f t="shared" si="4"/>
        <v>54</v>
      </c>
      <c r="R24" s="62">
        <f t="shared" si="5"/>
        <v>45</v>
      </c>
      <c r="S24" s="62" t="str">
        <f>IFERROR(VLOOKUP(MID(N24,Q24,R24-Q24),[5]skilldef!$C:$D,2,FALSE),"-") &amp; " / " &amp; IFERROR(VLOOKUP(MID(N24,O24,P24-O24),[5]skilldef!$A:$B,2,FALSE),"-")</f>
        <v>- / -</v>
      </c>
      <c r="T24" s="48" t="str">
        <f t="shared" si="6"/>
        <v>[effect:force_change_block, new_block:jammer, target:damage, count:0, val:0],[effect:rush, count:1, val:1.0]</v>
      </c>
      <c r="U24" s="62">
        <f t="shared" si="7"/>
        <v>9</v>
      </c>
      <c r="V24" s="62">
        <f t="shared" si="8"/>
        <v>27</v>
      </c>
      <c r="W24" s="62">
        <f t="shared" si="9"/>
        <v>54</v>
      </c>
      <c r="X24" s="62">
        <f t="shared" si="10"/>
        <v>45</v>
      </c>
      <c r="Y24" s="62" t="str">
        <f>IFERROR(VLOOKUP(MID(T24,W24,X24-W24),[5]skilldef!$C:$D,2,FALSE),"-") &amp; " / " &amp; IFERROR(VLOOKUP(MID(T24,U24,V24-U24),[5]skilldef!$A:$B,2,FALSE),"-")</f>
        <v>- / -</v>
      </c>
      <c r="Z24" s="50"/>
      <c r="AA24" s="51"/>
      <c r="AB24" s="50"/>
      <c r="AC24" s="120" t="s">
        <v>271</v>
      </c>
    </row>
    <row r="25" spans="1:29" ht="69" customHeight="1" x14ac:dyDescent="0.15">
      <c r="A25" s="109">
        <v>65523393</v>
      </c>
      <c r="B25" s="150" t="str">
        <f t="shared" si="0"/>
        <v>[effect:enemy_message, val1:1.8, val2:4.3],[effect:panel_freeze, target:normal, color:block_blue, count:3],[effect:panel_freeze, target:jammer, count:-1],[effect:force_change_block, new_block:block_blue, target:jammer, count:0, val:0],[effect:rush, count:1, val:1.0]</v>
      </c>
      <c r="C25" s="121">
        <v>1</v>
      </c>
      <c r="D25" s="121" t="s">
        <v>253</v>
      </c>
      <c r="E25" s="122" t="s">
        <v>264</v>
      </c>
      <c r="F25" s="122" t="s">
        <v>349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1"/>
        <v>[effect:panel_freeze, target:normal, color:block_blue, count:3],[effect:panel_freeze, target:jammer, count:-1],[effect:force_change_block, new_block:block_blue, target:jammer, count:0, val:0],[effect:rush, count:1, val:1.0]</v>
      </c>
      <c r="N25" s="48" t="str">
        <f t="shared" si="53"/>
        <v>[effect:panel_freeze, target:normal, color:block_blue, count:3],[effect:panel_freeze, target:jammer, count:-1],[effect:force_change_block, new_block:block_blue, target:jammer, count:0, val:0],[effect:rush, count:1, val:1.0]</v>
      </c>
      <c r="O25" s="62">
        <f t="shared" si="2"/>
        <v>9</v>
      </c>
      <c r="P25" s="62">
        <f t="shared" si="3"/>
        <v>21</v>
      </c>
      <c r="Q25" s="62">
        <f t="shared" si="4"/>
        <v>30</v>
      </c>
      <c r="R25" s="62">
        <f t="shared" si="5"/>
        <v>36</v>
      </c>
      <c r="S25" s="62" t="str">
        <f>IFERROR(VLOOKUP(MID(N25,Q25,R25-Q25),[5]skilldef!$C:$D,2,FALSE),"-") &amp; " / " &amp; IFERROR(VLOOKUP(MID(N25,O25,P25-O25),[5]skilldef!$A:$B,2,FALSE),"-")</f>
        <v>- / -</v>
      </c>
      <c r="T25" s="48" t="str">
        <f t="shared" si="6"/>
        <v>[effect:panel_freeze, target:jammer, count:-1],[effect:force_change_block, new_block:block_blue, target:jammer, count:0, val:0],[effect:rush, count:1, val:1.0]</v>
      </c>
      <c r="U25" s="62">
        <f t="shared" si="7"/>
        <v>9</v>
      </c>
      <c r="V25" s="62">
        <f t="shared" si="8"/>
        <v>21</v>
      </c>
      <c r="W25" s="62">
        <f t="shared" si="9"/>
        <v>30</v>
      </c>
      <c r="X25" s="62">
        <f t="shared" si="10"/>
        <v>36</v>
      </c>
      <c r="Y25" s="62" t="str">
        <f>IFERROR(VLOOKUP(MID(T25,W25,X25-W25),[5]skilldef!$C:$D,2,FALSE),"-") &amp; " / " &amp; IFERROR(VLOOKUP(MID(T25,U25,V25-U25),[5]skilldef!$A:$B,2,FALSE),"-")</f>
        <v>- / -</v>
      </c>
      <c r="Z25" s="50"/>
      <c r="AA25" s="51"/>
      <c r="AB25" s="50"/>
      <c r="AC25" s="120" t="s">
        <v>319</v>
      </c>
    </row>
    <row r="26" spans="1:29" ht="49" customHeight="1" x14ac:dyDescent="0.15">
      <c r="A26" s="109">
        <v>65523394</v>
      </c>
      <c r="B26" s="150" t="str">
        <f t="shared" si="0"/>
        <v>[effect:enemy_message, val1:3.0, val2:1.3],[effect:break_attack_fix, target:unit_all, val:80, lowest_val:1000, count:-1, color:yellow, block01:block_blue]</v>
      </c>
      <c r="C26" s="121">
        <v>1</v>
      </c>
      <c r="D26" s="121" t="s">
        <v>253</v>
      </c>
      <c r="E26" s="122" t="s">
        <v>360</v>
      </c>
      <c r="F26" s="122" t="s">
        <v>321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1"/>
        <v>[effect:break_attack_fix, target:unit_all, val:80, lowest_val:1000, count:-1, color:yellow, block01:block_blue]</v>
      </c>
      <c r="N26" s="48" t="str">
        <f t="shared" si="53"/>
        <v>[effect:break_attack_fix, target:unit_all, val:80, lowest_val:1000, count:-1, color:yellow, block01:block_blue]</v>
      </c>
      <c r="O26" s="62">
        <f t="shared" si="2"/>
        <v>9</v>
      </c>
      <c r="P26" s="62">
        <f t="shared" si="3"/>
        <v>25</v>
      </c>
      <c r="Q26" s="62">
        <f t="shared" si="4"/>
        <v>34</v>
      </c>
      <c r="R26" s="62">
        <f t="shared" si="5"/>
        <v>42</v>
      </c>
      <c r="S26" s="62" t="str">
        <f>IFERROR(VLOOKUP(MID(N26,Q26,R26-Q26),[5]skilldef!$C:$D,2,FALSE),"-") &amp; " / " &amp; IFERROR(VLOOKUP(MID(N26,O26,P26-O26),[5]skilldef!$A:$B,2,FALSE),"-")</f>
        <v>味方全体に / -</v>
      </c>
      <c r="T26" s="48" t="str">
        <f t="shared" si="6"/>
        <v>none</v>
      </c>
      <c r="U26" s="62" t="e">
        <f t="shared" si="7"/>
        <v>#VALUE!</v>
      </c>
      <c r="V26" s="62">
        <f t="shared" si="8"/>
        <v>4</v>
      </c>
      <c r="W26" s="62" t="e">
        <f t="shared" si="9"/>
        <v>#VALUE!</v>
      </c>
      <c r="X26" s="62" t="e">
        <f t="shared" si="10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50"/>
      <c r="AA26" s="51"/>
      <c r="AB26" s="50"/>
      <c r="AC26" s="120" t="s">
        <v>270</v>
      </c>
    </row>
    <row r="27" spans="1:29" ht="49" customHeight="1" x14ac:dyDescent="0.15">
      <c r="A27" s="109">
        <v>65523395</v>
      </c>
      <c r="B27" s="150" t="str">
        <f t="shared" si="0"/>
        <v>[effect:enemy_message, val1:3.0, val2:1.2],[effect:enhance_enemy,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C27" s="121">
        <v>1</v>
      </c>
      <c r="D27" s="121" t="s">
        <v>253</v>
      </c>
      <c r="E27" s="122" t="s">
        <v>366</v>
      </c>
      <c r="F27" s="122" t="s">
        <v>339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1"/>
        <v>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N27" s="48" t="str">
        <f t="shared" si="53"/>
        <v>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O27" s="62">
        <f t="shared" si="2"/>
        <v>9</v>
      </c>
      <c r="P27" s="62">
        <f t="shared" si="3"/>
        <v>22</v>
      </c>
      <c r="Q27" s="62">
        <f t="shared" si="4"/>
        <v>31</v>
      </c>
      <c r="R27" s="62">
        <f t="shared" si="5"/>
        <v>37</v>
      </c>
      <c r="S27" s="62" t="str">
        <f>IFERROR(VLOOKUP(MID(N27,Q27,R27-Q27),[5]skilldef!$C:$D,2,FALSE),"-") &amp; " / " &amp; IFERROR(VLOOKUP(MID(N27,O27,P27-O27),[5]skilldef!$A:$B,2,FALSE),"-")</f>
        <v>自分自身に / ステータス強化</v>
      </c>
      <c r="T27" s="48" t="str">
        <f t="shared" si="6"/>
        <v>[effect:ability_lock, target:unit_all, turn:1],[effect:sleep, target:unit_all, turn:1, rate:1, calc_type:target_all],[effect:fix_speed, target:myself, turn:1]</v>
      </c>
      <c r="U27" s="62">
        <f t="shared" si="7"/>
        <v>9</v>
      </c>
      <c r="V27" s="62">
        <f t="shared" si="8"/>
        <v>21</v>
      </c>
      <c r="W27" s="62">
        <f t="shared" si="9"/>
        <v>30</v>
      </c>
      <c r="X27" s="62">
        <f t="shared" si="10"/>
        <v>38</v>
      </c>
      <c r="Y27" s="62" t="str">
        <f>IFERROR(VLOOKUP(MID(T27,W27,X27-W27),[5]skilldef!$C:$D,2,FALSE),"-") &amp; " / " &amp; IFERROR(VLOOKUP(MID(T27,U27,V27-U27),[5]skilldef!$A:$B,2,FALSE),"-")</f>
        <v>味方全体に / -</v>
      </c>
      <c r="Z27" s="50"/>
      <c r="AA27" s="51"/>
      <c r="AB27" s="50"/>
      <c r="AC27" s="120" t="s">
        <v>318</v>
      </c>
    </row>
    <row r="28" spans="1:29" ht="58" customHeight="1" x14ac:dyDescent="0.15">
      <c r="A28" s="109">
        <v>65523396</v>
      </c>
      <c r="B28" s="150" t="str">
        <f t="shared" si="0"/>
        <v>[effect:enemy_message, val1:2.6, val2:5.8],[effect:critical,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C28" s="121">
        <v>1</v>
      </c>
      <c r="D28" s="121" t="s">
        <v>253</v>
      </c>
      <c r="E28" s="122" t="s">
        <v>352</v>
      </c>
      <c r="F28" s="122" t="s">
        <v>347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1"/>
        <v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N28" s="48" t="str">
        <f t="shared" si="53"/>
        <v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O28" s="62">
        <f t="shared" si="2"/>
        <v>9</v>
      </c>
      <c r="P28" s="62">
        <f t="shared" si="3"/>
        <v>17</v>
      </c>
      <c r="Q28" s="62">
        <f t="shared" si="4"/>
        <v>79</v>
      </c>
      <c r="R28" s="62">
        <f t="shared" si="5"/>
        <v>25</v>
      </c>
      <c r="S28" s="62" t="str">
        <f>IFERROR(VLOOKUP(MID(N28,Q28,R28-Q28),[5]skilldef!$C:$D,2,FALSE),"-") &amp; " / " &amp; IFERROR(VLOOKUP(MID(N28,O28,P28-O28),[5]skilldef!$A:$B,2,FALSE),"-")</f>
        <v>- / 大攻撃</v>
      </c>
      <c r="T28" s="48" t="str">
        <f t="shared" si="6"/>
        <v>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U28" s="62">
        <f t="shared" si="7"/>
        <v>9</v>
      </c>
      <c r="V28" s="62">
        <f t="shared" si="8"/>
        <v>27</v>
      </c>
      <c r="W28" s="62">
        <f t="shared" si="9"/>
        <v>54</v>
      </c>
      <c r="X28" s="62">
        <f t="shared" si="10"/>
        <v>45</v>
      </c>
      <c r="Y28" s="62" t="str">
        <f>IFERROR(VLOOKUP(MID(T28,W28,X28-W28),[5]skilldef!$C:$D,2,FALSE),"-") &amp; " / " &amp; IFERROR(VLOOKUP(MID(T28,U28,V28-U28),[5]skilldef!$A:$B,2,FALSE),"-")</f>
        <v>- / -</v>
      </c>
      <c r="Z28" s="50"/>
      <c r="AA28" s="51"/>
      <c r="AB28" s="50"/>
      <c r="AC28" s="120" t="s">
        <v>449</v>
      </c>
    </row>
    <row r="29" spans="1:29" ht="34" customHeight="1" x14ac:dyDescent="0.15">
      <c r="A29" s="109">
        <v>65523399</v>
      </c>
      <c r="B29" s="150" t="s">
        <v>304</v>
      </c>
      <c r="C29" s="121">
        <v>1</v>
      </c>
      <c r="D29" s="121" t="s">
        <v>253</v>
      </c>
      <c r="E29" s="122" t="s">
        <v>312</v>
      </c>
      <c r="F29" s="122" t="s">
        <v>293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si="1"/>
        <v>none</v>
      </c>
      <c r="N29" s="48" t="str">
        <f t="shared" si="53"/>
        <v>none</v>
      </c>
      <c r="O29" s="62" t="e">
        <f t="shared" si="2"/>
        <v>#VALUE!</v>
      </c>
      <c r="P29" s="62">
        <f t="shared" si="3"/>
        <v>4</v>
      </c>
      <c r="Q29" s="62" t="e">
        <f t="shared" si="4"/>
        <v>#VALUE!</v>
      </c>
      <c r="R29" s="62" t="e">
        <f t="shared" si="5"/>
        <v>#VALUE!</v>
      </c>
      <c r="S29" s="62" t="str">
        <f>IFERROR(VLOOKUP(MID(N29,Q29,R29-Q29),[5]skilldef!$C:$D,2,FALSE),"-") &amp; " / " &amp; IFERROR(VLOOKUP(MID(N29,O29,P29-O29),[5]skilldef!$A:$B,2,FALSE),"-")</f>
        <v>- / -</v>
      </c>
      <c r="T29" s="48" t="str">
        <f t="shared" si="6"/>
        <v>none</v>
      </c>
      <c r="U29" s="62" t="e">
        <f t="shared" si="7"/>
        <v>#VALUE!</v>
      </c>
      <c r="V29" s="62">
        <f t="shared" si="8"/>
        <v>4</v>
      </c>
      <c r="W29" s="62" t="e">
        <f t="shared" si="9"/>
        <v>#VALUE!</v>
      </c>
      <c r="X29" s="62" t="e">
        <f t="shared" si="10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50"/>
      <c r="AA29" s="51"/>
      <c r="AB29" s="50"/>
      <c r="AC29" s="120"/>
    </row>
    <row r="30" spans="1:29" ht="34" customHeight="1" x14ac:dyDescent="0.15">
      <c r="A30" s="168">
        <v>65523613</v>
      </c>
      <c r="B30" s="150" t="s">
        <v>304</v>
      </c>
      <c r="C30" s="166">
        <v>1</v>
      </c>
      <c r="D30" s="166" t="s">
        <v>253</v>
      </c>
      <c r="E30" s="167" t="s">
        <v>364</v>
      </c>
      <c r="F30" s="167" t="s">
        <v>442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ref="M30" si="54">IFERROR(RIGHT(B30,LEN(B30)-FIND("],",B30)-1),"none")</f>
        <v>none</v>
      </c>
      <c r="N30" s="48" t="str">
        <f t="shared" si="53"/>
        <v>none</v>
      </c>
      <c r="O30" s="62" t="e">
        <f t="shared" ref="O30" si="55">FIND("effect:",N30)+7</f>
        <v>#VALUE!</v>
      </c>
      <c r="P30" s="62">
        <f t="shared" ref="P30" si="56">IFERROR(FIND(",",N30),LEN(N30))</f>
        <v>4</v>
      </c>
      <c r="Q30" s="62" t="e">
        <f t="shared" ref="Q30" si="57">FIND("target:",N30)+7</f>
        <v>#VALUE!</v>
      </c>
      <c r="R30" s="62" t="e">
        <f t="shared" ref="R30" si="58">FIND(",",N30,P30+1)</f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59">IFERROR(RIGHT(M30,LEN(M30)-FIND("],",M30)-1),"none")</f>
        <v>none</v>
      </c>
      <c r="U30" s="62" t="e">
        <f t="shared" ref="U30" si="60">FIND("effect:",T30)+7</f>
        <v>#VALUE!</v>
      </c>
      <c r="V30" s="62">
        <f t="shared" ref="V30" si="61">IFERROR(FIND(",",T30),LEN(T30))</f>
        <v>4</v>
      </c>
      <c r="W30" s="62" t="e">
        <f t="shared" ref="W30" si="62">FIND("target:",T30)+7</f>
        <v>#VALUE!</v>
      </c>
      <c r="X30" s="62" t="e">
        <f t="shared" ref="X30" si="63">FIND(",",T30,V30+1)</f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50"/>
      <c r="AA30" s="51"/>
      <c r="AB30" s="50"/>
      <c r="AC30" s="120"/>
    </row>
    <row r="31" spans="1:29" ht="34" customHeight="1" x14ac:dyDescent="0.15">
      <c r="A31" s="168">
        <v>65523614</v>
      </c>
      <c r="B31" s="150" t="s">
        <v>304</v>
      </c>
      <c r="C31" s="166">
        <v>1</v>
      </c>
      <c r="D31" s="166" t="s">
        <v>253</v>
      </c>
      <c r="E31" s="167" t="s">
        <v>365</v>
      </c>
      <c r="F31" s="167" t="s">
        <v>442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 t="shared" ref="M31" si="64">IFERROR(RIGHT(B31,LEN(B31)-FIND("],",B31)-1),"none")</f>
        <v>none</v>
      </c>
      <c r="N31" s="48" t="str">
        <f>IFERROR(LEFT(M31,FIND("],",M31)+S47),M31)</f>
        <v>none</v>
      </c>
      <c r="O31" s="62" t="e">
        <f t="shared" ref="O31" si="65">FIND("effect:",N31)+7</f>
        <v>#VALUE!</v>
      </c>
      <c r="P31" s="62">
        <f t="shared" ref="P31" si="66">IFERROR(FIND(",",N31),LEN(N31))</f>
        <v>4</v>
      </c>
      <c r="Q31" s="62" t="e">
        <f t="shared" ref="Q31" si="67">FIND("target:",N31)+7</f>
        <v>#VALUE!</v>
      </c>
      <c r="R31" s="62" t="e">
        <f t="shared" ref="R31" si="68">FIND(",",N31,P31+1)</f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69">IFERROR(RIGHT(M31,LEN(M31)-FIND("],",M31)-1),"none")</f>
        <v>none</v>
      </c>
      <c r="U31" s="62" t="e">
        <f t="shared" ref="U31" si="70">FIND("effect:",T31)+7</f>
        <v>#VALUE!</v>
      </c>
      <c r="V31" s="62">
        <f t="shared" ref="V31" si="71">IFERROR(FIND(",",T31),LEN(T31))</f>
        <v>4</v>
      </c>
      <c r="W31" s="62" t="e">
        <f t="shared" ref="W31" si="72">FIND("target:",T31)+7</f>
        <v>#VALUE!</v>
      </c>
      <c r="X31" s="62" t="e">
        <f t="shared" ref="X31" si="73">FIND(",",T31,V31+1)</f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50"/>
      <c r="AA31" s="51"/>
      <c r="AB31" s="50"/>
      <c r="AC31" s="120"/>
    </row>
    <row r="32" spans="1:29" ht="50" customHeight="1" x14ac:dyDescent="0.15">
      <c r="A32" s="151">
        <v>65523481</v>
      </c>
      <c r="B32" s="150" t="str">
        <f>"[effect:enemy_message, val1:"&amp;TEXT(IF(TEXT(E32,0)="[表示しない]", "0", IF(LEN(SUBSTITUTE(E32,CHAR(13),""))*0.1&lt;1.2, 1.2, LEN(SUBSTITUTE(E32,CHAR(13),""))*0.1)), "0.0")&amp;", val2:"&amp;TEXT(IF(TEXT(F32,0)="[表示しない]", "0", IF(LEN(SUBSTITUTE(F32,CHAR(13),""))*0.1&lt;1.2, 1.2, LEN(SUBSTITUTE(F32,CHAR(13),""))*0.1)),"0.0")&amp;"]"&amp;IF(LEN(AC32)&gt;0, ","&amp;AC32,AC32)</f>
        <v>[effect:enemy_message, val1:2.2,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32" s="152">
        <v>1</v>
      </c>
      <c r="D32" s="152" t="s">
        <v>253</v>
      </c>
      <c r="E32" s="153" t="s">
        <v>295</v>
      </c>
      <c r="F32" s="153" t="s">
        <v>343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ref="M32" si="74">IFERROR(RIGHT(B32,LEN(B32)-FIND("],",B32)-1),"none")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32" s="48" t="str">
        <f>IFERROR(LEFT(M32,FIND("],",M32)+S44),M32)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32" s="62">
        <f t="shared" ref="O32" si="75">FIND("effect:",N32)+7</f>
        <v>9</v>
      </c>
      <c r="P32" s="62">
        <f t="shared" ref="P32" si="76">IFERROR(FIND(",",N32),LEN(N32))</f>
        <v>27</v>
      </c>
      <c r="Q32" s="62">
        <f t="shared" ref="Q32" si="77">FIND("target:",N32)+7</f>
        <v>54</v>
      </c>
      <c r="R32" s="62">
        <f t="shared" ref="R32" si="78">FIND(",",N32,P32+1)</f>
        <v>45</v>
      </c>
      <c r="S32" s="62" t="str">
        <f>IFERROR(VLOOKUP(MID(N32,Q32,R32-Q32),[5]skilldef!$C:$D,2,FALSE),"-") &amp; " / " &amp; IFERROR(VLOOKUP(MID(N32,O32,P32-O32),[5]skilldef!$A:$B,2,FALSE),"-")</f>
        <v>- / -</v>
      </c>
      <c r="T32" s="48" t="str">
        <f t="shared" ref="T32" si="79">IFERROR(RIGHT(M32,LEN(M32)-FIND("],",M32)-1),"none")</f>
        <v>[effect:force_change_block, new_block:jammer, target:block_yellow, count:2, val:0, animation:change_block],[effect:panel_freeze, target:normal, color:block_blue, count:2]</v>
      </c>
      <c r="U32" s="62">
        <f t="shared" ref="U32" si="80">FIND("effect:",T32)+7</f>
        <v>9</v>
      </c>
      <c r="V32" s="62">
        <f t="shared" ref="V32" si="81">IFERROR(FIND(",",T32),LEN(T32))</f>
        <v>27</v>
      </c>
      <c r="W32" s="62">
        <f t="shared" ref="W32" si="82">FIND("target:",T32)+7</f>
        <v>54</v>
      </c>
      <c r="X32" s="62">
        <f t="shared" ref="X32" si="83">FIND(",",T32,V32+1)</f>
        <v>45</v>
      </c>
      <c r="Y32" s="62" t="str">
        <f>IFERROR(VLOOKUP(MID(T32,W32,X32-W32),[5]skilldef!$C:$D,2,FALSE),"-") &amp; " / " &amp; IFERROR(VLOOKUP(MID(T32,U32,V32-U32),[5]skilldef!$A:$B,2,FALSE),"-")</f>
        <v>- / -</v>
      </c>
      <c r="Z32" s="50"/>
      <c r="AA32" s="51"/>
      <c r="AB32" s="50"/>
      <c r="AC32" s="154" t="s">
        <v>298</v>
      </c>
    </row>
    <row r="33" spans="1:29" ht="50" customHeight="1" x14ac:dyDescent="0.15">
      <c r="A33" s="168">
        <v>65523621</v>
      </c>
      <c r="B33" s="150" t="str">
        <f>"[effect:enemy_message, val1:"&amp;TEXT(IF(TEXT(E33,0)="[表示しない]", "0", IF(LEN(SUBSTITUTE(E33,CHAR(13),""))*0.1&lt;1.2, 1.2, LEN(SUBSTITUTE(E33,CHAR(13),""))*0.1)), "0.0")&amp;", val2:"&amp;TEXT(IF(TEXT(F33,0)="[表示しない]", "0", IF(LEN(SUBSTITUTE(F33,CHAR(13),""))*0.1&lt;1.2, 1.2, LEN(SUBSTITUTE(F33,CHAR(13),""))*0.1)),"0.0")&amp;"]"&amp;IF(LEN(AC33)&gt;0, ","&amp;AC33,AC33)</f>
        <v>[effect:enemy_message, val1:1.2,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33" s="166">
        <v>1</v>
      </c>
      <c r="D33" s="166" t="s">
        <v>253</v>
      </c>
      <c r="E33" s="167" t="s">
        <v>364</v>
      </c>
      <c r="F33" s="167" t="s">
        <v>343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" si="84">IFERROR(RIGHT(B33,LEN(B33)-FIND("],",B33)-1),"none")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33" s="48" t="str">
        <f>IFERROR(LEFT(M33,FIND("],",M33)+S47),M33)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33" s="62">
        <f t="shared" ref="O33" si="85">FIND("effect:",N33)+7</f>
        <v>9</v>
      </c>
      <c r="P33" s="62">
        <f t="shared" ref="P33" si="86">IFERROR(FIND(",",N33),LEN(N33))</f>
        <v>27</v>
      </c>
      <c r="Q33" s="62">
        <f t="shared" ref="Q33" si="87">FIND("target:",N33)+7</f>
        <v>54</v>
      </c>
      <c r="R33" s="62">
        <f t="shared" ref="R33" si="88">FIND(",",N33,P33+1)</f>
        <v>45</v>
      </c>
      <c r="S33" s="62" t="str">
        <f>IFERROR(VLOOKUP(MID(N33,Q33,R33-Q33),[5]skilldef!$C:$D,2,FALSE),"-") &amp; " / " &amp; IFERROR(VLOOKUP(MID(N33,O33,P33-O33),[5]skilldef!$A:$B,2,FALSE),"-")</f>
        <v>- / -</v>
      </c>
      <c r="T33" s="48" t="str">
        <f t="shared" ref="T33" si="89">IFERROR(RIGHT(M33,LEN(M33)-FIND("],",M33)-1),"none")</f>
        <v>[effect:force_change_block, new_block:jammer, target:block_yellow, count:2, val:0, animation:change_block],[effect:panel_freeze, target:normal, color:block_blue, count:2]</v>
      </c>
      <c r="U33" s="62">
        <f t="shared" ref="U33" si="90">FIND("effect:",T33)+7</f>
        <v>9</v>
      </c>
      <c r="V33" s="62">
        <f t="shared" ref="V33" si="91">IFERROR(FIND(",",T33),LEN(T33))</f>
        <v>27</v>
      </c>
      <c r="W33" s="62">
        <f t="shared" ref="W33" si="92">FIND("target:",T33)+7</f>
        <v>54</v>
      </c>
      <c r="X33" s="62">
        <f t="shared" ref="X33" si="93">FIND(",",T33,V33+1)</f>
        <v>45</v>
      </c>
      <c r="Y33" s="62" t="str">
        <f>IFERROR(VLOOKUP(MID(T33,W33,X33-W33),[5]skilldef!$C:$D,2,FALSE),"-") &amp; " / " &amp; IFERROR(VLOOKUP(MID(T33,U33,V33-U33),[5]skilldef!$A:$B,2,FALSE),"-")</f>
        <v>- / -</v>
      </c>
      <c r="Z33" s="50"/>
      <c r="AA33" s="51"/>
      <c r="AB33" s="50"/>
      <c r="AC33" s="154" t="s">
        <v>298</v>
      </c>
    </row>
    <row r="34" spans="1:29" ht="50" customHeight="1" x14ac:dyDescent="0.15">
      <c r="A34" s="168">
        <v>655234622</v>
      </c>
      <c r="B34" s="150" t="str">
        <f>"[effect:enemy_message, val1:"&amp;TEXT(IF(TEXT(E34,0)="[表示しない]", "0", IF(LEN(SUBSTITUTE(E34,CHAR(13),""))*0.1&lt;1.2, 1.2, LEN(SUBSTITUTE(E34,CHAR(13),""))*0.1)), "0.0")&amp;", val2:"&amp;TEXT(IF(TEXT(F34,0)="[表示しない]", "0", IF(LEN(SUBSTITUTE(F34,CHAR(13),""))*0.1&lt;1.2, 1.2, LEN(SUBSTITUTE(F34,CHAR(13),""))*0.1)),"0.0")&amp;"]"&amp;IF(LEN(AC34)&gt;0, ","&amp;AC34,AC34)</f>
        <v>[effect:enemy_message, val1:1.2, val2:5.3],[effect:force_change_block,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C34" s="166">
        <v>1</v>
      </c>
      <c r="D34" s="166" t="s">
        <v>253</v>
      </c>
      <c r="E34" s="167" t="s">
        <v>365</v>
      </c>
      <c r="F34" s="167" t="s">
        <v>343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ref="M34" si="94">IFERROR(RIGHT(B34,LEN(B34)-FIND("],",B34)-1),"none")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N34" s="48" t="str">
        <f>IFERROR(LEFT(M34,FIND("],",M34)+S47),M34)</f>
        <v>[effect:force_change_block, new_block:damage, target:block_red, color:block_red, count:2, val:0.03, animation:change_block],[effect:force_change_block, new_block:jammer, target:block_yellow, count:2, val:0, animation:change_block],[effect:panel_freeze, target:normal, color:block_blue, count:2]</v>
      </c>
      <c r="O34" s="62">
        <f t="shared" ref="O34" si="95">FIND("effect:",N34)+7</f>
        <v>9</v>
      </c>
      <c r="P34" s="62">
        <f t="shared" ref="P34" si="96">IFERROR(FIND(",",N34),LEN(N34))</f>
        <v>27</v>
      </c>
      <c r="Q34" s="62">
        <f t="shared" ref="Q34" si="97">FIND("target:",N34)+7</f>
        <v>54</v>
      </c>
      <c r="R34" s="62">
        <f t="shared" ref="R34" si="98">FIND(",",N34,P34+1)</f>
        <v>45</v>
      </c>
      <c r="S34" s="62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99">IFERROR(RIGHT(M34,LEN(M34)-FIND("],",M34)-1),"none")</f>
        <v>[effect:force_change_block, new_block:jammer, target:block_yellow, count:2, val:0, animation:change_block],[effect:panel_freeze, target:normal, color:block_blue, count:2]</v>
      </c>
      <c r="U34" s="62">
        <f t="shared" ref="U34" si="100">FIND("effect:",T34)+7</f>
        <v>9</v>
      </c>
      <c r="V34" s="62">
        <f t="shared" ref="V34" si="101">IFERROR(FIND(",",T34),LEN(T34))</f>
        <v>27</v>
      </c>
      <c r="W34" s="62">
        <f t="shared" ref="W34" si="102">FIND("target:",T34)+7</f>
        <v>54</v>
      </c>
      <c r="X34" s="62">
        <f t="shared" ref="X34" si="103">FIND(",",T34,V34+1)</f>
        <v>45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1"/>
      <c r="AB34" s="50"/>
      <c r="AC34" s="154" t="s">
        <v>298</v>
      </c>
    </row>
    <row r="35" spans="1:29" ht="34" customHeight="1" x14ac:dyDescent="0.15">
      <c r="A35" s="151">
        <v>65523482</v>
      </c>
      <c r="B35" s="150" t="str">
        <f>"[effect:enemy_message, val1:"&amp;TEXT(IF(TEXT(E35,0)="[表示しない]", "0", IF(LEN(SUBSTITUTE(E35,CHAR(13),""))*0.1&lt;1.2, 1.2, LEN(SUBSTITUTE(E35,CHAR(13),""))*0.1)), "0.0")&amp;", val2:"&amp;TEXT(IF(TEXT(F35,0)="[表示しない]", "0", IF(LEN(SUBSTITUTE(F35,CHAR(13),""))*0.1&lt;1.2, 1.2, LEN(SUBSTITUTE(F35,CHAR(13),""))*0.1)),"0.0")&amp;"]"&amp;IF(LEN(AC35)&gt;0, ","&amp;AC35,AC35)</f>
        <v>[effect:enemy_message, val1:2.1, val2:1.2]</v>
      </c>
      <c r="C35" s="152">
        <v>1</v>
      </c>
      <c r="D35" s="152" t="s">
        <v>253</v>
      </c>
      <c r="E35" s="153" t="s">
        <v>354</v>
      </c>
      <c r="F35" s="153" t="s">
        <v>296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>IFERROR(RIGHT(B35,LEN(B35)-FIND("],",B35)-1),"none")</f>
        <v>none</v>
      </c>
      <c r="N35" s="48" t="str">
        <f t="shared" ref="N35" si="104">IFERROR(LEFT(M35,FIND("],",M35)+S47),M35)</f>
        <v>none</v>
      </c>
      <c r="O35" s="62" t="e">
        <f>FIND("effect:",N35)+7</f>
        <v>#VALUE!</v>
      </c>
      <c r="P35" s="62">
        <f>IFERROR(FIND(",",N35),LEN(N35))</f>
        <v>4</v>
      </c>
      <c r="Q35" s="62" t="e">
        <f>FIND("target:",N35)+7</f>
        <v>#VALUE!</v>
      </c>
      <c r="R35" s="62" t="e">
        <f>FIND(",",N35,P35+1)</f>
        <v>#VALUE!</v>
      </c>
      <c r="S35" s="62" t="str">
        <f>IFERROR(VLOOKUP(MID(N35,Q35,R35-Q35),[5]skilldef!$C:$D,2,FALSE),"-") &amp; " / " &amp; IFERROR(VLOOKUP(MID(N35,O35,P35-O35),[5]skilldef!$A:$B,2,FALSE),"-")</f>
        <v>- / -</v>
      </c>
      <c r="T35" s="48" t="str">
        <f>IFERROR(RIGHT(M35,LEN(M35)-FIND("],",M35)-1),"none")</f>
        <v>none</v>
      </c>
      <c r="U35" s="62" t="e">
        <f>FIND("effect:",T35)+7</f>
        <v>#VALUE!</v>
      </c>
      <c r="V35" s="62">
        <f>IFERROR(FIND(",",T35),LEN(T35))</f>
        <v>4</v>
      </c>
      <c r="W35" s="62" t="e">
        <f>FIND("target:",T35)+7</f>
        <v>#VALUE!</v>
      </c>
      <c r="X35" s="62" t="e">
        <f>FIND(",",T35,V35+1)</f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50"/>
      <c r="AA35" s="51"/>
      <c r="AB35" s="50"/>
      <c r="AC35" s="154"/>
    </row>
    <row r="36" spans="1:29" ht="34" customHeight="1" x14ac:dyDescent="0.15">
      <c r="A36" s="151">
        <v>65523483</v>
      </c>
      <c r="B36" s="150" t="str">
        <f>"[effect:enemy_message, val1:"&amp;TEXT(IF(TEXT(E36,0)="[表示しない]", "0", IF(LEN(SUBSTITUTE(E36,CHAR(13),""))*0.1&lt;1.2, 1.2, LEN(SUBSTITUTE(E36,CHAR(13),""))*0.1)), "0.0")&amp;", val2:"&amp;TEXT(IF(TEXT(F36,0)="[表示しない]", "0", IF(LEN(SUBSTITUTE(F36,CHAR(13),""))*0.1&lt;1.2, 1.2, LEN(SUBSTITUTE(F36,CHAR(13),""))*0.1)),"0.0")&amp;"]"&amp;IF(LEN(AC36)&gt;0, ","&amp;AC36,AC36)</f>
        <v>[effect:enemy_message, val1:1.6, val2:1.2]</v>
      </c>
      <c r="C36" s="152">
        <v>1</v>
      </c>
      <c r="D36" s="152" t="s">
        <v>253</v>
      </c>
      <c r="E36" s="153" t="s">
        <v>302</v>
      </c>
      <c r="F36" s="153" t="s">
        <v>297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ref="M36:M47" si="105">IFERROR(RIGHT(B36,LEN(B36)-FIND("],",B36)-1),"none")</f>
        <v>none</v>
      </c>
      <c r="N36" s="48" t="str">
        <f>IFERROR(LEFT(M36,FIND("],",M36)+#REF!),M36)</f>
        <v>none</v>
      </c>
      <c r="O36" s="62" t="e">
        <f t="shared" ref="O36:O47" si="106">FIND("effect:",N36)+7</f>
        <v>#VALUE!</v>
      </c>
      <c r="P36" s="62">
        <f t="shared" ref="P36:P47" si="107">IFERROR(FIND(",",N36),LEN(N36))</f>
        <v>4</v>
      </c>
      <c r="Q36" s="62" t="e">
        <f t="shared" ref="Q36:Q47" si="108">FIND("target:",N36)+7</f>
        <v>#VALUE!</v>
      </c>
      <c r="R36" s="62" t="e">
        <f t="shared" ref="R36:R47" si="109">FIND(",",N36,P36+1)</f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8" t="str">
        <f t="shared" ref="T36:T47" si="110">IFERROR(RIGHT(M36,LEN(M36)-FIND("],",M36)-1),"none")</f>
        <v>none</v>
      </c>
      <c r="U36" s="62" t="e">
        <f t="shared" ref="U36:U47" si="111">FIND("effect:",T36)+7</f>
        <v>#VALUE!</v>
      </c>
      <c r="V36" s="62">
        <f t="shared" ref="V36:V47" si="112">IFERROR(FIND(",",T36),LEN(T36))</f>
        <v>4</v>
      </c>
      <c r="W36" s="62" t="e">
        <f t="shared" ref="W36:W47" si="113">FIND("target:",T36)+7</f>
        <v>#VALUE!</v>
      </c>
      <c r="X36" s="62" t="e">
        <f t="shared" ref="X36:X47" si="114">FIND(",",T36,V36+1)</f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50"/>
      <c r="AA36" s="51"/>
      <c r="AB36" s="50"/>
      <c r="AC36" s="154"/>
    </row>
    <row r="37" spans="1:29" ht="34" customHeight="1" x14ac:dyDescent="0.15">
      <c r="A37" s="151">
        <v>65523484</v>
      </c>
      <c r="B37" s="150" t="str">
        <f t="shared" ref="B37:B38" si="115">"[effect:enemy_message, val1:"&amp;TEXT(IF(TEXT(E37,0)="[表示しない]", "0", IF(LEN(SUBSTITUTE(E37,CHAR(13),""))*0.1&lt;1.2, 1.2, LEN(SUBSTITUTE(E37,CHAR(13),""))*0.1)), "0.0")&amp;", val2:"&amp;TEXT(IF(TEXT(F37,0)="[表示しない]", "0", IF(LEN(SUBSTITUTE(F37,CHAR(13),""))*0.1&lt;1.2, 1.2, LEN(SUBSTITUTE(F37,CHAR(13),""))*0.1)),"0.0")&amp;"]"&amp;IF(LEN(AC37)&gt;0, ","&amp;AC37,AC37)</f>
        <v>[effect:enemy_message, val1:1.5, val2:1.2]</v>
      </c>
      <c r="C37" s="152">
        <v>1</v>
      </c>
      <c r="D37" s="152" t="s">
        <v>253</v>
      </c>
      <c r="E37" s="153" t="s">
        <v>303</v>
      </c>
      <c r="F37" s="153" t="s">
        <v>301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105"/>
        <v>none</v>
      </c>
      <c r="N37" s="48" t="str">
        <f>IFERROR(LEFT(M37,FIND("],",M37)+#REF!),M37)</f>
        <v>none</v>
      </c>
      <c r="O37" s="62" t="e">
        <f t="shared" si="106"/>
        <v>#VALUE!</v>
      </c>
      <c r="P37" s="62">
        <f t="shared" si="107"/>
        <v>4</v>
      </c>
      <c r="Q37" s="62" t="e">
        <f t="shared" si="108"/>
        <v>#VALUE!</v>
      </c>
      <c r="R37" s="62" t="e">
        <f t="shared" si="109"/>
        <v>#VALUE!</v>
      </c>
      <c r="S37" s="62" t="str">
        <f>IFERROR(VLOOKUP(MID(N37,Q37,R37-Q37),[5]skilldef!$C:$D,2,FALSE),"-") &amp; " / " &amp; IFERROR(VLOOKUP(MID(N37,O37,P37-O37),[5]skilldef!$A:$B,2,FALSE),"-")</f>
        <v>- / -</v>
      </c>
      <c r="T37" s="48" t="str">
        <f t="shared" si="110"/>
        <v>none</v>
      </c>
      <c r="U37" s="62" t="e">
        <f t="shared" si="111"/>
        <v>#VALUE!</v>
      </c>
      <c r="V37" s="62">
        <f t="shared" si="112"/>
        <v>4</v>
      </c>
      <c r="W37" s="62" t="e">
        <f t="shared" si="113"/>
        <v>#VALUE!</v>
      </c>
      <c r="X37" s="62" t="e">
        <f t="shared" si="114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50"/>
      <c r="AA37" s="51"/>
      <c r="AB37" s="50"/>
      <c r="AC37" s="154"/>
    </row>
    <row r="38" spans="1:29" ht="34" customHeight="1" x14ac:dyDescent="0.15">
      <c r="A38" s="151">
        <v>65523471</v>
      </c>
      <c r="B38" s="150" t="str">
        <f t="shared" si="115"/>
        <v>[effect:enemy_message, val1:1.7, val2:2.4],[effect:force_change_block, new_block:damage, target:block_red, color:block_red, count:3, val:0.03, animation:change_block],[effect:rush, count:1, val:1.0]</v>
      </c>
      <c r="C38" s="152">
        <v>1</v>
      </c>
      <c r="D38" s="152" t="s">
        <v>253</v>
      </c>
      <c r="E38" s="153" t="s">
        <v>262</v>
      </c>
      <c r="F38" s="153" t="s">
        <v>332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 t="shared" si="105"/>
        <v>[effect:force_change_block, new_block:damage, target:block_red, color:block_red, count:3, val:0.03, animation:change_block],[effect:rush, count:1, val:1.0]</v>
      </c>
      <c r="N38" s="48" t="str">
        <f>IFERROR(LEFT(M38,FIND("],",M38)+#REF!),M38)</f>
        <v>[effect:force_change_block, new_block:damage, target:block_red, color:block_red, count:3, val:0.03, animation:change_block],[effect:rush, count:1, val:1.0]</v>
      </c>
      <c r="O38" s="62">
        <f t="shared" si="106"/>
        <v>9</v>
      </c>
      <c r="P38" s="62">
        <f t="shared" si="107"/>
        <v>27</v>
      </c>
      <c r="Q38" s="62">
        <f t="shared" si="108"/>
        <v>54</v>
      </c>
      <c r="R38" s="62">
        <f t="shared" si="109"/>
        <v>45</v>
      </c>
      <c r="S38" s="62" t="str">
        <f>IFERROR(VLOOKUP(MID(N38,Q38,R38-Q38),[5]skilldef!$C:$D,2,FALSE),"-") &amp; " / " &amp; IFERROR(VLOOKUP(MID(N38,O38,P38-O38),[5]skilldef!$A:$B,2,FALSE),"-")</f>
        <v>- / -</v>
      </c>
      <c r="T38" s="48" t="str">
        <f t="shared" si="110"/>
        <v>[effect:rush, count:1, val:1.0]</v>
      </c>
      <c r="U38" s="62">
        <f t="shared" si="111"/>
        <v>9</v>
      </c>
      <c r="V38" s="62">
        <f t="shared" si="112"/>
        <v>13</v>
      </c>
      <c r="W38" s="62" t="e">
        <f t="shared" si="113"/>
        <v>#VALUE!</v>
      </c>
      <c r="X38" s="62">
        <f t="shared" si="114"/>
        <v>22</v>
      </c>
      <c r="Y38" s="62" t="str">
        <f>IFERROR(VLOOKUP(MID(T38,W38,X38-W38),[5]skilldef!$C:$D,2,FALSE),"-") &amp; " / " &amp; IFERROR(VLOOKUP(MID(T38,U38,V38-U38),[5]skilldef!$A:$B,2,FALSE),"-")</f>
        <v>- / 連続攻撃</v>
      </c>
      <c r="Z38" s="50"/>
      <c r="AA38" s="51"/>
      <c r="AB38" s="50"/>
      <c r="AC38" s="154" t="s">
        <v>269</v>
      </c>
    </row>
    <row r="39" spans="1:29" ht="51" customHeight="1" x14ac:dyDescent="0.15">
      <c r="A39" s="151">
        <v>65523472</v>
      </c>
      <c r="B39" s="150" t="str">
        <f>"[effect:enemy_message, val1:"&amp;TEXT(IF(TEXT(E39,0)="[表示しない]", "0", IF(LEN(SUBSTITUTE(E39,CHAR(13),""))*0.1&lt;1.2, 1.2, LEN(SUBSTITUTE(E39,CHAR(13),""))*0.1)), "0.0")&amp;", val2:"&amp;TEXT(IF(TEXT(F39,0)="[表示しない]", "0", IF(LEN(SUBSTITUTE(F39,CHAR(13),""))*0.1&lt;1.2, 1.2, LEN(SUBSTITUTE(F39,CHAR(13),""))*0.1)),"0.0")&amp;"]"&amp;IF(LEN(AC39)&gt;0, ","&amp;AC39,AC39)</f>
        <v>[effect:enemy_message, val1:1.3, val2:3.9],[effect:force_change_block, new_block:jammer, target:block_yellow, count:3, val:0, animation:change_block],[effect:force_change_block, new_block:jammer, target:damage, count:0, val:0],[effect:rush, count:1, val:1.0]</v>
      </c>
      <c r="C39" s="152">
        <v>1</v>
      </c>
      <c r="D39" s="152" t="s">
        <v>253</v>
      </c>
      <c r="E39" s="153" t="s">
        <v>263</v>
      </c>
      <c r="F39" s="153" t="s">
        <v>341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 t="shared" si="105"/>
        <v>[effect:force_change_block, new_block:jammer, target:block_yellow, count:3, val:0, animation:change_block],[effect:force_change_block, new_block:jammer, target:damage, count:0, val:0],[effect:rush, count:1, val:1.0]</v>
      </c>
      <c r="N39" s="48" t="str">
        <f>IFERROR(LEFT(M39,FIND("],",M39)+#REF!),M39)</f>
        <v>[effect:force_change_block, new_block:jammer, target:block_yellow, count:3, val:0, animation:change_block],[effect:force_change_block, new_block:jammer, target:damage, count:0, val:0],[effect:rush, count:1, val:1.0]</v>
      </c>
      <c r="O39" s="62">
        <f t="shared" si="106"/>
        <v>9</v>
      </c>
      <c r="P39" s="62">
        <f t="shared" si="107"/>
        <v>27</v>
      </c>
      <c r="Q39" s="62">
        <f t="shared" si="108"/>
        <v>54</v>
      </c>
      <c r="R39" s="62">
        <f t="shared" si="109"/>
        <v>45</v>
      </c>
      <c r="S39" s="62" t="str">
        <f>IFERROR(VLOOKUP(MID(N39,Q39,R39-Q39),[5]skilldef!$C:$D,2,FALSE),"-") &amp; " / " &amp; IFERROR(VLOOKUP(MID(N39,O39,P39-O39),[5]skilldef!$A:$B,2,FALSE),"-")</f>
        <v>- / -</v>
      </c>
      <c r="T39" s="48" t="str">
        <f t="shared" si="110"/>
        <v>[effect:force_change_block, new_block:jammer, target:damage, count:0, val:0],[effect:rush, count:1, val:1.0]</v>
      </c>
      <c r="U39" s="62">
        <f t="shared" si="111"/>
        <v>9</v>
      </c>
      <c r="V39" s="62">
        <f t="shared" si="112"/>
        <v>27</v>
      </c>
      <c r="W39" s="62">
        <f t="shared" si="113"/>
        <v>54</v>
      </c>
      <c r="X39" s="62">
        <f t="shared" si="114"/>
        <v>45</v>
      </c>
      <c r="Y39" s="62" t="str">
        <f>IFERROR(VLOOKUP(MID(T39,W39,X39-W39),[5]skilldef!$C:$D,2,FALSE),"-") &amp; " / " &amp; IFERROR(VLOOKUP(MID(T39,U39,V39-U39),[5]skilldef!$A:$B,2,FALSE),"-")</f>
        <v>- / -</v>
      </c>
      <c r="Z39" s="50"/>
      <c r="AA39" s="51"/>
      <c r="AB39" s="50"/>
      <c r="AC39" s="154" t="s">
        <v>271</v>
      </c>
    </row>
    <row r="40" spans="1:29" ht="34" customHeight="1" x14ac:dyDescent="0.15">
      <c r="A40" s="151">
        <v>65523473</v>
      </c>
      <c r="B40" s="150" t="str">
        <f t="shared" ref="B40:B43" si="116">"[effect:enemy_message, val1:"&amp;TEXT(IF(TEXT(E40,0)="[表示しない]", "0", IF(LEN(SUBSTITUTE(E40,CHAR(13),""))*0.1&lt;1.2, 1.2, LEN(SUBSTITUTE(E40,CHAR(13),""))*0.1)), "0.0")&amp;", val2:"&amp;TEXT(IF(TEXT(F40,0)="[表示しない]", "0", IF(LEN(SUBSTITUTE(F40,CHAR(13),""))*0.1&lt;1.2, 1.2, LEN(SUBSTITUTE(F40,CHAR(13),""))*0.1)),"0.0")&amp;"]"&amp;IF(LEN(AC40)&gt;0, ","&amp;AC40,AC40)</f>
        <v>[effect:enemy_message, val1:1.8, val2:4.3],[effect:panel_freeze, target:normal, color:block_blue, count:3],[effect:panel_freeze, target:jammer, count:0],[effect:force_change_block, new_block:block_blue, target:jammer, count:0, val:0],[effect:rush, count:1, val:1.0]</v>
      </c>
      <c r="C40" s="152">
        <v>1</v>
      </c>
      <c r="D40" s="152" t="s">
        <v>253</v>
      </c>
      <c r="E40" s="153" t="s">
        <v>264</v>
      </c>
      <c r="F40" s="153" t="s">
        <v>348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105"/>
        <v>[effect:panel_freeze, target:normal, color:block_blue, count:3],[effect:panel_freeze, target:jammer, count:0],[effect:force_change_block, new_block:block_blue, target:jammer, count:0, val:0],[effect:rush, count:1, val:1.0]</v>
      </c>
      <c r="N40" s="48" t="str">
        <f>IFERROR(LEFT(M40,FIND("],",M40)+#REF!),M40)</f>
        <v>[effect:panel_freeze, target:normal, color:block_blue, count:3],[effect:panel_freeze, target:jammer, count:0],[effect:force_change_block, new_block:block_blue, target:jammer, count:0, val:0],[effect:rush, count:1, val:1.0]</v>
      </c>
      <c r="O40" s="62">
        <f t="shared" si="106"/>
        <v>9</v>
      </c>
      <c r="P40" s="62">
        <f t="shared" si="107"/>
        <v>21</v>
      </c>
      <c r="Q40" s="62">
        <f t="shared" si="108"/>
        <v>30</v>
      </c>
      <c r="R40" s="62">
        <f t="shared" si="109"/>
        <v>36</v>
      </c>
      <c r="S40" s="62" t="str">
        <f>IFERROR(VLOOKUP(MID(N40,Q40,R40-Q40),[5]skilldef!$C:$D,2,FALSE),"-") &amp; " / " &amp; IFERROR(VLOOKUP(MID(N40,O40,P40-O40),[5]skilldef!$A:$B,2,FALSE),"-")</f>
        <v>- / -</v>
      </c>
      <c r="T40" s="48" t="str">
        <f t="shared" si="110"/>
        <v>[effect:panel_freeze, target:jammer, count:0],[effect:force_change_block, new_block:block_blue, target:jammer, count:0, val:0],[effect:rush, count:1, val:1.0]</v>
      </c>
      <c r="U40" s="62">
        <f t="shared" si="111"/>
        <v>9</v>
      </c>
      <c r="V40" s="62">
        <f t="shared" si="112"/>
        <v>21</v>
      </c>
      <c r="W40" s="62">
        <f t="shared" si="113"/>
        <v>30</v>
      </c>
      <c r="X40" s="62">
        <f t="shared" si="114"/>
        <v>36</v>
      </c>
      <c r="Y40" s="62" t="str">
        <f>IFERROR(VLOOKUP(MID(T40,W40,X40-W40),[5]skilldef!$C:$D,2,FALSE),"-") &amp; " / " &amp; IFERROR(VLOOKUP(MID(T40,U40,V40-U40),[5]skilldef!$A:$B,2,FALSE),"-")</f>
        <v>- / -</v>
      </c>
      <c r="Z40" s="50"/>
      <c r="AA40" s="51"/>
      <c r="AB40" s="50"/>
      <c r="AC40" s="154" t="s">
        <v>272</v>
      </c>
    </row>
    <row r="41" spans="1:29" ht="49" customHeight="1" x14ac:dyDescent="0.15">
      <c r="A41" s="151">
        <v>65523474</v>
      </c>
      <c r="B41" s="150" t="str">
        <f t="shared" si="116"/>
        <v>[effect:enemy_message, val1:3.0, val2:1.3],[effect:break_attack_fix, target:unit_all, val:50, lowest_val:800, count:-1, color:yellow, block01:block_blue]</v>
      </c>
      <c r="C41" s="152">
        <v>1</v>
      </c>
      <c r="D41" s="152" t="s">
        <v>253</v>
      </c>
      <c r="E41" s="153" t="s">
        <v>360</v>
      </c>
      <c r="F41" s="153" t="s">
        <v>340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105"/>
        <v>[effect:break_attack_fix, target:unit_all, val:50, lowest_val:800, count:-1, color:yellow, block01:block_blue]</v>
      </c>
      <c r="N41" s="48" t="str">
        <f>IFERROR(LEFT(M41,FIND("],",M41)+#REF!),M41)</f>
        <v>[effect:break_attack_fix, target:unit_all, val:50, lowest_val:800, count:-1, color:yellow, block01:block_blue]</v>
      </c>
      <c r="O41" s="62">
        <f t="shared" si="106"/>
        <v>9</v>
      </c>
      <c r="P41" s="62">
        <f t="shared" si="107"/>
        <v>25</v>
      </c>
      <c r="Q41" s="62">
        <f t="shared" si="108"/>
        <v>34</v>
      </c>
      <c r="R41" s="62">
        <f t="shared" si="109"/>
        <v>42</v>
      </c>
      <c r="S41" s="62" t="str">
        <f>IFERROR(VLOOKUP(MID(N41,Q41,R41-Q41),[5]skilldef!$C:$D,2,FALSE),"-") &amp; " / " &amp; IFERROR(VLOOKUP(MID(N41,O41,P41-O41),[5]skilldef!$A:$B,2,FALSE),"-")</f>
        <v>味方全体に / -</v>
      </c>
      <c r="T41" s="48" t="str">
        <f t="shared" si="110"/>
        <v>none</v>
      </c>
      <c r="U41" s="62" t="e">
        <f t="shared" si="111"/>
        <v>#VALUE!</v>
      </c>
      <c r="V41" s="62">
        <f t="shared" si="112"/>
        <v>4</v>
      </c>
      <c r="W41" s="62" t="e">
        <f t="shared" si="113"/>
        <v>#VALUE!</v>
      </c>
      <c r="X41" s="62" t="e">
        <f t="shared" si="114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50"/>
      <c r="AA41" s="51"/>
      <c r="AB41" s="50"/>
      <c r="AC41" s="154" t="s">
        <v>291</v>
      </c>
    </row>
    <row r="42" spans="1:29" ht="34" customHeight="1" x14ac:dyDescent="0.15">
      <c r="A42" s="151">
        <v>65523475</v>
      </c>
      <c r="B42" s="150" t="str">
        <f t="shared" si="116"/>
        <v>[effect:enemy_message, val1:3.0, val2:1.2],[effect:enhance_enemy,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C42" s="152">
        <v>1</v>
      </c>
      <c r="D42" s="152" t="s">
        <v>253</v>
      </c>
      <c r="E42" s="153" t="s">
        <v>366</v>
      </c>
      <c r="F42" s="153" t="s">
        <v>338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105"/>
        <v>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N42" s="48" t="str">
        <f>IFERROR(LEFT(M42,FIND("],",M42)+#REF!),M42)</f>
        <v>[effect:enhance_enemy, target:myself, turn:-1, status:attack, val:1.3, calc:mul, animation:enemy_enhance_attack],[effect:ability_lock, target:unit_all, turn:1],[effect:sleep, target:unit_all, turn:1, rate:1, calc_type:target_all],[effect:fix_speed, target:myself, turn:1]</v>
      </c>
      <c r="O42" s="62">
        <f t="shared" si="106"/>
        <v>9</v>
      </c>
      <c r="P42" s="62">
        <f t="shared" si="107"/>
        <v>22</v>
      </c>
      <c r="Q42" s="62">
        <f t="shared" si="108"/>
        <v>31</v>
      </c>
      <c r="R42" s="62">
        <f t="shared" si="109"/>
        <v>37</v>
      </c>
      <c r="S42" s="62" t="str">
        <f>IFERROR(VLOOKUP(MID(N42,Q42,R42-Q42),[5]skilldef!$C:$D,2,FALSE),"-") &amp; " / " &amp; IFERROR(VLOOKUP(MID(N42,O42,P42-O42),[5]skilldef!$A:$B,2,FALSE),"-")</f>
        <v>自分自身に / ステータス強化</v>
      </c>
      <c r="T42" s="48" t="str">
        <f t="shared" si="110"/>
        <v>[effect:ability_lock, target:unit_all, turn:1],[effect:sleep, target:unit_all, turn:1, rate:1, calc_type:target_all],[effect:fix_speed, target:myself, turn:1]</v>
      </c>
      <c r="U42" s="62">
        <f t="shared" si="111"/>
        <v>9</v>
      </c>
      <c r="V42" s="62">
        <f t="shared" si="112"/>
        <v>21</v>
      </c>
      <c r="W42" s="62">
        <f t="shared" si="113"/>
        <v>30</v>
      </c>
      <c r="X42" s="62">
        <f t="shared" si="114"/>
        <v>38</v>
      </c>
      <c r="Y42" s="62" t="str">
        <f>IFERROR(VLOOKUP(MID(T42,W42,X42-W42),[5]skilldef!$C:$D,2,FALSE),"-") &amp; " / " &amp; IFERROR(VLOOKUP(MID(T42,U42,V42-U42),[5]skilldef!$A:$B,2,FALSE),"-")</f>
        <v>味方全体に / -</v>
      </c>
      <c r="Z42" s="50"/>
      <c r="AA42" s="51"/>
      <c r="AB42" s="50"/>
      <c r="AC42" s="154" t="s">
        <v>317</v>
      </c>
    </row>
    <row r="43" spans="1:29" ht="58" customHeight="1" x14ac:dyDescent="0.15">
      <c r="A43" s="151">
        <v>65523476</v>
      </c>
      <c r="B43" s="150" t="str">
        <f t="shared" si="116"/>
        <v>[effect:enemy_message, val1:2.6, val2:5.8],[effect:critical,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C43" s="152">
        <v>1</v>
      </c>
      <c r="D43" s="152" t="s">
        <v>253</v>
      </c>
      <c r="E43" s="153" t="s">
        <v>351</v>
      </c>
      <c r="F43" s="153" t="s">
        <v>346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105"/>
        <v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N43" s="48" t="str">
        <f>IFERROR(LEFT(M43,FIND("],",M43)+S48),M43)</f>
        <v>[effect:critical, val:1],[effect:force_change_block,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O43" s="62">
        <f t="shared" si="106"/>
        <v>9</v>
      </c>
      <c r="P43" s="62">
        <f t="shared" si="107"/>
        <v>17</v>
      </c>
      <c r="Q43" s="62">
        <f t="shared" si="108"/>
        <v>79</v>
      </c>
      <c r="R43" s="62">
        <f t="shared" si="109"/>
        <v>25</v>
      </c>
      <c r="S43" s="62" t="str">
        <f>IFERROR(VLOOKUP(MID(N43,Q43,R43-Q43),[5]skilldef!$C:$D,2,FALSE),"-") &amp; " / " &amp; IFERROR(VLOOKUP(MID(N43,O43,P43-O43),[5]skilldef!$A:$B,2,FALSE),"-")</f>
        <v>- / 大攻撃</v>
      </c>
      <c r="T43" s="48" t="str">
        <f t="shared" si="110"/>
        <v>[effect:force_change_block, new_block:damage, target:block_red, color:block_red, count:3, val:0.03, animation:change_block],[effect:force_change_block, new_block:jammer, target:block_yellow, count:3, val:0, animation:change_block],[effect:panel_freeze, target:normal, color:block_blue, count:3]</v>
      </c>
      <c r="U43" s="62">
        <f t="shared" si="111"/>
        <v>9</v>
      </c>
      <c r="V43" s="62">
        <f t="shared" si="112"/>
        <v>27</v>
      </c>
      <c r="W43" s="62">
        <f t="shared" si="113"/>
        <v>54</v>
      </c>
      <c r="X43" s="62">
        <f t="shared" si="114"/>
        <v>45</v>
      </c>
      <c r="Y43" s="62" t="str">
        <f>IFERROR(VLOOKUP(MID(T43,W43,X43-W43),[5]skilldef!$C:$D,2,FALSE),"-") &amp; " / " &amp; IFERROR(VLOOKUP(MID(T43,U43,V43-U43),[5]skilldef!$A:$B,2,FALSE),"-")</f>
        <v>- / -</v>
      </c>
      <c r="Z43" s="50"/>
      <c r="AA43" s="51"/>
      <c r="AB43" s="50"/>
      <c r="AC43" s="154" t="s">
        <v>331</v>
      </c>
    </row>
    <row r="44" spans="1:29" ht="34" customHeight="1" x14ac:dyDescent="0.15">
      <c r="A44" s="151">
        <v>65523479</v>
      </c>
      <c r="B44" s="150" t="s">
        <v>304</v>
      </c>
      <c r="C44" s="152">
        <v>1</v>
      </c>
      <c r="D44" s="152" t="s">
        <v>253</v>
      </c>
      <c r="E44" s="153" t="s">
        <v>353</v>
      </c>
      <c r="F44" s="153" t="s">
        <v>359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105"/>
        <v>none</v>
      </c>
      <c r="N44" s="48" t="str">
        <f>IFERROR(LEFT(M44,FIND("],",M44)+S49),M44)</f>
        <v>none</v>
      </c>
      <c r="O44" s="62" t="e">
        <f t="shared" si="106"/>
        <v>#VALUE!</v>
      </c>
      <c r="P44" s="62">
        <f t="shared" si="107"/>
        <v>4</v>
      </c>
      <c r="Q44" s="62" t="e">
        <f t="shared" si="108"/>
        <v>#VALUE!</v>
      </c>
      <c r="R44" s="62" t="e">
        <f t="shared" si="109"/>
        <v>#VALUE!</v>
      </c>
      <c r="S44" s="62" t="str">
        <f>IFERROR(VLOOKUP(MID(N44,Q44,R44-Q44),[5]skilldef!$C:$D,2,FALSE),"-") &amp; " / " &amp; IFERROR(VLOOKUP(MID(N44,O44,P44-O44),[5]skilldef!$A:$B,2,FALSE),"-")</f>
        <v>- / -</v>
      </c>
      <c r="T44" s="48" t="str">
        <f t="shared" si="110"/>
        <v>none</v>
      </c>
      <c r="U44" s="62" t="e">
        <f t="shared" si="111"/>
        <v>#VALUE!</v>
      </c>
      <c r="V44" s="62">
        <f t="shared" si="112"/>
        <v>4</v>
      </c>
      <c r="W44" s="62" t="e">
        <f t="shared" si="113"/>
        <v>#VALUE!</v>
      </c>
      <c r="X44" s="62" t="e">
        <f t="shared" si="114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50"/>
      <c r="AA44" s="51"/>
      <c r="AB44" s="50"/>
      <c r="AC44" s="154"/>
    </row>
    <row r="45" spans="1:29" ht="34" customHeight="1" x14ac:dyDescent="0.15">
      <c r="A45" s="168">
        <v>65523623</v>
      </c>
      <c r="B45" s="150" t="s">
        <v>304</v>
      </c>
      <c r="C45" s="166">
        <v>1</v>
      </c>
      <c r="D45" s="166" t="s">
        <v>253</v>
      </c>
      <c r="E45" s="167" t="s">
        <v>364</v>
      </c>
      <c r="F45" s="167" t="s">
        <v>442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ref="M45" si="117">IFERROR(RIGHT(B45,LEN(B45)-FIND("],",B45)-1),"none")</f>
        <v>none</v>
      </c>
      <c r="N45" s="48" t="str">
        <f>IFERROR(LEFT(M45,FIND("],",M45)+S50),M45)</f>
        <v>none</v>
      </c>
      <c r="O45" s="62" t="e">
        <f t="shared" ref="O45" si="118">FIND("effect:",N45)+7</f>
        <v>#VALUE!</v>
      </c>
      <c r="P45" s="62">
        <f t="shared" ref="P45" si="119">IFERROR(FIND(",",N45),LEN(N45))</f>
        <v>4</v>
      </c>
      <c r="Q45" s="62" t="e">
        <f t="shared" ref="Q45" si="120">FIND("target:",N45)+7</f>
        <v>#VALUE!</v>
      </c>
      <c r="R45" s="62" t="e">
        <f t="shared" ref="R45" si="121">FIND(",",N45,P45+1)</f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8" t="str">
        <f t="shared" ref="T45" si="122">IFERROR(RIGHT(M45,LEN(M45)-FIND("],",M45)-1),"none")</f>
        <v>none</v>
      </c>
      <c r="U45" s="62" t="e">
        <f t="shared" ref="U45" si="123">FIND("effect:",T45)+7</f>
        <v>#VALUE!</v>
      </c>
      <c r="V45" s="62">
        <f t="shared" ref="V45" si="124">IFERROR(FIND(",",T45),LEN(T45))</f>
        <v>4</v>
      </c>
      <c r="W45" s="62" t="e">
        <f t="shared" ref="W45" si="125">FIND("target:",T45)+7</f>
        <v>#VALUE!</v>
      </c>
      <c r="X45" s="62" t="e">
        <f t="shared" ref="X45" si="126">FIND(",",T45,V45+1)</f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50"/>
      <c r="AA45" s="51"/>
      <c r="AB45" s="50"/>
      <c r="AC45" s="154"/>
    </row>
    <row r="46" spans="1:29" ht="34" customHeight="1" x14ac:dyDescent="0.15">
      <c r="A46" s="168">
        <v>65523424</v>
      </c>
      <c r="B46" s="150" t="s">
        <v>304</v>
      </c>
      <c r="C46" s="166">
        <v>1</v>
      </c>
      <c r="D46" s="166" t="s">
        <v>253</v>
      </c>
      <c r="E46" s="167" t="s">
        <v>365</v>
      </c>
      <c r="F46" s="167" t="s">
        <v>442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ref="M46" si="127">IFERROR(RIGHT(B46,LEN(B46)-FIND("],",B46)-1),"none")</f>
        <v>none</v>
      </c>
      <c r="N46" s="48" t="str">
        <f>IFERROR(LEFT(M46,FIND("],",M46)+S50),M46)</f>
        <v>none</v>
      </c>
      <c r="O46" s="62" t="e">
        <f t="shared" ref="O46" si="128">FIND("effect:",N46)+7</f>
        <v>#VALUE!</v>
      </c>
      <c r="P46" s="62">
        <f t="shared" ref="P46" si="129">IFERROR(FIND(",",N46),LEN(N46))</f>
        <v>4</v>
      </c>
      <c r="Q46" s="62" t="e">
        <f t="shared" ref="Q46" si="130">FIND("target:",N46)+7</f>
        <v>#VALUE!</v>
      </c>
      <c r="R46" s="62" t="e">
        <f t="shared" ref="R46" si="131">FIND(",",N46,P46+1)</f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8" t="str">
        <f t="shared" ref="T46" si="132">IFERROR(RIGHT(M46,LEN(M46)-FIND("],",M46)-1),"none")</f>
        <v>none</v>
      </c>
      <c r="U46" s="62" t="e">
        <f t="shared" ref="U46" si="133">FIND("effect:",T46)+7</f>
        <v>#VALUE!</v>
      </c>
      <c r="V46" s="62">
        <f t="shared" ref="V46" si="134">IFERROR(FIND(",",T46),LEN(T46))</f>
        <v>4</v>
      </c>
      <c r="W46" s="62" t="e">
        <f t="shared" ref="W46" si="135">FIND("target:",T46)+7</f>
        <v>#VALUE!</v>
      </c>
      <c r="X46" s="62" t="e">
        <f t="shared" ref="X46" si="136">FIND(",",T46,V46+1)</f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50"/>
      <c r="AA46" s="51"/>
      <c r="AB46" s="50"/>
      <c r="AC46" s="154"/>
    </row>
    <row r="47" spans="1:29" ht="34" customHeight="1" x14ac:dyDescent="0.15">
      <c r="A47" s="156">
        <v>65523511</v>
      </c>
      <c r="B47" s="150" t="str">
        <f t="shared" ref="B47" si="137">"[effect:enemy_message, val1:"&amp;TEXT(IF(TEXT(E47,0)="[表示しない]", "0", IF(LEN(SUBSTITUTE(E47,CHAR(13),""))*0.1&lt;1.2, 1.2, LEN(SUBSTITUTE(E47,CHAR(13),""))*0.1)), "0.0")&amp;", val2:"&amp;TEXT(IF(TEXT(F47,0)="[表示しない]", "0", IF(LEN(SUBSTITUTE(F47,CHAR(13),""))*0.1&lt;1.2, 1.2, LEN(SUBSTITUTE(F47,CHAR(13),""))*0.1)),"0.0")&amp;"]"&amp;IF(LEN(AC47)&gt;0, ","&amp;AC47,AC47)</f>
        <v>[effect:enemy_message, val1:1.2, val2:0.0],[effect:ability_lock, target:unit_all, turn:1],[effect:sleep, target:unit_all, turn:1, rate:1, calc_type:target_all],[effect:fix_speed, target:myself, turn:1]</v>
      </c>
      <c r="C47" s="157">
        <v>1</v>
      </c>
      <c r="D47" s="157" t="s">
        <v>253</v>
      </c>
      <c r="E47" s="158" t="s">
        <v>313</v>
      </c>
      <c r="F47" s="158" t="s">
        <v>314</v>
      </c>
      <c r="L47" s="62" t="str">
        <f>IFERROR(VLOOKUP(MID(G47,J47,K47-J47),[5]skilldef!$C:$D,2,FALSE),"-") &amp; " / " &amp; IFERROR(VLOOKUP(MID(G47,H47,I47-H47),[5]skilldef!$A:$B,2,FALSE),"-")</f>
        <v>- / -</v>
      </c>
      <c r="M47" s="62" t="str">
        <f t="shared" si="105"/>
        <v>[effect:ability_lock, target:unit_all, turn:1],[effect:sleep, target:unit_all, turn:1, rate:1, calc_type:target_all],[effect:fix_speed, target:myself, turn:1]</v>
      </c>
      <c r="N47" s="48" t="str">
        <f>IFERROR(LEFT(M47,FIND("],",M47)+#REF!),M47)</f>
        <v>[effect:ability_lock, target:unit_all, turn:1],[effect:sleep, target:unit_all, turn:1, rate:1, calc_type:target_all],[effect:fix_speed, target:myself, turn:1]</v>
      </c>
      <c r="O47" s="62">
        <f t="shared" si="106"/>
        <v>9</v>
      </c>
      <c r="P47" s="62">
        <f t="shared" si="107"/>
        <v>21</v>
      </c>
      <c r="Q47" s="62">
        <f t="shared" si="108"/>
        <v>30</v>
      </c>
      <c r="R47" s="62">
        <f t="shared" si="109"/>
        <v>38</v>
      </c>
      <c r="S47" s="62" t="str">
        <f>IFERROR(VLOOKUP(MID(N47,Q47,R47-Q47),[5]skilldef!$C:$D,2,FALSE),"-") &amp; " / " &amp; IFERROR(VLOOKUP(MID(N47,O47,P47-O47),[5]skilldef!$A:$B,2,FALSE),"-")</f>
        <v>味方全体に / -</v>
      </c>
      <c r="T47" s="48" t="str">
        <f t="shared" si="110"/>
        <v>[effect:sleep, target:unit_all, turn:1, rate:1, calc_type:target_all],[effect:fix_speed, target:myself, turn:1]</v>
      </c>
      <c r="U47" s="62">
        <f t="shared" si="111"/>
        <v>9</v>
      </c>
      <c r="V47" s="62">
        <f t="shared" si="112"/>
        <v>14</v>
      </c>
      <c r="W47" s="62">
        <f t="shared" si="113"/>
        <v>23</v>
      </c>
      <c r="X47" s="62">
        <f t="shared" si="114"/>
        <v>31</v>
      </c>
      <c r="Y47" s="62" t="str">
        <f>IFERROR(VLOOKUP(MID(T47,W47,X47-W47),[5]skilldef!$C:$D,2,FALSE),"-") &amp; " / " &amp; IFERROR(VLOOKUP(MID(T47,U47,V47-U47),[5]skilldef!$A:$B,2,FALSE),"-")</f>
        <v>味方全体に / スリープ</v>
      </c>
      <c r="Z47" s="50"/>
      <c r="AA47" s="51"/>
      <c r="AB47" s="50"/>
      <c r="AC47" s="159" t="s">
        <v>316</v>
      </c>
    </row>
    <row r="48" spans="1:29" ht="34" customHeight="1" x14ac:dyDescent="0.15">
      <c r="A48" s="156">
        <v>65523512</v>
      </c>
      <c r="B48" s="150" t="str">
        <f t="shared" ref="B48" si="138">"[effect:enemy_message, val1:"&amp;TEXT(IF(TEXT(E48,0)="[表示しない]", "0", IF(LEN(SUBSTITUTE(E48,CHAR(13),""))*0.1&lt;1.2, 1.2, LEN(SUBSTITUTE(E48,CHAR(13),""))*0.1)), "0.0")&amp;", val2:"&amp;TEXT(IF(TEXT(F48,0)="[表示しない]", "0", IF(LEN(SUBSTITUTE(F48,CHAR(13),""))*0.1&lt;1.2, 1.2, LEN(SUBSTITUTE(F48,CHAR(13),""))*0.1)),"0.0")&amp;"]"&amp;IF(LEN(AC48)&gt;0, ","&amp;AC48,AC48)</f>
        <v>[effect:enemy_message, val1:2.0, val2:2.9],[effect:suicide, target:enemy_all, val:1, dead_type:suicide, animation:enemy_suicide]</v>
      </c>
      <c r="C48" s="157">
        <v>1</v>
      </c>
      <c r="D48" s="157" t="s">
        <v>253</v>
      </c>
      <c r="E48" s="158" t="s">
        <v>358</v>
      </c>
      <c r="F48" s="158" t="s">
        <v>345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ref="M48" si="139">IFERROR(RIGHT(B48,LEN(B48)-FIND("],",B48)-1),"none")</f>
        <v>[effect:suicide, target:enemy_all, val:1, dead_type:suicide, animation:enemy_suicide]</v>
      </c>
      <c r="N48" s="48" t="str">
        <f>IFERROR(LEFT(M48,FIND("],",M48)+#REF!),M48)</f>
        <v>[effect:suicide, target:enemy_all, val:1, dead_type:suicide, animation:enemy_suicide]</v>
      </c>
      <c r="O48" s="62">
        <f t="shared" ref="O48" si="140">FIND("effect:",N48)+7</f>
        <v>9</v>
      </c>
      <c r="P48" s="62">
        <f t="shared" ref="P48" si="141">IFERROR(FIND(",",N48),LEN(N48))</f>
        <v>16</v>
      </c>
      <c r="Q48" s="62">
        <f t="shared" ref="Q48" si="142">FIND("target:",N48)+7</f>
        <v>25</v>
      </c>
      <c r="R48" s="62">
        <f t="shared" ref="R48" si="143">FIND(",",N48,P48+1)</f>
        <v>34</v>
      </c>
      <c r="S48" s="62" t="str">
        <f>IFERROR(VLOOKUP(MID(N48,Q48,R48-Q48),[5]skilldef!$C:$D,2,FALSE),"-") &amp; " / " &amp; IFERROR(VLOOKUP(MID(N48,O48,P48-O48),[5]skilldef!$A:$B,2,FALSE),"-")</f>
        <v>敵全体に / -</v>
      </c>
      <c r="T48" s="48" t="str">
        <f t="shared" ref="T48" si="144">IFERROR(RIGHT(M48,LEN(M48)-FIND("],",M48)-1),"none")</f>
        <v>none</v>
      </c>
      <c r="U48" s="62" t="e">
        <f t="shared" ref="U48" si="145">FIND("effect:",T48)+7</f>
        <v>#VALUE!</v>
      </c>
      <c r="V48" s="62">
        <f t="shared" ref="V48" si="146">IFERROR(FIND(",",T48),LEN(T48))</f>
        <v>4</v>
      </c>
      <c r="W48" s="62" t="e">
        <f t="shared" ref="W48" si="147">FIND("target:",T48)+7</f>
        <v>#VALUE!</v>
      </c>
      <c r="X48" s="62" t="e">
        <f t="shared" ref="X48" si="148">FIND(",",T48,V48+1)</f>
        <v>#VALUE!</v>
      </c>
      <c r="Y48" s="62" t="str">
        <f>IFERROR(VLOOKUP(MID(T48,W48,X48-W48),[5]skilldef!$C:$D,2,FALSE),"-") &amp; " / " &amp; IFERROR(VLOOKUP(MID(T48,U48,V48-U48),[5]skilldef!$A:$B,2,FALSE),"-")</f>
        <v>- / -</v>
      </c>
      <c r="Z48" s="50"/>
      <c r="AA48" s="51"/>
      <c r="AB48" s="50"/>
      <c r="AC48" s="159" t="s">
        <v>307</v>
      </c>
    </row>
    <row r="56" ht="51" customHeight="1" x14ac:dyDescent="0.15"/>
    <row r="57" ht="51" customHeight="1" x14ac:dyDescent="0.15"/>
    <row r="60" ht="57" customHeight="1" x14ac:dyDescent="0.15"/>
    <row r="61" ht="43" customHeight="1" x14ac:dyDescent="0.15"/>
    <row r="62" ht="51" customHeight="1" x14ac:dyDescent="0.15"/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48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57.33203125" style="45" customWidth="1"/>
    <col min="13" max="16384" width="12.83203125" style="45"/>
  </cols>
  <sheetData>
    <row r="1" spans="1:12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12" ht="21" customHeight="1" x14ac:dyDescent="0.15">
      <c r="A2" s="106">
        <v>65523009</v>
      </c>
      <c r="B2" s="47">
        <v>1</v>
      </c>
      <c r="C2" s="47">
        <v>600</v>
      </c>
      <c r="D2" s="47">
        <v>100</v>
      </c>
      <c r="E2" s="47" t="s">
        <v>166</v>
      </c>
      <c r="F2" s="47" t="s">
        <v>166</v>
      </c>
      <c r="G2" s="47">
        <v>1</v>
      </c>
      <c r="H2" s="47">
        <v>1</v>
      </c>
      <c r="I2" s="47" t="s">
        <v>166</v>
      </c>
      <c r="J2" s="48">
        <f t="shared" ref="J2" si="0">D2</f>
        <v>100</v>
      </c>
      <c r="L2" s="112" t="s">
        <v>274</v>
      </c>
    </row>
    <row r="3" spans="1:12" ht="21" customHeight="1" x14ac:dyDescent="0.15">
      <c r="A3" s="106">
        <v>65523111</v>
      </c>
      <c r="B3" s="47">
        <v>0</v>
      </c>
      <c r="C3" s="47">
        <v>500</v>
      </c>
      <c r="D3" s="47">
        <v>100</v>
      </c>
      <c r="E3" s="47" t="s">
        <v>252</v>
      </c>
      <c r="F3" s="47" t="s">
        <v>252</v>
      </c>
      <c r="G3" s="47" t="s">
        <v>252</v>
      </c>
      <c r="H3" s="47">
        <v>1</v>
      </c>
      <c r="I3" s="47" t="s">
        <v>252</v>
      </c>
      <c r="J3" s="48">
        <f t="shared" ref="J3:J25" si="1">D3</f>
        <v>100</v>
      </c>
      <c r="L3" s="112" t="s">
        <v>279</v>
      </c>
    </row>
    <row r="4" spans="1:12" ht="21" customHeight="1" x14ac:dyDescent="0.15">
      <c r="A4" s="106">
        <v>65523121</v>
      </c>
      <c r="B4" s="47">
        <v>0</v>
      </c>
      <c r="C4" s="47">
        <v>500</v>
      </c>
      <c r="D4" s="47">
        <v>50</v>
      </c>
      <c r="E4" s="47" t="s">
        <v>252</v>
      </c>
      <c r="F4" s="47" t="s">
        <v>252</v>
      </c>
      <c r="G4" s="47" t="s">
        <v>252</v>
      </c>
      <c r="H4" s="47">
        <v>1</v>
      </c>
      <c r="I4" s="47" t="s">
        <v>252</v>
      </c>
      <c r="J4" s="48">
        <f t="shared" si="1"/>
        <v>50</v>
      </c>
      <c r="L4" s="112" t="s">
        <v>280</v>
      </c>
    </row>
    <row r="5" spans="1:12" ht="21" customHeight="1" x14ac:dyDescent="0.15">
      <c r="A5" s="106">
        <v>65523131</v>
      </c>
      <c r="B5" s="47">
        <v>0</v>
      </c>
      <c r="C5" s="47">
        <v>500</v>
      </c>
      <c r="D5" s="47">
        <v>100</v>
      </c>
      <c r="E5" s="47" t="s">
        <v>252</v>
      </c>
      <c r="F5" s="47" t="s">
        <v>252</v>
      </c>
      <c r="G5" s="47" t="s">
        <v>252</v>
      </c>
      <c r="H5" s="47">
        <v>3</v>
      </c>
      <c r="I5" s="47" t="s">
        <v>252</v>
      </c>
      <c r="J5" s="48">
        <f t="shared" si="1"/>
        <v>100</v>
      </c>
      <c r="L5" s="112" t="s">
        <v>257</v>
      </c>
    </row>
    <row r="6" spans="1:12" ht="21" customHeight="1" x14ac:dyDescent="0.15">
      <c r="A6" s="107">
        <v>65523211</v>
      </c>
      <c r="B6" s="47">
        <v>0</v>
      </c>
      <c r="C6" s="47">
        <v>500</v>
      </c>
      <c r="D6" s="47">
        <v>100</v>
      </c>
      <c r="E6" s="47" t="s">
        <v>252</v>
      </c>
      <c r="F6" s="47" t="s">
        <v>252</v>
      </c>
      <c r="G6" s="47" t="s">
        <v>252</v>
      </c>
      <c r="H6" s="47">
        <v>1</v>
      </c>
      <c r="I6" s="47" t="s">
        <v>252</v>
      </c>
      <c r="J6" s="48">
        <f t="shared" si="1"/>
        <v>100</v>
      </c>
      <c r="L6" s="115" t="s">
        <v>281</v>
      </c>
    </row>
    <row r="7" spans="1:12" ht="21" customHeight="1" x14ac:dyDescent="0.15">
      <c r="A7" s="107">
        <v>65523221</v>
      </c>
      <c r="B7" s="47">
        <v>0</v>
      </c>
      <c r="C7" s="47">
        <v>500</v>
      </c>
      <c r="D7" s="47">
        <v>50</v>
      </c>
      <c r="E7" s="47" t="s">
        <v>252</v>
      </c>
      <c r="F7" s="47" t="s">
        <v>252</v>
      </c>
      <c r="G7" s="47" t="s">
        <v>252</v>
      </c>
      <c r="H7" s="47">
        <v>1</v>
      </c>
      <c r="I7" s="47" t="s">
        <v>252</v>
      </c>
      <c r="J7" s="48">
        <f t="shared" si="1"/>
        <v>50</v>
      </c>
      <c r="L7" s="115" t="s">
        <v>282</v>
      </c>
    </row>
    <row r="8" spans="1:12" ht="21" customHeight="1" x14ac:dyDescent="0.15">
      <c r="A8" s="107">
        <v>65523231</v>
      </c>
      <c r="B8" s="47">
        <v>1</v>
      </c>
      <c r="C8" s="47">
        <v>600</v>
      </c>
      <c r="D8" s="47">
        <v>100</v>
      </c>
      <c r="E8" s="47" t="s">
        <v>252</v>
      </c>
      <c r="F8" s="47" t="s">
        <v>252</v>
      </c>
      <c r="G8" s="47">
        <v>1</v>
      </c>
      <c r="H8" s="47">
        <v>1</v>
      </c>
      <c r="I8" s="47" t="s">
        <v>252</v>
      </c>
      <c r="J8" s="48">
        <f t="shared" si="1"/>
        <v>100</v>
      </c>
      <c r="L8" s="115" t="s">
        <v>260</v>
      </c>
    </row>
    <row r="9" spans="1:12" ht="21" customHeight="1" x14ac:dyDescent="0.15">
      <c r="A9" s="107">
        <v>65523232</v>
      </c>
      <c r="B9" s="47">
        <v>0</v>
      </c>
      <c r="C9" s="47">
        <v>505</v>
      </c>
      <c r="D9" s="47">
        <v>100</v>
      </c>
      <c r="E9" s="47" t="s">
        <v>252</v>
      </c>
      <c r="F9" s="47" t="s">
        <v>252</v>
      </c>
      <c r="G9" s="47" t="s">
        <v>252</v>
      </c>
      <c r="H9" s="47">
        <v>2</v>
      </c>
      <c r="I9" s="47" t="s">
        <v>252</v>
      </c>
      <c r="J9" s="48">
        <f t="shared" si="1"/>
        <v>100</v>
      </c>
      <c r="L9" s="115" t="s">
        <v>283</v>
      </c>
    </row>
    <row r="10" spans="1:12" ht="21" customHeight="1" x14ac:dyDescent="0.15">
      <c r="A10" s="108">
        <v>65523313</v>
      </c>
      <c r="B10" s="47">
        <v>1</v>
      </c>
      <c r="C10" s="47">
        <v>610</v>
      </c>
      <c r="D10" s="47">
        <v>100</v>
      </c>
      <c r="E10" s="47" t="s">
        <v>252</v>
      </c>
      <c r="F10" s="47" t="s">
        <v>252</v>
      </c>
      <c r="G10" s="47">
        <v>1</v>
      </c>
      <c r="H10" s="47">
        <v>1</v>
      </c>
      <c r="I10" s="47" t="s">
        <v>252</v>
      </c>
      <c r="J10" s="48">
        <f>D10</f>
        <v>100</v>
      </c>
      <c r="L10" s="118" t="s">
        <v>327</v>
      </c>
    </row>
    <row r="11" spans="1:12" ht="21" customHeight="1" x14ac:dyDescent="0.15">
      <c r="A11" s="108">
        <v>65523311</v>
      </c>
      <c r="B11" s="47">
        <v>0</v>
      </c>
      <c r="C11" s="47">
        <v>505</v>
      </c>
      <c r="D11" s="47">
        <v>100</v>
      </c>
      <c r="E11" s="47" t="s">
        <v>252</v>
      </c>
      <c r="F11" s="47" t="s">
        <v>252</v>
      </c>
      <c r="G11" s="47" t="s">
        <v>252</v>
      </c>
      <c r="H11" s="47">
        <v>1</v>
      </c>
      <c r="I11" s="47" t="s">
        <v>252</v>
      </c>
      <c r="J11" s="48">
        <f t="shared" si="1"/>
        <v>100</v>
      </c>
      <c r="L11" s="118" t="s">
        <v>284</v>
      </c>
    </row>
    <row r="12" spans="1:12" ht="21" customHeight="1" x14ac:dyDescent="0.15">
      <c r="A12" s="108">
        <v>65523312</v>
      </c>
      <c r="B12" s="47">
        <v>0</v>
      </c>
      <c r="C12" s="47">
        <v>510</v>
      </c>
      <c r="D12" s="47">
        <v>100</v>
      </c>
      <c r="E12" s="47" t="s">
        <v>252</v>
      </c>
      <c r="F12" s="47" t="s">
        <v>252</v>
      </c>
      <c r="G12" s="47" t="s">
        <v>166</v>
      </c>
      <c r="H12" s="47">
        <v>3</v>
      </c>
      <c r="I12" s="47" t="s">
        <v>166</v>
      </c>
      <c r="J12" s="48">
        <f t="shared" si="1"/>
        <v>100</v>
      </c>
      <c r="L12" s="118" t="s">
        <v>325</v>
      </c>
    </row>
    <row r="13" spans="1:12" ht="21" customHeight="1" x14ac:dyDescent="0.15">
      <c r="A13" s="108">
        <v>65523314</v>
      </c>
      <c r="B13" s="47">
        <v>0</v>
      </c>
      <c r="C13" s="47">
        <v>600</v>
      </c>
      <c r="D13" s="47">
        <v>100</v>
      </c>
      <c r="E13" s="47" t="s">
        <v>166</v>
      </c>
      <c r="F13" s="47" t="s">
        <v>166</v>
      </c>
      <c r="G13" s="47" t="s">
        <v>166</v>
      </c>
      <c r="H13" s="47">
        <v>1</v>
      </c>
      <c r="I13" s="47">
        <v>0</v>
      </c>
      <c r="J13" s="48">
        <f t="shared" ref="J13" si="2">D13</f>
        <v>100</v>
      </c>
      <c r="L13" s="118" t="s">
        <v>456</v>
      </c>
    </row>
    <row r="14" spans="1:12" ht="21" customHeight="1" x14ac:dyDescent="0.15">
      <c r="A14" s="108">
        <v>65523323</v>
      </c>
      <c r="B14" s="47">
        <v>0</v>
      </c>
      <c r="C14" s="47">
        <v>510</v>
      </c>
      <c r="D14" s="47">
        <v>100</v>
      </c>
      <c r="E14" s="47" t="s">
        <v>166</v>
      </c>
      <c r="F14" s="47" t="s">
        <v>166</v>
      </c>
      <c r="G14" s="47" t="s">
        <v>166</v>
      </c>
      <c r="H14" s="47">
        <v>2</v>
      </c>
      <c r="I14" s="47" t="s">
        <v>166</v>
      </c>
      <c r="J14" s="48">
        <f t="shared" ref="J14" si="3">D14</f>
        <v>100</v>
      </c>
      <c r="L14" s="118" t="s">
        <v>446</v>
      </c>
    </row>
    <row r="15" spans="1:12" ht="21" customHeight="1" x14ac:dyDescent="0.15">
      <c r="A15" s="108">
        <v>65523322</v>
      </c>
      <c r="B15" s="47">
        <v>0</v>
      </c>
      <c r="C15" s="47">
        <v>500</v>
      </c>
      <c r="D15" s="47">
        <v>100</v>
      </c>
      <c r="E15" s="47" t="s">
        <v>252</v>
      </c>
      <c r="F15" s="47" t="s">
        <v>252</v>
      </c>
      <c r="G15" s="47" t="s">
        <v>166</v>
      </c>
      <c r="H15" s="47">
        <v>4</v>
      </c>
      <c r="I15" s="47" t="s">
        <v>252</v>
      </c>
      <c r="J15" s="48">
        <f t="shared" si="1"/>
        <v>100</v>
      </c>
      <c r="L15" s="118" t="s">
        <v>285</v>
      </c>
    </row>
    <row r="16" spans="1:12" ht="21" customHeight="1" x14ac:dyDescent="0.15">
      <c r="A16" s="108">
        <v>65523331</v>
      </c>
      <c r="B16" s="47">
        <v>1</v>
      </c>
      <c r="C16" s="47">
        <v>610</v>
      </c>
      <c r="D16" s="47">
        <v>100</v>
      </c>
      <c r="E16" s="47" t="s">
        <v>252</v>
      </c>
      <c r="F16" s="47" t="s">
        <v>252</v>
      </c>
      <c r="G16" s="47">
        <v>1</v>
      </c>
      <c r="H16" s="47">
        <v>1</v>
      </c>
      <c r="I16" s="47" t="s">
        <v>252</v>
      </c>
      <c r="J16" s="48">
        <f>D16</f>
        <v>100</v>
      </c>
      <c r="L16" s="119" t="s">
        <v>327</v>
      </c>
    </row>
    <row r="17" spans="1:12" ht="21" customHeight="1" x14ac:dyDescent="0.15">
      <c r="A17" s="108">
        <v>65523332</v>
      </c>
      <c r="B17" s="47">
        <v>0</v>
      </c>
      <c r="C17" s="47">
        <v>505</v>
      </c>
      <c r="D17" s="47">
        <v>50</v>
      </c>
      <c r="E17" s="47" t="s">
        <v>252</v>
      </c>
      <c r="F17" s="47" t="s">
        <v>252</v>
      </c>
      <c r="G17" s="47" t="s">
        <v>252</v>
      </c>
      <c r="H17" s="47">
        <v>1</v>
      </c>
      <c r="I17" s="47" t="s">
        <v>252</v>
      </c>
      <c r="J17" s="48">
        <f>D17</f>
        <v>50</v>
      </c>
      <c r="L17" s="118" t="s">
        <v>286</v>
      </c>
    </row>
    <row r="18" spans="1:12" ht="21" customHeight="1" x14ac:dyDescent="0.15">
      <c r="A18" s="108">
        <v>65523333</v>
      </c>
      <c r="B18" s="47">
        <v>0</v>
      </c>
      <c r="C18" s="47">
        <v>510</v>
      </c>
      <c r="D18" s="47">
        <v>100</v>
      </c>
      <c r="E18" s="47" t="s">
        <v>166</v>
      </c>
      <c r="F18" s="47" t="s">
        <v>166</v>
      </c>
      <c r="G18" s="47" t="s">
        <v>166</v>
      </c>
      <c r="H18" s="47">
        <v>3</v>
      </c>
      <c r="I18" s="47" t="s">
        <v>166</v>
      </c>
      <c r="J18" s="48">
        <f t="shared" ref="J18" si="4">D18</f>
        <v>100</v>
      </c>
      <c r="L18" s="118" t="s">
        <v>326</v>
      </c>
    </row>
    <row r="19" spans="1:12" ht="21" customHeight="1" x14ac:dyDescent="0.15">
      <c r="A19" s="108">
        <v>65523334</v>
      </c>
      <c r="B19" s="47">
        <v>0</v>
      </c>
      <c r="C19" s="47">
        <v>600</v>
      </c>
      <c r="D19" s="47">
        <v>100</v>
      </c>
      <c r="E19" s="47" t="s">
        <v>252</v>
      </c>
      <c r="F19" s="47" t="s">
        <v>252</v>
      </c>
      <c r="G19" s="47" t="s">
        <v>166</v>
      </c>
      <c r="H19" s="47">
        <v>1</v>
      </c>
      <c r="I19" s="47">
        <v>0</v>
      </c>
      <c r="J19" s="48">
        <f t="shared" si="1"/>
        <v>100</v>
      </c>
      <c r="L19" s="118" t="s">
        <v>455</v>
      </c>
    </row>
    <row r="20" spans="1:12" ht="21" customHeight="1" x14ac:dyDescent="0.15">
      <c r="A20" s="109">
        <v>65523381</v>
      </c>
      <c r="B20" s="47">
        <v>1</v>
      </c>
      <c r="C20" s="47">
        <v>601</v>
      </c>
      <c r="D20" s="47">
        <v>100</v>
      </c>
      <c r="E20" s="47" t="s">
        <v>252</v>
      </c>
      <c r="F20" s="47" t="s">
        <v>252</v>
      </c>
      <c r="G20" s="47">
        <v>1</v>
      </c>
      <c r="H20" s="47">
        <v>1</v>
      </c>
      <c r="I20" s="47" t="s">
        <v>252</v>
      </c>
      <c r="J20" s="48">
        <f t="shared" si="1"/>
        <v>100</v>
      </c>
      <c r="L20" s="122" t="s">
        <v>287</v>
      </c>
    </row>
    <row r="21" spans="1:12" ht="21" customHeight="1" x14ac:dyDescent="0.15">
      <c r="A21" s="168">
        <v>65523611</v>
      </c>
      <c r="B21" s="47">
        <v>1</v>
      </c>
      <c r="C21" s="47">
        <v>602</v>
      </c>
      <c r="D21" s="47">
        <v>100</v>
      </c>
      <c r="E21" s="47" t="s">
        <v>166</v>
      </c>
      <c r="F21" s="47" t="s">
        <v>166</v>
      </c>
      <c r="G21" s="47">
        <v>1</v>
      </c>
      <c r="H21" s="47">
        <v>1</v>
      </c>
      <c r="I21" s="47">
        <v>130</v>
      </c>
      <c r="J21" s="48">
        <f t="shared" si="1"/>
        <v>100</v>
      </c>
      <c r="L21" s="167" t="s">
        <v>363</v>
      </c>
    </row>
    <row r="22" spans="1:12" ht="21" customHeight="1" x14ac:dyDescent="0.15">
      <c r="A22" s="168">
        <v>65523612</v>
      </c>
      <c r="B22" s="47">
        <v>1</v>
      </c>
      <c r="C22" s="47">
        <v>603</v>
      </c>
      <c r="D22" s="47">
        <v>100</v>
      </c>
      <c r="E22" s="47" t="s">
        <v>166</v>
      </c>
      <c r="F22" s="47" t="s">
        <v>166</v>
      </c>
      <c r="G22" s="47">
        <v>1</v>
      </c>
      <c r="H22" s="47">
        <v>1</v>
      </c>
      <c r="I22" s="47">
        <v>294</v>
      </c>
      <c r="J22" s="48">
        <f t="shared" ref="J22" si="5">D22</f>
        <v>100</v>
      </c>
      <c r="L22" s="167" t="s">
        <v>363</v>
      </c>
    </row>
    <row r="23" spans="1:12" ht="21" customHeight="1" x14ac:dyDescent="0.15">
      <c r="A23" s="109">
        <v>65523391</v>
      </c>
      <c r="B23" s="47">
        <v>0</v>
      </c>
      <c r="C23" s="47">
        <v>400</v>
      </c>
      <c r="D23" s="47">
        <v>100</v>
      </c>
      <c r="E23" s="47" t="s">
        <v>252</v>
      </c>
      <c r="F23" s="47" t="s">
        <v>252</v>
      </c>
      <c r="G23" s="47" t="s">
        <v>252</v>
      </c>
      <c r="H23" s="47">
        <v>1</v>
      </c>
      <c r="I23" s="47" t="s">
        <v>252</v>
      </c>
      <c r="J23" s="48">
        <f t="shared" si="1"/>
        <v>100</v>
      </c>
      <c r="L23" s="122" t="s">
        <v>279</v>
      </c>
    </row>
    <row r="24" spans="1:12" ht="21" customHeight="1" x14ac:dyDescent="0.15">
      <c r="A24" s="109">
        <v>65523392</v>
      </c>
      <c r="B24" s="47">
        <v>0</v>
      </c>
      <c r="C24" s="47">
        <v>410</v>
      </c>
      <c r="D24" s="47">
        <v>100</v>
      </c>
      <c r="E24" s="47" t="s">
        <v>252</v>
      </c>
      <c r="F24" s="47" t="s">
        <v>252</v>
      </c>
      <c r="G24" s="47" t="s">
        <v>252</v>
      </c>
      <c r="H24" s="47">
        <v>2</v>
      </c>
      <c r="I24" s="47" t="s">
        <v>252</v>
      </c>
      <c r="J24" s="48">
        <f t="shared" si="1"/>
        <v>100</v>
      </c>
      <c r="L24" s="122" t="s">
        <v>288</v>
      </c>
    </row>
    <row r="25" spans="1:12" ht="21" customHeight="1" x14ac:dyDescent="0.15">
      <c r="A25" s="109">
        <v>65523393</v>
      </c>
      <c r="B25" s="47">
        <v>0</v>
      </c>
      <c r="C25" s="47">
        <v>415</v>
      </c>
      <c r="D25" s="47">
        <v>100</v>
      </c>
      <c r="E25" s="47" t="s">
        <v>252</v>
      </c>
      <c r="F25" s="47" t="s">
        <v>252</v>
      </c>
      <c r="G25" s="47" t="s">
        <v>252</v>
      </c>
      <c r="H25" s="47">
        <v>3</v>
      </c>
      <c r="I25" s="47" t="s">
        <v>252</v>
      </c>
      <c r="J25" s="48">
        <f t="shared" si="1"/>
        <v>100</v>
      </c>
      <c r="L25" s="122" t="s">
        <v>289</v>
      </c>
    </row>
    <row r="26" spans="1:12" ht="21" customHeight="1" x14ac:dyDescent="0.15">
      <c r="A26" s="109">
        <v>65523394</v>
      </c>
      <c r="B26" s="47">
        <v>0</v>
      </c>
      <c r="C26" s="47">
        <v>555</v>
      </c>
      <c r="D26" s="47">
        <v>100</v>
      </c>
      <c r="E26" s="47" t="s">
        <v>252</v>
      </c>
      <c r="F26" s="47" t="s">
        <v>252</v>
      </c>
      <c r="G26" s="47" t="s">
        <v>252</v>
      </c>
      <c r="H26" s="47">
        <v>4</v>
      </c>
      <c r="I26" s="47" t="s">
        <v>252</v>
      </c>
      <c r="J26" s="48">
        <f t="shared" ref="J26:J31" si="6">D26</f>
        <v>100</v>
      </c>
      <c r="L26" s="122" t="s">
        <v>265</v>
      </c>
    </row>
    <row r="27" spans="1:12" ht="21" customHeight="1" x14ac:dyDescent="0.15">
      <c r="A27" s="109">
        <v>65523395</v>
      </c>
      <c r="B27" s="47">
        <v>0</v>
      </c>
      <c r="C27" s="47">
        <v>566</v>
      </c>
      <c r="D27" s="47">
        <v>100</v>
      </c>
      <c r="E27" s="47">
        <v>40</v>
      </c>
      <c r="F27" s="47" t="s">
        <v>252</v>
      </c>
      <c r="G27" s="47">
        <v>1</v>
      </c>
      <c r="H27" s="47">
        <v>1</v>
      </c>
      <c r="I27" s="47" t="s">
        <v>252</v>
      </c>
      <c r="J27" s="48">
        <f t="shared" si="6"/>
        <v>100</v>
      </c>
      <c r="L27" s="122" t="s">
        <v>266</v>
      </c>
    </row>
    <row r="28" spans="1:12" ht="21" customHeight="1" x14ac:dyDescent="0.15">
      <c r="A28" s="109">
        <v>65523396</v>
      </c>
      <c r="B28" s="47">
        <v>0</v>
      </c>
      <c r="C28" s="47">
        <v>520</v>
      </c>
      <c r="D28" s="47">
        <v>50</v>
      </c>
      <c r="E28" s="47">
        <v>40</v>
      </c>
      <c r="F28" s="47" t="s">
        <v>252</v>
      </c>
      <c r="G28" s="47" t="s">
        <v>252</v>
      </c>
      <c r="H28" s="47">
        <v>1</v>
      </c>
      <c r="I28" s="47" t="s">
        <v>252</v>
      </c>
      <c r="J28" s="48">
        <f t="shared" si="6"/>
        <v>50</v>
      </c>
      <c r="L28" s="122" t="s">
        <v>290</v>
      </c>
    </row>
    <row r="29" spans="1:12" ht="21" customHeight="1" x14ac:dyDescent="0.15">
      <c r="A29" s="109">
        <v>65523399</v>
      </c>
      <c r="B29" s="47">
        <v>0</v>
      </c>
      <c r="C29" s="47">
        <v>610</v>
      </c>
      <c r="D29" s="47">
        <v>100</v>
      </c>
      <c r="E29" s="47" t="s">
        <v>252</v>
      </c>
      <c r="F29" s="47" t="s">
        <v>252</v>
      </c>
      <c r="G29" s="47">
        <v>0</v>
      </c>
      <c r="H29" s="47">
        <v>1</v>
      </c>
      <c r="I29" s="47">
        <v>0</v>
      </c>
      <c r="J29" s="48">
        <f t="shared" si="6"/>
        <v>100</v>
      </c>
      <c r="L29" s="122" t="s">
        <v>293</v>
      </c>
    </row>
    <row r="30" spans="1:12" ht="21" customHeight="1" x14ac:dyDescent="0.15">
      <c r="A30" s="168">
        <v>65523613</v>
      </c>
      <c r="B30" s="47">
        <v>0</v>
      </c>
      <c r="C30" s="47">
        <v>611</v>
      </c>
      <c r="D30" s="47">
        <v>100</v>
      </c>
      <c r="E30" s="47" t="s">
        <v>166</v>
      </c>
      <c r="F30" s="47" t="s">
        <v>166</v>
      </c>
      <c r="G30" s="47">
        <v>0</v>
      </c>
      <c r="H30" s="47">
        <v>1</v>
      </c>
      <c r="I30" s="47">
        <v>130</v>
      </c>
      <c r="J30" s="48">
        <f t="shared" si="6"/>
        <v>100</v>
      </c>
      <c r="L30" s="167" t="s">
        <v>363</v>
      </c>
    </row>
    <row r="31" spans="1:12" ht="21" customHeight="1" x14ac:dyDescent="0.15">
      <c r="A31" s="168">
        <v>65523614</v>
      </c>
      <c r="B31" s="47">
        <v>0</v>
      </c>
      <c r="C31" s="47">
        <v>612</v>
      </c>
      <c r="D31" s="47">
        <v>100</v>
      </c>
      <c r="E31" s="47" t="s">
        <v>166</v>
      </c>
      <c r="F31" s="47" t="s">
        <v>166</v>
      </c>
      <c r="G31" s="47">
        <v>0</v>
      </c>
      <c r="H31" s="47">
        <v>1</v>
      </c>
      <c r="I31" s="47">
        <v>294</v>
      </c>
      <c r="J31" s="48">
        <f t="shared" si="6"/>
        <v>100</v>
      </c>
      <c r="L31" s="167" t="s">
        <v>363</v>
      </c>
    </row>
    <row r="32" spans="1:12" ht="21" customHeight="1" x14ac:dyDescent="0.15">
      <c r="A32" s="151">
        <v>65523481</v>
      </c>
      <c r="B32" s="47">
        <v>1</v>
      </c>
      <c r="C32" s="47">
        <v>601</v>
      </c>
      <c r="D32" s="47">
        <v>100</v>
      </c>
      <c r="E32" s="47" t="s">
        <v>252</v>
      </c>
      <c r="F32" s="47" t="s">
        <v>252</v>
      </c>
      <c r="G32" s="47">
        <v>1</v>
      </c>
      <c r="H32" s="47">
        <v>1</v>
      </c>
      <c r="I32" s="47" t="s">
        <v>252</v>
      </c>
      <c r="J32" s="48">
        <f t="shared" ref="J32" si="7">D32</f>
        <v>100</v>
      </c>
      <c r="L32" s="153" t="s">
        <v>287</v>
      </c>
    </row>
    <row r="33" spans="1:12" ht="21" customHeight="1" x14ac:dyDescent="0.15">
      <c r="A33" s="168">
        <v>65523621</v>
      </c>
      <c r="B33" s="47">
        <v>1</v>
      </c>
      <c r="C33" s="47">
        <v>602</v>
      </c>
      <c r="D33" s="47">
        <v>100</v>
      </c>
      <c r="E33" s="47" t="s">
        <v>166</v>
      </c>
      <c r="F33" s="47" t="s">
        <v>166</v>
      </c>
      <c r="G33" s="47">
        <v>1</v>
      </c>
      <c r="H33" s="47">
        <v>1</v>
      </c>
      <c r="I33" s="47">
        <v>130</v>
      </c>
      <c r="J33" s="48">
        <f t="shared" ref="J33" si="8">D33</f>
        <v>100</v>
      </c>
      <c r="L33" s="167" t="s">
        <v>287</v>
      </c>
    </row>
    <row r="34" spans="1:12" ht="21" customHeight="1" x14ac:dyDescent="0.15">
      <c r="A34" s="168">
        <v>655234622</v>
      </c>
      <c r="B34" s="47">
        <v>1</v>
      </c>
      <c r="C34" s="47">
        <v>603</v>
      </c>
      <c r="D34" s="47">
        <v>100</v>
      </c>
      <c r="E34" s="47" t="s">
        <v>166</v>
      </c>
      <c r="F34" s="47" t="s">
        <v>166</v>
      </c>
      <c r="G34" s="47">
        <v>1</v>
      </c>
      <c r="H34" s="47">
        <v>1</v>
      </c>
      <c r="I34" s="47">
        <v>294</v>
      </c>
      <c r="J34" s="48">
        <f t="shared" ref="J34" si="9">D34</f>
        <v>100</v>
      </c>
      <c r="L34" s="167" t="s">
        <v>287</v>
      </c>
    </row>
    <row r="35" spans="1:12" ht="21" customHeight="1" x14ac:dyDescent="0.15">
      <c r="A35" s="151">
        <v>65523482</v>
      </c>
      <c r="B35" s="47">
        <v>0</v>
      </c>
      <c r="C35" s="47">
        <v>500</v>
      </c>
      <c r="D35" s="47">
        <v>6</v>
      </c>
      <c r="E35" s="47" t="s">
        <v>252</v>
      </c>
      <c r="F35" s="47">
        <v>41</v>
      </c>
      <c r="G35" s="47" t="s">
        <v>166</v>
      </c>
      <c r="H35" s="47">
        <v>1</v>
      </c>
      <c r="I35" s="47" t="s">
        <v>252</v>
      </c>
      <c r="J35" s="48">
        <f>D35</f>
        <v>6</v>
      </c>
      <c r="L35" s="153" t="s">
        <v>296</v>
      </c>
    </row>
    <row r="36" spans="1:12" ht="21" customHeight="1" x14ac:dyDescent="0.15">
      <c r="A36" s="151">
        <v>65523483</v>
      </c>
      <c r="B36" s="47">
        <v>0</v>
      </c>
      <c r="C36" s="47">
        <v>501</v>
      </c>
      <c r="D36" s="47">
        <v>6</v>
      </c>
      <c r="E36" s="47" t="s">
        <v>252</v>
      </c>
      <c r="F36" s="47">
        <v>41</v>
      </c>
      <c r="G36" s="47" t="s">
        <v>252</v>
      </c>
      <c r="H36" s="47">
        <v>1</v>
      </c>
      <c r="I36" s="47" t="s">
        <v>252</v>
      </c>
      <c r="J36" s="48">
        <f t="shared" ref="J36:J40" si="10">D36</f>
        <v>6</v>
      </c>
      <c r="L36" s="153" t="s">
        <v>297</v>
      </c>
    </row>
    <row r="37" spans="1:12" ht="21" customHeight="1" x14ac:dyDescent="0.15">
      <c r="A37" s="151">
        <v>65523484</v>
      </c>
      <c r="B37" s="47">
        <v>0</v>
      </c>
      <c r="C37" s="47">
        <v>502</v>
      </c>
      <c r="D37" s="47">
        <v>6</v>
      </c>
      <c r="E37" s="47" t="s">
        <v>252</v>
      </c>
      <c r="F37" s="47">
        <v>41</v>
      </c>
      <c r="G37" s="47" t="s">
        <v>252</v>
      </c>
      <c r="H37" s="47">
        <v>1</v>
      </c>
      <c r="I37" s="47" t="s">
        <v>252</v>
      </c>
      <c r="J37" s="48">
        <f t="shared" si="10"/>
        <v>6</v>
      </c>
      <c r="L37" s="153"/>
    </row>
    <row r="38" spans="1:12" ht="21" customHeight="1" x14ac:dyDescent="0.15">
      <c r="A38" s="151">
        <v>65523471</v>
      </c>
      <c r="B38" s="47">
        <v>0</v>
      </c>
      <c r="C38" s="47">
        <v>400</v>
      </c>
      <c r="D38" s="47">
        <v>100</v>
      </c>
      <c r="E38" s="47" t="s">
        <v>166</v>
      </c>
      <c r="F38" s="47" t="s">
        <v>166</v>
      </c>
      <c r="G38" s="47" t="s">
        <v>166</v>
      </c>
      <c r="H38" s="47">
        <v>1</v>
      </c>
      <c r="I38" s="47" t="s">
        <v>166</v>
      </c>
      <c r="J38" s="48">
        <f t="shared" si="10"/>
        <v>100</v>
      </c>
      <c r="L38" s="153" t="s">
        <v>279</v>
      </c>
    </row>
    <row r="39" spans="1:12" ht="21" customHeight="1" x14ac:dyDescent="0.15">
      <c r="A39" s="151">
        <v>65523472</v>
      </c>
      <c r="B39" s="47">
        <v>0</v>
      </c>
      <c r="C39" s="47">
        <v>410</v>
      </c>
      <c r="D39" s="47">
        <v>100</v>
      </c>
      <c r="E39" s="47" t="s">
        <v>166</v>
      </c>
      <c r="F39" s="47" t="s">
        <v>166</v>
      </c>
      <c r="G39" s="47" t="s">
        <v>166</v>
      </c>
      <c r="H39" s="47">
        <v>2</v>
      </c>
      <c r="I39" s="47" t="s">
        <v>166</v>
      </c>
      <c r="J39" s="48">
        <f t="shared" si="10"/>
        <v>100</v>
      </c>
      <c r="L39" s="153" t="s">
        <v>288</v>
      </c>
    </row>
    <row r="40" spans="1:12" ht="21" customHeight="1" x14ac:dyDescent="0.15">
      <c r="A40" s="151">
        <v>65523473</v>
      </c>
      <c r="B40" s="47">
        <v>0</v>
      </c>
      <c r="C40" s="47">
        <v>415</v>
      </c>
      <c r="D40" s="47">
        <v>100</v>
      </c>
      <c r="E40" s="47" t="s">
        <v>166</v>
      </c>
      <c r="F40" s="47" t="s">
        <v>166</v>
      </c>
      <c r="G40" s="47" t="s">
        <v>166</v>
      </c>
      <c r="H40" s="47">
        <v>3</v>
      </c>
      <c r="I40" s="47" t="s">
        <v>166</v>
      </c>
      <c r="J40" s="48">
        <f t="shared" si="10"/>
        <v>100</v>
      </c>
      <c r="L40" s="153" t="s">
        <v>289</v>
      </c>
    </row>
    <row r="41" spans="1:12" ht="21" customHeight="1" x14ac:dyDescent="0.15">
      <c r="A41" s="151">
        <v>65523474</v>
      </c>
      <c r="B41" s="47">
        <v>0</v>
      </c>
      <c r="C41" s="47">
        <v>555</v>
      </c>
      <c r="D41" s="47">
        <v>100</v>
      </c>
      <c r="E41" s="47" t="s">
        <v>166</v>
      </c>
      <c r="F41" s="47" t="s">
        <v>166</v>
      </c>
      <c r="G41" s="47" t="s">
        <v>166</v>
      </c>
      <c r="H41" s="47">
        <v>4</v>
      </c>
      <c r="I41" s="47" t="s">
        <v>166</v>
      </c>
      <c r="J41" s="48">
        <f t="shared" ref="J41:J46" si="11">D41</f>
        <v>100</v>
      </c>
      <c r="L41" s="153" t="s">
        <v>265</v>
      </c>
    </row>
    <row r="42" spans="1:12" ht="21" customHeight="1" x14ac:dyDescent="0.15">
      <c r="A42" s="151">
        <v>65523475</v>
      </c>
      <c r="B42" s="47">
        <v>0</v>
      </c>
      <c r="C42" s="47">
        <v>525</v>
      </c>
      <c r="D42" s="47">
        <v>100</v>
      </c>
      <c r="E42" s="47">
        <v>40</v>
      </c>
      <c r="F42" s="47" t="s">
        <v>166</v>
      </c>
      <c r="G42" s="47">
        <v>1</v>
      </c>
      <c r="H42" s="47">
        <v>1</v>
      </c>
      <c r="I42" s="47" t="s">
        <v>166</v>
      </c>
      <c r="J42" s="48">
        <f t="shared" si="11"/>
        <v>100</v>
      </c>
      <c r="L42" s="153" t="s">
        <v>266</v>
      </c>
    </row>
    <row r="43" spans="1:12" ht="21" customHeight="1" x14ac:dyDescent="0.15">
      <c r="A43" s="151">
        <v>65523476</v>
      </c>
      <c r="B43" s="47">
        <v>0</v>
      </c>
      <c r="C43" s="47">
        <v>520</v>
      </c>
      <c r="D43" s="47">
        <v>50</v>
      </c>
      <c r="E43" s="47">
        <v>40</v>
      </c>
      <c r="F43" s="47" t="s">
        <v>166</v>
      </c>
      <c r="G43" s="47" t="s">
        <v>166</v>
      </c>
      <c r="H43" s="47">
        <v>1</v>
      </c>
      <c r="I43" s="47" t="s">
        <v>166</v>
      </c>
      <c r="J43" s="48">
        <f t="shared" si="11"/>
        <v>50</v>
      </c>
      <c r="L43" s="153" t="s">
        <v>290</v>
      </c>
    </row>
    <row r="44" spans="1:12" ht="21" customHeight="1" x14ac:dyDescent="0.15">
      <c r="A44" s="151">
        <v>65523479</v>
      </c>
      <c r="B44" s="47">
        <v>0</v>
      </c>
      <c r="C44" s="47">
        <v>610</v>
      </c>
      <c r="D44" s="47">
        <v>100</v>
      </c>
      <c r="E44" s="47" t="s">
        <v>166</v>
      </c>
      <c r="F44" s="47" t="s">
        <v>166</v>
      </c>
      <c r="G44" s="47">
        <v>0</v>
      </c>
      <c r="H44" s="47">
        <v>1</v>
      </c>
      <c r="I44" s="47">
        <v>0</v>
      </c>
      <c r="J44" s="48">
        <f t="shared" si="11"/>
        <v>100</v>
      </c>
      <c r="L44" s="153" t="s">
        <v>292</v>
      </c>
    </row>
    <row r="45" spans="1:12" ht="21" customHeight="1" x14ac:dyDescent="0.15">
      <c r="A45" s="168">
        <v>65523623</v>
      </c>
      <c r="B45" s="47">
        <v>0</v>
      </c>
      <c r="C45" s="47">
        <v>611</v>
      </c>
      <c r="D45" s="47">
        <v>100</v>
      </c>
      <c r="E45" s="47" t="s">
        <v>166</v>
      </c>
      <c r="F45" s="47" t="s">
        <v>166</v>
      </c>
      <c r="G45" s="47">
        <v>0</v>
      </c>
      <c r="H45" s="47">
        <v>1</v>
      </c>
      <c r="I45" s="47">
        <v>130</v>
      </c>
      <c r="J45" s="48">
        <f t="shared" si="11"/>
        <v>100</v>
      </c>
      <c r="L45" s="167" t="s">
        <v>292</v>
      </c>
    </row>
    <row r="46" spans="1:12" ht="21" customHeight="1" x14ac:dyDescent="0.15">
      <c r="A46" s="168">
        <v>65523424</v>
      </c>
      <c r="B46" s="47">
        <v>0</v>
      </c>
      <c r="C46" s="47">
        <v>612</v>
      </c>
      <c r="D46" s="47">
        <v>100</v>
      </c>
      <c r="E46" s="47" t="s">
        <v>166</v>
      </c>
      <c r="F46" s="47" t="s">
        <v>166</v>
      </c>
      <c r="G46" s="47">
        <v>0</v>
      </c>
      <c r="H46" s="47">
        <v>1</v>
      </c>
      <c r="I46" s="47">
        <v>294</v>
      </c>
      <c r="J46" s="48">
        <f t="shared" si="11"/>
        <v>100</v>
      </c>
      <c r="L46" s="167" t="s">
        <v>292</v>
      </c>
    </row>
    <row r="47" spans="1:12" ht="21" customHeight="1" x14ac:dyDescent="0.15">
      <c r="A47" s="156">
        <v>65523511</v>
      </c>
      <c r="B47" s="47">
        <v>1</v>
      </c>
      <c r="C47" s="47">
        <v>600</v>
      </c>
      <c r="D47" s="47">
        <v>100</v>
      </c>
      <c r="E47" s="47" t="s">
        <v>166</v>
      </c>
      <c r="F47" s="47" t="s">
        <v>166</v>
      </c>
      <c r="G47" s="47">
        <v>1</v>
      </c>
      <c r="H47" s="47">
        <v>1</v>
      </c>
      <c r="I47" s="47" t="s">
        <v>166</v>
      </c>
      <c r="J47" s="48">
        <f t="shared" ref="J47" si="12">D47</f>
        <v>100</v>
      </c>
      <c r="L47" s="158" t="s">
        <v>315</v>
      </c>
    </row>
    <row r="48" spans="1:12" ht="21" customHeight="1" x14ac:dyDescent="0.15">
      <c r="A48" s="156">
        <v>65523512</v>
      </c>
      <c r="B48" s="47">
        <v>0</v>
      </c>
      <c r="C48" s="47">
        <v>605</v>
      </c>
      <c r="D48" s="47">
        <v>100</v>
      </c>
      <c r="E48" s="47" t="s">
        <v>166</v>
      </c>
      <c r="F48" s="47" t="s">
        <v>166</v>
      </c>
      <c r="G48" s="47">
        <v>1</v>
      </c>
      <c r="H48" s="47">
        <v>1</v>
      </c>
      <c r="I48" s="47" t="s">
        <v>166</v>
      </c>
      <c r="J48" s="48">
        <f t="shared" ref="J48" si="13">D48</f>
        <v>100</v>
      </c>
      <c r="L48" s="158" t="s">
        <v>273</v>
      </c>
    </row>
  </sheetData>
  <autoFilter ref="A1:G1"/>
  <phoneticPr fontId="5"/>
  <conditionalFormatting sqref="K49:K1048576 K29 K1">
    <cfRule type="duplicateValues" dxfId="21" priority="23"/>
  </conditionalFormatting>
  <conditionalFormatting sqref="K3">
    <cfRule type="duplicateValues" dxfId="20" priority="22"/>
  </conditionalFormatting>
  <conditionalFormatting sqref="K28">
    <cfRule type="duplicateValues" dxfId="19" priority="20"/>
  </conditionalFormatting>
  <conditionalFormatting sqref="K16">
    <cfRule type="duplicateValues" dxfId="18" priority="19"/>
  </conditionalFormatting>
  <conditionalFormatting sqref="K2">
    <cfRule type="duplicateValues" dxfId="17" priority="18"/>
  </conditionalFormatting>
  <conditionalFormatting sqref="K44">
    <cfRule type="duplicateValues" dxfId="16" priority="17"/>
  </conditionalFormatting>
  <conditionalFormatting sqref="K32 K35:K42">
    <cfRule type="duplicateValues" dxfId="15" priority="16"/>
  </conditionalFormatting>
  <conditionalFormatting sqref="K43">
    <cfRule type="duplicateValues" dxfId="14" priority="15"/>
  </conditionalFormatting>
  <conditionalFormatting sqref="K17 K4:K12 K23:K27 K15 K19:K20">
    <cfRule type="duplicateValues" dxfId="13" priority="26"/>
  </conditionalFormatting>
  <conditionalFormatting sqref="K47">
    <cfRule type="duplicateValues" dxfId="12" priority="29"/>
  </conditionalFormatting>
  <conditionalFormatting sqref="K48">
    <cfRule type="duplicateValues" dxfId="11" priority="13"/>
  </conditionalFormatting>
  <conditionalFormatting sqref="K22">
    <cfRule type="duplicateValues" dxfId="10" priority="11"/>
  </conditionalFormatting>
  <conditionalFormatting sqref="K21">
    <cfRule type="duplicateValues" dxfId="9" priority="10"/>
  </conditionalFormatting>
  <conditionalFormatting sqref="K30">
    <cfRule type="duplicateValues" dxfId="8" priority="9"/>
  </conditionalFormatting>
  <conditionalFormatting sqref="K31">
    <cfRule type="duplicateValues" dxfId="7" priority="8"/>
  </conditionalFormatting>
  <conditionalFormatting sqref="K34">
    <cfRule type="duplicateValues" dxfId="6" priority="7"/>
  </conditionalFormatting>
  <conditionalFormatting sqref="K33">
    <cfRule type="duplicateValues" dxfId="5" priority="6"/>
  </conditionalFormatting>
  <conditionalFormatting sqref="K46">
    <cfRule type="duplicateValues" dxfId="4" priority="5"/>
  </conditionalFormatting>
  <conditionalFormatting sqref="K45">
    <cfRule type="duplicateValues" dxfId="3" priority="4"/>
  </conditionalFormatting>
  <conditionalFormatting sqref="K14">
    <cfRule type="duplicateValues" dxfId="2" priority="3"/>
  </conditionalFormatting>
  <conditionalFormatting sqref="K13">
    <cfRule type="duplicateValues" dxfId="1" priority="2"/>
  </conditionalFormatting>
  <conditionalFormatting sqref="K1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A33" sqref="A3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147</v>
      </c>
      <c r="B1" s="63" t="s">
        <v>148</v>
      </c>
      <c r="C1" s="64" t="s">
        <v>149</v>
      </c>
      <c r="D1" s="71" t="s">
        <v>150</v>
      </c>
      <c r="E1" s="65" t="s">
        <v>151</v>
      </c>
      <c r="F1" s="63" t="s">
        <v>152</v>
      </c>
      <c r="G1" s="63" t="s">
        <v>153</v>
      </c>
      <c r="H1" s="63" t="s">
        <v>154</v>
      </c>
      <c r="I1" s="63" t="s">
        <v>155</v>
      </c>
      <c r="J1" s="63" t="s">
        <v>156</v>
      </c>
      <c r="K1" s="63" t="s">
        <v>157</v>
      </c>
      <c r="L1" s="63" t="s">
        <v>158</v>
      </c>
      <c r="M1" s="63" t="s">
        <v>159</v>
      </c>
      <c r="N1" s="63" t="s">
        <v>160</v>
      </c>
      <c r="O1" s="63" t="s">
        <v>161</v>
      </c>
      <c r="P1" s="63" t="s">
        <v>162</v>
      </c>
      <c r="Q1" s="63" t="s">
        <v>163</v>
      </c>
      <c r="R1" s="63" t="s">
        <v>164</v>
      </c>
    </row>
    <row r="2" spans="1:18" x14ac:dyDescent="0.15">
      <c r="A2" s="56">
        <v>65523</v>
      </c>
      <c r="B2" s="56">
        <v>1</v>
      </c>
      <c r="C2" s="70" t="str">
        <f>A2&amp; "_"&amp;B2</f>
        <v>65523_1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165</v>
      </c>
      <c r="G2" s="56">
        <v>3200</v>
      </c>
      <c r="H2" s="56" t="s">
        <v>166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250</v>
      </c>
      <c r="Q2" s="56" t="s">
        <v>167</v>
      </c>
      <c r="R2" s="56" t="s">
        <v>168</v>
      </c>
    </row>
    <row r="3" spans="1:18" x14ac:dyDescent="0.15">
      <c r="A3" s="56">
        <v>65523</v>
      </c>
      <c r="B3" s="56">
        <v>1</v>
      </c>
      <c r="C3" s="70" t="str">
        <f t="shared" ref="C3:C29" si="0">A3&amp; "_"&amp;B3</f>
        <v>65523_1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165</v>
      </c>
      <c r="G3" s="56">
        <v>20</v>
      </c>
      <c r="H3" s="56" t="s">
        <v>166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250</v>
      </c>
      <c r="Q3" s="56" t="s">
        <v>167</v>
      </c>
      <c r="R3" s="56" t="s">
        <v>168</v>
      </c>
    </row>
    <row r="4" spans="1:18" x14ac:dyDescent="0.15">
      <c r="A4" s="56">
        <v>65523</v>
      </c>
      <c r="B4" s="56">
        <v>1</v>
      </c>
      <c r="C4" s="70" t="str">
        <f t="shared" si="0"/>
        <v>65523_1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362</v>
      </c>
      <c r="G4" s="56">
        <v>1373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50</v>
      </c>
      <c r="Q4" s="56" t="s">
        <v>167</v>
      </c>
      <c r="R4" s="56" t="s">
        <v>168</v>
      </c>
    </row>
    <row r="5" spans="1:18" x14ac:dyDescent="0.15">
      <c r="A5" s="56">
        <v>65523</v>
      </c>
      <c r="B5" s="56">
        <v>1</v>
      </c>
      <c r="C5" s="70" t="str">
        <f t="shared" si="0"/>
        <v>65523_1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362</v>
      </c>
      <c r="G5" s="56">
        <v>344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70</v>
      </c>
      <c r="Q5" s="56" t="s">
        <v>167</v>
      </c>
      <c r="R5" s="56" t="s">
        <v>168</v>
      </c>
    </row>
    <row r="6" spans="1:18" x14ac:dyDescent="0.15">
      <c r="A6" s="56">
        <v>65523</v>
      </c>
      <c r="B6" s="56">
        <v>1</v>
      </c>
      <c r="C6" s="70" t="str">
        <f t="shared" si="0"/>
        <v>65523_1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362</v>
      </c>
      <c r="G6" s="56">
        <v>345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70</v>
      </c>
      <c r="Q6" s="56" t="s">
        <v>167</v>
      </c>
      <c r="R6" s="56" t="s">
        <v>168</v>
      </c>
    </row>
    <row r="7" spans="1:18" x14ac:dyDescent="0.15">
      <c r="A7" s="56">
        <v>65523</v>
      </c>
      <c r="B7" s="56">
        <v>1</v>
      </c>
      <c r="C7" s="70" t="str">
        <f t="shared" si="0"/>
        <v>65523_1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7</v>
      </c>
      <c r="F7" s="56" t="s">
        <v>362</v>
      </c>
      <c r="G7" s="56">
        <v>354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150</v>
      </c>
      <c r="Q7" s="56" t="s">
        <v>167</v>
      </c>
      <c r="R7" s="56" t="s">
        <v>168</v>
      </c>
    </row>
    <row r="8" spans="1:18" x14ac:dyDescent="0.15">
      <c r="A8" s="56">
        <v>65523</v>
      </c>
      <c r="B8" s="56">
        <v>1</v>
      </c>
      <c r="C8" s="70" t="str">
        <f t="shared" si="0"/>
        <v>65523_1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8</v>
      </c>
      <c r="F8" s="56" t="s">
        <v>362</v>
      </c>
      <c r="G8" s="56">
        <v>121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50</v>
      </c>
      <c r="Q8" s="56" t="s">
        <v>167</v>
      </c>
      <c r="R8" s="56" t="s">
        <v>168</v>
      </c>
    </row>
    <row r="9" spans="1:18" x14ac:dyDescent="0.15">
      <c r="A9" s="56">
        <v>65523</v>
      </c>
      <c r="B9" s="56">
        <v>1</v>
      </c>
      <c r="C9" s="70" t="str">
        <f t="shared" ref="C9" si="1">A9&amp; "_"&amp;B9</f>
        <v>65523_1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9</v>
      </c>
      <c r="F9" s="56" t="s">
        <v>362</v>
      </c>
      <c r="G9" s="56">
        <v>122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50</v>
      </c>
      <c r="Q9" s="56" t="s">
        <v>167</v>
      </c>
      <c r="R9" s="56" t="s">
        <v>168</v>
      </c>
    </row>
    <row r="10" spans="1:18" x14ac:dyDescent="0.15">
      <c r="A10" s="56">
        <v>65523</v>
      </c>
      <c r="B10" s="56">
        <v>1</v>
      </c>
      <c r="C10" s="70" t="str">
        <f t="shared" si="0"/>
        <v>65523_1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10</v>
      </c>
      <c r="F10" s="56" t="s">
        <v>362</v>
      </c>
      <c r="G10" s="56">
        <v>123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50</v>
      </c>
      <c r="Q10" s="56" t="s">
        <v>167</v>
      </c>
      <c r="R10" s="56" t="s">
        <v>168</v>
      </c>
    </row>
    <row r="11" spans="1:18" ht="16" thickBot="1" x14ac:dyDescent="0.2">
      <c r="A11" s="56">
        <v>65523</v>
      </c>
      <c r="B11" s="163">
        <v>1</v>
      </c>
      <c r="C11" s="164" t="str">
        <f t="shared" si="0"/>
        <v>65523_1</v>
      </c>
      <c r="D11" s="16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3">
        <v>11</v>
      </c>
      <c r="F11" s="163" t="s">
        <v>362</v>
      </c>
      <c r="G11" s="163">
        <v>125</v>
      </c>
      <c r="H11" s="163">
        <v>1</v>
      </c>
      <c r="I11" s="163">
        <v>1</v>
      </c>
      <c r="J11" s="163">
        <v>1</v>
      </c>
      <c r="K11" s="163">
        <v>0</v>
      </c>
      <c r="L11" s="163">
        <v>0</v>
      </c>
      <c r="M11" s="163">
        <v>0</v>
      </c>
      <c r="N11" s="163">
        <v>0</v>
      </c>
      <c r="O11" s="163">
        <v>1</v>
      </c>
      <c r="P11" s="56">
        <v>10</v>
      </c>
      <c r="Q11" s="163" t="s">
        <v>167</v>
      </c>
      <c r="R11" s="163" t="s">
        <v>168</v>
      </c>
    </row>
    <row r="12" spans="1:18" x14ac:dyDescent="0.15">
      <c r="A12" s="56">
        <v>65523</v>
      </c>
      <c r="B12" s="160">
        <v>2</v>
      </c>
      <c r="C12" s="161" t="str">
        <f t="shared" si="0"/>
        <v>65523_2</v>
      </c>
      <c r="D12" s="162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0">
        <v>1</v>
      </c>
      <c r="F12" s="160" t="s">
        <v>165</v>
      </c>
      <c r="G12" s="160">
        <v>5000</v>
      </c>
      <c r="H12" s="160" t="s">
        <v>166</v>
      </c>
      <c r="I12" s="160">
        <v>1</v>
      </c>
      <c r="J12" s="160">
        <v>1</v>
      </c>
      <c r="K12" s="160">
        <v>0</v>
      </c>
      <c r="L12" s="160">
        <v>0</v>
      </c>
      <c r="M12" s="160">
        <v>0</v>
      </c>
      <c r="N12" s="160">
        <v>0</v>
      </c>
      <c r="O12" s="160">
        <v>1</v>
      </c>
      <c r="P12" s="160">
        <v>250</v>
      </c>
      <c r="Q12" s="160" t="s">
        <v>167</v>
      </c>
      <c r="R12" s="160" t="s">
        <v>168</v>
      </c>
    </row>
    <row r="13" spans="1:18" x14ac:dyDescent="0.15">
      <c r="A13" s="56">
        <v>65523</v>
      </c>
      <c r="B13" s="160">
        <v>2</v>
      </c>
      <c r="C13" s="70" t="str">
        <f t="shared" si="0"/>
        <v>65523_2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2</v>
      </c>
      <c r="F13" s="56" t="s">
        <v>361</v>
      </c>
      <c r="G13" s="56">
        <v>25</v>
      </c>
      <c r="H13" s="56" t="s">
        <v>166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200</v>
      </c>
      <c r="Q13" s="56" t="s">
        <v>167</v>
      </c>
      <c r="R13" s="56" t="s">
        <v>168</v>
      </c>
    </row>
    <row r="14" spans="1:18" x14ac:dyDescent="0.15">
      <c r="A14" s="56">
        <v>65523</v>
      </c>
      <c r="B14" s="160">
        <v>2</v>
      </c>
      <c r="C14" s="70" t="str">
        <f t="shared" si="0"/>
        <v>65523_2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3</v>
      </c>
      <c r="F14" s="56" t="s">
        <v>362</v>
      </c>
      <c r="G14" s="56">
        <v>1373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167</v>
      </c>
      <c r="R14" s="56" t="s">
        <v>168</v>
      </c>
    </row>
    <row r="15" spans="1:18" x14ac:dyDescent="0.15">
      <c r="A15" s="56">
        <v>65523</v>
      </c>
      <c r="B15" s="160">
        <v>2</v>
      </c>
      <c r="C15" s="70" t="str">
        <f t="shared" si="0"/>
        <v>65523_2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4</v>
      </c>
      <c r="F15" s="56" t="s">
        <v>362</v>
      </c>
      <c r="G15" s="56">
        <v>344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56</v>
      </c>
      <c r="Q15" s="56" t="s">
        <v>167</v>
      </c>
      <c r="R15" s="56" t="s">
        <v>168</v>
      </c>
    </row>
    <row r="16" spans="1:18" x14ac:dyDescent="0.15">
      <c r="A16" s="56">
        <v>65523</v>
      </c>
      <c r="B16" s="160">
        <v>2</v>
      </c>
      <c r="C16" s="70" t="str">
        <f t="shared" si="0"/>
        <v>65523_2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5</v>
      </c>
      <c r="F16" s="56" t="s">
        <v>362</v>
      </c>
      <c r="G16" s="56">
        <v>345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56</v>
      </c>
      <c r="Q16" s="56" t="s">
        <v>167</v>
      </c>
      <c r="R16" s="56" t="s">
        <v>168</v>
      </c>
    </row>
    <row r="17" spans="1:18" x14ac:dyDescent="0.15">
      <c r="A17" s="56">
        <v>65523</v>
      </c>
      <c r="B17" s="160">
        <v>2</v>
      </c>
      <c r="C17" s="70" t="str">
        <f t="shared" si="0"/>
        <v>65523_2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6</v>
      </c>
      <c r="F17" s="56" t="s">
        <v>362</v>
      </c>
      <c r="G17" s="56">
        <v>346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28</v>
      </c>
      <c r="Q17" s="56" t="s">
        <v>167</v>
      </c>
      <c r="R17" s="56" t="s">
        <v>168</v>
      </c>
    </row>
    <row r="18" spans="1:18" x14ac:dyDescent="0.15">
      <c r="A18" s="56">
        <v>65523</v>
      </c>
      <c r="B18" s="160">
        <v>2</v>
      </c>
      <c r="C18" s="70" t="str">
        <f t="shared" si="0"/>
        <v>65523_2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7</v>
      </c>
      <c r="F18" s="56" t="s">
        <v>362</v>
      </c>
      <c r="G18" s="56">
        <v>354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150</v>
      </c>
      <c r="Q18" s="56" t="s">
        <v>167</v>
      </c>
      <c r="R18" s="56" t="s">
        <v>168</v>
      </c>
    </row>
    <row r="19" spans="1:18" x14ac:dyDescent="0.15">
      <c r="A19" s="56">
        <v>65523</v>
      </c>
      <c r="B19" s="160">
        <v>2</v>
      </c>
      <c r="C19" s="70" t="str">
        <f t="shared" si="0"/>
        <v>65523_2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6">
        <v>8</v>
      </c>
      <c r="F19" s="56" t="s">
        <v>362</v>
      </c>
      <c r="G19" s="56">
        <v>121</v>
      </c>
      <c r="H19" s="56">
        <v>1</v>
      </c>
      <c r="I19" s="56">
        <v>1</v>
      </c>
      <c r="J19" s="56">
        <v>1</v>
      </c>
      <c r="K19" s="56">
        <v>0</v>
      </c>
      <c r="L19" s="56">
        <v>0</v>
      </c>
      <c r="M19" s="56">
        <v>0</v>
      </c>
      <c r="N19" s="56">
        <v>0</v>
      </c>
      <c r="O19" s="56">
        <v>1</v>
      </c>
      <c r="P19" s="56">
        <v>50</v>
      </c>
      <c r="Q19" s="56" t="s">
        <v>167</v>
      </c>
      <c r="R19" s="56" t="s">
        <v>168</v>
      </c>
    </row>
    <row r="20" spans="1:18" x14ac:dyDescent="0.15">
      <c r="A20" s="56">
        <v>65523</v>
      </c>
      <c r="B20" s="160">
        <v>2</v>
      </c>
      <c r="C20" s="70" t="str">
        <f t="shared" si="0"/>
        <v>65523_2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6">
        <v>9</v>
      </c>
      <c r="F20" s="56" t="s">
        <v>362</v>
      </c>
      <c r="G20" s="56">
        <v>122</v>
      </c>
      <c r="H20" s="56">
        <v>1</v>
      </c>
      <c r="I20" s="56">
        <v>1</v>
      </c>
      <c r="J20" s="56">
        <v>1</v>
      </c>
      <c r="K20" s="56">
        <v>0</v>
      </c>
      <c r="L20" s="56">
        <v>0</v>
      </c>
      <c r="M20" s="56">
        <v>0</v>
      </c>
      <c r="N20" s="56">
        <v>0</v>
      </c>
      <c r="O20" s="56">
        <v>1</v>
      </c>
      <c r="P20" s="56">
        <v>50</v>
      </c>
      <c r="Q20" s="56" t="s">
        <v>167</v>
      </c>
      <c r="R20" s="56" t="s">
        <v>168</v>
      </c>
    </row>
    <row r="21" spans="1:18" x14ac:dyDescent="0.15">
      <c r="A21" s="56">
        <v>65523</v>
      </c>
      <c r="B21" s="160">
        <v>2</v>
      </c>
      <c r="C21" s="70" t="str">
        <f t="shared" ref="C21" si="2">A21&amp; "_"&amp;B21</f>
        <v>65523_2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6">
        <v>10</v>
      </c>
      <c r="F21" s="56" t="s">
        <v>362</v>
      </c>
      <c r="G21" s="56">
        <v>123</v>
      </c>
      <c r="H21" s="56">
        <v>1</v>
      </c>
      <c r="I21" s="56">
        <v>1</v>
      </c>
      <c r="J21" s="56">
        <v>1</v>
      </c>
      <c r="K21" s="56">
        <v>0</v>
      </c>
      <c r="L21" s="56">
        <v>0</v>
      </c>
      <c r="M21" s="56">
        <v>0</v>
      </c>
      <c r="N21" s="56">
        <v>0</v>
      </c>
      <c r="O21" s="56">
        <v>1</v>
      </c>
      <c r="P21" s="56">
        <v>50</v>
      </c>
      <c r="Q21" s="56" t="s">
        <v>167</v>
      </c>
      <c r="R21" s="56" t="s">
        <v>168</v>
      </c>
    </row>
    <row r="22" spans="1:18" ht="16" thickBot="1" x14ac:dyDescent="0.2">
      <c r="A22" s="56">
        <v>65523</v>
      </c>
      <c r="B22" s="163">
        <v>2</v>
      </c>
      <c r="C22" s="164" t="str">
        <f t="shared" si="0"/>
        <v>65523_2</v>
      </c>
      <c r="D22" s="16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63">
        <v>11</v>
      </c>
      <c r="F22" s="163" t="s">
        <v>362</v>
      </c>
      <c r="G22" s="163">
        <v>125</v>
      </c>
      <c r="H22" s="163">
        <v>1</v>
      </c>
      <c r="I22" s="163">
        <v>1</v>
      </c>
      <c r="J22" s="163">
        <v>1</v>
      </c>
      <c r="K22" s="163">
        <v>0</v>
      </c>
      <c r="L22" s="163">
        <v>0</v>
      </c>
      <c r="M22" s="163">
        <v>0</v>
      </c>
      <c r="N22" s="163">
        <v>0</v>
      </c>
      <c r="O22" s="163">
        <v>1</v>
      </c>
      <c r="P22" s="56">
        <v>10</v>
      </c>
      <c r="Q22" s="163" t="s">
        <v>167</v>
      </c>
      <c r="R22" s="163" t="s">
        <v>168</v>
      </c>
    </row>
    <row r="23" spans="1:18" x14ac:dyDescent="0.15">
      <c r="A23" s="56">
        <v>65523</v>
      </c>
      <c r="B23" s="160">
        <v>3</v>
      </c>
      <c r="C23" s="161" t="str">
        <f t="shared" si="0"/>
        <v>65523_3</v>
      </c>
      <c r="D23" s="162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60">
        <v>1</v>
      </c>
      <c r="F23" s="160" t="s">
        <v>165</v>
      </c>
      <c r="G23" s="160">
        <v>6500</v>
      </c>
      <c r="H23" s="160" t="s">
        <v>166</v>
      </c>
      <c r="I23" s="160">
        <v>1</v>
      </c>
      <c r="J23" s="160">
        <v>1</v>
      </c>
      <c r="K23" s="160">
        <v>0</v>
      </c>
      <c r="L23" s="160">
        <v>0</v>
      </c>
      <c r="M23" s="160">
        <v>0</v>
      </c>
      <c r="N23" s="160">
        <v>0</v>
      </c>
      <c r="O23" s="160">
        <v>1</v>
      </c>
      <c r="P23" s="160">
        <v>150</v>
      </c>
      <c r="Q23" s="160" t="s">
        <v>167</v>
      </c>
      <c r="R23" s="160" t="s">
        <v>168</v>
      </c>
    </row>
    <row r="24" spans="1:18" x14ac:dyDescent="0.15">
      <c r="A24" s="56">
        <v>65523</v>
      </c>
      <c r="B24" s="160">
        <v>3</v>
      </c>
      <c r="C24" s="70" t="str">
        <f t="shared" si="0"/>
        <v>65523_3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6">
        <v>2</v>
      </c>
      <c r="F24" s="56" t="s">
        <v>361</v>
      </c>
      <c r="G24" s="56">
        <v>25</v>
      </c>
      <c r="H24" s="56" t="s">
        <v>166</v>
      </c>
      <c r="I24" s="56">
        <v>1</v>
      </c>
      <c r="J24" s="56">
        <v>1</v>
      </c>
      <c r="K24" s="56">
        <v>0</v>
      </c>
      <c r="L24" s="56">
        <v>0</v>
      </c>
      <c r="M24" s="56">
        <v>0</v>
      </c>
      <c r="N24" s="56">
        <v>0</v>
      </c>
      <c r="O24" s="56">
        <v>1</v>
      </c>
      <c r="P24" s="56">
        <v>150</v>
      </c>
      <c r="Q24" s="56" t="s">
        <v>167</v>
      </c>
      <c r="R24" s="56" t="s">
        <v>168</v>
      </c>
    </row>
    <row r="25" spans="1:18" x14ac:dyDescent="0.15">
      <c r="A25" s="56">
        <v>65523</v>
      </c>
      <c r="B25" s="160">
        <v>3</v>
      </c>
      <c r="C25" s="70" t="str">
        <f t="shared" si="0"/>
        <v>65523_3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6">
        <v>3</v>
      </c>
      <c r="F25" s="56" t="s">
        <v>362</v>
      </c>
      <c r="G25" s="56">
        <v>1373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250</v>
      </c>
      <c r="Q25" s="56" t="s">
        <v>167</v>
      </c>
      <c r="R25" s="56" t="s">
        <v>168</v>
      </c>
    </row>
    <row r="26" spans="1:18" x14ac:dyDescent="0.15">
      <c r="A26" s="56">
        <v>65523</v>
      </c>
      <c r="B26" s="160">
        <v>3</v>
      </c>
      <c r="C26" s="70" t="str">
        <f t="shared" si="0"/>
        <v>65523_3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6">
        <v>4</v>
      </c>
      <c r="F26" s="56" t="s">
        <v>362</v>
      </c>
      <c r="G26" s="56">
        <v>344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28</v>
      </c>
      <c r="Q26" s="56" t="s">
        <v>167</v>
      </c>
      <c r="R26" s="56" t="s">
        <v>168</v>
      </c>
    </row>
    <row r="27" spans="1:18" x14ac:dyDescent="0.15">
      <c r="A27" s="56">
        <v>65523</v>
      </c>
      <c r="B27" s="160">
        <v>3</v>
      </c>
      <c r="C27" s="70" t="str">
        <f t="shared" si="0"/>
        <v>65523_3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6">
        <v>5</v>
      </c>
      <c r="F27" s="56" t="s">
        <v>362</v>
      </c>
      <c r="G27" s="56">
        <v>345</v>
      </c>
      <c r="H27" s="56">
        <v>1</v>
      </c>
      <c r="I27" s="56">
        <v>1</v>
      </c>
      <c r="J27" s="56">
        <v>1</v>
      </c>
      <c r="K27" s="56">
        <v>0</v>
      </c>
      <c r="L27" s="56">
        <v>0</v>
      </c>
      <c r="M27" s="56">
        <v>0</v>
      </c>
      <c r="N27" s="56">
        <v>0</v>
      </c>
      <c r="O27" s="56">
        <v>1</v>
      </c>
      <c r="P27" s="56">
        <v>56</v>
      </c>
      <c r="Q27" s="56" t="s">
        <v>167</v>
      </c>
      <c r="R27" s="56" t="s">
        <v>168</v>
      </c>
    </row>
    <row r="28" spans="1:18" x14ac:dyDescent="0.15">
      <c r="A28" s="56">
        <v>65523</v>
      </c>
      <c r="B28" s="160">
        <v>3</v>
      </c>
      <c r="C28" s="70" t="str">
        <f t="shared" si="0"/>
        <v>65523_3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6">
        <v>6</v>
      </c>
      <c r="F28" s="56" t="s">
        <v>362</v>
      </c>
      <c r="G28" s="56">
        <v>346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56</v>
      </c>
      <c r="Q28" s="56" t="s">
        <v>167</v>
      </c>
      <c r="R28" s="56" t="s">
        <v>168</v>
      </c>
    </row>
    <row r="29" spans="1:18" x14ac:dyDescent="0.15">
      <c r="A29" s="56">
        <v>65523</v>
      </c>
      <c r="B29" s="160">
        <v>3</v>
      </c>
      <c r="C29" s="70" t="str">
        <f t="shared" si="0"/>
        <v>65523_3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6">
        <v>7</v>
      </c>
      <c r="F29" s="56" t="s">
        <v>362</v>
      </c>
      <c r="G29" s="56">
        <v>354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150</v>
      </c>
      <c r="Q29" s="56" t="s">
        <v>167</v>
      </c>
      <c r="R29" s="56" t="s">
        <v>168</v>
      </c>
    </row>
    <row r="30" spans="1:18" x14ac:dyDescent="0.15">
      <c r="A30" s="56">
        <v>65523</v>
      </c>
      <c r="B30" s="160">
        <v>3</v>
      </c>
      <c r="C30" s="70" t="str">
        <f t="shared" ref="C30:C32" si="3">A30&amp; "_"&amp;B30</f>
        <v>65523_3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6">
        <v>8</v>
      </c>
      <c r="F30" s="56" t="s">
        <v>362</v>
      </c>
      <c r="G30" s="56">
        <v>121</v>
      </c>
      <c r="H30" s="56">
        <v>1</v>
      </c>
      <c r="I30" s="56">
        <v>1</v>
      </c>
      <c r="J30" s="56">
        <v>1</v>
      </c>
      <c r="K30" s="56">
        <v>0</v>
      </c>
      <c r="L30" s="56">
        <v>0</v>
      </c>
      <c r="M30" s="56">
        <v>0</v>
      </c>
      <c r="N30" s="56">
        <v>0</v>
      </c>
      <c r="O30" s="56">
        <v>1</v>
      </c>
      <c r="P30" s="56">
        <v>50</v>
      </c>
      <c r="Q30" s="56" t="s">
        <v>167</v>
      </c>
      <c r="R30" s="56" t="s">
        <v>168</v>
      </c>
    </row>
    <row r="31" spans="1:18" x14ac:dyDescent="0.15">
      <c r="A31" s="56">
        <v>65523</v>
      </c>
      <c r="B31" s="160">
        <v>3</v>
      </c>
      <c r="C31" s="70" t="str">
        <f t="shared" si="3"/>
        <v>65523_3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6">
        <v>9</v>
      </c>
      <c r="F31" s="56" t="s">
        <v>362</v>
      </c>
      <c r="G31" s="56">
        <v>122</v>
      </c>
      <c r="H31" s="56">
        <v>1</v>
      </c>
      <c r="I31" s="56">
        <v>1</v>
      </c>
      <c r="J31" s="56">
        <v>1</v>
      </c>
      <c r="K31" s="56">
        <v>0</v>
      </c>
      <c r="L31" s="56">
        <v>0</v>
      </c>
      <c r="M31" s="56">
        <v>0</v>
      </c>
      <c r="N31" s="56">
        <v>0</v>
      </c>
      <c r="O31" s="56">
        <v>1</v>
      </c>
      <c r="P31" s="56">
        <v>50</v>
      </c>
      <c r="Q31" s="56" t="s">
        <v>167</v>
      </c>
      <c r="R31" s="56" t="s">
        <v>168</v>
      </c>
    </row>
    <row r="32" spans="1:18" x14ac:dyDescent="0.15">
      <c r="A32" s="56">
        <v>65523</v>
      </c>
      <c r="B32" s="160">
        <v>3</v>
      </c>
      <c r="C32" s="70" t="str">
        <f t="shared" si="3"/>
        <v>65523_3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6">
        <v>10</v>
      </c>
      <c r="F32" s="56" t="s">
        <v>362</v>
      </c>
      <c r="G32" s="56">
        <v>123</v>
      </c>
      <c r="H32" s="56">
        <v>1</v>
      </c>
      <c r="I32" s="56">
        <v>1</v>
      </c>
      <c r="J32" s="56">
        <v>1</v>
      </c>
      <c r="K32" s="56">
        <v>0</v>
      </c>
      <c r="L32" s="56">
        <v>0</v>
      </c>
      <c r="M32" s="56">
        <v>0</v>
      </c>
      <c r="N32" s="56">
        <v>0</v>
      </c>
      <c r="O32" s="56">
        <v>1</v>
      </c>
      <c r="P32" s="56">
        <v>50</v>
      </c>
      <c r="Q32" s="56" t="s">
        <v>167</v>
      </c>
      <c r="R32" s="56" t="s">
        <v>168</v>
      </c>
    </row>
    <row r="33" spans="1:18" x14ac:dyDescent="0.15">
      <c r="A33" s="56">
        <v>65523</v>
      </c>
      <c r="B33" s="160">
        <v>3</v>
      </c>
      <c r="C33" s="70" t="str">
        <f t="shared" ref="C33" si="4">A33&amp; "_"&amp;B33</f>
        <v>65523_3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6">
        <v>11</v>
      </c>
      <c r="F33" s="56" t="s">
        <v>362</v>
      </c>
      <c r="G33" s="56">
        <v>125</v>
      </c>
      <c r="H33" s="56">
        <v>1</v>
      </c>
      <c r="I33" s="56">
        <v>1</v>
      </c>
      <c r="J33" s="56">
        <v>1</v>
      </c>
      <c r="K33" s="56">
        <v>0</v>
      </c>
      <c r="L33" s="56">
        <v>0</v>
      </c>
      <c r="M33" s="56">
        <v>0</v>
      </c>
      <c r="N33" s="56">
        <v>0</v>
      </c>
      <c r="O33" s="56">
        <v>1</v>
      </c>
      <c r="P33" s="56">
        <v>10</v>
      </c>
      <c r="Q33" s="56" t="s">
        <v>167</v>
      </c>
      <c r="R33" s="56" t="s">
        <v>168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185</v>
      </c>
      <c r="B1" s="72" t="s">
        <v>186</v>
      </c>
      <c r="C1" s="76" t="s">
        <v>187</v>
      </c>
      <c r="D1" s="76" t="s">
        <v>33</v>
      </c>
      <c r="E1" s="72" t="s">
        <v>188</v>
      </c>
      <c r="F1" s="76" t="s">
        <v>189</v>
      </c>
      <c r="G1" s="76" t="s">
        <v>33</v>
      </c>
      <c r="H1" s="72" t="s">
        <v>190</v>
      </c>
      <c r="I1" s="91" t="s">
        <v>192</v>
      </c>
      <c r="J1" s="78" t="s">
        <v>124</v>
      </c>
      <c r="K1" s="77" t="s">
        <v>184</v>
      </c>
      <c r="L1" s="92" t="s">
        <v>183</v>
      </c>
      <c r="M1" s="79" t="s">
        <v>193</v>
      </c>
    </row>
    <row r="2" spans="1:13" x14ac:dyDescent="0.15">
      <c r="A2" s="80" t="s">
        <v>367</v>
      </c>
      <c r="B2" s="81">
        <v>65523</v>
      </c>
      <c r="C2" s="82" t="s">
        <v>368</v>
      </c>
      <c r="D2" s="82" t="s">
        <v>369</v>
      </c>
      <c r="E2" s="86">
        <v>1</v>
      </c>
      <c r="F2" s="82" t="s">
        <v>370</v>
      </c>
      <c r="G2" s="82" t="s">
        <v>369</v>
      </c>
      <c r="H2" s="84">
        <v>0</v>
      </c>
      <c r="I2">
        <v>3</v>
      </c>
      <c r="J2" s="83" t="s">
        <v>195</v>
      </c>
      <c r="K2" s="169" t="s">
        <v>371</v>
      </c>
      <c r="L2" s="170" t="s">
        <v>372</v>
      </c>
      <c r="M2" s="56" t="s">
        <v>196</v>
      </c>
    </row>
    <row r="3" spans="1:13" x14ac:dyDescent="0.15">
      <c r="A3" s="80" t="s">
        <v>367</v>
      </c>
      <c r="B3" s="81">
        <v>65523</v>
      </c>
      <c r="C3" s="82" t="s">
        <v>368</v>
      </c>
      <c r="D3" s="82" t="s">
        <v>369</v>
      </c>
      <c r="E3" s="86">
        <v>1</v>
      </c>
      <c r="F3" s="82" t="s">
        <v>370</v>
      </c>
      <c r="G3" s="82" t="s">
        <v>369</v>
      </c>
      <c r="H3" s="84">
        <v>0</v>
      </c>
      <c r="I3">
        <v>6</v>
      </c>
      <c r="J3" s="83" t="s">
        <v>195</v>
      </c>
      <c r="K3" s="169" t="s">
        <v>373</v>
      </c>
      <c r="L3" s="170" t="s">
        <v>374</v>
      </c>
      <c r="M3" s="56" t="s">
        <v>196</v>
      </c>
    </row>
    <row r="4" spans="1:13" x14ac:dyDescent="0.15">
      <c r="A4" s="80" t="s">
        <v>367</v>
      </c>
      <c r="B4" s="81">
        <v>65523</v>
      </c>
      <c r="C4" s="82" t="s">
        <v>368</v>
      </c>
      <c r="D4" s="82" t="s">
        <v>369</v>
      </c>
      <c r="E4" s="86">
        <v>1</v>
      </c>
      <c r="F4" s="82" t="s">
        <v>370</v>
      </c>
      <c r="G4" s="82" t="s">
        <v>369</v>
      </c>
      <c r="H4" s="84">
        <v>0</v>
      </c>
      <c r="I4">
        <v>7</v>
      </c>
      <c r="J4" s="83" t="s">
        <v>195</v>
      </c>
      <c r="K4" s="169" t="s">
        <v>375</v>
      </c>
      <c r="L4" s="170" t="s">
        <v>376</v>
      </c>
      <c r="M4" s="56" t="s">
        <v>196</v>
      </c>
    </row>
    <row r="5" spans="1:13" x14ac:dyDescent="0.15">
      <c r="A5" s="80" t="s">
        <v>367</v>
      </c>
      <c r="B5" s="81">
        <v>65523</v>
      </c>
      <c r="C5" s="82" t="s">
        <v>368</v>
      </c>
      <c r="D5" s="82" t="s">
        <v>369</v>
      </c>
      <c r="E5" s="86">
        <v>1</v>
      </c>
      <c r="F5" s="82" t="s">
        <v>370</v>
      </c>
      <c r="G5" s="82" t="s">
        <v>369</v>
      </c>
      <c r="H5" s="84">
        <v>0</v>
      </c>
      <c r="I5">
        <v>8</v>
      </c>
      <c r="J5" s="83" t="s">
        <v>195</v>
      </c>
      <c r="K5" s="169" t="s">
        <v>377</v>
      </c>
      <c r="L5" s="170" t="s">
        <v>378</v>
      </c>
      <c r="M5" s="56" t="s">
        <v>196</v>
      </c>
    </row>
    <row r="6" spans="1:13" x14ac:dyDescent="0.15">
      <c r="A6" s="80" t="s">
        <v>367</v>
      </c>
      <c r="B6" s="81">
        <v>65523</v>
      </c>
      <c r="C6" s="82" t="s">
        <v>368</v>
      </c>
      <c r="D6" s="82" t="s">
        <v>369</v>
      </c>
      <c r="E6" s="86">
        <v>1</v>
      </c>
      <c r="F6" s="82" t="s">
        <v>370</v>
      </c>
      <c r="G6" s="82" t="s">
        <v>369</v>
      </c>
      <c r="H6" s="84">
        <v>0</v>
      </c>
      <c r="I6">
        <v>9</v>
      </c>
      <c r="J6" s="83" t="s">
        <v>195</v>
      </c>
      <c r="K6" s="169" t="s">
        <v>379</v>
      </c>
      <c r="L6" s="170" t="s">
        <v>380</v>
      </c>
      <c r="M6" s="56" t="s">
        <v>196</v>
      </c>
    </row>
    <row r="7" spans="1:13" x14ac:dyDescent="0.15">
      <c r="A7" s="80" t="s">
        <v>367</v>
      </c>
      <c r="B7" s="81">
        <v>65523</v>
      </c>
      <c r="C7" s="82" t="s">
        <v>368</v>
      </c>
      <c r="D7" s="82" t="s">
        <v>369</v>
      </c>
      <c r="E7" s="86">
        <v>1</v>
      </c>
      <c r="F7" s="82" t="s">
        <v>370</v>
      </c>
      <c r="G7" s="82" t="s">
        <v>369</v>
      </c>
      <c r="H7" s="84">
        <v>0</v>
      </c>
      <c r="I7">
        <v>10</v>
      </c>
      <c r="J7" s="83" t="s">
        <v>195</v>
      </c>
      <c r="K7" s="169" t="s">
        <v>381</v>
      </c>
      <c r="L7" s="170" t="s">
        <v>382</v>
      </c>
      <c r="M7" s="56" t="s">
        <v>196</v>
      </c>
    </row>
    <row r="8" spans="1:13" x14ac:dyDescent="0.15">
      <c r="A8" s="80" t="s">
        <v>367</v>
      </c>
      <c r="B8" s="81">
        <v>65523</v>
      </c>
      <c r="C8" s="82" t="s">
        <v>368</v>
      </c>
      <c r="D8" s="82" t="s">
        <v>369</v>
      </c>
      <c r="E8" s="86">
        <v>1</v>
      </c>
      <c r="F8" s="82" t="s">
        <v>370</v>
      </c>
      <c r="G8" s="82" t="s">
        <v>369</v>
      </c>
      <c r="H8" s="84">
        <v>0</v>
      </c>
      <c r="I8">
        <v>11</v>
      </c>
      <c r="J8" s="83" t="s">
        <v>195</v>
      </c>
      <c r="K8" s="169" t="s">
        <v>383</v>
      </c>
      <c r="L8" s="170" t="s">
        <v>384</v>
      </c>
      <c r="M8" s="56" t="s">
        <v>196</v>
      </c>
    </row>
    <row r="9" spans="1:13" x14ac:dyDescent="0.15">
      <c r="A9" s="80" t="s">
        <v>367</v>
      </c>
      <c r="B9" s="81">
        <v>65523</v>
      </c>
      <c r="C9" s="82" t="s">
        <v>368</v>
      </c>
      <c r="D9" s="82" t="s">
        <v>369</v>
      </c>
      <c r="E9" s="86">
        <v>1</v>
      </c>
      <c r="F9" s="82" t="s">
        <v>370</v>
      </c>
      <c r="G9" s="82" t="s">
        <v>369</v>
      </c>
      <c r="H9" s="84">
        <v>0</v>
      </c>
      <c r="I9">
        <v>12</v>
      </c>
      <c r="J9" s="83" t="s">
        <v>195</v>
      </c>
      <c r="K9" s="169" t="s">
        <v>385</v>
      </c>
      <c r="L9" s="170" t="s">
        <v>386</v>
      </c>
      <c r="M9" s="56" t="s">
        <v>196</v>
      </c>
    </row>
    <row r="10" spans="1:13" x14ac:dyDescent="0.15">
      <c r="A10" s="80" t="s">
        <v>367</v>
      </c>
      <c r="B10" s="81">
        <v>65523</v>
      </c>
      <c r="C10" s="82" t="s">
        <v>368</v>
      </c>
      <c r="D10" s="82" t="s">
        <v>369</v>
      </c>
      <c r="E10" s="86">
        <v>1</v>
      </c>
      <c r="F10" s="82" t="s">
        <v>370</v>
      </c>
      <c r="G10" s="82" t="s">
        <v>369</v>
      </c>
      <c r="H10" s="84">
        <v>0</v>
      </c>
      <c r="I10">
        <v>13</v>
      </c>
      <c r="J10" s="83" t="s">
        <v>195</v>
      </c>
      <c r="K10" s="169" t="s">
        <v>387</v>
      </c>
      <c r="L10" s="170" t="s">
        <v>388</v>
      </c>
      <c r="M10" s="56" t="s">
        <v>196</v>
      </c>
    </row>
    <row r="11" spans="1:13" x14ac:dyDescent="0.15">
      <c r="A11" s="80" t="s">
        <v>367</v>
      </c>
      <c r="B11" s="81">
        <v>65523</v>
      </c>
      <c r="C11" s="82" t="s">
        <v>368</v>
      </c>
      <c r="D11" s="82" t="s">
        <v>369</v>
      </c>
      <c r="E11" s="86">
        <v>1</v>
      </c>
      <c r="F11" s="82" t="s">
        <v>370</v>
      </c>
      <c r="G11" s="82" t="s">
        <v>369</v>
      </c>
      <c r="H11" s="84">
        <v>0</v>
      </c>
      <c r="I11">
        <v>14</v>
      </c>
      <c r="J11" s="83" t="s">
        <v>195</v>
      </c>
      <c r="K11" s="169" t="s">
        <v>389</v>
      </c>
      <c r="L11" s="170" t="s">
        <v>390</v>
      </c>
      <c r="M11" s="56" t="s">
        <v>196</v>
      </c>
    </row>
    <row r="12" spans="1:13" x14ac:dyDescent="0.15">
      <c r="A12" s="80" t="s">
        <v>367</v>
      </c>
      <c r="B12" s="81">
        <v>65523</v>
      </c>
      <c r="C12" s="82" t="s">
        <v>368</v>
      </c>
      <c r="D12" s="82" t="s">
        <v>369</v>
      </c>
      <c r="E12" s="86">
        <v>1</v>
      </c>
      <c r="F12" s="82" t="s">
        <v>370</v>
      </c>
      <c r="G12" s="82" t="s">
        <v>369</v>
      </c>
      <c r="H12" s="84">
        <v>0</v>
      </c>
      <c r="I12">
        <v>15</v>
      </c>
      <c r="J12" s="83" t="s">
        <v>195</v>
      </c>
      <c r="K12" s="169" t="s">
        <v>391</v>
      </c>
      <c r="L12" s="170" t="s">
        <v>392</v>
      </c>
      <c r="M12" s="56" t="s">
        <v>196</v>
      </c>
    </row>
    <row r="13" spans="1:13" x14ac:dyDescent="0.15">
      <c r="A13" s="80" t="s">
        <v>367</v>
      </c>
      <c r="B13" s="81">
        <v>65523</v>
      </c>
      <c r="C13" s="82" t="s">
        <v>368</v>
      </c>
      <c r="D13" s="82" t="s">
        <v>369</v>
      </c>
      <c r="E13" s="86">
        <v>1</v>
      </c>
      <c r="F13" s="82" t="s">
        <v>370</v>
      </c>
      <c r="G13" s="82" t="s">
        <v>369</v>
      </c>
      <c r="H13" s="84">
        <v>0</v>
      </c>
      <c r="I13">
        <v>16</v>
      </c>
      <c r="J13" s="83" t="s">
        <v>195</v>
      </c>
      <c r="K13" s="169" t="s">
        <v>393</v>
      </c>
      <c r="L13" s="170" t="s">
        <v>394</v>
      </c>
      <c r="M13" s="56" t="s">
        <v>196</v>
      </c>
    </row>
    <row r="14" spans="1:13" x14ac:dyDescent="0.15">
      <c r="A14" s="80" t="s">
        <v>367</v>
      </c>
      <c r="B14" s="81">
        <v>65523</v>
      </c>
      <c r="C14" s="82" t="s">
        <v>368</v>
      </c>
      <c r="D14" s="82" t="s">
        <v>369</v>
      </c>
      <c r="E14" s="86">
        <v>1</v>
      </c>
      <c r="F14" s="82" t="s">
        <v>370</v>
      </c>
      <c r="G14" s="82" t="s">
        <v>369</v>
      </c>
      <c r="H14" s="84">
        <v>0</v>
      </c>
      <c r="I14">
        <v>17</v>
      </c>
      <c r="J14" s="83" t="s">
        <v>195</v>
      </c>
      <c r="K14" s="169" t="s">
        <v>395</v>
      </c>
      <c r="L14" s="170" t="s">
        <v>396</v>
      </c>
      <c r="M14" s="56" t="s">
        <v>196</v>
      </c>
    </row>
    <row r="15" spans="1:13" x14ac:dyDescent="0.15">
      <c r="A15" s="80" t="s">
        <v>367</v>
      </c>
      <c r="B15" s="81">
        <v>65523</v>
      </c>
      <c r="C15" s="82" t="s">
        <v>368</v>
      </c>
      <c r="D15" s="82" t="s">
        <v>369</v>
      </c>
      <c r="E15" s="86">
        <v>1</v>
      </c>
      <c r="F15" s="82" t="s">
        <v>370</v>
      </c>
      <c r="G15" s="82" t="s">
        <v>369</v>
      </c>
      <c r="H15" s="84">
        <v>0</v>
      </c>
      <c r="I15">
        <v>18</v>
      </c>
      <c r="J15" s="83" t="s">
        <v>195</v>
      </c>
      <c r="K15" s="169" t="s">
        <v>397</v>
      </c>
      <c r="L15" s="170" t="s">
        <v>398</v>
      </c>
      <c r="M15" s="56" t="s">
        <v>196</v>
      </c>
    </row>
    <row r="16" spans="1:13" x14ac:dyDescent="0.15">
      <c r="A16" s="80" t="s">
        <v>367</v>
      </c>
      <c r="B16" s="81">
        <v>65523</v>
      </c>
      <c r="C16" s="82" t="s">
        <v>368</v>
      </c>
      <c r="D16" s="82" t="s">
        <v>369</v>
      </c>
      <c r="E16" s="86">
        <v>1</v>
      </c>
      <c r="F16" s="82" t="s">
        <v>370</v>
      </c>
      <c r="G16" s="82" t="s">
        <v>369</v>
      </c>
      <c r="H16" s="84">
        <v>0</v>
      </c>
      <c r="I16">
        <v>19</v>
      </c>
      <c r="J16" s="83" t="s">
        <v>195</v>
      </c>
      <c r="K16" s="169" t="s">
        <v>399</v>
      </c>
      <c r="L16" s="170" t="s">
        <v>400</v>
      </c>
      <c r="M16" s="56" t="s">
        <v>196</v>
      </c>
    </row>
    <row r="17" spans="1:13" x14ac:dyDescent="0.15">
      <c r="A17" s="80" t="s">
        <v>367</v>
      </c>
      <c r="B17" s="81">
        <v>65523</v>
      </c>
      <c r="C17" s="82" t="s">
        <v>368</v>
      </c>
      <c r="D17" s="82" t="s">
        <v>369</v>
      </c>
      <c r="E17" s="86">
        <v>1</v>
      </c>
      <c r="F17" s="82" t="s">
        <v>370</v>
      </c>
      <c r="G17" s="82" t="s">
        <v>369</v>
      </c>
      <c r="H17" s="84">
        <v>0</v>
      </c>
      <c r="I17">
        <v>20</v>
      </c>
      <c r="J17" s="83" t="s">
        <v>195</v>
      </c>
      <c r="K17" s="169" t="s">
        <v>401</v>
      </c>
      <c r="L17" s="170" t="s">
        <v>402</v>
      </c>
      <c r="M17" s="56" t="s">
        <v>196</v>
      </c>
    </row>
    <row r="18" spans="1:13" x14ac:dyDescent="0.15">
      <c r="A18" s="80" t="s">
        <v>367</v>
      </c>
      <c r="B18" s="81">
        <v>65523</v>
      </c>
      <c r="C18" s="82" t="s">
        <v>368</v>
      </c>
      <c r="D18" s="82" t="s">
        <v>369</v>
      </c>
      <c r="E18" s="86">
        <v>1</v>
      </c>
      <c r="F18" s="82" t="s">
        <v>370</v>
      </c>
      <c r="G18" s="82" t="s">
        <v>369</v>
      </c>
      <c r="H18" s="84">
        <v>0</v>
      </c>
      <c r="I18">
        <v>21</v>
      </c>
      <c r="J18" s="83" t="s">
        <v>195</v>
      </c>
      <c r="K18" s="169" t="s">
        <v>403</v>
      </c>
      <c r="L18" s="170" t="s">
        <v>404</v>
      </c>
      <c r="M18" s="56" t="s">
        <v>196</v>
      </c>
    </row>
    <row r="19" spans="1:13" x14ac:dyDescent="0.15">
      <c r="A19" s="80" t="s">
        <v>367</v>
      </c>
      <c r="B19" s="81">
        <v>65523</v>
      </c>
      <c r="C19" s="82" t="s">
        <v>368</v>
      </c>
      <c r="D19" s="82" t="s">
        <v>369</v>
      </c>
      <c r="E19" s="86">
        <v>1</v>
      </c>
      <c r="F19" s="82" t="s">
        <v>370</v>
      </c>
      <c r="G19" s="82" t="s">
        <v>369</v>
      </c>
      <c r="H19" s="84">
        <v>0</v>
      </c>
      <c r="I19">
        <v>22</v>
      </c>
      <c r="J19" s="83" t="s">
        <v>195</v>
      </c>
      <c r="K19" s="169" t="s">
        <v>405</v>
      </c>
      <c r="L19" s="170" t="s">
        <v>406</v>
      </c>
      <c r="M19" s="56" t="s">
        <v>196</v>
      </c>
    </row>
    <row r="20" spans="1:13" x14ac:dyDescent="0.15">
      <c r="A20" s="80" t="s">
        <v>367</v>
      </c>
      <c r="B20" s="81">
        <v>65523</v>
      </c>
      <c r="C20" s="82" t="s">
        <v>368</v>
      </c>
      <c r="D20" s="82" t="s">
        <v>369</v>
      </c>
      <c r="E20" s="86">
        <v>1</v>
      </c>
      <c r="F20" s="82" t="s">
        <v>370</v>
      </c>
      <c r="G20" s="82" t="s">
        <v>369</v>
      </c>
      <c r="H20" s="84">
        <v>0</v>
      </c>
      <c r="I20">
        <v>23</v>
      </c>
      <c r="J20" s="83" t="s">
        <v>195</v>
      </c>
      <c r="K20" s="169" t="s">
        <v>407</v>
      </c>
      <c r="L20" s="170" t="s">
        <v>408</v>
      </c>
      <c r="M20" s="56" t="s">
        <v>196</v>
      </c>
    </row>
    <row r="21" spans="1:13" x14ac:dyDescent="0.15">
      <c r="A21" s="80" t="s">
        <v>367</v>
      </c>
      <c r="B21" s="81">
        <v>65523</v>
      </c>
      <c r="C21" s="82" t="s">
        <v>368</v>
      </c>
      <c r="D21" s="82" t="s">
        <v>369</v>
      </c>
      <c r="E21" s="86">
        <v>1</v>
      </c>
      <c r="F21" s="82" t="s">
        <v>370</v>
      </c>
      <c r="G21" s="82" t="s">
        <v>369</v>
      </c>
      <c r="H21" s="84">
        <v>0</v>
      </c>
      <c r="I21">
        <v>24</v>
      </c>
      <c r="J21" s="83" t="s">
        <v>195</v>
      </c>
      <c r="K21" s="169" t="s">
        <v>409</v>
      </c>
      <c r="L21" s="170" t="s">
        <v>410</v>
      </c>
      <c r="M21" s="56" t="s">
        <v>196</v>
      </c>
    </row>
    <row r="22" spans="1:13" x14ac:dyDescent="0.15">
      <c r="A22" s="80" t="s">
        <v>367</v>
      </c>
      <c r="B22" s="81">
        <v>65523</v>
      </c>
      <c r="C22" s="82" t="s">
        <v>368</v>
      </c>
      <c r="D22" s="82" t="s">
        <v>369</v>
      </c>
      <c r="E22" s="86">
        <v>1</v>
      </c>
      <c r="F22" s="82" t="s">
        <v>370</v>
      </c>
      <c r="G22" s="82" t="s">
        <v>369</v>
      </c>
      <c r="H22" s="84">
        <v>0</v>
      </c>
      <c r="I22">
        <v>25</v>
      </c>
      <c r="J22" s="83" t="s">
        <v>195</v>
      </c>
      <c r="K22" s="169" t="s">
        <v>411</v>
      </c>
      <c r="L22" s="170" t="s">
        <v>412</v>
      </c>
      <c r="M22" s="56" t="s">
        <v>196</v>
      </c>
    </row>
    <row r="23" spans="1:13" x14ac:dyDescent="0.15">
      <c r="A23" s="80" t="s">
        <v>367</v>
      </c>
      <c r="B23" s="81">
        <v>65523</v>
      </c>
      <c r="C23" s="82" t="s">
        <v>368</v>
      </c>
      <c r="D23" s="82" t="s">
        <v>369</v>
      </c>
      <c r="E23" s="86">
        <v>1</v>
      </c>
      <c r="F23" s="82" t="s">
        <v>370</v>
      </c>
      <c r="G23" s="82" t="s">
        <v>369</v>
      </c>
      <c r="H23" s="84">
        <v>0</v>
      </c>
      <c r="I23">
        <v>26</v>
      </c>
      <c r="J23" s="83" t="s">
        <v>195</v>
      </c>
      <c r="K23" s="169" t="s">
        <v>413</v>
      </c>
      <c r="L23" s="170" t="s">
        <v>414</v>
      </c>
      <c r="M23" s="56" t="s">
        <v>196</v>
      </c>
    </row>
    <row r="24" spans="1:13" x14ac:dyDescent="0.15">
      <c r="A24" s="80" t="s">
        <v>367</v>
      </c>
      <c r="B24" s="81">
        <v>65523</v>
      </c>
      <c r="C24" s="82" t="s">
        <v>368</v>
      </c>
      <c r="D24" s="82" t="s">
        <v>369</v>
      </c>
      <c r="E24" s="86">
        <v>1</v>
      </c>
      <c r="F24" s="82" t="s">
        <v>370</v>
      </c>
      <c r="G24" s="82" t="s">
        <v>369</v>
      </c>
      <c r="H24" s="84">
        <v>0</v>
      </c>
      <c r="I24">
        <v>27</v>
      </c>
      <c r="J24" s="83" t="s">
        <v>195</v>
      </c>
      <c r="K24" s="169" t="s">
        <v>415</v>
      </c>
      <c r="L24" s="170" t="s">
        <v>416</v>
      </c>
      <c r="M24" s="56" t="s">
        <v>196</v>
      </c>
    </row>
    <row r="25" spans="1:13" x14ac:dyDescent="0.15">
      <c r="A25" s="80" t="s">
        <v>367</v>
      </c>
      <c r="B25" s="81">
        <v>65523</v>
      </c>
      <c r="C25" s="82" t="s">
        <v>368</v>
      </c>
      <c r="D25" s="82" t="s">
        <v>369</v>
      </c>
      <c r="E25" s="86">
        <v>1</v>
      </c>
      <c r="F25" s="82" t="s">
        <v>370</v>
      </c>
      <c r="G25" s="82" t="s">
        <v>369</v>
      </c>
      <c r="H25" s="84">
        <v>0</v>
      </c>
      <c r="I25">
        <v>28</v>
      </c>
      <c r="J25" s="83" t="s">
        <v>195</v>
      </c>
      <c r="K25" s="169" t="s">
        <v>417</v>
      </c>
      <c r="L25" s="170" t="s">
        <v>418</v>
      </c>
      <c r="M25" s="56" t="s">
        <v>196</v>
      </c>
    </row>
    <row r="26" spans="1:13" x14ac:dyDescent="0.15">
      <c r="A26" s="80" t="s">
        <v>367</v>
      </c>
      <c r="B26" s="81">
        <v>65523</v>
      </c>
      <c r="C26" s="82" t="s">
        <v>368</v>
      </c>
      <c r="D26" s="82" t="s">
        <v>369</v>
      </c>
      <c r="E26" s="86">
        <v>1</v>
      </c>
      <c r="F26" s="82" t="s">
        <v>370</v>
      </c>
      <c r="G26" s="82" t="s">
        <v>369</v>
      </c>
      <c r="H26" s="84">
        <v>0</v>
      </c>
      <c r="I26">
        <v>29</v>
      </c>
      <c r="J26" s="83" t="s">
        <v>195</v>
      </c>
      <c r="K26" s="169" t="s">
        <v>419</v>
      </c>
      <c r="L26" s="170" t="s">
        <v>420</v>
      </c>
      <c r="M26" s="56" t="s">
        <v>196</v>
      </c>
    </row>
    <row r="27" spans="1:13" x14ac:dyDescent="0.15">
      <c r="A27" s="80" t="s">
        <v>367</v>
      </c>
      <c r="B27" s="81">
        <v>65523</v>
      </c>
      <c r="C27" s="82" t="s">
        <v>368</v>
      </c>
      <c r="D27" s="82" t="s">
        <v>369</v>
      </c>
      <c r="E27" s="86">
        <v>1</v>
      </c>
      <c r="F27" s="82" t="s">
        <v>370</v>
      </c>
      <c r="G27" s="82" t="s">
        <v>369</v>
      </c>
      <c r="H27" s="84">
        <v>0</v>
      </c>
      <c r="I27">
        <v>30</v>
      </c>
      <c r="J27" s="83" t="s">
        <v>195</v>
      </c>
      <c r="K27" s="169" t="s">
        <v>421</v>
      </c>
      <c r="L27" s="170" t="s">
        <v>422</v>
      </c>
      <c r="M27" s="56" t="s">
        <v>196</v>
      </c>
    </row>
    <row r="28" spans="1:13" x14ac:dyDescent="0.15">
      <c r="A28" s="80" t="s">
        <v>367</v>
      </c>
      <c r="B28" s="81">
        <v>65523</v>
      </c>
      <c r="C28" s="82" t="s">
        <v>368</v>
      </c>
      <c r="D28" s="82" t="s">
        <v>369</v>
      </c>
      <c r="E28" s="86">
        <v>1</v>
      </c>
      <c r="F28" s="82" t="s">
        <v>370</v>
      </c>
      <c r="G28" s="82" t="s">
        <v>369</v>
      </c>
      <c r="H28" s="84">
        <v>0</v>
      </c>
      <c r="I28">
        <v>31</v>
      </c>
      <c r="J28" s="83" t="s">
        <v>195</v>
      </c>
      <c r="K28" s="169" t="s">
        <v>423</v>
      </c>
      <c r="L28" s="170" t="s">
        <v>424</v>
      </c>
      <c r="M28" s="56" t="s">
        <v>196</v>
      </c>
    </row>
    <row r="29" spans="1:13" x14ac:dyDescent="0.15">
      <c r="A29" s="80" t="s">
        <v>367</v>
      </c>
      <c r="B29" s="81">
        <v>65523</v>
      </c>
      <c r="C29" s="82" t="s">
        <v>368</v>
      </c>
      <c r="D29" s="82" t="s">
        <v>369</v>
      </c>
      <c r="E29" s="86">
        <v>1</v>
      </c>
      <c r="F29" s="82" t="s">
        <v>370</v>
      </c>
      <c r="G29" s="82" t="s">
        <v>369</v>
      </c>
      <c r="H29" s="84">
        <v>0</v>
      </c>
      <c r="I29">
        <v>32</v>
      </c>
      <c r="J29" s="83" t="s">
        <v>195</v>
      </c>
      <c r="K29" s="169" t="s">
        <v>425</v>
      </c>
      <c r="L29" s="170" t="s">
        <v>426</v>
      </c>
      <c r="M29" s="56" t="s">
        <v>196</v>
      </c>
    </row>
    <row r="30" spans="1:13" x14ac:dyDescent="0.15">
      <c r="A30" s="80" t="s">
        <v>367</v>
      </c>
      <c r="B30" s="81">
        <v>65523</v>
      </c>
      <c r="C30" s="82" t="s">
        <v>368</v>
      </c>
      <c r="D30" s="82" t="s">
        <v>369</v>
      </c>
      <c r="E30" s="86">
        <v>1</v>
      </c>
      <c r="F30" s="82" t="s">
        <v>370</v>
      </c>
      <c r="G30" s="82" t="s">
        <v>369</v>
      </c>
      <c r="H30" s="84">
        <v>0</v>
      </c>
      <c r="I30">
        <v>33</v>
      </c>
      <c r="J30" s="83" t="s">
        <v>195</v>
      </c>
      <c r="K30" s="169" t="s">
        <v>427</v>
      </c>
      <c r="L30" s="170" t="s">
        <v>428</v>
      </c>
      <c r="M30" s="56" t="s">
        <v>196</v>
      </c>
    </row>
    <row r="31" spans="1:13" x14ac:dyDescent="0.15">
      <c r="A31" s="80" t="s">
        <v>367</v>
      </c>
      <c r="B31" s="81">
        <v>65523</v>
      </c>
      <c r="C31" s="82" t="s">
        <v>368</v>
      </c>
      <c r="D31" s="82" t="s">
        <v>369</v>
      </c>
      <c r="E31" s="86">
        <v>1</v>
      </c>
      <c r="F31" s="82" t="s">
        <v>370</v>
      </c>
      <c r="G31" s="82" t="s">
        <v>369</v>
      </c>
      <c r="H31" s="84">
        <v>0</v>
      </c>
      <c r="I31">
        <v>34</v>
      </c>
      <c r="J31" s="83" t="s">
        <v>195</v>
      </c>
      <c r="K31" s="169" t="s">
        <v>429</v>
      </c>
      <c r="L31" s="170" t="s">
        <v>430</v>
      </c>
      <c r="M31" s="56" t="s">
        <v>196</v>
      </c>
    </row>
    <row r="32" spans="1:13" x14ac:dyDescent="0.15">
      <c r="A32" s="80" t="s">
        <v>367</v>
      </c>
      <c r="B32" s="81">
        <v>65523</v>
      </c>
      <c r="C32" s="82" t="s">
        <v>368</v>
      </c>
      <c r="D32" s="82" t="s">
        <v>369</v>
      </c>
      <c r="E32" s="86">
        <v>1</v>
      </c>
      <c r="F32" s="82" t="s">
        <v>370</v>
      </c>
      <c r="G32" s="82" t="s">
        <v>369</v>
      </c>
      <c r="H32" s="84">
        <v>0</v>
      </c>
      <c r="I32">
        <v>35</v>
      </c>
      <c r="J32" s="83" t="s">
        <v>195</v>
      </c>
      <c r="K32" s="169" t="s">
        <v>431</v>
      </c>
      <c r="L32" s="170" t="s">
        <v>432</v>
      </c>
      <c r="M32" s="56" t="s">
        <v>196</v>
      </c>
    </row>
    <row r="33" spans="1:13" x14ac:dyDescent="0.15">
      <c r="A33" s="80" t="s">
        <v>367</v>
      </c>
      <c r="B33" s="81">
        <v>65523</v>
      </c>
      <c r="C33" s="82" t="s">
        <v>368</v>
      </c>
      <c r="D33" s="82" t="s">
        <v>369</v>
      </c>
      <c r="E33" s="86">
        <v>1</v>
      </c>
      <c r="F33" s="82" t="s">
        <v>370</v>
      </c>
      <c r="G33" s="82" t="s">
        <v>369</v>
      </c>
      <c r="H33" s="84">
        <v>0</v>
      </c>
      <c r="I33">
        <v>39</v>
      </c>
      <c r="J33" s="83" t="s">
        <v>195</v>
      </c>
      <c r="K33" s="169" t="s">
        <v>433</v>
      </c>
      <c r="L33" s="170" t="s">
        <v>434</v>
      </c>
      <c r="M33" s="56" t="s">
        <v>196</v>
      </c>
    </row>
    <row r="34" spans="1:13" x14ac:dyDescent="0.15">
      <c r="A34" s="80" t="s">
        <v>367</v>
      </c>
      <c r="B34" s="81">
        <v>65523</v>
      </c>
      <c r="C34" s="82" t="s">
        <v>368</v>
      </c>
      <c r="D34" s="82" t="s">
        <v>369</v>
      </c>
      <c r="E34" s="86">
        <v>2</v>
      </c>
      <c r="F34" s="82" t="s">
        <v>435</v>
      </c>
      <c r="G34" s="82" t="s">
        <v>369</v>
      </c>
      <c r="H34" s="84">
        <v>0</v>
      </c>
      <c r="I34" s="171">
        <v>3</v>
      </c>
      <c r="J34" s="83" t="s">
        <v>195</v>
      </c>
      <c r="K34" s="169" t="s">
        <v>371</v>
      </c>
      <c r="L34" s="170" t="s">
        <v>372</v>
      </c>
      <c r="M34" s="56" t="s">
        <v>196</v>
      </c>
    </row>
    <row r="35" spans="1:13" x14ac:dyDescent="0.15">
      <c r="A35" s="80" t="s">
        <v>367</v>
      </c>
      <c r="B35" s="81">
        <v>65523</v>
      </c>
      <c r="C35" s="82" t="s">
        <v>368</v>
      </c>
      <c r="D35" s="82" t="s">
        <v>369</v>
      </c>
      <c r="E35" s="86">
        <v>2</v>
      </c>
      <c r="F35" s="82" t="s">
        <v>435</v>
      </c>
      <c r="G35" s="82" t="s">
        <v>369</v>
      </c>
      <c r="H35" s="84">
        <v>0</v>
      </c>
      <c r="I35" s="171">
        <v>6</v>
      </c>
      <c r="J35" s="83" t="s">
        <v>195</v>
      </c>
      <c r="K35" s="169" t="s">
        <v>373</v>
      </c>
      <c r="L35" s="170" t="s">
        <v>374</v>
      </c>
      <c r="M35" s="56" t="s">
        <v>196</v>
      </c>
    </row>
    <row r="36" spans="1:13" x14ac:dyDescent="0.15">
      <c r="A36" s="80" t="s">
        <v>367</v>
      </c>
      <c r="B36" s="81">
        <v>65523</v>
      </c>
      <c r="C36" s="82" t="s">
        <v>368</v>
      </c>
      <c r="D36" s="82" t="s">
        <v>369</v>
      </c>
      <c r="E36" s="86">
        <v>2</v>
      </c>
      <c r="F36" s="82" t="s">
        <v>435</v>
      </c>
      <c r="G36" s="82" t="s">
        <v>369</v>
      </c>
      <c r="H36" s="84">
        <v>0</v>
      </c>
      <c r="I36" s="171">
        <v>7</v>
      </c>
      <c r="J36" s="83" t="s">
        <v>195</v>
      </c>
      <c r="K36" s="169" t="s">
        <v>375</v>
      </c>
      <c r="L36" s="170" t="s">
        <v>376</v>
      </c>
      <c r="M36" s="56" t="s">
        <v>196</v>
      </c>
    </row>
    <row r="37" spans="1:13" x14ac:dyDescent="0.15">
      <c r="A37" s="80" t="s">
        <v>367</v>
      </c>
      <c r="B37" s="81">
        <v>65523</v>
      </c>
      <c r="C37" s="82" t="s">
        <v>368</v>
      </c>
      <c r="D37" s="82" t="s">
        <v>369</v>
      </c>
      <c r="E37" s="86">
        <v>2</v>
      </c>
      <c r="F37" s="82" t="s">
        <v>435</v>
      </c>
      <c r="G37" s="82" t="s">
        <v>369</v>
      </c>
      <c r="H37" s="84">
        <v>0</v>
      </c>
      <c r="I37" s="171">
        <v>8</v>
      </c>
      <c r="J37" s="83" t="s">
        <v>195</v>
      </c>
      <c r="K37" s="169" t="s">
        <v>377</v>
      </c>
      <c r="L37" s="170" t="s">
        <v>378</v>
      </c>
      <c r="M37" s="56" t="s">
        <v>196</v>
      </c>
    </row>
    <row r="38" spans="1:13" x14ac:dyDescent="0.15">
      <c r="A38" s="80" t="s">
        <v>367</v>
      </c>
      <c r="B38" s="81">
        <v>65523</v>
      </c>
      <c r="C38" s="82" t="s">
        <v>368</v>
      </c>
      <c r="D38" s="82" t="s">
        <v>369</v>
      </c>
      <c r="E38" s="86">
        <v>2</v>
      </c>
      <c r="F38" s="82" t="s">
        <v>435</v>
      </c>
      <c r="G38" s="82" t="s">
        <v>369</v>
      </c>
      <c r="H38" s="84">
        <v>0</v>
      </c>
      <c r="I38" s="171">
        <v>9</v>
      </c>
      <c r="J38" s="83" t="s">
        <v>195</v>
      </c>
      <c r="K38" s="169" t="s">
        <v>379</v>
      </c>
      <c r="L38" s="170" t="s">
        <v>380</v>
      </c>
      <c r="M38" s="56" t="s">
        <v>196</v>
      </c>
    </row>
    <row r="39" spans="1:13" x14ac:dyDescent="0.15">
      <c r="A39" s="80" t="s">
        <v>367</v>
      </c>
      <c r="B39" s="81">
        <v>65523</v>
      </c>
      <c r="C39" s="82" t="s">
        <v>368</v>
      </c>
      <c r="D39" s="82" t="s">
        <v>369</v>
      </c>
      <c r="E39" s="86">
        <v>2</v>
      </c>
      <c r="F39" s="82" t="s">
        <v>435</v>
      </c>
      <c r="G39" s="82" t="s">
        <v>369</v>
      </c>
      <c r="H39" s="84">
        <v>0</v>
      </c>
      <c r="I39" s="171">
        <v>10</v>
      </c>
      <c r="J39" s="83" t="s">
        <v>195</v>
      </c>
      <c r="K39" s="169" t="s">
        <v>381</v>
      </c>
      <c r="L39" s="170" t="s">
        <v>382</v>
      </c>
      <c r="M39" s="56" t="s">
        <v>196</v>
      </c>
    </row>
    <row r="40" spans="1:13" x14ac:dyDescent="0.15">
      <c r="A40" s="80" t="s">
        <v>367</v>
      </c>
      <c r="B40" s="81">
        <v>65523</v>
      </c>
      <c r="C40" s="82" t="s">
        <v>368</v>
      </c>
      <c r="D40" s="82" t="s">
        <v>369</v>
      </c>
      <c r="E40" s="86">
        <v>2</v>
      </c>
      <c r="F40" s="82" t="s">
        <v>435</v>
      </c>
      <c r="G40" s="82" t="s">
        <v>369</v>
      </c>
      <c r="H40" s="84">
        <v>0</v>
      </c>
      <c r="I40" s="171">
        <v>11</v>
      </c>
      <c r="J40" s="83" t="s">
        <v>195</v>
      </c>
      <c r="K40" s="169" t="s">
        <v>383</v>
      </c>
      <c r="L40" s="170" t="s">
        <v>384</v>
      </c>
      <c r="M40" s="56" t="s">
        <v>196</v>
      </c>
    </row>
    <row r="41" spans="1:13" x14ac:dyDescent="0.15">
      <c r="A41" s="80" t="s">
        <v>367</v>
      </c>
      <c r="B41" s="81">
        <v>65523</v>
      </c>
      <c r="C41" s="82" t="s">
        <v>368</v>
      </c>
      <c r="D41" s="82" t="s">
        <v>369</v>
      </c>
      <c r="E41" s="86">
        <v>2</v>
      </c>
      <c r="F41" s="82" t="s">
        <v>435</v>
      </c>
      <c r="G41" s="82" t="s">
        <v>369</v>
      </c>
      <c r="H41" s="84">
        <v>0</v>
      </c>
      <c r="I41" s="171">
        <v>12</v>
      </c>
      <c r="J41" s="83" t="s">
        <v>195</v>
      </c>
      <c r="K41" s="169" t="s">
        <v>385</v>
      </c>
      <c r="L41" s="170" t="s">
        <v>386</v>
      </c>
      <c r="M41" s="56" t="s">
        <v>196</v>
      </c>
    </row>
    <row r="42" spans="1:13" x14ac:dyDescent="0.15">
      <c r="A42" s="80" t="s">
        <v>367</v>
      </c>
      <c r="B42" s="81">
        <v>65523</v>
      </c>
      <c r="C42" s="82" t="s">
        <v>368</v>
      </c>
      <c r="D42" s="82" t="s">
        <v>369</v>
      </c>
      <c r="E42" s="86">
        <v>2</v>
      </c>
      <c r="F42" s="82" t="s">
        <v>435</v>
      </c>
      <c r="G42" s="82" t="s">
        <v>369</v>
      </c>
      <c r="H42" s="84">
        <v>0</v>
      </c>
      <c r="I42" s="171">
        <v>13</v>
      </c>
      <c r="J42" s="83" t="s">
        <v>195</v>
      </c>
      <c r="K42" s="169" t="s">
        <v>387</v>
      </c>
      <c r="L42" s="170" t="s">
        <v>388</v>
      </c>
      <c r="M42" s="56" t="s">
        <v>196</v>
      </c>
    </row>
    <row r="43" spans="1:13" x14ac:dyDescent="0.15">
      <c r="A43" s="80" t="s">
        <v>367</v>
      </c>
      <c r="B43" s="81">
        <v>65523</v>
      </c>
      <c r="C43" s="82" t="s">
        <v>368</v>
      </c>
      <c r="D43" s="82" t="s">
        <v>369</v>
      </c>
      <c r="E43" s="86">
        <v>2</v>
      </c>
      <c r="F43" s="82" t="s">
        <v>435</v>
      </c>
      <c r="G43" s="82" t="s">
        <v>369</v>
      </c>
      <c r="H43" s="84">
        <v>0</v>
      </c>
      <c r="I43" s="171">
        <v>14</v>
      </c>
      <c r="J43" s="83" t="s">
        <v>195</v>
      </c>
      <c r="K43" s="169" t="s">
        <v>389</v>
      </c>
      <c r="L43" s="170" t="s">
        <v>390</v>
      </c>
      <c r="M43" s="56" t="s">
        <v>196</v>
      </c>
    </row>
    <row r="44" spans="1:13" x14ac:dyDescent="0.15">
      <c r="A44" s="80" t="s">
        <v>367</v>
      </c>
      <c r="B44" s="81">
        <v>65523</v>
      </c>
      <c r="C44" s="82" t="s">
        <v>368</v>
      </c>
      <c r="D44" s="82" t="s">
        <v>369</v>
      </c>
      <c r="E44" s="86">
        <v>2</v>
      </c>
      <c r="F44" s="82" t="s">
        <v>435</v>
      </c>
      <c r="G44" s="82" t="s">
        <v>369</v>
      </c>
      <c r="H44" s="84">
        <v>0</v>
      </c>
      <c r="I44" s="171">
        <v>15</v>
      </c>
      <c r="J44" s="83" t="s">
        <v>195</v>
      </c>
      <c r="K44" s="169" t="s">
        <v>391</v>
      </c>
      <c r="L44" s="170" t="s">
        <v>392</v>
      </c>
      <c r="M44" s="56" t="s">
        <v>196</v>
      </c>
    </row>
    <row r="45" spans="1:13" x14ac:dyDescent="0.15">
      <c r="A45" s="80" t="s">
        <v>367</v>
      </c>
      <c r="B45" s="81">
        <v>65523</v>
      </c>
      <c r="C45" s="82" t="s">
        <v>368</v>
      </c>
      <c r="D45" s="82" t="s">
        <v>369</v>
      </c>
      <c r="E45" s="86">
        <v>2</v>
      </c>
      <c r="F45" s="82" t="s">
        <v>435</v>
      </c>
      <c r="G45" s="82" t="s">
        <v>369</v>
      </c>
      <c r="H45" s="84">
        <v>0</v>
      </c>
      <c r="I45" s="171">
        <v>16</v>
      </c>
      <c r="J45" s="83" t="s">
        <v>195</v>
      </c>
      <c r="K45" s="169" t="s">
        <v>393</v>
      </c>
      <c r="L45" s="170" t="s">
        <v>394</v>
      </c>
      <c r="M45" s="56" t="s">
        <v>196</v>
      </c>
    </row>
    <row r="46" spans="1:13" x14ac:dyDescent="0.15">
      <c r="A46" s="80" t="s">
        <v>367</v>
      </c>
      <c r="B46" s="81">
        <v>65523</v>
      </c>
      <c r="C46" s="82" t="s">
        <v>368</v>
      </c>
      <c r="D46" s="82" t="s">
        <v>369</v>
      </c>
      <c r="E46" s="86">
        <v>2</v>
      </c>
      <c r="F46" s="82" t="s">
        <v>435</v>
      </c>
      <c r="G46" s="82" t="s">
        <v>369</v>
      </c>
      <c r="H46" s="84">
        <v>0</v>
      </c>
      <c r="I46" s="171">
        <v>17</v>
      </c>
      <c r="J46" s="83" t="s">
        <v>195</v>
      </c>
      <c r="K46" s="169" t="s">
        <v>395</v>
      </c>
      <c r="L46" s="170" t="s">
        <v>396</v>
      </c>
      <c r="M46" s="56" t="s">
        <v>196</v>
      </c>
    </row>
    <row r="47" spans="1:13" x14ac:dyDescent="0.15">
      <c r="A47" s="80" t="s">
        <v>367</v>
      </c>
      <c r="B47" s="81">
        <v>65523</v>
      </c>
      <c r="C47" s="82" t="s">
        <v>368</v>
      </c>
      <c r="D47" s="82" t="s">
        <v>369</v>
      </c>
      <c r="E47" s="86">
        <v>2</v>
      </c>
      <c r="F47" s="82" t="s">
        <v>435</v>
      </c>
      <c r="G47" s="82" t="s">
        <v>369</v>
      </c>
      <c r="H47" s="84">
        <v>0</v>
      </c>
      <c r="I47" s="171">
        <v>18</v>
      </c>
      <c r="J47" s="83" t="s">
        <v>195</v>
      </c>
      <c r="K47" s="169" t="s">
        <v>397</v>
      </c>
      <c r="L47" s="170" t="s">
        <v>398</v>
      </c>
      <c r="M47" s="56" t="s">
        <v>196</v>
      </c>
    </row>
    <row r="48" spans="1:13" x14ac:dyDescent="0.15">
      <c r="A48" s="80" t="s">
        <v>367</v>
      </c>
      <c r="B48" s="81">
        <v>65523</v>
      </c>
      <c r="C48" s="82" t="s">
        <v>368</v>
      </c>
      <c r="D48" s="82" t="s">
        <v>369</v>
      </c>
      <c r="E48" s="86">
        <v>2</v>
      </c>
      <c r="F48" s="82" t="s">
        <v>435</v>
      </c>
      <c r="G48" s="82" t="s">
        <v>369</v>
      </c>
      <c r="H48" s="84">
        <v>0</v>
      </c>
      <c r="I48" s="171">
        <v>19</v>
      </c>
      <c r="J48" s="83" t="s">
        <v>195</v>
      </c>
      <c r="K48" s="169" t="s">
        <v>399</v>
      </c>
      <c r="L48" s="170" t="s">
        <v>400</v>
      </c>
      <c r="M48" s="56" t="s">
        <v>196</v>
      </c>
    </row>
    <row r="49" spans="1:13" x14ac:dyDescent="0.15">
      <c r="A49" s="80" t="s">
        <v>367</v>
      </c>
      <c r="B49" s="81">
        <v>65523</v>
      </c>
      <c r="C49" s="82" t="s">
        <v>368</v>
      </c>
      <c r="D49" s="82" t="s">
        <v>369</v>
      </c>
      <c r="E49" s="86">
        <v>2</v>
      </c>
      <c r="F49" s="82" t="s">
        <v>435</v>
      </c>
      <c r="G49" s="82" t="s">
        <v>369</v>
      </c>
      <c r="H49" s="84">
        <v>0</v>
      </c>
      <c r="I49" s="171">
        <v>20</v>
      </c>
      <c r="J49" s="83" t="s">
        <v>195</v>
      </c>
      <c r="K49" s="169" t="s">
        <v>401</v>
      </c>
      <c r="L49" s="170" t="s">
        <v>402</v>
      </c>
      <c r="M49" s="56" t="s">
        <v>196</v>
      </c>
    </row>
    <row r="50" spans="1:13" x14ac:dyDescent="0.15">
      <c r="A50" s="80" t="s">
        <v>367</v>
      </c>
      <c r="B50" s="81">
        <v>65523</v>
      </c>
      <c r="C50" s="82" t="s">
        <v>368</v>
      </c>
      <c r="D50" s="82" t="s">
        <v>369</v>
      </c>
      <c r="E50" s="86">
        <v>2</v>
      </c>
      <c r="F50" s="82" t="s">
        <v>435</v>
      </c>
      <c r="G50" s="82" t="s">
        <v>369</v>
      </c>
      <c r="H50" s="84">
        <v>0</v>
      </c>
      <c r="I50" s="171">
        <v>21</v>
      </c>
      <c r="J50" s="83" t="s">
        <v>195</v>
      </c>
      <c r="K50" s="169" t="s">
        <v>403</v>
      </c>
      <c r="L50" s="170" t="s">
        <v>404</v>
      </c>
      <c r="M50" s="56" t="s">
        <v>196</v>
      </c>
    </row>
    <row r="51" spans="1:13" x14ac:dyDescent="0.15">
      <c r="A51" s="80" t="s">
        <v>367</v>
      </c>
      <c r="B51" s="81">
        <v>65523</v>
      </c>
      <c r="C51" s="82" t="s">
        <v>368</v>
      </c>
      <c r="D51" s="82" t="s">
        <v>369</v>
      </c>
      <c r="E51" s="86">
        <v>2</v>
      </c>
      <c r="F51" s="82" t="s">
        <v>435</v>
      </c>
      <c r="G51" s="82" t="s">
        <v>369</v>
      </c>
      <c r="H51" s="84">
        <v>0</v>
      </c>
      <c r="I51" s="171">
        <v>22</v>
      </c>
      <c r="J51" s="83" t="s">
        <v>195</v>
      </c>
      <c r="K51" s="169" t="s">
        <v>405</v>
      </c>
      <c r="L51" s="170" t="s">
        <v>406</v>
      </c>
      <c r="M51" s="56" t="s">
        <v>196</v>
      </c>
    </row>
    <row r="52" spans="1:13" x14ac:dyDescent="0.15">
      <c r="A52" s="80" t="s">
        <v>367</v>
      </c>
      <c r="B52" s="81">
        <v>65523</v>
      </c>
      <c r="C52" s="82" t="s">
        <v>368</v>
      </c>
      <c r="D52" s="82" t="s">
        <v>369</v>
      </c>
      <c r="E52" s="86">
        <v>2</v>
      </c>
      <c r="F52" s="82" t="s">
        <v>435</v>
      </c>
      <c r="G52" s="82" t="s">
        <v>369</v>
      </c>
      <c r="H52" s="84">
        <v>0</v>
      </c>
      <c r="I52" s="171">
        <v>23</v>
      </c>
      <c r="J52" s="83" t="s">
        <v>195</v>
      </c>
      <c r="K52" s="169" t="s">
        <v>407</v>
      </c>
      <c r="L52" s="170" t="s">
        <v>408</v>
      </c>
      <c r="M52" s="56" t="s">
        <v>196</v>
      </c>
    </row>
    <row r="53" spans="1:13" x14ac:dyDescent="0.15">
      <c r="A53" s="80" t="s">
        <v>367</v>
      </c>
      <c r="B53" s="81">
        <v>65523</v>
      </c>
      <c r="C53" s="82" t="s">
        <v>368</v>
      </c>
      <c r="D53" s="82" t="s">
        <v>369</v>
      </c>
      <c r="E53" s="86">
        <v>2</v>
      </c>
      <c r="F53" s="82" t="s">
        <v>435</v>
      </c>
      <c r="G53" s="82" t="s">
        <v>369</v>
      </c>
      <c r="H53" s="84">
        <v>0</v>
      </c>
      <c r="I53" s="171">
        <v>24</v>
      </c>
      <c r="J53" s="83" t="s">
        <v>195</v>
      </c>
      <c r="K53" s="169" t="s">
        <v>409</v>
      </c>
      <c r="L53" s="170" t="s">
        <v>410</v>
      </c>
      <c r="M53" s="56" t="s">
        <v>196</v>
      </c>
    </row>
    <row r="54" spans="1:13" x14ac:dyDescent="0.15">
      <c r="A54" s="80" t="s">
        <v>367</v>
      </c>
      <c r="B54" s="81">
        <v>65523</v>
      </c>
      <c r="C54" s="82" t="s">
        <v>368</v>
      </c>
      <c r="D54" s="82" t="s">
        <v>369</v>
      </c>
      <c r="E54" s="86">
        <v>2</v>
      </c>
      <c r="F54" s="82" t="s">
        <v>435</v>
      </c>
      <c r="G54" s="82" t="s">
        <v>369</v>
      </c>
      <c r="H54" s="84">
        <v>0</v>
      </c>
      <c r="I54" s="171">
        <v>25</v>
      </c>
      <c r="J54" s="83" t="s">
        <v>195</v>
      </c>
      <c r="K54" s="169" t="s">
        <v>411</v>
      </c>
      <c r="L54" s="170" t="s">
        <v>412</v>
      </c>
      <c r="M54" s="56" t="s">
        <v>196</v>
      </c>
    </row>
    <row r="55" spans="1:13" x14ac:dyDescent="0.15">
      <c r="A55" s="80" t="s">
        <v>367</v>
      </c>
      <c r="B55" s="81">
        <v>65523</v>
      </c>
      <c r="C55" s="82" t="s">
        <v>368</v>
      </c>
      <c r="D55" s="82" t="s">
        <v>369</v>
      </c>
      <c r="E55" s="86">
        <v>2</v>
      </c>
      <c r="F55" s="82" t="s">
        <v>435</v>
      </c>
      <c r="G55" s="82" t="s">
        <v>369</v>
      </c>
      <c r="H55" s="84">
        <v>0</v>
      </c>
      <c r="I55" s="171">
        <v>26</v>
      </c>
      <c r="J55" s="83" t="s">
        <v>195</v>
      </c>
      <c r="K55" s="169" t="s">
        <v>413</v>
      </c>
      <c r="L55" s="170" t="s">
        <v>414</v>
      </c>
      <c r="M55" s="56" t="s">
        <v>196</v>
      </c>
    </row>
    <row r="56" spans="1:13" x14ac:dyDescent="0.15">
      <c r="A56" s="80" t="s">
        <v>367</v>
      </c>
      <c r="B56" s="81">
        <v>65523</v>
      </c>
      <c r="C56" s="82" t="s">
        <v>368</v>
      </c>
      <c r="D56" s="82" t="s">
        <v>369</v>
      </c>
      <c r="E56" s="86">
        <v>2</v>
      </c>
      <c r="F56" s="82" t="s">
        <v>435</v>
      </c>
      <c r="G56" s="82" t="s">
        <v>369</v>
      </c>
      <c r="H56" s="84">
        <v>0</v>
      </c>
      <c r="I56" s="171">
        <v>27</v>
      </c>
      <c r="J56" s="83" t="s">
        <v>195</v>
      </c>
      <c r="K56" s="169" t="s">
        <v>415</v>
      </c>
      <c r="L56" s="170" t="s">
        <v>416</v>
      </c>
      <c r="M56" s="56" t="s">
        <v>196</v>
      </c>
    </row>
    <row r="57" spans="1:13" x14ac:dyDescent="0.15">
      <c r="A57" s="80" t="s">
        <v>367</v>
      </c>
      <c r="B57" s="81">
        <v>65523</v>
      </c>
      <c r="C57" s="82" t="s">
        <v>368</v>
      </c>
      <c r="D57" s="82" t="s">
        <v>369</v>
      </c>
      <c r="E57" s="86">
        <v>2</v>
      </c>
      <c r="F57" s="82" t="s">
        <v>435</v>
      </c>
      <c r="G57" s="82" t="s">
        <v>369</v>
      </c>
      <c r="H57" s="84">
        <v>0</v>
      </c>
      <c r="I57" s="171">
        <v>28</v>
      </c>
      <c r="J57" s="83" t="s">
        <v>195</v>
      </c>
      <c r="K57" s="169" t="s">
        <v>417</v>
      </c>
      <c r="L57" s="170" t="s">
        <v>418</v>
      </c>
      <c r="M57" s="56" t="s">
        <v>196</v>
      </c>
    </row>
    <row r="58" spans="1:13" x14ac:dyDescent="0.15">
      <c r="A58" s="80" t="s">
        <v>367</v>
      </c>
      <c r="B58" s="81">
        <v>65523</v>
      </c>
      <c r="C58" s="82" t="s">
        <v>368</v>
      </c>
      <c r="D58" s="82" t="s">
        <v>369</v>
      </c>
      <c r="E58" s="86">
        <v>2</v>
      </c>
      <c r="F58" s="82" t="s">
        <v>435</v>
      </c>
      <c r="G58" s="82" t="s">
        <v>369</v>
      </c>
      <c r="H58" s="84">
        <v>0</v>
      </c>
      <c r="I58" s="171">
        <v>29</v>
      </c>
      <c r="J58" s="83" t="s">
        <v>195</v>
      </c>
      <c r="K58" s="169" t="s">
        <v>419</v>
      </c>
      <c r="L58" s="170" t="s">
        <v>420</v>
      </c>
      <c r="M58" s="56" t="s">
        <v>196</v>
      </c>
    </row>
    <row r="59" spans="1:13" x14ac:dyDescent="0.15">
      <c r="A59" s="80" t="s">
        <v>367</v>
      </c>
      <c r="B59" s="81">
        <v>65523</v>
      </c>
      <c r="C59" s="82" t="s">
        <v>368</v>
      </c>
      <c r="D59" s="82" t="s">
        <v>369</v>
      </c>
      <c r="E59" s="86">
        <v>2</v>
      </c>
      <c r="F59" s="82" t="s">
        <v>435</v>
      </c>
      <c r="G59" s="82" t="s">
        <v>369</v>
      </c>
      <c r="H59" s="84">
        <v>0</v>
      </c>
      <c r="I59" s="171">
        <v>30</v>
      </c>
      <c r="J59" s="83" t="s">
        <v>195</v>
      </c>
      <c r="K59" s="169" t="s">
        <v>421</v>
      </c>
      <c r="L59" s="170" t="s">
        <v>422</v>
      </c>
      <c r="M59" s="56" t="s">
        <v>196</v>
      </c>
    </row>
    <row r="60" spans="1:13" x14ac:dyDescent="0.15">
      <c r="A60" s="80" t="s">
        <v>367</v>
      </c>
      <c r="B60" s="81">
        <v>65523</v>
      </c>
      <c r="C60" s="82" t="s">
        <v>368</v>
      </c>
      <c r="D60" s="82" t="s">
        <v>369</v>
      </c>
      <c r="E60" s="86">
        <v>2</v>
      </c>
      <c r="F60" s="82" t="s">
        <v>435</v>
      </c>
      <c r="G60" s="82" t="s">
        <v>369</v>
      </c>
      <c r="H60" s="84">
        <v>0</v>
      </c>
      <c r="I60" s="171">
        <v>31</v>
      </c>
      <c r="J60" s="83" t="s">
        <v>195</v>
      </c>
      <c r="K60" s="169" t="s">
        <v>423</v>
      </c>
      <c r="L60" s="170" t="s">
        <v>424</v>
      </c>
      <c r="M60" s="56" t="s">
        <v>196</v>
      </c>
    </row>
    <row r="61" spans="1:13" x14ac:dyDescent="0.15">
      <c r="A61" s="80" t="s">
        <v>367</v>
      </c>
      <c r="B61" s="81">
        <v>65523</v>
      </c>
      <c r="C61" s="82" t="s">
        <v>368</v>
      </c>
      <c r="D61" s="82" t="s">
        <v>369</v>
      </c>
      <c r="E61" s="86">
        <v>2</v>
      </c>
      <c r="F61" s="82" t="s">
        <v>435</v>
      </c>
      <c r="G61" s="82" t="s">
        <v>369</v>
      </c>
      <c r="H61" s="84">
        <v>0</v>
      </c>
      <c r="I61" s="171">
        <v>32</v>
      </c>
      <c r="J61" s="83" t="s">
        <v>195</v>
      </c>
      <c r="K61" s="169" t="s">
        <v>425</v>
      </c>
      <c r="L61" s="170" t="s">
        <v>426</v>
      </c>
      <c r="M61" s="56" t="s">
        <v>196</v>
      </c>
    </row>
    <row r="62" spans="1:13" x14ac:dyDescent="0.15">
      <c r="A62" s="80" t="s">
        <v>367</v>
      </c>
      <c r="B62" s="81">
        <v>65523</v>
      </c>
      <c r="C62" s="82" t="s">
        <v>368</v>
      </c>
      <c r="D62" s="82" t="s">
        <v>369</v>
      </c>
      <c r="E62" s="86">
        <v>2</v>
      </c>
      <c r="F62" s="82" t="s">
        <v>435</v>
      </c>
      <c r="G62" s="82" t="s">
        <v>369</v>
      </c>
      <c r="H62" s="84">
        <v>0</v>
      </c>
      <c r="I62" s="171">
        <v>33</v>
      </c>
      <c r="J62" s="83" t="s">
        <v>195</v>
      </c>
      <c r="K62" s="169" t="s">
        <v>427</v>
      </c>
      <c r="L62" s="170" t="s">
        <v>428</v>
      </c>
      <c r="M62" s="56" t="s">
        <v>196</v>
      </c>
    </row>
    <row r="63" spans="1:13" x14ac:dyDescent="0.15">
      <c r="A63" s="80" t="s">
        <v>367</v>
      </c>
      <c r="B63" s="81">
        <v>65523</v>
      </c>
      <c r="C63" s="82" t="s">
        <v>368</v>
      </c>
      <c r="D63" s="82" t="s">
        <v>369</v>
      </c>
      <c r="E63" s="86">
        <v>2</v>
      </c>
      <c r="F63" s="82" t="s">
        <v>435</v>
      </c>
      <c r="G63" s="82" t="s">
        <v>369</v>
      </c>
      <c r="H63" s="84">
        <v>0</v>
      </c>
      <c r="I63" s="171">
        <v>34</v>
      </c>
      <c r="J63" s="83" t="s">
        <v>195</v>
      </c>
      <c r="K63" s="169" t="s">
        <v>429</v>
      </c>
      <c r="L63" s="170" t="s">
        <v>430</v>
      </c>
      <c r="M63" s="56" t="s">
        <v>196</v>
      </c>
    </row>
    <row r="64" spans="1:13" x14ac:dyDescent="0.15">
      <c r="A64" s="80" t="s">
        <v>367</v>
      </c>
      <c r="B64" s="81">
        <v>65523</v>
      </c>
      <c r="C64" s="82" t="s">
        <v>368</v>
      </c>
      <c r="D64" s="82" t="s">
        <v>369</v>
      </c>
      <c r="E64" s="86">
        <v>2</v>
      </c>
      <c r="F64" s="82" t="s">
        <v>435</v>
      </c>
      <c r="G64" s="82" t="s">
        <v>369</v>
      </c>
      <c r="H64" s="84">
        <v>0</v>
      </c>
      <c r="I64" s="171">
        <v>35</v>
      </c>
      <c r="J64" s="83" t="s">
        <v>195</v>
      </c>
      <c r="K64" s="169" t="s">
        <v>431</v>
      </c>
      <c r="L64" s="170" t="s">
        <v>432</v>
      </c>
      <c r="M64" s="56" t="s">
        <v>196</v>
      </c>
    </row>
    <row r="65" spans="1:13" x14ac:dyDescent="0.15">
      <c r="A65" s="80" t="s">
        <v>367</v>
      </c>
      <c r="B65" s="81">
        <v>65523</v>
      </c>
      <c r="C65" s="82" t="s">
        <v>368</v>
      </c>
      <c r="D65" s="82" t="s">
        <v>369</v>
      </c>
      <c r="E65" s="86">
        <v>2</v>
      </c>
      <c r="F65" s="82" t="s">
        <v>435</v>
      </c>
      <c r="G65" s="82" t="s">
        <v>369</v>
      </c>
      <c r="H65" s="84">
        <v>0</v>
      </c>
      <c r="I65" s="171">
        <v>36</v>
      </c>
      <c r="J65" s="83" t="s">
        <v>195</v>
      </c>
      <c r="K65" s="169" t="s">
        <v>436</v>
      </c>
      <c r="L65" s="170" t="s">
        <v>437</v>
      </c>
      <c r="M65" s="56" t="s">
        <v>196</v>
      </c>
    </row>
    <row r="66" spans="1:13" x14ac:dyDescent="0.15">
      <c r="A66" s="80" t="s">
        <v>367</v>
      </c>
      <c r="B66" s="81">
        <v>65523</v>
      </c>
      <c r="C66" s="82" t="s">
        <v>368</v>
      </c>
      <c r="D66" s="82" t="s">
        <v>369</v>
      </c>
      <c r="E66" s="86">
        <v>2</v>
      </c>
      <c r="F66" s="82" t="s">
        <v>435</v>
      </c>
      <c r="G66" s="82" t="s">
        <v>369</v>
      </c>
      <c r="H66" s="84">
        <v>0</v>
      </c>
      <c r="I66" s="171">
        <v>37</v>
      </c>
      <c r="J66" s="83" t="s">
        <v>195</v>
      </c>
      <c r="K66" s="169" t="s">
        <v>438</v>
      </c>
      <c r="L66" s="170" t="s">
        <v>439</v>
      </c>
      <c r="M66" s="56" t="s">
        <v>196</v>
      </c>
    </row>
    <row r="67" spans="1:13" x14ac:dyDescent="0.15">
      <c r="A67" s="80" t="s">
        <v>367</v>
      </c>
      <c r="B67" s="81">
        <v>65523</v>
      </c>
      <c r="C67" s="82" t="s">
        <v>368</v>
      </c>
      <c r="D67" s="82" t="s">
        <v>369</v>
      </c>
      <c r="E67" s="86">
        <v>2</v>
      </c>
      <c r="F67" s="82" t="s">
        <v>435</v>
      </c>
      <c r="G67" s="82" t="s">
        <v>369</v>
      </c>
      <c r="H67" s="84">
        <v>0</v>
      </c>
      <c r="I67" s="171">
        <v>39</v>
      </c>
      <c r="J67" s="83" t="s">
        <v>195</v>
      </c>
      <c r="K67" s="169" t="s">
        <v>433</v>
      </c>
      <c r="L67" s="170" t="s">
        <v>434</v>
      </c>
      <c r="M67" s="56" t="s">
        <v>196</v>
      </c>
    </row>
    <row r="68" spans="1:13" x14ac:dyDescent="0.15">
      <c r="A68" s="80" t="s">
        <v>367</v>
      </c>
      <c r="B68" s="81">
        <v>65523</v>
      </c>
      <c r="C68" s="82" t="s">
        <v>368</v>
      </c>
      <c r="D68" s="82" t="s">
        <v>369</v>
      </c>
      <c r="E68" s="86">
        <v>3</v>
      </c>
      <c r="F68" s="82" t="s">
        <v>440</v>
      </c>
      <c r="G68" s="82" t="s">
        <v>369</v>
      </c>
      <c r="H68" s="84">
        <v>0</v>
      </c>
      <c r="I68">
        <v>12</v>
      </c>
      <c r="J68" s="83" t="s">
        <v>195</v>
      </c>
      <c r="K68" s="169" t="s">
        <v>385</v>
      </c>
      <c r="L68" s="170" t="s">
        <v>386</v>
      </c>
      <c r="M68" s="56" t="s">
        <v>196</v>
      </c>
    </row>
    <row r="69" spans="1:13" x14ac:dyDescent="0.15">
      <c r="A69" s="80" t="s">
        <v>367</v>
      </c>
      <c r="B69" s="81">
        <v>65523</v>
      </c>
      <c r="C69" s="82" t="s">
        <v>368</v>
      </c>
      <c r="D69" s="82" t="s">
        <v>369</v>
      </c>
      <c r="E69" s="86">
        <v>3</v>
      </c>
      <c r="F69" s="82" t="s">
        <v>440</v>
      </c>
      <c r="G69" s="82" t="s">
        <v>369</v>
      </c>
      <c r="H69" s="84">
        <v>0</v>
      </c>
      <c r="I69">
        <v>17</v>
      </c>
      <c r="J69" s="83" t="s">
        <v>195</v>
      </c>
      <c r="K69" s="169" t="s">
        <v>395</v>
      </c>
      <c r="L69" s="170" t="s">
        <v>396</v>
      </c>
      <c r="M69" s="56" t="s">
        <v>196</v>
      </c>
    </row>
    <row r="70" spans="1:13" x14ac:dyDescent="0.15">
      <c r="A70" s="80" t="s">
        <v>367</v>
      </c>
      <c r="B70" s="81">
        <v>65523</v>
      </c>
      <c r="C70" s="82" t="s">
        <v>368</v>
      </c>
      <c r="D70" s="82" t="s">
        <v>369</v>
      </c>
      <c r="E70" s="86">
        <v>3</v>
      </c>
      <c r="F70" s="82" t="s">
        <v>440</v>
      </c>
      <c r="G70" s="82" t="s">
        <v>369</v>
      </c>
      <c r="H70" s="84">
        <v>0</v>
      </c>
      <c r="I70">
        <v>19</v>
      </c>
      <c r="J70" s="83" t="s">
        <v>195</v>
      </c>
      <c r="K70" s="169" t="s">
        <v>399</v>
      </c>
      <c r="L70" s="170" t="s">
        <v>400</v>
      </c>
      <c r="M70" s="56" t="s">
        <v>196</v>
      </c>
    </row>
    <row r="71" spans="1:13" x14ac:dyDescent="0.15">
      <c r="A71" s="80" t="s">
        <v>367</v>
      </c>
      <c r="B71" s="81">
        <v>65523</v>
      </c>
      <c r="C71" s="82" t="s">
        <v>368</v>
      </c>
      <c r="D71" s="82" t="s">
        <v>369</v>
      </c>
      <c r="E71" s="86">
        <v>3</v>
      </c>
      <c r="F71" s="82" t="s">
        <v>440</v>
      </c>
      <c r="G71" s="82" t="s">
        <v>369</v>
      </c>
      <c r="H71" s="84">
        <v>0</v>
      </c>
      <c r="I71">
        <v>21</v>
      </c>
      <c r="J71" s="83" t="s">
        <v>195</v>
      </c>
      <c r="K71" s="169" t="s">
        <v>403</v>
      </c>
      <c r="L71" s="170" t="s">
        <v>404</v>
      </c>
      <c r="M71" s="56" t="s">
        <v>196</v>
      </c>
    </row>
    <row r="72" spans="1:13" x14ac:dyDescent="0.15">
      <c r="A72" s="80" t="s">
        <v>367</v>
      </c>
      <c r="B72" s="81">
        <v>65523</v>
      </c>
      <c r="C72" s="82" t="s">
        <v>368</v>
      </c>
      <c r="D72" s="82" t="s">
        <v>369</v>
      </c>
      <c r="E72" s="86">
        <v>3</v>
      </c>
      <c r="F72" s="82" t="s">
        <v>440</v>
      </c>
      <c r="G72" s="82" t="s">
        <v>369</v>
      </c>
      <c r="H72" s="84">
        <v>0</v>
      </c>
      <c r="I72">
        <v>27</v>
      </c>
      <c r="J72" s="83" t="s">
        <v>195</v>
      </c>
      <c r="K72" s="169" t="s">
        <v>415</v>
      </c>
      <c r="L72" s="170" t="s">
        <v>416</v>
      </c>
      <c r="M72" s="56" t="s">
        <v>196</v>
      </c>
    </row>
    <row r="73" spans="1:13" x14ac:dyDescent="0.15">
      <c r="A73" s="80" t="s">
        <v>367</v>
      </c>
      <c r="B73" s="81">
        <v>65523</v>
      </c>
      <c r="C73" s="82" t="s">
        <v>368</v>
      </c>
      <c r="D73" s="82" t="s">
        <v>369</v>
      </c>
      <c r="E73" s="86">
        <v>3</v>
      </c>
      <c r="F73" s="82" t="s">
        <v>440</v>
      </c>
      <c r="G73" s="82" t="s">
        <v>369</v>
      </c>
      <c r="H73" s="84">
        <v>0</v>
      </c>
      <c r="I73">
        <v>28</v>
      </c>
      <c r="J73" s="83" t="s">
        <v>195</v>
      </c>
      <c r="K73" s="169" t="s">
        <v>417</v>
      </c>
      <c r="L73" s="170" t="s">
        <v>418</v>
      </c>
      <c r="M73" s="56" t="s">
        <v>196</v>
      </c>
    </row>
    <row r="74" spans="1:13" x14ac:dyDescent="0.15">
      <c r="A74" s="80" t="s">
        <v>367</v>
      </c>
      <c r="B74" s="81">
        <v>65523</v>
      </c>
      <c r="C74" s="82" t="s">
        <v>368</v>
      </c>
      <c r="D74" s="82" t="s">
        <v>369</v>
      </c>
      <c r="E74" s="86">
        <v>3</v>
      </c>
      <c r="F74" s="82" t="s">
        <v>440</v>
      </c>
      <c r="G74" s="82" t="s">
        <v>369</v>
      </c>
      <c r="H74" s="84">
        <v>0</v>
      </c>
      <c r="I74">
        <v>29</v>
      </c>
      <c r="J74" s="83" t="s">
        <v>195</v>
      </c>
      <c r="K74" s="169" t="s">
        <v>419</v>
      </c>
      <c r="L74" s="170" t="s">
        <v>420</v>
      </c>
      <c r="M74" s="56" t="s">
        <v>196</v>
      </c>
    </row>
    <row r="75" spans="1:13" x14ac:dyDescent="0.15">
      <c r="A75" s="80" t="s">
        <v>367</v>
      </c>
      <c r="B75" s="81">
        <v>65523</v>
      </c>
      <c r="C75" s="82" t="s">
        <v>368</v>
      </c>
      <c r="D75" s="82" t="s">
        <v>369</v>
      </c>
      <c r="E75" s="86">
        <v>3</v>
      </c>
      <c r="F75" s="82" t="s">
        <v>440</v>
      </c>
      <c r="G75" s="82" t="s">
        <v>369</v>
      </c>
      <c r="H75" s="84">
        <v>0</v>
      </c>
      <c r="I75">
        <v>30</v>
      </c>
      <c r="J75" s="83" t="s">
        <v>195</v>
      </c>
      <c r="K75" s="169" t="s">
        <v>421</v>
      </c>
      <c r="L75" s="170" t="s">
        <v>422</v>
      </c>
      <c r="M75" s="56" t="s">
        <v>196</v>
      </c>
    </row>
    <row r="76" spans="1:13" x14ac:dyDescent="0.15">
      <c r="A76" s="80" t="s">
        <v>367</v>
      </c>
      <c r="B76" s="81">
        <v>65523</v>
      </c>
      <c r="C76" s="82" t="s">
        <v>368</v>
      </c>
      <c r="D76" s="82" t="s">
        <v>369</v>
      </c>
      <c r="E76" s="86">
        <v>3</v>
      </c>
      <c r="F76" s="82" t="s">
        <v>440</v>
      </c>
      <c r="G76" s="82" t="s">
        <v>369</v>
      </c>
      <c r="H76" s="84">
        <v>0</v>
      </c>
      <c r="I76">
        <v>32</v>
      </c>
      <c r="J76" s="83" t="s">
        <v>195</v>
      </c>
      <c r="K76" s="169" t="s">
        <v>425</v>
      </c>
      <c r="L76" s="170" t="s">
        <v>426</v>
      </c>
      <c r="M76" s="56" t="s">
        <v>196</v>
      </c>
    </row>
    <row r="77" spans="1:13" x14ac:dyDescent="0.15">
      <c r="A77" s="80" t="s">
        <v>367</v>
      </c>
      <c r="B77" s="81">
        <v>65523</v>
      </c>
      <c r="C77" s="82" t="s">
        <v>368</v>
      </c>
      <c r="D77" s="82" t="s">
        <v>369</v>
      </c>
      <c r="E77" s="86">
        <v>3</v>
      </c>
      <c r="F77" s="82" t="s">
        <v>440</v>
      </c>
      <c r="G77" s="82" t="s">
        <v>369</v>
      </c>
      <c r="H77" s="84">
        <v>0</v>
      </c>
      <c r="I77">
        <v>33</v>
      </c>
      <c r="J77" s="83" t="s">
        <v>195</v>
      </c>
      <c r="K77" s="169" t="s">
        <v>427</v>
      </c>
      <c r="L77" s="170" t="s">
        <v>428</v>
      </c>
      <c r="M77" s="56" t="s">
        <v>196</v>
      </c>
    </row>
    <row r="78" spans="1:13" x14ac:dyDescent="0.15">
      <c r="A78" s="80" t="s">
        <v>367</v>
      </c>
      <c r="B78" s="81">
        <v>65523</v>
      </c>
      <c r="C78" s="82" t="s">
        <v>368</v>
      </c>
      <c r="D78" s="82" t="s">
        <v>369</v>
      </c>
      <c r="E78" s="86">
        <v>3</v>
      </c>
      <c r="F78" s="82" t="s">
        <v>440</v>
      </c>
      <c r="G78" s="82" t="s">
        <v>369</v>
      </c>
      <c r="H78" s="84">
        <v>0</v>
      </c>
      <c r="I78">
        <v>34</v>
      </c>
      <c r="J78" s="83" t="s">
        <v>195</v>
      </c>
      <c r="K78" s="169" t="s">
        <v>429</v>
      </c>
      <c r="L78" s="170" t="s">
        <v>430</v>
      </c>
      <c r="M78" s="56" t="s">
        <v>196</v>
      </c>
    </row>
    <row r="79" spans="1:13" x14ac:dyDescent="0.15">
      <c r="A79" s="80" t="s">
        <v>367</v>
      </c>
      <c r="B79" s="81">
        <v>65523</v>
      </c>
      <c r="C79" s="82" t="s">
        <v>368</v>
      </c>
      <c r="D79" s="82" t="s">
        <v>369</v>
      </c>
      <c r="E79" s="86">
        <v>3</v>
      </c>
      <c r="F79" s="82" t="s">
        <v>440</v>
      </c>
      <c r="G79" s="82" t="s">
        <v>369</v>
      </c>
      <c r="H79" s="84">
        <v>0</v>
      </c>
      <c r="I79">
        <v>35</v>
      </c>
      <c r="J79" s="83" t="s">
        <v>195</v>
      </c>
      <c r="K79" s="169" t="s">
        <v>431</v>
      </c>
      <c r="L79" s="170" t="s">
        <v>432</v>
      </c>
      <c r="M79" s="56" t="s">
        <v>196</v>
      </c>
    </row>
    <row r="80" spans="1:13" x14ac:dyDescent="0.15">
      <c r="A80" s="80" t="s">
        <v>367</v>
      </c>
      <c r="B80" s="81">
        <v>65523</v>
      </c>
      <c r="C80" s="82" t="s">
        <v>368</v>
      </c>
      <c r="D80" s="82" t="s">
        <v>369</v>
      </c>
      <c r="E80" s="86">
        <v>3</v>
      </c>
      <c r="F80" s="82" t="s">
        <v>440</v>
      </c>
      <c r="G80" s="82" t="s">
        <v>369</v>
      </c>
      <c r="H80" s="84">
        <v>0</v>
      </c>
      <c r="I80">
        <v>36</v>
      </c>
      <c r="J80" s="83" t="s">
        <v>195</v>
      </c>
      <c r="K80" s="169" t="s">
        <v>436</v>
      </c>
      <c r="L80" s="170" t="s">
        <v>437</v>
      </c>
      <c r="M80" s="56" t="s">
        <v>196</v>
      </c>
    </row>
    <row r="81" spans="1:13" x14ac:dyDescent="0.15">
      <c r="A81" s="80" t="s">
        <v>367</v>
      </c>
      <c r="B81" s="81">
        <v>65523</v>
      </c>
      <c r="C81" s="82" t="s">
        <v>368</v>
      </c>
      <c r="D81" s="82" t="s">
        <v>369</v>
      </c>
      <c r="E81" s="86">
        <v>3</v>
      </c>
      <c r="F81" s="82" t="s">
        <v>440</v>
      </c>
      <c r="G81" s="82" t="s">
        <v>369</v>
      </c>
      <c r="H81" s="84">
        <v>0</v>
      </c>
      <c r="I81">
        <v>37</v>
      </c>
      <c r="J81" s="83" t="s">
        <v>195</v>
      </c>
      <c r="K81" s="169" t="s">
        <v>438</v>
      </c>
      <c r="L81" s="170" t="s">
        <v>439</v>
      </c>
      <c r="M81" s="56" t="s">
        <v>196</v>
      </c>
    </row>
    <row r="82" spans="1:13" x14ac:dyDescent="0.15">
      <c r="A82" s="80" t="s">
        <v>367</v>
      </c>
      <c r="B82" s="81">
        <v>65523</v>
      </c>
      <c r="C82" s="82" t="s">
        <v>368</v>
      </c>
      <c r="D82" s="82" t="s">
        <v>369</v>
      </c>
      <c r="E82" s="86">
        <v>3</v>
      </c>
      <c r="F82" s="82" t="s">
        <v>440</v>
      </c>
      <c r="G82" s="82" t="s">
        <v>369</v>
      </c>
      <c r="H82" s="84">
        <v>0</v>
      </c>
      <c r="I82" s="160">
        <v>39</v>
      </c>
      <c r="J82" s="83" t="s">
        <v>195</v>
      </c>
      <c r="K82" s="169" t="s">
        <v>433</v>
      </c>
      <c r="L82" s="170" t="s">
        <v>434</v>
      </c>
      <c r="M82" s="56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185</v>
      </c>
      <c r="B1" s="72" t="s">
        <v>147</v>
      </c>
      <c r="C1" s="76" t="s">
        <v>187</v>
      </c>
      <c r="D1" s="76" t="s">
        <v>33</v>
      </c>
      <c r="E1" s="72" t="s">
        <v>188</v>
      </c>
      <c r="F1" s="76" t="s">
        <v>18</v>
      </c>
      <c r="G1" s="76" t="s">
        <v>33</v>
      </c>
      <c r="H1" s="72" t="s">
        <v>190</v>
      </c>
      <c r="I1" s="89" t="s">
        <v>191</v>
      </c>
      <c r="J1" s="91" t="s">
        <v>192</v>
      </c>
      <c r="K1" s="78" t="s">
        <v>124</v>
      </c>
      <c r="L1" s="77" t="s">
        <v>184</v>
      </c>
      <c r="M1" s="92" t="s">
        <v>183</v>
      </c>
      <c r="N1" s="79" t="s">
        <v>193</v>
      </c>
    </row>
    <row r="2" spans="1:14" x14ac:dyDescent="0.15">
      <c r="A2" s="80" t="s">
        <v>194</v>
      </c>
      <c r="B2" s="81">
        <f>floors!$C$2</f>
        <v>65523</v>
      </c>
      <c r="C2" s="82" t="str">
        <f ca="1">VLOOKUP($B2,OFFSET([2]quests!$A$1,0,0,COUNTA([2]quests!$A:$A),MATCH(C$1,[2]quests!$1:$1,0)-MATCH($B$1,[2]quests!$1:$1,0)+1),MATCH(C$1,[2]quests!$1:$1,0)-MATCH($B$1,[2]quests!$1:$1,0)+1,FALSE)</f>
        <v>【LB尾崎】検証クエスト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　超級</v>
      </c>
      <c r="H2" s="84">
        <v>1</v>
      </c>
      <c r="I2" s="90">
        <f>ROW()-1</f>
        <v>1</v>
      </c>
      <c r="J2" s="85" t="str">
        <f>B2&amp;TEXT(I2,"00")</f>
        <v>6552301</v>
      </c>
      <c r="K2" s="83" t="s">
        <v>195</v>
      </c>
      <c r="L2" s="86" t="s">
        <v>251</v>
      </c>
      <c r="M2" s="87" t="s">
        <v>441</v>
      </c>
      <c r="N2" s="56" t="s">
        <v>196</v>
      </c>
    </row>
    <row r="3" spans="1:14" x14ac:dyDescent="0.15">
      <c r="A3" s="80" t="s">
        <v>194</v>
      </c>
      <c r="B3" s="81">
        <f>floors!$C$2</f>
        <v>65523</v>
      </c>
      <c r="C3" s="82" t="str">
        <f ca="1">VLOOKUP($B3,OFFSET([2]quests!$A$1,0,0,COUNTA([2]quests!$A:$A),MATCH(C$1,[2]quests!$1:$1,0)-MATCH($B$1,[2]quests!$1:$1,0)+1),MATCH(C$1,[2]quests!$1:$1,0)-MATCH($B$1,[2]quests!$1:$1,0)+1,FALSE)</f>
        <v>【LB尾崎】検証クエスト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童話シリーズ　超級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　超級</v>
      </c>
      <c r="H3" s="84">
        <v>2</v>
      </c>
      <c r="I3" s="90">
        <f t="shared" ref="I3:I13" si="0">ROW()-1</f>
        <v>2</v>
      </c>
      <c r="J3" s="85" t="str">
        <f t="shared" ref="J3:J13" si="1">B3&amp;TEXT(I3,"00")</f>
        <v>6552302</v>
      </c>
      <c r="K3" s="83" t="s">
        <v>195</v>
      </c>
      <c r="L3" s="86" t="s">
        <v>251</v>
      </c>
      <c r="M3" s="87" t="s">
        <v>441</v>
      </c>
      <c r="N3" s="56" t="s">
        <v>196</v>
      </c>
    </row>
    <row r="4" spans="1:14" x14ac:dyDescent="0.15">
      <c r="A4" s="80" t="s">
        <v>194</v>
      </c>
      <c r="B4" s="81">
        <f>floors!$C$2</f>
        <v>65523</v>
      </c>
      <c r="C4" s="82" t="str">
        <f ca="1">VLOOKUP($B4,OFFSET([2]quests!$A$1,0,0,COUNTA([2]quests!$A:$A),MATCH(C$1,[2]quests!$1:$1,0)-MATCH($B$1,[2]quests!$1:$1,0)+1),MATCH(C$1,[2]quests!$1:$1,0)-MATCH($B$1,[2]quests!$1:$1,0)+1,FALSE)</f>
        <v>【LB尾崎】検証クエスト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童話シリーズ　超級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童話シリーズ　超級</v>
      </c>
      <c r="H4" s="84">
        <v>3</v>
      </c>
      <c r="I4" s="90">
        <f t="shared" si="0"/>
        <v>3</v>
      </c>
      <c r="J4" s="85" t="str">
        <f t="shared" si="1"/>
        <v>6552303</v>
      </c>
      <c r="K4" s="83" t="s">
        <v>195</v>
      </c>
      <c r="L4" s="86" t="s">
        <v>251</v>
      </c>
      <c r="M4" s="87" t="s">
        <v>441</v>
      </c>
      <c r="N4" s="56" t="s">
        <v>196</v>
      </c>
    </row>
    <row r="5" spans="1:14" ht="16" thickBot="1" x14ac:dyDescent="0.2">
      <c r="A5" s="178" t="s">
        <v>194</v>
      </c>
      <c r="B5" s="179">
        <f>floors!$C$2</f>
        <v>65523</v>
      </c>
      <c r="C5" s="180" t="str">
        <f ca="1">VLOOKUP($B5,OFFSET([2]quests!$A$1,0,0,COUNTA([2]quests!$A:$A),MATCH(C$1,[2]quests!$1:$1,0)-MATCH($B$1,[2]quests!$1:$1,0)+1),MATCH(C$1,[2]quests!$1:$1,0)-MATCH($B$1,[2]quests!$1:$1,0)+1,FALSE)</f>
        <v>【LB尾崎】検証クエスト</v>
      </c>
      <c r="D5" s="180" t="str">
        <f ca="1">VLOOKUP($B5,OFFSET([2]quests!$A$1,0,0,COUNTA([2]quests!$A:$A),MATCH(D$1,[2]quests!$1:$1,0)-MATCH($B$1,[2]quests!$1:$1,0)+1),MATCH(D$1,[2]quests!$1:$1,0)-MATCH($B$1,[2]quests!$1:$1,0)+1,FALSE)</f>
        <v>童話シリーズ　超級</v>
      </c>
      <c r="E5" s="181">
        <v>1</v>
      </c>
      <c r="F5" s="180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5" s="180" t="str">
        <f ca="1">VLOOKUP($B5&amp;"_"&amp;$E5,OFFSET([2]stages!$A$1,0,0,COUNTA([2]stages!$A:$A),MATCH(G$1,[2]stages!$2:$2,0)-MATCH("temp_stage",[2]stages!$2:$2,0)+1),MATCH(G$1,[2]stages!$2:$2,0)-MATCH("temp_stage",[2]stages!$2:$2,0)+1,FALSE)</f>
        <v>童話シリーズ　超級</v>
      </c>
      <c r="H5" s="182">
        <v>3</v>
      </c>
      <c r="I5" s="183">
        <f t="shared" si="0"/>
        <v>4</v>
      </c>
      <c r="J5" s="184" t="str">
        <f t="shared" si="1"/>
        <v>6552304</v>
      </c>
      <c r="K5" s="181" t="s">
        <v>195</v>
      </c>
      <c r="L5" s="185" t="s">
        <v>251</v>
      </c>
      <c r="M5" s="87" t="s">
        <v>441</v>
      </c>
      <c r="N5" s="163" t="s">
        <v>196</v>
      </c>
    </row>
    <row r="6" spans="1:14" x14ac:dyDescent="0.15">
      <c r="A6" s="172" t="s">
        <v>194</v>
      </c>
      <c r="B6" s="173">
        <f>floors!$C$2</f>
        <v>65523</v>
      </c>
      <c r="C6" s="82" t="str">
        <f ca="1">VLOOKUP($B6,OFFSET([2]quests!$A$1,0,0,COUNTA([2]quests!$A:$A),MATCH(C$1,[2]quests!$1:$1,0)-MATCH($B$1,[2]quests!$1:$1,0)+1),MATCH(C$1,[2]quests!$1:$1,0)-MATCH($B$1,[2]quests!$1:$1,0)+1,FALSE)</f>
        <v>【LB尾崎】検証クエスト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童話シリーズ　超級</v>
      </c>
      <c r="E6" s="174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童話シリーズ　超級</v>
      </c>
      <c r="H6" s="84">
        <v>1</v>
      </c>
      <c r="I6" s="175">
        <f t="shared" si="0"/>
        <v>5</v>
      </c>
      <c r="J6" s="176" t="str">
        <f t="shared" si="1"/>
        <v>6552305</v>
      </c>
      <c r="K6" s="174" t="s">
        <v>195</v>
      </c>
      <c r="L6" s="177" t="s">
        <v>251</v>
      </c>
      <c r="M6" s="87" t="s">
        <v>441</v>
      </c>
      <c r="N6" s="160" t="s">
        <v>196</v>
      </c>
    </row>
    <row r="7" spans="1:14" x14ac:dyDescent="0.15">
      <c r="A7" s="80" t="s">
        <v>194</v>
      </c>
      <c r="B7" s="81">
        <f>floors!$C$2</f>
        <v>65523</v>
      </c>
      <c r="C7" s="82" t="str">
        <f ca="1">VLOOKUP($B7,OFFSET([2]quests!$A$1,0,0,COUNTA([2]quests!$A:$A),MATCH(C$1,[2]quests!$1:$1,0)-MATCH($B$1,[2]quests!$1:$1,0)+1),MATCH(C$1,[2]quests!$1:$1,0)-MATCH($B$1,[2]quests!$1:$1,0)+1,FALSE)</f>
        <v>【LB尾崎】検証クエスト</v>
      </c>
      <c r="D7" s="82" t="str">
        <f ca="1">VLOOKUP($B7,OFFSET([2]quests!$A$1,0,0,COUNTA([2]quests!$A:$A),MATCH(D$1,[2]quests!$1:$1,0)-MATCH($B$1,[2]quests!$1:$1,0)+1),MATCH(D$1,[2]quests!$1:$1,0)-MATCH($B$1,[2]quests!$1:$1,0)+1,FALSE)</f>
        <v>童話シリーズ　超級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童話シリーズ　超級</v>
      </c>
      <c r="H7" s="84">
        <v>2</v>
      </c>
      <c r="I7" s="90">
        <f t="shared" si="0"/>
        <v>6</v>
      </c>
      <c r="J7" s="85" t="str">
        <f t="shared" si="1"/>
        <v>6552306</v>
      </c>
      <c r="K7" s="83" t="s">
        <v>195</v>
      </c>
      <c r="L7" s="86" t="s">
        <v>251</v>
      </c>
      <c r="M7" s="87" t="s">
        <v>441</v>
      </c>
      <c r="N7" s="56" t="s">
        <v>196</v>
      </c>
    </row>
    <row r="8" spans="1:14" x14ac:dyDescent="0.15">
      <c r="A8" s="80" t="s">
        <v>194</v>
      </c>
      <c r="B8" s="81">
        <f>floors!$C$2</f>
        <v>65523</v>
      </c>
      <c r="C8" s="82" t="str">
        <f ca="1">VLOOKUP($B8,OFFSET([2]quests!$A$1,0,0,COUNTA([2]quests!$A:$A),MATCH(C$1,[2]quests!$1:$1,0)-MATCH($B$1,[2]quests!$1:$1,0)+1),MATCH(C$1,[2]quests!$1:$1,0)-MATCH($B$1,[2]quests!$1:$1,0)+1,FALSE)</f>
        <v>【LB尾崎】検証クエスト</v>
      </c>
      <c r="D8" s="82" t="str">
        <f ca="1">VLOOKUP($B8,OFFSET([2]quests!$A$1,0,0,COUNTA([2]quests!$A:$A),MATCH(D$1,[2]quests!$1:$1,0)-MATCH($B$1,[2]quests!$1:$1,0)+1),MATCH(D$1,[2]quests!$1:$1,0)-MATCH($B$1,[2]quests!$1:$1,0)+1,FALSE)</f>
        <v>童話シリーズ　超級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童話シリーズ　超級</v>
      </c>
      <c r="H8" s="84">
        <v>3</v>
      </c>
      <c r="I8" s="90">
        <f t="shared" si="0"/>
        <v>7</v>
      </c>
      <c r="J8" s="85" t="str">
        <f t="shared" si="1"/>
        <v>6552307</v>
      </c>
      <c r="K8" s="83" t="s">
        <v>195</v>
      </c>
      <c r="L8" s="86" t="s">
        <v>251</v>
      </c>
      <c r="M8" s="87" t="s">
        <v>441</v>
      </c>
      <c r="N8" s="56" t="s">
        <v>196</v>
      </c>
    </row>
    <row r="9" spans="1:14" ht="16" thickBot="1" x14ac:dyDescent="0.2">
      <c r="A9" s="178" t="s">
        <v>194</v>
      </c>
      <c r="B9" s="179">
        <f>floors!$C$2</f>
        <v>65523</v>
      </c>
      <c r="C9" s="180" t="str">
        <f ca="1">VLOOKUP($B9,OFFSET([2]quests!$A$1,0,0,COUNTA([2]quests!$A:$A),MATCH(C$1,[2]quests!$1:$1,0)-MATCH($B$1,[2]quests!$1:$1,0)+1),MATCH(C$1,[2]quests!$1:$1,0)-MATCH($B$1,[2]quests!$1:$1,0)+1,FALSE)</f>
        <v>【LB尾崎】検証クエスト</v>
      </c>
      <c r="D9" s="180" t="str">
        <f ca="1">VLOOKUP($B9,OFFSET([2]quests!$A$1,0,0,COUNTA([2]quests!$A:$A),MATCH(D$1,[2]quests!$1:$1,0)-MATCH($B$1,[2]quests!$1:$1,0)+1),MATCH(D$1,[2]quests!$1:$1,0)-MATCH($B$1,[2]quests!$1:$1,0)+1,FALSE)</f>
        <v>童話シリーズ　超級</v>
      </c>
      <c r="E9" s="181">
        <v>2</v>
      </c>
      <c r="F9" s="180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9" s="180" t="str">
        <f ca="1">VLOOKUP($B9&amp;"_"&amp;$E9,OFFSET([2]stages!$A$1,0,0,COUNTA([2]stages!$A:$A),MATCH(G$1,[2]stages!$2:$2,0)-MATCH("temp_stage",[2]stages!$2:$2,0)+1),MATCH(G$1,[2]stages!$2:$2,0)-MATCH("temp_stage",[2]stages!$2:$2,0)+1,FALSE)</f>
        <v>童話シリーズ　超級</v>
      </c>
      <c r="H9" s="182">
        <v>3</v>
      </c>
      <c r="I9" s="183">
        <f t="shared" si="0"/>
        <v>8</v>
      </c>
      <c r="J9" s="184" t="str">
        <f t="shared" si="1"/>
        <v>6552308</v>
      </c>
      <c r="K9" s="181" t="s">
        <v>195</v>
      </c>
      <c r="L9" s="185" t="s">
        <v>251</v>
      </c>
      <c r="M9" s="87" t="s">
        <v>441</v>
      </c>
      <c r="N9" s="163" t="s">
        <v>196</v>
      </c>
    </row>
    <row r="10" spans="1:14" x14ac:dyDescent="0.15">
      <c r="A10" s="172" t="s">
        <v>194</v>
      </c>
      <c r="B10" s="173">
        <f>floors!$C$2</f>
        <v>65523</v>
      </c>
      <c r="C10" s="82" t="str">
        <f ca="1">VLOOKUP($B10,OFFSET([2]quests!$A$1,0,0,COUNTA([2]quests!$A:$A),MATCH(C$1,[2]quests!$1:$1,0)-MATCH($B$1,[2]quests!$1:$1,0)+1),MATCH(C$1,[2]quests!$1:$1,0)-MATCH($B$1,[2]quests!$1:$1,0)+1,FALSE)</f>
        <v>【LB尾崎】検証クエスト</v>
      </c>
      <c r="D10" s="82" t="str">
        <f ca="1">VLOOKUP($B10,OFFSET([2]quests!$A$1,0,0,COUNTA([2]quests!$A:$A),MATCH(D$1,[2]quests!$1:$1,0)-MATCH($B$1,[2]quests!$1:$1,0)+1),MATCH(D$1,[2]quests!$1:$1,0)-MATCH($B$1,[2]quests!$1:$1,0)+1,FALSE)</f>
        <v>童話シリーズ　超級</v>
      </c>
      <c r="E10" s="174">
        <v>3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童話シリーズ　超級</v>
      </c>
      <c r="H10" s="84">
        <v>1</v>
      </c>
      <c r="I10" s="175">
        <f t="shared" si="0"/>
        <v>9</v>
      </c>
      <c r="J10" s="176" t="str">
        <f t="shared" si="1"/>
        <v>6552309</v>
      </c>
      <c r="K10" s="174" t="s">
        <v>195</v>
      </c>
      <c r="L10" s="177" t="s">
        <v>251</v>
      </c>
      <c r="M10" s="87" t="s">
        <v>441</v>
      </c>
      <c r="N10" s="160" t="s">
        <v>196</v>
      </c>
    </row>
    <row r="11" spans="1:14" x14ac:dyDescent="0.15">
      <c r="A11" s="80" t="s">
        <v>194</v>
      </c>
      <c r="B11" s="81">
        <f>floors!$C$2</f>
        <v>65523</v>
      </c>
      <c r="C11" s="82" t="str">
        <f ca="1">VLOOKUP($B11,OFFSET([2]quests!$A$1,0,0,COUNTA([2]quests!$A:$A),MATCH(C$1,[2]quests!$1:$1,0)-MATCH($B$1,[2]quests!$1:$1,0)+1),MATCH(C$1,[2]quests!$1:$1,0)-MATCH($B$1,[2]quests!$1:$1,0)+1,FALSE)</f>
        <v>【LB尾崎】検証クエスト</v>
      </c>
      <c r="D11" s="82" t="str">
        <f ca="1">VLOOKUP($B11,OFFSET([2]quests!$A$1,0,0,COUNTA([2]quests!$A:$A),MATCH(D$1,[2]quests!$1:$1,0)-MATCH($B$1,[2]quests!$1:$1,0)+1),MATCH(D$1,[2]quests!$1:$1,0)-MATCH($B$1,[2]quests!$1:$1,0)+1,FALSE)</f>
        <v>童話シリーズ　超級</v>
      </c>
      <c r="E11" s="83">
        <v>3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童話シリーズ　超級</v>
      </c>
      <c r="H11" s="84">
        <v>2</v>
      </c>
      <c r="I11" s="90">
        <f t="shared" si="0"/>
        <v>10</v>
      </c>
      <c r="J11" s="85" t="str">
        <f t="shared" si="1"/>
        <v>6552310</v>
      </c>
      <c r="K11" s="83" t="s">
        <v>195</v>
      </c>
      <c r="L11" s="86" t="s">
        <v>251</v>
      </c>
      <c r="M11" s="87" t="s">
        <v>441</v>
      </c>
      <c r="N11" s="56" t="s">
        <v>196</v>
      </c>
    </row>
    <row r="12" spans="1:14" x14ac:dyDescent="0.15">
      <c r="A12" s="80" t="s">
        <v>194</v>
      </c>
      <c r="B12" s="81">
        <f>floors!$C$2</f>
        <v>65523</v>
      </c>
      <c r="C12" s="82" t="str">
        <f ca="1">VLOOKUP($B12,OFFSET([2]quests!$A$1,0,0,COUNTA([2]quests!$A:$A),MATCH(C$1,[2]quests!$1:$1,0)-MATCH($B$1,[2]quests!$1:$1,0)+1),MATCH(C$1,[2]quests!$1:$1,0)-MATCH($B$1,[2]quests!$1:$1,0)+1,FALSE)</f>
        <v>【LB尾崎】検証クエスト</v>
      </c>
      <c r="D12" s="82" t="str">
        <f ca="1">VLOOKUP($B12,OFFSET([2]quests!$A$1,0,0,COUNTA([2]quests!$A:$A),MATCH(D$1,[2]quests!$1:$1,0)-MATCH($B$1,[2]quests!$1:$1,0)+1),MATCH(D$1,[2]quests!$1:$1,0)-MATCH($B$1,[2]quests!$1:$1,0)+1,FALSE)</f>
        <v>童話シリーズ　超級</v>
      </c>
      <c r="E12" s="83">
        <v>3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童話シリーズ　超級</v>
      </c>
      <c r="H12" s="84">
        <v>3</v>
      </c>
      <c r="I12" s="90">
        <f t="shared" si="0"/>
        <v>11</v>
      </c>
      <c r="J12" s="85" t="str">
        <f t="shared" si="1"/>
        <v>6552311</v>
      </c>
      <c r="K12" s="83" t="s">
        <v>195</v>
      </c>
      <c r="L12" s="86" t="s">
        <v>251</v>
      </c>
      <c r="M12" s="87" t="s">
        <v>441</v>
      </c>
      <c r="N12" s="56" t="s">
        <v>196</v>
      </c>
    </row>
    <row r="13" spans="1:14" ht="16" thickBot="1" x14ac:dyDescent="0.2">
      <c r="A13" s="80" t="s">
        <v>194</v>
      </c>
      <c r="B13" s="81">
        <f>floors!$C$2</f>
        <v>65523</v>
      </c>
      <c r="C13" s="82" t="str">
        <f ca="1">VLOOKUP($B13,OFFSET([2]quests!$A$1,0,0,COUNTA([2]quests!$A:$A),MATCH(C$1,[2]quests!$1:$1,0)-MATCH($B$1,[2]quests!$1:$1,0)+1),MATCH(C$1,[2]quests!$1:$1,0)-MATCH($B$1,[2]quests!$1:$1,0)+1,FALSE)</f>
        <v>【LB尾崎】検証クエスト</v>
      </c>
      <c r="D13" s="82" t="str">
        <f ca="1">VLOOKUP($B13,OFFSET([2]quests!$A$1,0,0,COUNTA([2]quests!$A:$A),MATCH(D$1,[2]quests!$1:$1,0)-MATCH($B$1,[2]quests!$1:$1,0)+1),MATCH(D$1,[2]quests!$1:$1,0)-MATCH($B$1,[2]quests!$1:$1,0)+1,FALSE)</f>
        <v>童話シリーズ　超級</v>
      </c>
      <c r="E13" s="83">
        <v>3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童話シリーズ　超級</v>
      </c>
      <c r="H13" s="182">
        <v>3</v>
      </c>
      <c r="I13" s="90">
        <f t="shared" si="0"/>
        <v>12</v>
      </c>
      <c r="J13" s="85" t="str">
        <f t="shared" si="1"/>
        <v>6552312</v>
      </c>
      <c r="K13" s="83" t="s">
        <v>195</v>
      </c>
      <c r="L13" s="86" t="s">
        <v>251</v>
      </c>
      <c r="M13" s="87" t="s">
        <v>441</v>
      </c>
      <c r="N13" s="56" t="s">
        <v>196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2" sqref="L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208</v>
      </c>
      <c r="B1" s="95" t="s">
        <v>209</v>
      </c>
      <c r="C1" s="76" t="s">
        <v>210</v>
      </c>
      <c r="D1" s="76" t="s">
        <v>33</v>
      </c>
      <c r="E1" s="95" t="s">
        <v>211</v>
      </c>
      <c r="F1" s="76" t="s">
        <v>212</v>
      </c>
      <c r="G1" s="76" t="s">
        <v>33</v>
      </c>
      <c r="H1" s="95" t="s">
        <v>213</v>
      </c>
      <c r="I1" s="95" t="s">
        <v>214</v>
      </c>
      <c r="J1" s="95" t="s">
        <v>215</v>
      </c>
      <c r="K1" s="72" t="s">
        <v>216</v>
      </c>
      <c r="L1" s="72" t="s">
        <v>217</v>
      </c>
      <c r="M1" s="72" t="s">
        <v>153</v>
      </c>
      <c r="N1" s="76" t="s">
        <v>16</v>
      </c>
      <c r="O1" s="72" t="s">
        <v>218</v>
      </c>
      <c r="P1" s="72" t="s">
        <v>56</v>
      </c>
      <c r="Q1" s="72" t="s">
        <v>219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220</v>
      </c>
      <c r="X1" s="72" t="s">
        <v>221</v>
      </c>
    </row>
    <row r="2" spans="1:24" x14ac:dyDescent="0.15">
      <c r="A2" s="96" t="str">
        <f>B2&amp;"_"&amp;E2&amp;"_"&amp;H2&amp;"_"&amp;I2&amp;"_"&amp;J2</f>
        <v>65523_1_everyone_clear_1</v>
      </c>
      <c r="B2" s="81">
        <v>65523</v>
      </c>
      <c r="C2" s="82" t="str">
        <f ca="1">VLOOKUP($B2,OFFSET([2]quests!$A$1,0,0,COUNTA([2]quests!$A:$A),MATCH(C$1,[2]quests!$1:$1,0)-MATCH($B$1,[2]quests!$1:$1,0)+1),MATCH(C$1,[2]quests!$1:$1,0)-MATCH($B$1,[2]quests!$1:$1,0)+1,FALSE)</f>
        <v>【LB尾崎】検証クエスト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童話シリーズ　超級</v>
      </c>
      <c r="H2" s="84" t="s">
        <v>222</v>
      </c>
      <c r="I2" s="83" t="s">
        <v>223</v>
      </c>
      <c r="J2" s="83">
        <v>1</v>
      </c>
      <c r="K2" s="83">
        <v>610</v>
      </c>
      <c r="L2" s="83" t="s">
        <v>224</v>
      </c>
      <c r="M2" s="83">
        <v>334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8" t="s">
        <v>225</v>
      </c>
      <c r="X2" s="99" t="s">
        <v>226</v>
      </c>
    </row>
    <row r="3" spans="1:24" x14ac:dyDescent="0.15">
      <c r="A3" s="96" t="str">
        <f>B3&amp;"_"&amp;E3&amp;"_"&amp;H3&amp;"_"&amp;I3&amp;"_"&amp;J3</f>
        <v>65523_1_everyone_no_continue_1</v>
      </c>
      <c r="B3" s="81">
        <v>65523</v>
      </c>
      <c r="C3" s="82" t="str">
        <f ca="1">VLOOKUP($B3,OFFSET([2]quests!$A$1,0,0,COUNTA([2]quests!$A:$A),MATCH(C$1,[2]quests!$1:$1,0)-MATCH($B$1,[2]quests!$1:$1,0)+1),MATCH(C$1,[2]quests!$1:$1,0)-MATCH($B$1,[2]quests!$1:$1,0)+1,FALSE)</f>
        <v>【LB尾崎】検証クエスト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童話シリーズ　超級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【超級】スリーピギーズ（仮）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童話シリーズ　超級</v>
      </c>
      <c r="H3" s="84" t="s">
        <v>222</v>
      </c>
      <c r="I3" s="83" t="s">
        <v>227</v>
      </c>
      <c r="J3" s="83">
        <v>1</v>
      </c>
      <c r="K3" s="83">
        <v>610</v>
      </c>
      <c r="L3" s="83" t="s">
        <v>224</v>
      </c>
      <c r="M3" s="83">
        <v>334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8" t="s">
        <v>225</v>
      </c>
      <c r="X3" s="99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2017-04-10T08:45:32Z</dcterms:modified>
</cp:coreProperties>
</file>