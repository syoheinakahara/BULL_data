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01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.Mori/GitHub/BULL_data/master_excel/"/>
    </mc:Choice>
  </mc:AlternateContent>
  <bookViews>
    <workbookView xWindow="0" yWindow="460" windowWidth="28800" windowHeight="16480" tabRatio="740" activeTab="7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8" hidden="1">stage_hints_complete!$B$1:$L$1</definedName>
    <definedName name="_xlnm._FilterDatabase" localSheetId="9" hidden="1">stage_hints_failure!$B$1:$M$1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1" i="11" l="1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31" i="10"/>
  <c r="T31" i="10"/>
  <c r="W31" i="10"/>
  <c r="V31" i="10"/>
  <c r="X31" i="10"/>
  <c r="U31" i="10"/>
  <c r="Y31" i="10"/>
  <c r="M29" i="10"/>
  <c r="N29" i="10"/>
  <c r="Q29" i="10"/>
  <c r="P29" i="10"/>
  <c r="R29" i="10"/>
  <c r="O29" i="10"/>
  <c r="S29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I28" i="9"/>
  <c r="J30" i="11"/>
  <c r="J29" i="11"/>
  <c r="M28" i="10"/>
  <c r="N28" i="10"/>
  <c r="Q28" i="10"/>
  <c r="P28" i="10"/>
  <c r="R28" i="10"/>
  <c r="O28" i="10"/>
  <c r="S28" i="10"/>
  <c r="T29" i="10"/>
  <c r="W29" i="10"/>
  <c r="V29" i="10"/>
  <c r="X29" i="10"/>
  <c r="U29" i="10"/>
  <c r="Y29" i="10"/>
  <c r="G29" i="10"/>
  <c r="J29" i="10"/>
  <c r="I29" i="10"/>
  <c r="K29" i="10"/>
  <c r="H29" i="10"/>
  <c r="L29" i="10"/>
  <c r="M26" i="10"/>
  <c r="N26" i="10"/>
  <c r="Q26" i="10"/>
  <c r="P26" i="10"/>
  <c r="R26" i="10"/>
  <c r="O26" i="10"/>
  <c r="S26" i="10"/>
  <c r="D7" i="9"/>
  <c r="O16" i="21"/>
  <c r="I16" i="21"/>
  <c r="J16" i="21"/>
  <c r="G16" i="21"/>
  <c r="F16" i="21"/>
  <c r="D16" i="21"/>
  <c r="C16" i="21"/>
  <c r="O10" i="21"/>
  <c r="I10" i="21"/>
  <c r="J10" i="21"/>
  <c r="G10" i="21"/>
  <c r="F10" i="21"/>
  <c r="D10" i="21"/>
  <c r="C10" i="21"/>
  <c r="O5" i="21"/>
  <c r="O6" i="21"/>
  <c r="I5" i="21"/>
  <c r="J5" i="21"/>
  <c r="I6" i="21"/>
  <c r="F5" i="21"/>
  <c r="G5" i="21"/>
  <c r="O2" i="21"/>
  <c r="O3" i="21"/>
  <c r="O4" i="21"/>
  <c r="O7" i="21"/>
  <c r="O8" i="21"/>
  <c r="O9" i="21"/>
  <c r="O11" i="21"/>
  <c r="O12" i="21"/>
  <c r="O13" i="21"/>
  <c r="O14" i="21"/>
  <c r="O15" i="21"/>
  <c r="I15" i="21"/>
  <c r="J15" i="21"/>
  <c r="G15" i="21"/>
  <c r="F15" i="21"/>
  <c r="D15" i="21"/>
  <c r="C15" i="21"/>
  <c r="I14" i="21"/>
  <c r="J14" i="21"/>
  <c r="G14" i="21"/>
  <c r="F14" i="21"/>
  <c r="D14" i="21"/>
  <c r="C14" i="21"/>
  <c r="I13" i="21"/>
  <c r="J13" i="21"/>
  <c r="G13" i="21"/>
  <c r="F13" i="21"/>
  <c r="D13" i="21"/>
  <c r="C13" i="21"/>
  <c r="I12" i="21"/>
  <c r="J12" i="21"/>
  <c r="G12" i="21"/>
  <c r="F12" i="21"/>
  <c r="D12" i="21"/>
  <c r="C12" i="21"/>
  <c r="I11" i="21"/>
  <c r="J11" i="21"/>
  <c r="G11" i="21"/>
  <c r="F11" i="21"/>
  <c r="D11" i="21"/>
  <c r="C11" i="21"/>
  <c r="I9" i="21"/>
  <c r="J9" i="21"/>
  <c r="G9" i="21"/>
  <c r="F9" i="21"/>
  <c r="D9" i="21"/>
  <c r="C9" i="21"/>
  <c r="I8" i="21"/>
  <c r="J8" i="21"/>
  <c r="G8" i="21"/>
  <c r="F8" i="21"/>
  <c r="D8" i="21"/>
  <c r="C8" i="21"/>
  <c r="I7" i="21"/>
  <c r="J7" i="21"/>
  <c r="G7" i="21"/>
  <c r="F7" i="21"/>
  <c r="D7" i="21"/>
  <c r="C7" i="21"/>
  <c r="C6" i="18"/>
  <c r="D6" i="18"/>
  <c r="J25" i="11"/>
  <c r="J24" i="11"/>
  <c r="J20" i="11"/>
  <c r="O29" i="9"/>
  <c r="N29" i="9"/>
  <c r="M29" i="9"/>
  <c r="L29" i="9"/>
  <c r="K29" i="9"/>
  <c r="J29" i="9"/>
  <c r="I29" i="9"/>
  <c r="H29" i="9"/>
  <c r="G29" i="9"/>
  <c r="E29" i="9"/>
  <c r="D29" i="9"/>
  <c r="A29" i="9"/>
  <c r="J19" i="11"/>
  <c r="O28" i="9"/>
  <c r="N28" i="9"/>
  <c r="M28" i="9"/>
  <c r="L28" i="9"/>
  <c r="K28" i="9"/>
  <c r="J28" i="9"/>
  <c r="H28" i="9"/>
  <c r="G28" i="9"/>
  <c r="E28" i="9"/>
  <c r="D28" i="9"/>
  <c r="A28" i="9"/>
  <c r="J18" i="11"/>
  <c r="O27" i="9"/>
  <c r="N27" i="9"/>
  <c r="M27" i="9"/>
  <c r="L27" i="9"/>
  <c r="K27" i="9"/>
  <c r="J27" i="9"/>
  <c r="I27" i="9"/>
  <c r="H27" i="9"/>
  <c r="G27" i="9"/>
  <c r="E27" i="9"/>
  <c r="D27" i="9"/>
  <c r="A27" i="9"/>
  <c r="J17" i="11"/>
  <c r="O26" i="9"/>
  <c r="N26" i="9"/>
  <c r="M26" i="9"/>
  <c r="L26" i="9"/>
  <c r="K26" i="9"/>
  <c r="J26" i="9"/>
  <c r="I26" i="9"/>
  <c r="H26" i="9"/>
  <c r="G26" i="9"/>
  <c r="E26" i="9"/>
  <c r="D26" i="9"/>
  <c r="A26" i="9"/>
  <c r="O25" i="9"/>
  <c r="N25" i="9"/>
  <c r="M25" i="9"/>
  <c r="L25" i="9"/>
  <c r="K25" i="9"/>
  <c r="J25" i="9"/>
  <c r="I25" i="9"/>
  <c r="H25" i="9"/>
  <c r="G25" i="9"/>
  <c r="E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J23" i="11"/>
  <c r="O23" i="9"/>
  <c r="N23" i="9"/>
  <c r="M23" i="9"/>
  <c r="L23" i="9"/>
  <c r="K23" i="9"/>
  <c r="J23" i="9"/>
  <c r="I23" i="9"/>
  <c r="H23" i="9"/>
  <c r="G23" i="9"/>
  <c r="E23" i="9"/>
  <c r="D23" i="9"/>
  <c r="A23" i="9"/>
  <c r="J22" i="11"/>
  <c r="O22" i="9"/>
  <c r="N22" i="9"/>
  <c r="M22" i="9"/>
  <c r="L22" i="9"/>
  <c r="K22" i="9"/>
  <c r="J22" i="9"/>
  <c r="I22" i="9"/>
  <c r="H22" i="9"/>
  <c r="G22" i="9"/>
  <c r="E22" i="9"/>
  <c r="D22" i="9"/>
  <c r="A22" i="9"/>
  <c r="J21" i="11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O18" i="9"/>
  <c r="N18" i="9"/>
  <c r="M18" i="9"/>
  <c r="L18" i="9"/>
  <c r="K18" i="9"/>
  <c r="J18" i="9"/>
  <c r="I18" i="9"/>
  <c r="H18" i="9"/>
  <c r="G18" i="9"/>
  <c r="E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J27" i="11"/>
  <c r="J28" i="11"/>
  <c r="J26" i="11"/>
  <c r="T28" i="10"/>
  <c r="W28" i="10"/>
  <c r="V28" i="10"/>
  <c r="X28" i="10"/>
  <c r="U28" i="10"/>
  <c r="Y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T26" i="10"/>
  <c r="W26" i="10"/>
  <c r="V26" i="10"/>
  <c r="X26" i="10"/>
  <c r="U26" i="10"/>
  <c r="Y26" i="10"/>
  <c r="G26" i="10"/>
  <c r="J26" i="10"/>
  <c r="I26" i="10"/>
  <c r="K26" i="10"/>
  <c r="H26" i="10"/>
  <c r="L26" i="10"/>
  <c r="R6" i="7"/>
  <c r="Q6" i="7"/>
  <c r="P6" i="7"/>
  <c r="O6" i="7"/>
  <c r="N6" i="7"/>
  <c r="H6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J6" i="7"/>
  <c r="I6" i="7"/>
  <c r="D6" i="7"/>
  <c r="F6" i="7"/>
  <c r="E6" i="7"/>
  <c r="A6" i="7"/>
  <c r="AB22" i="1"/>
  <c r="AD22" i="1"/>
  <c r="AG22" i="1"/>
  <c r="AE22" i="1"/>
  <c r="AC22" i="1"/>
  <c r="E6" i="9"/>
  <c r="V22" i="1"/>
  <c r="Q22" i="1"/>
  <c r="P22" i="1"/>
  <c r="O22" i="1"/>
  <c r="N22" i="1"/>
  <c r="M22" i="1"/>
  <c r="H22" i="1"/>
  <c r="J22" i="1"/>
  <c r="I22" i="1"/>
  <c r="D22" i="1"/>
  <c r="F22" i="1"/>
  <c r="E22" i="1"/>
  <c r="A22" i="1"/>
  <c r="AB21" i="1"/>
  <c r="AD21" i="1"/>
  <c r="AG21" i="1"/>
  <c r="AE21" i="1"/>
  <c r="AC21" i="1"/>
  <c r="E5" i="9"/>
  <c r="V21" i="1"/>
  <c r="Q21" i="1"/>
  <c r="P21" i="1"/>
  <c r="O21" i="1"/>
  <c r="N21" i="1"/>
  <c r="M21" i="1"/>
  <c r="H21" i="1"/>
  <c r="J21" i="1"/>
  <c r="I21" i="1"/>
  <c r="D21" i="1"/>
  <c r="F21" i="1"/>
  <c r="E21" i="1"/>
  <c r="A21" i="1"/>
  <c r="AB20" i="1"/>
  <c r="AD20" i="1"/>
  <c r="AG20" i="1"/>
  <c r="AE20" i="1"/>
  <c r="AC20" i="1"/>
  <c r="W20" i="1"/>
  <c r="V20" i="1"/>
  <c r="Q20" i="1"/>
  <c r="P20" i="1"/>
  <c r="O20" i="1"/>
  <c r="N20" i="1"/>
  <c r="M20" i="1"/>
  <c r="H20" i="1"/>
  <c r="J20" i="1"/>
  <c r="I20" i="1"/>
  <c r="D20" i="1"/>
  <c r="F20" i="1"/>
  <c r="E20" i="1"/>
  <c r="A20" i="1"/>
  <c r="AB19" i="1"/>
  <c r="AD19" i="1"/>
  <c r="AG19" i="1"/>
  <c r="AE19" i="1"/>
  <c r="AC19" i="1"/>
  <c r="E4" i="9"/>
  <c r="V19" i="1"/>
  <c r="Q19" i="1"/>
  <c r="P19" i="1"/>
  <c r="O19" i="1"/>
  <c r="N19" i="1"/>
  <c r="M19" i="1"/>
  <c r="H19" i="1"/>
  <c r="J19" i="1"/>
  <c r="I19" i="1"/>
  <c r="D19" i="1"/>
  <c r="F19" i="1"/>
  <c r="E19" i="1"/>
  <c r="A19" i="1"/>
  <c r="AB18" i="1"/>
  <c r="AD18" i="1"/>
  <c r="AG18" i="1"/>
  <c r="AE18" i="1"/>
  <c r="AC18" i="1"/>
  <c r="V18" i="1"/>
  <c r="Q18" i="1"/>
  <c r="P18" i="1"/>
  <c r="O18" i="1"/>
  <c r="N18" i="1"/>
  <c r="M18" i="1"/>
  <c r="H18" i="1"/>
  <c r="J18" i="1"/>
  <c r="I18" i="1"/>
  <c r="D18" i="1"/>
  <c r="F18" i="1"/>
  <c r="E18" i="1"/>
  <c r="A18" i="1"/>
  <c r="AB17" i="1"/>
  <c r="AD17" i="1"/>
  <c r="AG17" i="1"/>
  <c r="AE17" i="1"/>
  <c r="AC17" i="1"/>
  <c r="E3" i="9"/>
  <c r="V17" i="1"/>
  <c r="Q17" i="1"/>
  <c r="P17" i="1"/>
  <c r="O17" i="1"/>
  <c r="N17" i="1"/>
  <c r="M17" i="1"/>
  <c r="H17" i="1"/>
  <c r="J17" i="1"/>
  <c r="I17" i="1"/>
  <c r="D17" i="1"/>
  <c r="F17" i="1"/>
  <c r="E17" i="1"/>
  <c r="A17" i="1"/>
  <c r="AB16" i="1"/>
  <c r="AD16" i="1"/>
  <c r="AG16" i="1"/>
  <c r="AE16" i="1"/>
  <c r="AC16" i="1"/>
  <c r="E2" i="9"/>
  <c r="V16" i="1"/>
  <c r="Q16" i="1"/>
  <c r="P16" i="1"/>
  <c r="O16" i="1"/>
  <c r="N16" i="1"/>
  <c r="M16" i="1"/>
  <c r="H16" i="1"/>
  <c r="J16" i="1"/>
  <c r="I16" i="1"/>
  <c r="D16" i="1"/>
  <c r="F16" i="1"/>
  <c r="E16" i="1"/>
  <c r="A16" i="1"/>
  <c r="R5" i="7"/>
  <c r="Q5" i="7"/>
  <c r="P5" i="7"/>
  <c r="O5" i="7"/>
  <c r="N5" i="7"/>
  <c r="H5" i="7"/>
  <c r="J5" i="7"/>
  <c r="I5" i="7"/>
  <c r="D5" i="7"/>
  <c r="F5" i="7"/>
  <c r="E5" i="7"/>
  <c r="A5" i="7"/>
  <c r="R4" i="7"/>
  <c r="Q4" i="7"/>
  <c r="P4" i="7"/>
  <c r="O4" i="7"/>
  <c r="N4" i="7"/>
  <c r="H4" i="7"/>
  <c r="J4" i="7"/>
  <c r="I4" i="7"/>
  <c r="D4" i="7"/>
  <c r="F4" i="7"/>
  <c r="E4" i="7"/>
  <c r="A4" i="7"/>
  <c r="H3" i="2"/>
  <c r="AB15" i="1"/>
  <c r="AD15" i="1"/>
  <c r="AG15" i="1"/>
  <c r="AE15" i="1"/>
  <c r="AC15" i="1"/>
  <c r="V15" i="1"/>
  <c r="Q15" i="1"/>
  <c r="P15" i="1"/>
  <c r="O15" i="1"/>
  <c r="N15" i="1"/>
  <c r="M15" i="1"/>
  <c r="H15" i="1"/>
  <c r="J15" i="1"/>
  <c r="I15" i="1"/>
  <c r="D15" i="1"/>
  <c r="F15" i="1"/>
  <c r="E15" i="1"/>
  <c r="A15" i="1"/>
  <c r="AB14" i="1"/>
  <c r="AD14" i="1"/>
  <c r="AG14" i="1"/>
  <c r="AE14" i="1"/>
  <c r="AC14" i="1"/>
  <c r="V14" i="1"/>
  <c r="Q14" i="1"/>
  <c r="P14" i="1"/>
  <c r="O14" i="1"/>
  <c r="N14" i="1"/>
  <c r="M14" i="1"/>
  <c r="H14" i="1"/>
  <c r="J14" i="1"/>
  <c r="I14" i="1"/>
  <c r="D14" i="1"/>
  <c r="F14" i="1"/>
  <c r="E14" i="1"/>
  <c r="A14" i="1"/>
  <c r="AB13" i="1"/>
  <c r="AD13" i="1"/>
  <c r="AG13" i="1"/>
  <c r="AE13" i="1"/>
  <c r="AC13" i="1"/>
  <c r="W13" i="1"/>
  <c r="V13" i="1"/>
  <c r="Q13" i="1"/>
  <c r="P13" i="1"/>
  <c r="O13" i="1"/>
  <c r="N13" i="1"/>
  <c r="M13" i="1"/>
  <c r="H13" i="1"/>
  <c r="J13" i="1"/>
  <c r="I13" i="1"/>
  <c r="D13" i="1"/>
  <c r="F13" i="1"/>
  <c r="E13" i="1"/>
  <c r="A13" i="1"/>
  <c r="AB12" i="1"/>
  <c r="AD12" i="1"/>
  <c r="AG12" i="1"/>
  <c r="AE12" i="1"/>
  <c r="AC12" i="1"/>
  <c r="V12" i="1"/>
  <c r="Q12" i="1"/>
  <c r="P12" i="1"/>
  <c r="O12" i="1"/>
  <c r="N12" i="1"/>
  <c r="M12" i="1"/>
  <c r="H12" i="1"/>
  <c r="J12" i="1"/>
  <c r="I12" i="1"/>
  <c r="D12" i="1"/>
  <c r="F12" i="1"/>
  <c r="E12" i="1"/>
  <c r="A12" i="1"/>
  <c r="AB11" i="1"/>
  <c r="AD11" i="1"/>
  <c r="AG11" i="1"/>
  <c r="AE11" i="1"/>
  <c r="AC11" i="1"/>
  <c r="V11" i="1"/>
  <c r="Q11" i="1"/>
  <c r="P11" i="1"/>
  <c r="O11" i="1"/>
  <c r="N11" i="1"/>
  <c r="M11" i="1"/>
  <c r="H11" i="1"/>
  <c r="J11" i="1"/>
  <c r="I11" i="1"/>
  <c r="D11" i="1"/>
  <c r="F11" i="1"/>
  <c r="E11" i="1"/>
  <c r="A11" i="1"/>
  <c r="AB10" i="1"/>
  <c r="AD10" i="1"/>
  <c r="AG10" i="1"/>
  <c r="AE10" i="1"/>
  <c r="AC10" i="1"/>
  <c r="V10" i="1"/>
  <c r="Q10" i="1"/>
  <c r="P10" i="1"/>
  <c r="O10" i="1"/>
  <c r="N10" i="1"/>
  <c r="M10" i="1"/>
  <c r="H10" i="1"/>
  <c r="J10" i="1"/>
  <c r="I10" i="1"/>
  <c r="D10" i="1"/>
  <c r="F10" i="1"/>
  <c r="E10" i="1"/>
  <c r="A10" i="1"/>
  <c r="AB9" i="1"/>
  <c r="AD9" i="1"/>
  <c r="AG9" i="1"/>
  <c r="AE9" i="1"/>
  <c r="AC9" i="1"/>
  <c r="V9" i="1"/>
  <c r="Q9" i="1"/>
  <c r="P9" i="1"/>
  <c r="O9" i="1"/>
  <c r="N9" i="1"/>
  <c r="M9" i="1"/>
  <c r="H9" i="1"/>
  <c r="J9" i="1"/>
  <c r="I9" i="1"/>
  <c r="D9" i="1"/>
  <c r="F9" i="1"/>
  <c r="E9" i="1"/>
  <c r="A9" i="1"/>
  <c r="D16" i="9"/>
  <c r="O16" i="9"/>
  <c r="N16" i="9"/>
  <c r="M16" i="9"/>
  <c r="L16" i="9"/>
  <c r="K16" i="9"/>
  <c r="J16" i="9"/>
  <c r="I16" i="9"/>
  <c r="H16" i="9"/>
  <c r="G16" i="9"/>
  <c r="E16" i="9"/>
  <c r="A16" i="9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H13" i="9"/>
  <c r="A14" i="9"/>
  <c r="D14" i="9"/>
  <c r="E14" i="9"/>
  <c r="G14" i="9"/>
  <c r="H14" i="9"/>
  <c r="I14" i="9"/>
  <c r="J14" i="9"/>
  <c r="K14" i="9"/>
  <c r="L14" i="9"/>
  <c r="M14" i="9"/>
  <c r="N14" i="9"/>
  <c r="O14" i="9"/>
  <c r="A15" i="9"/>
  <c r="D15" i="9"/>
  <c r="E15" i="9"/>
  <c r="G15" i="9"/>
  <c r="H15" i="9"/>
  <c r="I15" i="9"/>
  <c r="J15" i="9"/>
  <c r="K15" i="9"/>
  <c r="L15" i="9"/>
  <c r="M15" i="9"/>
  <c r="N15" i="9"/>
  <c r="O15" i="9"/>
  <c r="J13" i="9"/>
  <c r="G13" i="9"/>
  <c r="M13" i="9"/>
  <c r="H10" i="9"/>
  <c r="I2" i="9"/>
  <c r="L5" i="9"/>
  <c r="G2" i="9"/>
  <c r="G3" i="9"/>
  <c r="G4" i="9"/>
  <c r="D6" i="9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M19" i="10"/>
  <c r="N19" i="10"/>
  <c r="O19" i="10"/>
  <c r="P19" i="10"/>
  <c r="Q19" i="10"/>
  <c r="R19" i="10"/>
  <c r="S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M20" i="10"/>
  <c r="M16" i="10"/>
  <c r="N16" i="10"/>
  <c r="Q16" i="10"/>
  <c r="P16" i="10"/>
  <c r="R16" i="10"/>
  <c r="O16" i="10"/>
  <c r="S16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N8" i="1"/>
  <c r="A3" i="7"/>
  <c r="D3" i="7"/>
  <c r="E3" i="7"/>
  <c r="F3" i="7"/>
  <c r="H3" i="7"/>
  <c r="I3" i="7"/>
  <c r="J3" i="7"/>
  <c r="N3" i="7"/>
  <c r="O3" i="7"/>
  <c r="P3" i="7"/>
  <c r="Q3" i="7"/>
  <c r="R3" i="7"/>
  <c r="AB8" i="1"/>
  <c r="AD8" i="1"/>
  <c r="AG8" i="1"/>
  <c r="AE8" i="1"/>
  <c r="AC8" i="1"/>
  <c r="V8" i="1"/>
  <c r="Q8" i="1"/>
  <c r="P8" i="1"/>
  <c r="O8" i="1"/>
  <c r="M8" i="1"/>
  <c r="H8" i="1"/>
  <c r="J8" i="1"/>
  <c r="I8" i="1"/>
  <c r="D8" i="1"/>
  <c r="F8" i="1"/>
  <c r="E8" i="1"/>
  <c r="A8" i="1"/>
  <c r="AB7" i="1"/>
  <c r="AD7" i="1"/>
  <c r="AG7" i="1"/>
  <c r="AE7" i="1"/>
  <c r="AC7" i="1"/>
  <c r="V7" i="1"/>
  <c r="Q7" i="1"/>
  <c r="P7" i="1"/>
  <c r="O7" i="1"/>
  <c r="N7" i="1"/>
  <c r="M7" i="1"/>
  <c r="H7" i="1"/>
  <c r="J7" i="1"/>
  <c r="I7" i="1"/>
  <c r="D7" i="1"/>
  <c r="F7" i="1"/>
  <c r="E7" i="1"/>
  <c r="A7" i="1"/>
  <c r="AB6" i="1"/>
  <c r="AD6" i="1"/>
  <c r="AG6" i="1"/>
  <c r="AE6" i="1"/>
  <c r="AC6" i="1"/>
  <c r="W6" i="1"/>
  <c r="V6" i="1"/>
  <c r="Q6" i="1"/>
  <c r="P6" i="1"/>
  <c r="O6" i="1"/>
  <c r="N6" i="1"/>
  <c r="M6" i="1"/>
  <c r="H6" i="1"/>
  <c r="J6" i="1"/>
  <c r="I6" i="1"/>
  <c r="D6" i="1"/>
  <c r="F6" i="1"/>
  <c r="E6" i="1"/>
  <c r="A6" i="1"/>
  <c r="AB4" i="1"/>
  <c r="AD4" i="1"/>
  <c r="AG4" i="1"/>
  <c r="AE4" i="1"/>
  <c r="AC4" i="1"/>
  <c r="V4" i="1"/>
  <c r="Q4" i="1"/>
  <c r="P4" i="1"/>
  <c r="O4" i="1"/>
  <c r="N4" i="1"/>
  <c r="M4" i="1"/>
  <c r="H4" i="1"/>
  <c r="J4" i="1"/>
  <c r="I4" i="1"/>
  <c r="D4" i="1"/>
  <c r="F4" i="1"/>
  <c r="E4" i="1"/>
  <c r="A4" i="1"/>
  <c r="AB5" i="1"/>
  <c r="AD5" i="1"/>
  <c r="AG5" i="1"/>
  <c r="AE5" i="1"/>
  <c r="AC5" i="1"/>
  <c r="V5" i="1"/>
  <c r="Q5" i="1"/>
  <c r="P5" i="1"/>
  <c r="O5" i="1"/>
  <c r="N5" i="1"/>
  <c r="M5" i="1"/>
  <c r="H5" i="1"/>
  <c r="J5" i="1"/>
  <c r="I5" i="1"/>
  <c r="D5" i="1"/>
  <c r="F5" i="1"/>
  <c r="E5" i="1"/>
  <c r="A5" i="1"/>
  <c r="C34" i="18"/>
  <c r="D34" i="18"/>
  <c r="C33" i="18"/>
  <c r="D33" i="18"/>
  <c r="C32" i="18"/>
  <c r="D32" i="18"/>
  <c r="C31" i="18"/>
  <c r="D31" i="18"/>
  <c r="C30" i="18"/>
  <c r="D30" i="18"/>
  <c r="C29" i="18"/>
  <c r="D29" i="18"/>
  <c r="C28" i="18"/>
  <c r="D28" i="18"/>
  <c r="C27" i="18"/>
  <c r="D27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5" i="18"/>
  <c r="D5" i="18"/>
  <c r="C4" i="18"/>
  <c r="D4" i="18"/>
  <c r="C3" i="18"/>
  <c r="D3" i="18"/>
  <c r="C2" i="18"/>
  <c r="D2" i="18"/>
  <c r="H2" i="1"/>
  <c r="H3" i="1"/>
  <c r="H13" i="2"/>
  <c r="E13" i="2"/>
  <c r="D13" i="2"/>
  <c r="B13" i="2"/>
  <c r="H12" i="2"/>
  <c r="E12" i="2"/>
  <c r="D12" i="2"/>
  <c r="B12" i="2"/>
  <c r="H11" i="2"/>
  <c r="E11" i="2"/>
  <c r="D11" i="2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J16" i="11"/>
  <c r="AB3" i="1"/>
  <c r="AD3" i="1"/>
  <c r="AG3" i="1"/>
  <c r="AE3" i="1"/>
  <c r="AC3" i="1"/>
  <c r="V3" i="1"/>
  <c r="Q3" i="1"/>
  <c r="P3" i="1"/>
  <c r="O3" i="1"/>
  <c r="N3" i="1"/>
  <c r="M3" i="1"/>
  <c r="J3" i="1"/>
  <c r="I3" i="1"/>
  <c r="D3" i="1"/>
  <c r="F3" i="1"/>
  <c r="E3" i="1"/>
  <c r="AB2" i="1"/>
  <c r="AD2" i="1"/>
  <c r="AG2" i="1"/>
  <c r="AE2" i="1"/>
  <c r="AC2" i="1"/>
  <c r="V2" i="1"/>
  <c r="Q2" i="1"/>
  <c r="P2" i="1"/>
  <c r="O2" i="1"/>
  <c r="N2" i="1"/>
  <c r="M2" i="1"/>
  <c r="J2" i="1"/>
  <c r="I2" i="1"/>
  <c r="D2" i="1"/>
  <c r="F2" i="1"/>
  <c r="E2" i="1"/>
  <c r="J6" i="21"/>
  <c r="G6" i="21"/>
  <c r="F6" i="21"/>
  <c r="D6" i="21"/>
  <c r="C6" i="21"/>
  <c r="I4" i="21"/>
  <c r="J4" i="21"/>
  <c r="G4" i="21"/>
  <c r="F4" i="21"/>
  <c r="D4" i="21"/>
  <c r="C4" i="21"/>
  <c r="I3" i="21"/>
  <c r="J3" i="21"/>
  <c r="G3" i="21"/>
  <c r="F3" i="21"/>
  <c r="D3" i="21"/>
  <c r="C3" i="21"/>
  <c r="I2" i="21"/>
  <c r="J2" i="21"/>
  <c r="G2" i="21"/>
  <c r="F2" i="21"/>
  <c r="D2" i="21"/>
  <c r="C2" i="21"/>
  <c r="J12" i="11"/>
  <c r="J10" i="11"/>
  <c r="O5" i="9"/>
  <c r="N5" i="9"/>
  <c r="M5" i="9"/>
  <c r="K5" i="9"/>
  <c r="J5" i="9"/>
  <c r="I5" i="9"/>
  <c r="H5" i="9"/>
  <c r="G5" i="9"/>
  <c r="D5" i="9"/>
  <c r="A5" i="9"/>
  <c r="O13" i="9"/>
  <c r="N13" i="9"/>
  <c r="L13" i="9"/>
  <c r="K13" i="9"/>
  <c r="I13" i="9"/>
  <c r="E13" i="9"/>
  <c r="D13" i="9"/>
  <c r="A13" i="9"/>
  <c r="O12" i="9"/>
  <c r="N12" i="9"/>
  <c r="M12" i="9"/>
  <c r="L12" i="9"/>
  <c r="K12" i="9"/>
  <c r="J12" i="9"/>
  <c r="I12" i="9"/>
  <c r="H12" i="9"/>
  <c r="G12" i="9"/>
  <c r="E12" i="9"/>
  <c r="D12" i="9"/>
  <c r="A12" i="9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G10" i="9"/>
  <c r="E10" i="9"/>
  <c r="D10" i="9"/>
  <c r="A10" i="9"/>
  <c r="O9" i="9"/>
  <c r="N9" i="9"/>
  <c r="M9" i="9"/>
  <c r="L9" i="9"/>
  <c r="K9" i="9"/>
  <c r="J9" i="9"/>
  <c r="I9" i="9"/>
  <c r="H9" i="9"/>
  <c r="G9" i="9"/>
  <c r="E9" i="9"/>
  <c r="D9" i="9"/>
  <c r="A9" i="9"/>
  <c r="O8" i="9"/>
  <c r="N8" i="9"/>
  <c r="M8" i="9"/>
  <c r="L8" i="9"/>
  <c r="K8" i="9"/>
  <c r="J8" i="9"/>
  <c r="I8" i="9"/>
  <c r="H8" i="9"/>
  <c r="G8" i="9"/>
  <c r="E8" i="9"/>
  <c r="D8" i="9"/>
  <c r="A8" i="9"/>
  <c r="J15" i="11"/>
  <c r="O7" i="9"/>
  <c r="N7" i="9"/>
  <c r="M7" i="9"/>
  <c r="L7" i="9"/>
  <c r="K7" i="9"/>
  <c r="J7" i="9"/>
  <c r="I7" i="9"/>
  <c r="H7" i="9"/>
  <c r="G7" i="9"/>
  <c r="E7" i="9"/>
  <c r="A7" i="9"/>
  <c r="J14" i="11"/>
  <c r="O6" i="9"/>
  <c r="N6" i="9"/>
  <c r="M6" i="9"/>
  <c r="L6" i="9"/>
  <c r="K6" i="9"/>
  <c r="J6" i="9"/>
  <c r="I6" i="9"/>
  <c r="H6" i="9"/>
  <c r="G6" i="9"/>
  <c r="A6" i="9"/>
  <c r="J13" i="11"/>
  <c r="J11" i="11"/>
  <c r="J9" i="11"/>
  <c r="J8" i="11"/>
  <c r="O4" i="9"/>
  <c r="N4" i="9"/>
  <c r="M4" i="9"/>
  <c r="L4" i="9"/>
  <c r="K4" i="9"/>
  <c r="J4" i="9"/>
  <c r="I4" i="9"/>
  <c r="H4" i="9"/>
  <c r="D4" i="9"/>
  <c r="A4" i="9"/>
  <c r="J7" i="11"/>
  <c r="J6" i="11"/>
  <c r="J5" i="11"/>
  <c r="J4" i="11"/>
  <c r="O3" i="9"/>
  <c r="N3" i="9"/>
  <c r="M3" i="9"/>
  <c r="L3" i="9"/>
  <c r="K3" i="9"/>
  <c r="J3" i="9"/>
  <c r="I3" i="9"/>
  <c r="H3" i="9"/>
  <c r="D3" i="9"/>
  <c r="A3" i="9"/>
  <c r="J3" i="11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T16" i="10"/>
  <c r="W16" i="10"/>
  <c r="V16" i="10"/>
  <c r="X16" i="10"/>
  <c r="U16" i="10"/>
  <c r="Y16" i="10"/>
  <c r="G16" i="10"/>
  <c r="J16" i="10"/>
  <c r="I16" i="10"/>
  <c r="K16" i="10"/>
  <c r="H16" i="10"/>
  <c r="L16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H5" i="2"/>
  <c r="E5" i="2"/>
  <c r="D5" i="2"/>
  <c r="B5" i="2"/>
  <c r="H4" i="2"/>
  <c r="E4" i="2"/>
  <c r="D4" i="2"/>
  <c r="B4" i="2"/>
  <c r="E3" i="2"/>
  <c r="D3" i="2"/>
  <c r="B3" i="2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68" i="19"/>
  <c r="C68" i="19"/>
  <c r="D68" i="19"/>
  <c r="F68" i="19"/>
  <c r="G68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B60" i="19"/>
  <c r="C60" i="19"/>
  <c r="D60" i="19"/>
  <c r="F60" i="19"/>
  <c r="G60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B34" i="19"/>
  <c r="C34" i="19"/>
  <c r="D34" i="19"/>
  <c r="F34" i="19"/>
  <c r="G34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B28" i="19"/>
  <c r="C28" i="19"/>
  <c r="D28" i="19"/>
  <c r="F28" i="19"/>
  <c r="G28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B2" i="19"/>
  <c r="C2" i="19"/>
  <c r="D2" i="19"/>
  <c r="F2" i="19"/>
  <c r="G2" i="19"/>
  <c r="E12" i="16"/>
  <c r="E11" i="16"/>
  <c r="E10" i="16"/>
  <c r="J2" i="11"/>
  <c r="O2" i="9"/>
  <c r="N2" i="9"/>
  <c r="M2" i="9"/>
  <c r="L2" i="9"/>
  <c r="K2" i="9"/>
  <c r="J2" i="9"/>
  <c r="H2" i="9"/>
  <c r="D2" i="9"/>
  <c r="E9" i="16"/>
  <c r="R2" i="7"/>
  <c r="Q2" i="7"/>
  <c r="P2" i="7"/>
  <c r="O2" i="7"/>
  <c r="N2" i="7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J2" i="7"/>
  <c r="E8" i="16"/>
  <c r="E7" i="16"/>
  <c r="E6" i="16"/>
  <c r="E5" i="16"/>
  <c r="E4" i="16"/>
  <c r="E3" i="16"/>
  <c r="E2" i="16"/>
  <c r="A3" i="1"/>
  <c r="A2" i="1"/>
  <c r="A2" i="9"/>
  <c r="A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<sst xmlns="http://schemas.openxmlformats.org/spreadsheetml/2006/main" count="1032" uniqueCount="303">
  <si>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</si>
  <si>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</si>
  <si>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</si>
  <si>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</si>
  <si>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</si>
  <si>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</si>
  <si>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</si>
  <si>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</si>
  <si>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</si>
  <si>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</si>
  <si>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</si>
  <si>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</si>
  <si>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</si>
  <si>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</si>
  <si>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</si>
  <si>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</si>
  <si>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</si>
  <si>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</si>
  <si>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</si>
  <si>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</si>
  <si>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</si>
  <si>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</si>
  <si>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</si>
  <si>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</si>
  <si>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</si>
  <si>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</si>
  <si>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</si>
  <si>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</si>
  <si>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</si>
  <si>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</si>
  <si>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</si>
  <si>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</si>
  <si>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</si>
  <si>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</si>
  <si>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</si>
  <si>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</si>
  <si>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</si>
  <si>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</si>
  <si>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</si>
  <si>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</si>
  <si>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</si>
  <si>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</si>
  <si>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</si>
  <si>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</si>
  <si>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</si>
  <si>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</si>
  <si>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</si>
  <si>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</si>
  <si>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</si>
  <si>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</si>
  <si>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</si>
  <si>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</si>
  <si>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</si>
  <si>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</si>
  <si>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</si>
  <si>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</si>
  <si>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</si>
  <si>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</si>
  <si>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</si>
  <si>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</si>
  <si>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</si>
  <si>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</si>
  <si>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</si>
  <si>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</si>
  <si>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</si>
  <si>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</si>
  <si>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</si>
  <si>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</si>
  <si>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</si>
  <si>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</si>
  <si>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</si>
  <si>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</si>
  <si>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</si>
  <si>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</si>
  <si>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</si>
  <si>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</si>
  <si>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</si>
  <si>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</si>
  <si>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</si>
  <si>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</si>
  <si>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</si>
  <si>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</si>
  <si>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</si>
  <si>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</si>
  <si>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</si>
  <si>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</si>
  <si>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</si>
  <si>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</si>
  <si>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</si>
  <si>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</si>
  <si>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</si>
  <si>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</si>
  <si>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</si>
  <si>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</si>
  <si>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</si>
  <si>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</si>
  <si>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</si>
  <si>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</si>
  <si>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</si>
  <si>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</si>
  <si>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</si>
  <si>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</si>
  <si>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</si>
  <si>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</si>
  <si>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</si>
  <si>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</si>
  <si>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</si>
  <si>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</si>
  <si>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</si>
  <si>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</si>
  <si>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</si>
  <si>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</si>
  <si>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</si>
  <si>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</si>
  <si>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</si>
  <si>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</si>
  <si>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</si>
  <si>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</si>
  <si>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</si>
  <si>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</si>
  <si>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</si>
  <si>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</si>
  <si>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</si>
  <si>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</si>
  <si>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</si>
  <si>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</si>
  <si>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</si>
  <si>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</si>
  <si>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</si>
  <si>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</si>
  <si>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</si>
  <si>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</si>
  <si>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</si>
  <si>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</si>
  <si>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</si>
  <si>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</si>
  <si>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</si>
  <si>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</si>
  <si>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</si>
  <si>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</si>
  <si>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</si>
  <si>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</si>
  <si>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</si>
  <si>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</si>
  <si>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</si>
  <si>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</si>
  <si>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</si>
  <si>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</si>
  <si>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</si>
  <si>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</si>
  <si>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</si>
  <si>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</si>
  <si>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</si>
  <si>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</si>
  <si>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</si>
  <si>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</si>
  <si>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</si>
  <si>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</si>
  <si>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</si>
  <si>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</si>
  <si>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</si>
  <si>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</si>
  <si>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</si>
  <si>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</si>
  <si>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</si>
  <si>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</si>
  <si>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</si>
  <si>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</si>
  <si>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</si>
  <si>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</si>
  <si>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</si>
  <si>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</si>
  <si>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</si>
  <si>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</si>
  <si>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</si>
  <si>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</si>
  <si>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</si>
  <si>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</si>
  <si>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</si>
  <si>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</si>
  <si>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</si>
  <si>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</si>
  <si>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</si>
  <si>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</si>
  <si>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</si>
  <si>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</si>
  <si>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</si>
  <si>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</si>
  <si>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</si>
  <si>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</si>
  <si>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</si>
  <si>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</si>
  <si>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</si>
  <si>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</si>
  <si>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</si>
  <si>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</si>
  <si>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</si>
  <si>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</si>
  <si>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</si>
  <si>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</si>
  <si>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</si>
  <si>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</si>
  <si>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</si>
  <si>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</si>
  <si>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</si>
  <si>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</si>
  <si>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</si>
  <si>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</si>
  <si>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</si>
  <si>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</si>
  <si>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</si>
  <si>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</si>
  <si>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</si>
  <si>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old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</si>
  <si>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</si>
  <si>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</si>
  <si>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</si>
  <si>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</si>
  <si>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</si>
  <si>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link</t>
    <phoneticPr fontId="5"/>
  </si>
  <si>
    <t>unit</t>
    <phoneticPr fontId="5"/>
  </si>
  <si>
    <t>link</t>
    <phoneticPr fontId="5"/>
  </si>
  <si>
    <t>unit</t>
    <phoneticPr fontId="5"/>
  </si>
  <si>
    <t>イレギュラー・ジェリー用</t>
    <phoneticPr fontId="5"/>
  </si>
  <si>
    <t>アカネ用</t>
    <phoneticPr fontId="5"/>
  </si>
  <si>
    <t>赤ずきん用</t>
    <phoneticPr fontId="5"/>
  </si>
  <si>
    <t>ガンテツ用</t>
    <phoneticPr fontId="5"/>
  </si>
  <si>
    <t>灼熱のガンテツ用</t>
    <phoneticPr fontId="5"/>
  </si>
  <si>
    <t>全体攻撃</t>
    <phoneticPr fontId="5"/>
  </si>
  <si>
    <t>全体攻撃</t>
    <phoneticPr fontId="5"/>
  </si>
  <si>
    <t>ミミ用</t>
    <phoneticPr fontId="5"/>
  </si>
  <si>
    <t>※予備</t>
    <phoneticPr fontId="5"/>
  </si>
  <si>
    <t>オルトロス用-1ゲージC</t>
    <phoneticPr fontId="5"/>
  </si>
  <si>
    <t>effect_param</t>
    <phoneticPr fontId="5"/>
  </si>
  <si>
    <t>[effect:nothing]</t>
    <phoneticPr fontId="5"/>
  </si>
  <si>
    <t>invoke_rate</t>
    <phoneticPr fontId="5"/>
  </si>
  <si>
    <t>null</t>
    <phoneticPr fontId="5"/>
  </si>
  <si>
    <t>null</t>
    <phoneticPr fontId="5"/>
  </si>
  <si>
    <t>※予備</t>
    <phoneticPr fontId="5"/>
  </si>
  <si>
    <t>[effect:enhance_enemy, target:enemy_all, turn:-1, status:attack, val:0.3, calc:mul, animation:enemy_enhance_attack]</t>
    <phoneticPr fontId="5"/>
  </si>
  <si>
    <t>[effect:spread, val:0.3]</t>
    <phoneticPr fontId="5"/>
  </si>
  <si>
    <t>[effect:break_attack, val:0.03, lowest_val:2000, count:15, block:block_heart, target:unit_one]</t>
    <phoneticPr fontId="5"/>
  </si>
  <si>
    <t>2回連続攻撃</t>
    <phoneticPr fontId="5"/>
  </si>
  <si>
    <t>2回連続攻撃</t>
    <phoneticPr fontId="5"/>
  </si>
  <si>
    <t>2回連続攻撃</t>
    <phoneticPr fontId="5"/>
  </si>
  <si>
    <t>3回連続攻撃</t>
    <phoneticPr fontId="5"/>
  </si>
  <si>
    <t>3回連続攻撃</t>
    <phoneticPr fontId="5"/>
  </si>
  <si>
    <t>状態異常耐性+攻撃力UP</t>
    <phoneticPr fontId="5"/>
  </si>
  <si>
    <t>攻撃頻度UP+全属性カウンター</t>
    <phoneticPr fontId="5"/>
  </si>
  <si>
    <t>全属性カウンター</t>
    <phoneticPr fontId="5"/>
  </si>
  <si>
    <t>スターマイン</t>
    <phoneticPr fontId="5"/>
  </si>
  <si>
    <t>狙い撃ち</t>
    <phoneticPr fontId="5"/>
  </si>
  <si>
    <t>ペンギンの号令</t>
    <phoneticPr fontId="5"/>
  </si>
  <si>
    <t>もう手加減しねェ！</t>
    <phoneticPr fontId="5"/>
  </si>
  <si>
    <t>[effect:spread, val:0.3]</t>
    <phoneticPr fontId="5"/>
  </si>
  <si>
    <t>null</t>
    <phoneticPr fontId="5"/>
  </si>
  <si>
    <t>まだまだいくぜェ！</t>
    <phoneticPr fontId="5"/>
  </si>
  <si>
    <t>かすめる炎弾</t>
    <phoneticPr fontId="5"/>
  </si>
  <si>
    <t>直撃する炎弾</t>
    <phoneticPr fontId="5"/>
  </si>
  <si>
    <t>かすめる炎弾</t>
    <phoneticPr fontId="5"/>
  </si>
  <si>
    <t>直撃する炎弾</t>
    <phoneticPr fontId="5"/>
  </si>
  <si>
    <t xml:space="preserve">[effect:tolerance, target:myself, turn:-1, tolerance_effect:all, count:-1, animation:enemy_tolerance],[effect:enhance_enemy, target:myself, turn:-1, status:attack, val:1284, calc:add, animation:enemy_enhance_attack]
</t>
    <phoneticPr fontId="5"/>
  </si>
  <si>
    <t>[effect:rush, count:2, val:0.52]</t>
    <phoneticPr fontId="5"/>
  </si>
  <si>
    <t>[effect:rush, count:2, val:0.46]</t>
    <phoneticPr fontId="5"/>
  </si>
  <si>
    <t>[effect:rush, count:3, val:0.33]</t>
    <phoneticPr fontId="5"/>
  </si>
  <si>
    <t>[effect:rush, count:3, val:0.28]</t>
    <phoneticPr fontId="5"/>
  </si>
  <si>
    <t>[effect:rush, count:2, val:0.38]</t>
    <phoneticPr fontId="5"/>
  </si>
  <si>
    <t>unit</t>
  </si>
  <si>
    <t>[effect:freq_turn, target:myself, turn:-1, val:1, animation:enemy_freq_turn],[effect:enemy_counter, target:myself, invoke_condition:unit_all, counter_target:unit_one, turn:-1, val:0.1, animation:enemy_counter]</t>
    <phoneticPr fontId="5"/>
  </si>
  <si>
    <t>[effect:enemy_counter, target:myself, invoke_condition:unit_all, counter_target:unit_one, turn:-1, val:0.11, animation:enemy_counter]</t>
    <phoneticPr fontId="5"/>
  </si>
  <si>
    <t>3500固定ダメージ+状態異常耐性</t>
    <phoneticPr fontId="5"/>
  </si>
  <si>
    <t>3000固定ダメージ+状態異常耐性</t>
    <phoneticPr fontId="5"/>
  </si>
  <si>
    <t>2000固定ダメージ+状態異常耐性</t>
    <phoneticPr fontId="5"/>
  </si>
  <si>
    <t>高速で動き回り、次の攻撃のチャンスを伺っている</t>
    <phoneticPr fontId="5"/>
  </si>
  <si>
    <t>熱風のダンス</t>
    <phoneticPr fontId="5"/>
  </si>
  <si>
    <t>2800固定ダメージ+状態異常耐性</t>
    <phoneticPr fontId="5"/>
  </si>
  <si>
    <t>1800固定ダメージ+状態異常耐性</t>
    <phoneticPr fontId="5"/>
  </si>
  <si>
    <t>敵全体の攻撃力UP</t>
    <phoneticPr fontId="5"/>
  </si>
  <si>
    <t>ハートパネル吸収攻撃(最大15個)</t>
    <phoneticPr fontId="5"/>
  </si>
  <si>
    <t>赤ずきんはハートパネル吸収攻撃を
使用します
攻撃される直前に回復してみましょう</t>
    <phoneticPr fontId="5"/>
  </si>
  <si>
    <t>オレにはなにも効かねェ！</t>
    <phoneticPr fontId="5"/>
  </si>
  <si>
    <t>いくぜェ！！</t>
    <phoneticPr fontId="5"/>
  </si>
  <si>
    <t>燃やすぜェ！！</t>
    <phoneticPr fontId="5"/>
  </si>
  <si>
    <t>何も効かねェぜ！</t>
    <phoneticPr fontId="5"/>
  </si>
  <si>
    <t>null</t>
    <phoneticPr fontId="5"/>
  </si>
  <si>
    <t>[effect:rush, count:3, val:0.37]</t>
    <phoneticPr fontId="5"/>
  </si>
  <si>
    <t>[effect:enemy_counter, target:myself, invoke_condition:unit_all, counter_target:unit_one, turn:-1, val:0.09, animation:enemy_counter]</t>
    <phoneticPr fontId="5"/>
  </si>
  <si>
    <t>敵全体の攻撃力が上昇するため
早く倒すことを心がけましょう</t>
    <phoneticPr fontId="5"/>
  </si>
  <si>
    <t>まずはミミから倒して
敵の集中攻撃を回避してみましょう</t>
    <phoneticPr fontId="5"/>
  </si>
  <si>
    <t>オルトロスはゲージが切り替わる時に
固定ダメージを与えてきます
HPに余裕を持って攻略しましょう</t>
    <phoneticPr fontId="5"/>
  </si>
  <si>
    <t>オルトロスはゲージが切り替わる時に
固定ダメージを与えてきます
HPに余裕を持って攻略しましょう</t>
    <phoneticPr fontId="5"/>
  </si>
  <si>
    <t>３ゲージ目ではHPが少なくなると
オルトロスは攻撃頻度が１になります
スキルやフィーバーを温存しておきましょう</t>
    <phoneticPr fontId="5"/>
  </si>
  <si>
    <t>３ゲージ目ではHPが少なくなると
オルトロスは攻撃頻度が１になります
スキルやフィーバーを温存しておきましょう</t>
    <phoneticPr fontId="5"/>
  </si>
  <si>
    <t>３ゲージ目ではHPが少なくなると
オルトロスは攻撃頻度が１になります
スキルやフィーバーを温存しておきましょう</t>
    <phoneticPr fontId="5"/>
  </si>
  <si>
    <t>終わりにしてやる！！</t>
    <phoneticPr fontId="5"/>
  </si>
  <si>
    <t>業火に焼かれなァ！！</t>
    <phoneticPr fontId="5"/>
  </si>
  <si>
    <t>業火に焼かれなァ！！</t>
    <phoneticPr fontId="5"/>
  </si>
  <si>
    <t>勝つのはオレだァ！！</t>
    <phoneticPr fontId="5"/>
  </si>
  <si>
    <t>[effect:damage_fix_absolute, target:unit_one, color:red, val:1800],[effect:tolerance, target:myself, turn:-1, tolerance_effect:all, count:-1, animation:enemy_tolerance],[effect:enemy_message, val1:3.4, val2:1.2]</t>
    <phoneticPr fontId="5"/>
  </si>
  <si>
    <t>[effect:damage_fix_absolute, target:unit_one, color:red, val:2800],[effect:tolerance, target:myself, turn:-1, tolerance_effect:all, count:-1, animation:enemy_tolerance],[effect:enemy_message, val1:3.4, val2:1.2]</t>
    <phoneticPr fontId="5"/>
  </si>
  <si>
    <t>[effect:damage_fix_absolute, target:unit_one, color:red, val:2000],[effect:tolerance, target:myself, turn:-1, tolerance_effect:all, count:-1, animation:enemy_tolerance],[effect:enemy_message, val1:3.4, val2:1.2]</t>
    <phoneticPr fontId="5"/>
  </si>
  <si>
    <t>[effect:damage_fix_absolute, target:unit_one, color:red, val:3000],[effect:tolerance, target:myself, turn:-1, tolerance_effect:all, count:-1, animation:enemy_tolerance],[effect:enemy_message, val1:3.4, val2:1.2]</t>
    <phoneticPr fontId="5"/>
  </si>
  <si>
    <t>[effect:damage_fix_absolute, target:unit_one, color:red, val:3500],[effect:tolerance, target:myself, turn:-1, tolerance_effect:all, count:-1, animation:enemy_tolerance],[effect:enemy_message, val1:3.4, val2:1.2]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</si>
</sst>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2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</borders>
  <cellStyleXfs count="880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23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6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26" fillId="0" borderId="0" xfId="0" applyFont="1"/>
    <xf numFmtId="0" fontId="11" fillId="0" borderId="7" xfId="0" applyFont="1" applyBorder="1" applyAlignment="1">
      <alignment vertical="center"/>
    </xf>
    <xf numFmtId="0" fontId="6" fillId="31" borderId="9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27" fillId="32" borderId="7" xfId="0" applyFont="1" applyFill="1" applyBorder="1"/>
    <xf numFmtId="0" fontId="27" fillId="33" borderId="7" xfId="0" applyFont="1" applyFill="1" applyBorder="1"/>
    <xf numFmtId="0" fontId="6" fillId="34" borderId="3" xfId="0" applyFont="1" applyFill="1" applyBorder="1" applyAlignment="1">
      <alignment vertical="center"/>
    </xf>
    <xf numFmtId="0" fontId="6" fillId="34" borderId="11" xfId="0" applyFont="1" applyFill="1" applyBorder="1" applyAlignment="1">
      <alignment vertical="center"/>
    </xf>
    <xf numFmtId="0" fontId="16" fillId="3" borderId="7" xfId="0" applyFont="1" applyFill="1" applyBorder="1" applyAlignment="1">
      <alignment horizontal="center" vertical="center" wrapText="1"/>
    </xf>
    <xf numFmtId="0" fontId="16" fillId="0" borderId="7" xfId="0" applyFont="1" applyFill="1" applyBorder="1" applyAlignment="1">
      <alignment vertical="center" wrapText="1"/>
    </xf>
    <xf numFmtId="0" fontId="16" fillId="35" borderId="7" xfId="0" applyFont="1" applyFill="1" applyBorder="1" applyAlignment="1">
      <alignment horizontal="left" vertical="center" wrapText="1"/>
    </xf>
    <xf numFmtId="0" fontId="16" fillId="13" borderId="7" xfId="0" applyFont="1" applyFill="1" applyBorder="1" applyAlignment="1">
      <alignment vertical="center"/>
    </xf>
    <xf numFmtId="0" fontId="11" fillId="13" borderId="7" xfId="0" applyFont="1" applyFill="1" applyBorder="1" applyAlignment="1">
      <alignment vertical="center"/>
    </xf>
    <xf numFmtId="0" fontId="4" fillId="35" borderId="6" xfId="0" applyFont="1" applyFill="1" applyBorder="1" applyAlignment="1">
      <alignment vertical="center"/>
    </xf>
    <xf numFmtId="0" fontId="11" fillId="32" borderId="7" xfId="0" applyFont="1" applyFill="1" applyBorder="1" applyAlignment="1">
      <alignment vertical="center"/>
    </xf>
    <xf numFmtId="0" fontId="11" fillId="36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vertical="center"/>
    </xf>
    <xf numFmtId="0" fontId="16" fillId="37" borderId="7" xfId="0" applyFont="1" applyFill="1" applyBorder="1" applyAlignment="1">
      <alignment vertical="center"/>
    </xf>
    <xf numFmtId="38" fontId="16" fillId="35" borderId="7" xfId="628" applyFont="1" applyFill="1" applyBorder="1" applyAlignment="1">
      <alignment wrapText="1"/>
    </xf>
    <xf numFmtId="0" fontId="0" fillId="0" borderId="12" xfId="0" applyBorder="1"/>
    <xf numFmtId="0" fontId="27" fillId="0" borderId="12" xfId="0" applyFont="1" applyFill="1" applyBorder="1"/>
    <xf numFmtId="0" fontId="0" fillId="3" borderId="12" xfId="0" applyFill="1" applyBorder="1"/>
    <xf numFmtId="0" fontId="6" fillId="5" borderId="12" xfId="0" applyFont="1" applyFill="1" applyBorder="1" applyAlignment="1">
      <alignment vertical="center"/>
    </xf>
    <xf numFmtId="0" fontId="0" fillId="0" borderId="23" xfId="0" applyBorder="1"/>
    <xf numFmtId="0" fontId="27" fillId="0" borderId="23" xfId="0" applyFont="1" applyFill="1" applyBorder="1"/>
    <xf numFmtId="0" fontId="0" fillId="3" borderId="23" xfId="0" applyFill="1" applyBorder="1"/>
    <xf numFmtId="0" fontId="6" fillId="5" borderId="23" xfId="0" applyFont="1" applyFill="1" applyBorder="1" applyAlignment="1">
      <alignment vertical="center"/>
    </xf>
    <xf numFmtId="0" fontId="27" fillId="33" borderId="23" xfId="0" applyFont="1" applyFill="1" applyBorder="1"/>
  </cellXfs>
  <cellStyles count="880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赤字強調" xfId="431"/>
    <cellStyle name="青字強調" xfId="430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1456</v>
          </cell>
        </row>
        <row r="1408">
          <cell r="A1408">
            <v>1457</v>
          </cell>
        </row>
        <row r="1409">
          <cell r="A1409">
            <v>1458</v>
          </cell>
        </row>
        <row r="1410">
          <cell r="A1410">
            <v>1459</v>
          </cell>
        </row>
        <row r="1411">
          <cell r="A1411">
            <v>1460</v>
          </cell>
        </row>
        <row r="1412">
          <cell r="A1412">
            <v>1461</v>
          </cell>
        </row>
        <row r="1413">
          <cell r="A1413">
            <v>1462</v>
          </cell>
        </row>
        <row r="1414">
          <cell r="A1414">
            <v>1463</v>
          </cell>
        </row>
        <row r="1415">
          <cell r="A1415">
            <v>1464</v>
          </cell>
        </row>
        <row r="1416">
          <cell r="A1416">
            <v>1465</v>
          </cell>
        </row>
        <row r="1417">
          <cell r="A1417">
            <v>1466</v>
          </cell>
        </row>
        <row r="1418">
          <cell r="A1418">
            <v>1467</v>
          </cell>
        </row>
        <row r="1419">
          <cell r="A1419">
            <v>1468</v>
          </cell>
        </row>
        <row r="1420">
          <cell r="A1420">
            <v>1469</v>
          </cell>
        </row>
        <row r="1421">
          <cell r="A1421">
            <v>1470</v>
          </cell>
        </row>
        <row r="1422">
          <cell r="A1422">
            <v>1488</v>
          </cell>
        </row>
        <row r="1423">
          <cell r="A1423">
            <v>1489</v>
          </cell>
        </row>
        <row r="1424">
          <cell r="A1424">
            <v>1504</v>
          </cell>
        </row>
        <row r="1425">
          <cell r="A1425">
            <v>1505</v>
          </cell>
        </row>
        <row r="1426">
          <cell r="A1426">
            <v>1506</v>
          </cell>
        </row>
        <row r="1427">
          <cell r="A1427">
            <v>1507</v>
          </cell>
        </row>
        <row r="1428">
          <cell r="A1428">
            <v>1508</v>
          </cell>
        </row>
        <row r="1429">
          <cell r="A1429">
            <v>1509</v>
          </cell>
        </row>
        <row r="1430">
          <cell r="A1430">
            <v>1510</v>
          </cell>
        </row>
        <row r="1431">
          <cell r="A1431">
            <v>1511</v>
          </cell>
        </row>
        <row r="1432">
          <cell r="A1432">
            <v>1512</v>
          </cell>
        </row>
        <row r="1433">
          <cell r="A1433">
            <v>1513</v>
          </cell>
        </row>
        <row r="1434">
          <cell r="A1434">
            <v>1514</v>
          </cell>
        </row>
        <row r="1435">
          <cell r="A1435">
            <v>1515</v>
          </cell>
        </row>
        <row r="1436">
          <cell r="A1436">
            <v>1516</v>
          </cell>
        </row>
        <row r="1437">
          <cell r="A1437">
            <v>1517</v>
          </cell>
        </row>
        <row r="1438">
          <cell r="A1438">
            <v>1518</v>
          </cell>
        </row>
        <row r="1439">
          <cell r="A1439">
            <v>1519</v>
          </cell>
        </row>
        <row r="1440">
          <cell r="A1440">
            <v>1520</v>
          </cell>
        </row>
        <row r="1441">
          <cell r="A1441">
            <v>1521</v>
          </cell>
        </row>
        <row r="1442">
          <cell r="A1442">
            <v>1522</v>
          </cell>
        </row>
        <row r="1443">
          <cell r="A1443">
            <v>1523</v>
          </cell>
        </row>
        <row r="1444">
          <cell r="A1444">
            <v>1524</v>
          </cell>
        </row>
        <row r="1445">
          <cell r="A1445">
            <v>1525</v>
          </cell>
        </row>
        <row r="1446">
          <cell r="A1446">
            <v>1526</v>
          </cell>
        </row>
        <row r="1447">
          <cell r="A1447">
            <v>1527</v>
          </cell>
        </row>
        <row r="1448">
          <cell r="A1448">
            <v>1528</v>
          </cell>
        </row>
        <row r="1449">
          <cell r="A1449">
            <v>1529</v>
          </cell>
        </row>
        <row r="1450">
          <cell r="A1450">
            <v>1530</v>
          </cell>
        </row>
        <row r="1451">
          <cell r="A1451">
            <v>1531</v>
          </cell>
        </row>
        <row r="1452">
          <cell r="A1452">
            <v>1532</v>
          </cell>
        </row>
        <row r="1453">
          <cell r="A1453">
            <v>1533</v>
          </cell>
        </row>
        <row r="1454">
          <cell r="A1454">
            <v>1534</v>
          </cell>
        </row>
        <row r="1455">
          <cell r="A1455">
            <v>1535</v>
          </cell>
        </row>
        <row r="1456">
          <cell r="A1456">
            <v>1536</v>
          </cell>
        </row>
        <row r="1457">
          <cell r="A1457">
            <v>1537</v>
          </cell>
        </row>
        <row r="1458">
          <cell r="A1458">
            <v>1538</v>
          </cell>
        </row>
        <row r="1459">
          <cell r="A1459">
            <v>1539</v>
          </cell>
        </row>
        <row r="1460">
          <cell r="A1460">
            <v>1540</v>
          </cell>
        </row>
        <row r="1461">
          <cell r="A1461">
            <v>1541</v>
          </cell>
        </row>
        <row r="1462">
          <cell r="A1462">
            <v>1542</v>
          </cell>
        </row>
        <row r="1463">
          <cell r="A1463">
            <v>1543</v>
          </cell>
        </row>
        <row r="1464">
          <cell r="A1464">
            <v>1544</v>
          </cell>
        </row>
        <row r="1465">
          <cell r="A1465">
            <v>1545</v>
          </cell>
        </row>
        <row r="1466">
          <cell r="A1466">
            <v>1546</v>
          </cell>
        </row>
        <row r="1467">
          <cell r="A1467">
            <v>1547</v>
          </cell>
        </row>
        <row r="1468">
          <cell r="A1468">
            <v>1548</v>
          </cell>
        </row>
        <row r="1469">
          <cell r="A1469">
            <v>1549</v>
          </cell>
        </row>
        <row r="1470">
          <cell r="A1470">
            <v>1550</v>
          </cell>
        </row>
        <row r="1471">
          <cell r="A1471">
            <v>5001</v>
          </cell>
        </row>
        <row r="1472">
          <cell r="A1472">
            <v>5002</v>
          </cell>
        </row>
        <row r="1473">
          <cell r="A1473">
            <v>5003</v>
          </cell>
        </row>
        <row r="1474">
          <cell r="A1474">
            <v>5004</v>
          </cell>
        </row>
        <row r="1475">
          <cell r="A1475">
            <v>5005</v>
          </cell>
        </row>
        <row r="1476">
          <cell r="A1476">
            <v>5006</v>
          </cell>
        </row>
        <row r="1477">
          <cell r="A1477">
            <v>5007</v>
          </cell>
        </row>
        <row r="1478">
          <cell r="A1478">
            <v>5008</v>
          </cell>
        </row>
        <row r="1479">
          <cell r="A1479">
            <v>6001</v>
          </cell>
        </row>
        <row r="1480">
          <cell r="A1480">
            <v>6002</v>
          </cell>
        </row>
        <row r="1481">
          <cell r="A1481">
            <v>6003</v>
          </cell>
        </row>
        <row r="1482">
          <cell r="A1482">
            <v>6004</v>
          </cell>
        </row>
        <row r="1483">
          <cell r="A1483">
            <v>6005</v>
          </cell>
        </row>
        <row r="1484">
          <cell r="A1484">
            <v>6006</v>
          </cell>
        </row>
        <row r="1485">
          <cell r="A1485">
            <v>6007</v>
          </cell>
        </row>
        <row r="1486">
          <cell r="A1486">
            <v>6008</v>
          </cell>
        </row>
        <row r="1487">
          <cell r="A1487">
            <v>6009</v>
          </cell>
        </row>
        <row r="1488">
          <cell r="A1488">
            <v>6010</v>
          </cell>
        </row>
        <row r="1489">
          <cell r="A1489">
            <v>6011</v>
          </cell>
        </row>
        <row r="1490">
          <cell r="A1490">
            <v>6012</v>
          </cell>
        </row>
        <row r="1491">
          <cell r="A1491">
            <v>6013</v>
          </cell>
        </row>
        <row r="1492">
          <cell r="A1492">
            <v>6014</v>
          </cell>
        </row>
        <row r="1493">
          <cell r="A1493">
            <v>6015</v>
          </cell>
        </row>
        <row r="1494">
          <cell r="A1494">
            <v>6016</v>
          </cell>
        </row>
        <row r="1495">
          <cell r="A1495">
            <v>6017</v>
          </cell>
        </row>
        <row r="1496">
          <cell r="A1496">
            <v>6018</v>
          </cell>
        </row>
        <row r="1497">
          <cell r="A1497">
            <v>6019</v>
          </cell>
        </row>
        <row r="1498">
          <cell r="A1498">
            <v>6020</v>
          </cell>
        </row>
        <row r="1499">
          <cell r="A1499">
            <v>8001</v>
          </cell>
        </row>
        <row r="1500">
          <cell r="A1500">
            <v>8002</v>
          </cell>
        </row>
        <row r="1501">
          <cell r="A1501">
            <v>8003</v>
          </cell>
        </row>
        <row r="1502">
          <cell r="A1502">
            <v>8004</v>
          </cell>
        </row>
        <row r="1503">
          <cell r="A1503">
            <v>8005</v>
          </cell>
        </row>
        <row r="1504">
          <cell r="A1504">
            <v>8006</v>
          </cell>
        </row>
        <row r="1505">
          <cell r="A1505">
            <v>8007</v>
          </cell>
        </row>
        <row r="1506">
          <cell r="A1506">
            <v>8008</v>
          </cell>
        </row>
        <row r="1507">
          <cell r="A1507">
            <v>8009</v>
          </cell>
        </row>
        <row r="1508">
          <cell r="A1508">
            <v>8010</v>
          </cell>
        </row>
        <row r="1509">
          <cell r="A1509">
            <v>8011</v>
          </cell>
        </row>
        <row r="1510">
          <cell r="A1510">
            <v>8012</v>
          </cell>
        </row>
        <row r="1511">
          <cell r="A1511">
            <v>8013</v>
          </cell>
        </row>
        <row r="1512">
          <cell r="A1512">
            <v>8014</v>
          </cell>
        </row>
        <row r="1513">
          <cell r="A1513">
            <v>8015</v>
          </cell>
        </row>
        <row r="1514">
          <cell r="A1514">
            <v>8016</v>
          </cell>
        </row>
        <row r="1515">
          <cell r="A1515">
            <v>8017</v>
          </cell>
        </row>
        <row r="1516">
          <cell r="A1516">
            <v>8018</v>
          </cell>
        </row>
        <row r="1517">
          <cell r="A1517">
            <v>8019</v>
          </cell>
        </row>
        <row r="1518">
          <cell r="A1518">
            <v>8020</v>
          </cell>
        </row>
        <row r="1519">
          <cell r="A1519">
            <v>8021</v>
          </cell>
        </row>
        <row r="1520">
          <cell r="A1520">
            <v>8022</v>
          </cell>
        </row>
        <row r="1521">
          <cell r="A1521">
            <v>8023</v>
          </cell>
        </row>
        <row r="1522">
          <cell r="A1522">
            <v>8024</v>
          </cell>
        </row>
        <row r="1523">
          <cell r="A1523">
            <v>8025</v>
          </cell>
        </row>
        <row r="1524">
          <cell r="A1524">
            <v>8026</v>
          </cell>
        </row>
        <row r="1525">
          <cell r="A1525">
            <v>8027</v>
          </cell>
        </row>
        <row r="1526">
          <cell r="A1526">
            <v>8028</v>
          </cell>
        </row>
        <row r="1527">
          <cell r="A1527">
            <v>8029</v>
          </cell>
        </row>
        <row r="1528">
          <cell r="A1528">
            <v>8030</v>
          </cell>
        </row>
        <row r="1529">
          <cell r="A1529">
            <v>8031</v>
          </cell>
        </row>
        <row r="1530">
          <cell r="A1530">
            <v>8032</v>
          </cell>
        </row>
        <row r="1531">
          <cell r="A1531">
            <v>8033</v>
          </cell>
        </row>
        <row r="1532">
          <cell r="A1532">
            <v>8034</v>
          </cell>
        </row>
        <row r="1533">
          <cell r="A1533">
            <v>8035</v>
          </cell>
        </row>
        <row r="1534">
          <cell r="A1534">
            <v>8036</v>
          </cell>
        </row>
        <row r="1535">
          <cell r="A1535">
            <v>8037</v>
          </cell>
        </row>
        <row r="1536">
          <cell r="A1536">
            <v>8038</v>
          </cell>
        </row>
        <row r="1537">
          <cell r="A1537">
            <v>8039</v>
          </cell>
        </row>
        <row r="1538">
          <cell r="A1538">
            <v>8040</v>
          </cell>
        </row>
        <row r="1539">
          <cell r="A1539">
            <v>8041</v>
          </cell>
        </row>
        <row r="1540">
          <cell r="A1540">
            <v>8042</v>
          </cell>
        </row>
        <row r="1541">
          <cell r="A1541">
            <v>8043</v>
          </cell>
        </row>
        <row r="1542">
          <cell r="A1542">
            <v>8044</v>
          </cell>
        </row>
        <row r="1543">
          <cell r="A1543">
            <v>8045</v>
          </cell>
        </row>
        <row r="1544">
          <cell r="A1544">
            <v>8046</v>
          </cell>
        </row>
        <row r="1545">
          <cell r="A1545">
            <v>8047</v>
          </cell>
        </row>
        <row r="1546">
          <cell r="A1546">
            <v>8048</v>
          </cell>
        </row>
        <row r="1547">
          <cell r="A1547">
            <v>8049</v>
          </cell>
        </row>
        <row r="1548">
          <cell r="A1548">
            <v>8050</v>
          </cell>
        </row>
        <row r="1549">
          <cell r="A1549">
            <v>8051</v>
          </cell>
        </row>
        <row r="1550">
          <cell r="A1550">
            <v>8052</v>
          </cell>
        </row>
        <row r="1551">
          <cell r="A1551">
            <v>8053</v>
          </cell>
        </row>
        <row r="1552">
          <cell r="A1552">
            <v>8054</v>
          </cell>
        </row>
        <row r="1553">
          <cell r="A1553">
            <v>8055</v>
          </cell>
        </row>
        <row r="1554">
          <cell r="A1554">
            <v>8056</v>
          </cell>
        </row>
        <row r="1555">
          <cell r="A1555">
            <v>8057</v>
          </cell>
        </row>
        <row r="1556">
          <cell r="A1556">
            <v>8058</v>
          </cell>
        </row>
        <row r="1557">
          <cell r="A1557">
            <v>8059</v>
          </cell>
        </row>
        <row r="1558">
          <cell r="A1558">
            <v>8060</v>
          </cell>
        </row>
        <row r="1559">
          <cell r="A1559">
            <v>8061</v>
          </cell>
        </row>
        <row r="1560">
          <cell r="A1560">
            <v>8062</v>
          </cell>
        </row>
        <row r="1561">
          <cell r="A1561">
            <v>8063</v>
          </cell>
        </row>
        <row r="1562">
          <cell r="A1562">
            <v>8064</v>
          </cell>
        </row>
        <row r="1563">
          <cell r="A1563">
            <v>8065</v>
          </cell>
        </row>
        <row r="1564">
          <cell r="A1564">
            <v>8066</v>
          </cell>
        </row>
        <row r="1565">
          <cell r="A1565">
            <v>8067</v>
          </cell>
        </row>
        <row r="1566">
          <cell r="A1566">
            <v>8068</v>
          </cell>
        </row>
        <row r="1567">
          <cell r="A1567">
            <v>8069</v>
          </cell>
        </row>
        <row r="1568">
          <cell r="A1568">
            <v>8070</v>
          </cell>
        </row>
        <row r="1569">
          <cell r="A1569">
            <v>8071</v>
          </cell>
        </row>
        <row r="1570">
          <cell r="A1570">
            <v>8072</v>
          </cell>
        </row>
        <row r="1571">
          <cell r="A1571">
            <v>8073</v>
          </cell>
        </row>
        <row r="1572">
          <cell r="A1572">
            <v>8074</v>
          </cell>
        </row>
        <row r="1573">
          <cell r="A1573">
            <v>8075</v>
          </cell>
        </row>
        <row r="1574">
          <cell r="A1574">
            <v>8076</v>
          </cell>
        </row>
        <row r="1575">
          <cell r="A1575">
            <v>8077</v>
          </cell>
        </row>
        <row r="1576">
          <cell r="A1576">
            <v>8078</v>
          </cell>
        </row>
        <row r="1577">
          <cell r="A1577">
            <v>8079</v>
          </cell>
        </row>
        <row r="1578">
          <cell r="A1578">
            <v>8080</v>
          </cell>
        </row>
        <row r="1579">
          <cell r="A1579">
            <v>8081</v>
          </cell>
        </row>
        <row r="1580">
          <cell r="A1580">
            <v>8082</v>
          </cell>
        </row>
        <row r="1581">
          <cell r="A1581">
            <v>8083</v>
          </cell>
        </row>
        <row r="1582">
          <cell r="A1582">
            <v>8084</v>
          </cell>
        </row>
        <row r="1583">
          <cell r="A1583">
            <v>8087</v>
          </cell>
        </row>
        <row r="1584">
          <cell r="A1584">
            <v>8088</v>
          </cell>
        </row>
        <row r="1585">
          <cell r="A1585">
            <v>8089</v>
          </cell>
        </row>
        <row r="1586">
          <cell r="A1586">
            <v>8090</v>
          </cell>
        </row>
        <row r="1587">
          <cell r="A1587">
            <v>8095</v>
          </cell>
        </row>
        <row r="1588">
          <cell r="A1588">
            <v>8096</v>
          </cell>
        </row>
        <row r="1589">
          <cell r="A1589">
            <v>8097</v>
          </cell>
        </row>
        <row r="1590">
          <cell r="A1590">
            <v>8098</v>
          </cell>
        </row>
        <row r="1591">
          <cell r="A1591">
            <v>8099</v>
          </cell>
        </row>
        <row r="1592">
          <cell r="A1592">
            <v>9001</v>
          </cell>
        </row>
        <row r="1593">
          <cell r="A1593">
            <v>9002</v>
          </cell>
        </row>
        <row r="1594">
          <cell r="A1594">
            <v>9003</v>
          </cell>
        </row>
        <row r="1595">
          <cell r="A1595">
            <v>9004</v>
          </cell>
        </row>
        <row r="1596">
          <cell r="A1596">
            <v>10001</v>
          </cell>
        </row>
        <row r="1597">
          <cell r="A1597">
            <v>10002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A2" sqref="A2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130</v>
      </c>
      <c r="B1" s="54" t="s">
        <v>100</v>
      </c>
      <c r="C1" s="54" t="s">
        <v>101</v>
      </c>
      <c r="D1" s="54" t="s">
        <v>102</v>
      </c>
      <c r="E1" s="54" t="s">
        <v>103</v>
      </c>
      <c r="F1" s="54" t="s">
        <v>104</v>
      </c>
      <c r="G1" s="54" t="s">
        <v>105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</row>
    <row r="2" spans="1:30" x14ac:dyDescent="0.15">
      <c r="A2" s="60" t="s">
        <v>213</v>
      </c>
      <c r="B2" s="56" t="s">
        <v>106</v>
      </c>
      <c r="C2" s="7">
        <v>30036</v>
      </c>
      <c r="D2" s="56" t="s">
        <v>107</v>
      </c>
      <c r="E2" s="55" t="str">
        <f>B2&amp;C2&amp;D2</f>
        <v>floors_30036.tmp</v>
      </c>
      <c r="F2" s="56" t="s">
        <v>108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</row>
    <row r="3" spans="1:30" x14ac:dyDescent="0.15">
      <c r="A3" s="60" t="s">
        <v>213</v>
      </c>
      <c r="B3" s="56" t="s">
        <v>109</v>
      </c>
      <c r="C3" s="7">
        <v>30036</v>
      </c>
      <c r="D3" s="56" t="s">
        <v>107</v>
      </c>
      <c r="E3" s="55" t="str">
        <f>B3&amp;C3&amp;D3</f>
        <v>enemy_habitats_30036.tmp</v>
      </c>
      <c r="F3" s="56" t="s">
        <v>110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178</v>
      </c>
    </row>
    <row r="4" spans="1:30" x14ac:dyDescent="0.15">
      <c r="A4" s="60" t="s">
        <v>213</v>
      </c>
      <c r="B4" s="56" t="s">
        <v>111</v>
      </c>
      <c r="C4" s="7">
        <v>30036</v>
      </c>
      <c r="D4" s="56" t="s">
        <v>107</v>
      </c>
      <c r="E4" s="55" t="str">
        <f>B4&amp;C4&amp;D4</f>
        <v>enemy_habitat_S_30036.tmp</v>
      </c>
      <c r="F4" s="56" t="s">
        <v>112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</row>
    <row r="5" spans="1:30" x14ac:dyDescent="0.15">
      <c r="A5" s="60" t="s">
        <v>213</v>
      </c>
      <c r="B5" s="56" t="s">
        <v>113</v>
      </c>
      <c r="C5" s="7">
        <v>30036</v>
      </c>
      <c r="D5" s="56" t="s">
        <v>107</v>
      </c>
      <c r="E5" s="55" t="str">
        <f>B5&amp;C5&amp;D5</f>
        <v>enemy_skill_sets_30036.tmp</v>
      </c>
      <c r="F5" s="56" t="s">
        <v>114</v>
      </c>
      <c r="G5" s="58" t="s">
        <v>22</v>
      </c>
      <c r="H5" s="58" t="s">
        <v>99</v>
      </c>
      <c r="I5" s="58" t="s">
        <v>94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</row>
    <row r="6" spans="1:30" x14ac:dyDescent="0.15">
      <c r="A6" s="60" t="s">
        <v>213</v>
      </c>
      <c r="B6" s="56" t="s">
        <v>115</v>
      </c>
      <c r="C6" s="7">
        <v>30036</v>
      </c>
      <c r="D6" s="56" t="s">
        <v>116</v>
      </c>
      <c r="E6" s="55" t="str">
        <f t="shared" ref="E6:E10" si="0">B6&amp;C6&amp;D6</f>
        <v>enemy_skills_tmp_30036.tmp</v>
      </c>
      <c r="F6" s="56" t="s">
        <v>90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</row>
    <row r="7" spans="1:30" x14ac:dyDescent="0.15">
      <c r="A7" s="60" t="s">
        <v>213</v>
      </c>
      <c r="B7" s="56" t="s">
        <v>117</v>
      </c>
      <c r="C7" s="7">
        <v>30036</v>
      </c>
      <c r="D7" s="56" t="s">
        <v>107</v>
      </c>
      <c r="E7" s="55" t="str">
        <f>B7&amp;C7&amp;D7</f>
        <v>enemy_skills_i18n_30036.tmp</v>
      </c>
      <c r="F7" s="56" t="s">
        <v>118</v>
      </c>
      <c r="G7" s="57" t="s">
        <v>79</v>
      </c>
      <c r="H7" s="57" t="s">
        <v>91</v>
      </c>
      <c r="I7" s="57" t="s">
        <v>92</v>
      </c>
      <c r="J7" s="57" t="s">
        <v>93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</row>
    <row r="8" spans="1:30" x14ac:dyDescent="0.15">
      <c r="A8" s="60" t="s">
        <v>213</v>
      </c>
      <c r="B8" s="56" t="s">
        <v>119</v>
      </c>
      <c r="C8" s="7">
        <v>30036</v>
      </c>
      <c r="D8" s="56" t="s">
        <v>120</v>
      </c>
      <c r="E8" s="55" t="str">
        <f t="shared" si="0"/>
        <v>enemy_skill_triggers_30036.tmp</v>
      </c>
      <c r="F8" s="56" t="s">
        <v>121</v>
      </c>
      <c r="G8" s="57" t="s">
        <v>94</v>
      </c>
      <c r="H8" s="57" t="s">
        <v>95</v>
      </c>
      <c r="I8" s="57" t="s">
        <v>96</v>
      </c>
      <c r="J8" s="57" t="s">
        <v>97</v>
      </c>
      <c r="K8" s="57" t="s">
        <v>122</v>
      </c>
      <c r="L8" s="57" t="s">
        <v>98</v>
      </c>
      <c r="M8" s="57" t="s">
        <v>123</v>
      </c>
      <c r="N8" s="57" t="s">
        <v>124</v>
      </c>
      <c r="O8" s="57" t="s">
        <v>125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</row>
    <row r="9" spans="1:30" x14ac:dyDescent="0.15">
      <c r="A9" s="60" t="s">
        <v>213</v>
      </c>
      <c r="B9" s="65" t="s">
        <v>177</v>
      </c>
      <c r="C9" s="7">
        <v>30036</v>
      </c>
      <c r="D9" s="65" t="s">
        <v>171</v>
      </c>
      <c r="E9" s="66" t="str">
        <f t="shared" si="0"/>
        <v>stage_bug_bonuses_30036.tmp</v>
      </c>
      <c r="F9" s="65" t="s">
        <v>172</v>
      </c>
      <c r="G9" s="62" t="s">
        <v>150</v>
      </c>
      <c r="H9" s="62" t="s">
        <v>173</v>
      </c>
      <c r="I9" s="62" t="s">
        <v>174</v>
      </c>
      <c r="J9" s="64" t="s">
        <v>175</v>
      </c>
      <c r="K9" s="62" t="s">
        <v>176</v>
      </c>
      <c r="L9" s="62" t="s">
        <v>156</v>
      </c>
      <c r="M9" s="62" t="s">
        <v>157</v>
      </c>
      <c r="N9" s="62" t="s">
        <v>158</v>
      </c>
      <c r="O9" s="62" t="s">
        <v>159</v>
      </c>
      <c r="P9" s="62" t="s">
        <v>160</v>
      </c>
      <c r="Q9" s="62" t="s">
        <v>161</v>
      </c>
      <c r="R9" s="62" t="s">
        <v>162</v>
      </c>
      <c r="S9" s="62" t="s">
        <v>163</v>
      </c>
      <c r="T9" s="62" t="s">
        <v>164</v>
      </c>
      <c r="U9" s="62" t="s">
        <v>165</v>
      </c>
      <c r="V9" s="62" t="s">
        <v>166</v>
      </c>
      <c r="W9" s="62" t="s">
        <v>167</v>
      </c>
    </row>
    <row r="10" spans="1:30" s="73" customFormat="1" x14ac:dyDescent="0.15">
      <c r="A10" s="60" t="s">
        <v>213</v>
      </c>
      <c r="B10" s="65" t="s">
        <v>201</v>
      </c>
      <c r="C10" s="7">
        <v>30036</v>
      </c>
      <c r="D10" s="65" t="s">
        <v>180</v>
      </c>
      <c r="E10" s="66" t="str">
        <f t="shared" si="0"/>
        <v>stage_hints_data_c_30036.tmp</v>
      </c>
      <c r="F10" s="65" t="s">
        <v>209</v>
      </c>
      <c r="G10" s="70" t="s">
        <v>181</v>
      </c>
      <c r="H10" s="70" t="s">
        <v>173</v>
      </c>
      <c r="I10" s="71" t="s">
        <v>182</v>
      </c>
      <c r="J10" s="64" t="s">
        <v>183</v>
      </c>
      <c r="K10" s="72" t="s">
        <v>184</v>
      </c>
    </row>
    <row r="11" spans="1:30" s="73" customFormat="1" x14ac:dyDescent="0.15">
      <c r="A11" s="60" t="s">
        <v>213</v>
      </c>
      <c r="B11" s="65" t="s">
        <v>202</v>
      </c>
      <c r="C11" s="7">
        <v>30036</v>
      </c>
      <c r="D11" s="65" t="s">
        <v>171</v>
      </c>
      <c r="E11" s="66" t="str">
        <f t="shared" ref="E11:E12" si="1">B11&amp;C11&amp;D11</f>
        <v>stage_hints_data_f_30036.tmp</v>
      </c>
      <c r="F11" s="65" t="s">
        <v>211</v>
      </c>
      <c r="G11" s="70" t="s">
        <v>181</v>
      </c>
      <c r="H11" s="70" t="s">
        <v>173</v>
      </c>
      <c r="I11" s="71" t="s">
        <v>182</v>
      </c>
      <c r="J11" s="64" t="s">
        <v>183</v>
      </c>
      <c r="K11" s="72" t="s">
        <v>184</v>
      </c>
    </row>
    <row r="12" spans="1:30" s="73" customFormat="1" x14ac:dyDescent="0.15">
      <c r="A12" s="60" t="s">
        <v>213</v>
      </c>
      <c r="B12" s="65" t="s">
        <v>203</v>
      </c>
      <c r="C12" s="7">
        <v>30036</v>
      </c>
      <c r="D12" s="65" t="s">
        <v>171</v>
      </c>
      <c r="E12" s="66" t="str">
        <f t="shared" si="1"/>
        <v>stage_hints_i18n_30036.tmp</v>
      </c>
      <c r="F12" s="65" t="s">
        <v>212</v>
      </c>
      <c r="G12" s="71" t="s">
        <v>204</v>
      </c>
      <c r="H12" s="93" t="s">
        <v>205</v>
      </c>
      <c r="I12" s="70" t="s">
        <v>206</v>
      </c>
      <c r="J12" s="94" t="s">
        <v>207</v>
      </c>
      <c r="K12" s="72" t="s">
        <v>208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workbookViewId="0">
      <pane ySplit="1" topLeftCell="A2" activePane="bottomLeft" state="frozen"/>
      <selection activeCell="V2" sqref="V2:X34"/>
      <selection pane="bottomLeft" activeCell="C2" sqref="C2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2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13" si="0">G2&amp;"-"&amp;I2</f>
        <v>30036_3-1</v>
      </c>
      <c r="B2" s="16" t="str">
        <f>IF(COUNTIF(enemy_habitats!$H:$H,A2),"OK","NG")</f>
        <v>OK</v>
      </c>
      <c r="C2" s="7">
        <v>30036</v>
      </c>
      <c r="D2" s="11" t="str">
        <f ca="1">VLOOKUP($C2,OFFSET([2]quests!$A$1,0,0,COUNTA([2]quests!$A:$A),MATCH(D$1,[2]quests!$1:$1,0)-MATCH($C$1,[2]quests!$1:$1,0)+1),MATCH(D$1,[2]quests!$1:$1,0)-MATCH($C$1,[2]quests!$1:$1,0)+1,FALSE)</f>
        <v>猛然たる炎獣使い</v>
      </c>
      <c r="E2" s="18" t="str">
        <f ca="1">VLOOKUP($C2,OFFSET([2]quests!$A$1,0,0,COUNTA([2]quests!$A:$A),MATCH(E$1,[2]quests!$1:$1,0)-MATCH($C$1,[2]quests!$1:$1,0)+1),MATCH(E$1,[2]quests!$1:$1,0)-MATCH($C$1,[2]quests!$1:$1,0)+1,FALSE)</f>
        <v>ギリシャ神話シリーズ超級</v>
      </c>
      <c r="F2" s="21">
        <v>3</v>
      </c>
      <c r="G2" s="22" t="str">
        <f t="shared" ref="G2:G13" si="1">C2&amp;"_"&amp;F2</f>
        <v>30036_3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【超級】猛然たる炎獣使い</v>
      </c>
      <c r="I2" s="21">
        <v>1</v>
      </c>
      <c r="J2" s="12">
        <v>30</v>
      </c>
      <c r="K2" s="12">
        <v>30</v>
      </c>
    </row>
    <row r="3" spans="1:11" ht="21" customHeight="1" x14ac:dyDescent="0.15">
      <c r="A3" s="16" t="str">
        <f t="shared" si="0"/>
        <v>30036_3-2</v>
      </c>
      <c r="B3" s="16" t="str">
        <f>IF(COUNTIF(enemy_habitats!$H:$H,A3),"OK","NG")</f>
        <v>OK</v>
      </c>
      <c r="C3" s="7">
        <v>30036</v>
      </c>
      <c r="D3" s="11" t="str">
        <f ca="1">VLOOKUP($C3,OFFSET([2]quests!$A$1,0,0,COUNTA([2]quests!$A:$A),MATCH(D$1,[2]quests!$1:$1,0)-MATCH($C$1,[2]quests!$1:$1,0)+1),MATCH(D$1,[2]quests!$1:$1,0)-MATCH($C$1,[2]quests!$1:$1,0)+1,FALSE)</f>
        <v>猛然たる炎獣使い</v>
      </c>
      <c r="E3" s="18" t="str">
        <f ca="1">VLOOKUP($C3,OFFSET([2]quests!$A$1,0,0,COUNTA([2]quests!$A:$A),MATCH(E$1,[2]quests!$1:$1,0)-MATCH($C$1,[2]quests!$1:$1,0)+1),MATCH(E$1,[2]quests!$1:$1,0)-MATCH($C$1,[2]quests!$1:$1,0)+1,FALSE)</f>
        <v>ギリシャ神話シリーズ超級</v>
      </c>
      <c r="F3" s="21">
        <v>3</v>
      </c>
      <c r="G3" s="22" t="str">
        <f t="shared" si="1"/>
        <v>30036_3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【超級】猛然たる炎獣使い</v>
      </c>
      <c r="I3" s="21">
        <v>2</v>
      </c>
      <c r="J3" s="12">
        <v>30</v>
      </c>
      <c r="K3" s="12">
        <v>30</v>
      </c>
    </row>
    <row r="4" spans="1:11" ht="21" customHeight="1" x14ac:dyDescent="0.15">
      <c r="A4" s="16" t="str">
        <f t="shared" si="0"/>
        <v>30036_3-3</v>
      </c>
      <c r="B4" s="16" t="str">
        <f>IF(COUNTIF(enemy_habitats!$H:$H,A4),"OK","NG")</f>
        <v>OK</v>
      </c>
      <c r="C4" s="7">
        <v>30036</v>
      </c>
      <c r="D4" s="11" t="str">
        <f ca="1">VLOOKUP($C4,OFFSET([2]quests!$A$1,0,0,COUNTA([2]quests!$A:$A),MATCH(D$1,[2]quests!$1:$1,0)-MATCH($C$1,[2]quests!$1:$1,0)+1),MATCH(D$1,[2]quests!$1:$1,0)-MATCH($C$1,[2]quests!$1:$1,0)+1,FALSE)</f>
        <v>猛然たる炎獣使い</v>
      </c>
      <c r="E4" s="18" t="str">
        <f ca="1">VLOOKUP($C4,OFFSET([2]quests!$A$1,0,0,COUNTA([2]quests!$A:$A),MATCH(E$1,[2]quests!$1:$1,0)-MATCH($C$1,[2]quests!$1:$1,0)+1),MATCH(E$1,[2]quests!$1:$1,0)-MATCH($C$1,[2]quests!$1:$1,0)+1,FALSE)</f>
        <v>ギリシャ神話シリーズ超級</v>
      </c>
      <c r="F4" s="21">
        <v>3</v>
      </c>
      <c r="G4" s="22" t="str">
        <f t="shared" si="1"/>
        <v>30036_3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【超級】猛然たる炎獣使い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30036_3-4</v>
      </c>
      <c r="B5" s="16" t="str">
        <f>IF(COUNTIF(enemy_habitats!$H:$H,A5),"OK","NG")</f>
        <v>OK</v>
      </c>
      <c r="C5" s="7">
        <v>30036</v>
      </c>
      <c r="D5" s="11" t="str">
        <f ca="1">VLOOKUP($C5,OFFSET([2]quests!$A$1,0,0,COUNTA([2]quests!$A:$A),MATCH(D$1,[2]quests!$1:$1,0)-MATCH($C$1,[2]quests!$1:$1,0)+1),MATCH(D$1,[2]quests!$1:$1,0)-MATCH($C$1,[2]quests!$1:$1,0)+1,FALSE)</f>
        <v>猛然たる炎獣使い</v>
      </c>
      <c r="E5" s="18" t="str">
        <f ca="1">VLOOKUP($C5,OFFSET([2]quests!$A$1,0,0,COUNTA([2]quests!$A:$A),MATCH(E$1,[2]quests!$1:$1,0)-MATCH($C$1,[2]quests!$1:$1,0)+1),MATCH(E$1,[2]quests!$1:$1,0)-MATCH($C$1,[2]quests!$1:$1,0)+1,FALSE)</f>
        <v>ギリシャ神話シリーズ超級</v>
      </c>
      <c r="F5" s="21">
        <v>3</v>
      </c>
      <c r="G5" s="22" t="str">
        <f t="shared" si="1"/>
        <v>30036_3</v>
      </c>
      <c r="H5" s="15" t="str">
        <f ca="1">VLOOKUP($G5,OFFSET([2]stages!$A$1,0,0,COUNTA([2]stages!$A:$A),MATCH(H$1,[2]stages!$2:$2,0)-MATCH($G$1,[2]stages!$2:$2,0)+1),MATCH(H$1,[2]stages!$2:$2,0)-MATCH($G$1,[2]stages!$2:$2,0)+1,FALSE)</f>
        <v>【超級】猛然たる炎獣使い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30036_2-1</v>
      </c>
      <c r="B6" s="16" t="str">
        <f>IF(COUNTIF(enemy_habitats!$H:$H,A6),"OK","NG")</f>
        <v>OK</v>
      </c>
      <c r="C6" s="7">
        <v>30036</v>
      </c>
      <c r="D6" s="11" t="str">
        <f ca="1">VLOOKUP($C6,OFFSET([2]quests!$A$1,0,0,COUNTA([2]quests!$A:$A),MATCH(D$1,[2]quests!$1:$1,0)-MATCH($C$1,[2]quests!$1:$1,0)+1),MATCH(D$1,[2]quests!$1:$1,0)-MATCH($C$1,[2]quests!$1:$1,0)+1,FALSE)</f>
        <v>猛然たる炎獣使い</v>
      </c>
      <c r="E6" s="18" t="str">
        <f ca="1">VLOOKUP($C6,OFFSET([2]quests!$A$1,0,0,COUNTA([2]quests!$A:$A),MATCH(E$1,[2]quests!$1:$1,0)-MATCH($C$1,[2]quests!$1:$1,0)+1),MATCH(E$1,[2]quests!$1:$1,0)-MATCH($C$1,[2]quests!$1:$1,0)+1,FALSE)</f>
        <v>ギリシャ神話シリーズ超級</v>
      </c>
      <c r="F6" s="21">
        <v>2</v>
      </c>
      <c r="G6" s="22" t="str">
        <f t="shared" si="1"/>
        <v>30036_2</v>
      </c>
      <c r="H6" s="15" t="str">
        <f ca="1">VLOOKUP($G6,OFFSET([2]stages!$A$1,0,0,COUNTA([2]stages!$A:$A),MATCH(H$1,[2]stages!$2:$2,0)-MATCH($G$1,[2]stages!$2:$2,0)+1),MATCH(H$1,[2]stages!$2:$2,0)-MATCH($G$1,[2]stages!$2:$2,0)+1,FALSE)</f>
        <v>【上級】猛然たる炎獣使い</v>
      </c>
      <c r="I6" s="21">
        <v>1</v>
      </c>
      <c r="J6" s="12">
        <v>30</v>
      </c>
      <c r="K6" s="12">
        <v>30</v>
      </c>
    </row>
    <row r="7" spans="1:11" ht="21" customHeight="1" x14ac:dyDescent="0.15">
      <c r="A7" s="16" t="str">
        <f t="shared" si="0"/>
        <v>30036_2-2</v>
      </c>
      <c r="B7" s="16" t="str">
        <f>IF(COUNTIF(enemy_habitats!$H:$H,A7),"OK","NG")</f>
        <v>OK</v>
      </c>
      <c r="C7" s="7">
        <v>30036</v>
      </c>
      <c r="D7" s="11" t="str">
        <f ca="1">VLOOKUP($C7,OFFSET([2]quests!$A$1,0,0,COUNTA([2]quests!$A:$A),MATCH(D$1,[2]quests!$1:$1,0)-MATCH($C$1,[2]quests!$1:$1,0)+1),MATCH(D$1,[2]quests!$1:$1,0)-MATCH($C$1,[2]quests!$1:$1,0)+1,FALSE)</f>
        <v>猛然たる炎獣使い</v>
      </c>
      <c r="E7" s="18" t="str">
        <f ca="1">VLOOKUP($C7,OFFSET([2]quests!$A$1,0,0,COUNTA([2]quests!$A:$A),MATCH(E$1,[2]quests!$1:$1,0)-MATCH($C$1,[2]quests!$1:$1,0)+1),MATCH(E$1,[2]quests!$1:$1,0)-MATCH($C$1,[2]quests!$1:$1,0)+1,FALSE)</f>
        <v>ギリシャ神話シリーズ超級</v>
      </c>
      <c r="F7" s="21">
        <v>2</v>
      </c>
      <c r="G7" s="22" t="str">
        <f t="shared" si="1"/>
        <v>30036_2</v>
      </c>
      <c r="H7" s="15" t="str">
        <f ca="1">VLOOKUP($G7,OFFSET([2]stages!$A$1,0,0,COUNTA([2]stages!$A:$A),MATCH(H$1,[2]stages!$2:$2,0)-MATCH($G$1,[2]stages!$2:$2,0)+1),MATCH(H$1,[2]stages!$2:$2,0)-MATCH($G$1,[2]stages!$2:$2,0)+1,FALSE)</f>
        <v>【上級】猛然たる炎獣使い</v>
      </c>
      <c r="I7" s="21">
        <v>2</v>
      </c>
      <c r="J7" s="12">
        <v>30</v>
      </c>
      <c r="K7" s="12">
        <v>30</v>
      </c>
    </row>
    <row r="8" spans="1:11" ht="21" customHeight="1" x14ac:dyDescent="0.15">
      <c r="A8" s="16" t="str">
        <f t="shared" si="0"/>
        <v>30036_2-3</v>
      </c>
      <c r="B8" s="16" t="str">
        <f>IF(COUNTIF(enemy_habitats!$H:$H,A8),"OK","NG")</f>
        <v>OK</v>
      </c>
      <c r="C8" s="7">
        <v>30036</v>
      </c>
      <c r="D8" s="11" t="str">
        <f ca="1">VLOOKUP($C8,OFFSET([2]quests!$A$1,0,0,COUNTA([2]quests!$A:$A),MATCH(D$1,[2]quests!$1:$1,0)-MATCH($C$1,[2]quests!$1:$1,0)+1),MATCH(D$1,[2]quests!$1:$1,0)-MATCH($C$1,[2]quests!$1:$1,0)+1,FALSE)</f>
        <v>猛然たる炎獣使い</v>
      </c>
      <c r="E8" s="18" t="str">
        <f ca="1">VLOOKUP($C8,OFFSET([2]quests!$A$1,0,0,COUNTA([2]quests!$A:$A),MATCH(E$1,[2]quests!$1:$1,0)-MATCH($C$1,[2]quests!$1:$1,0)+1),MATCH(E$1,[2]quests!$1:$1,0)-MATCH($C$1,[2]quests!$1:$1,0)+1,FALSE)</f>
        <v>ギリシャ神話シリーズ超級</v>
      </c>
      <c r="F8" s="21">
        <v>2</v>
      </c>
      <c r="G8" s="22" t="str">
        <f t="shared" si="1"/>
        <v>30036_2</v>
      </c>
      <c r="H8" s="15" t="str">
        <f ca="1">VLOOKUP($G8,OFFSET([2]stages!$A$1,0,0,COUNTA([2]stages!$A:$A),MATCH(H$1,[2]stages!$2:$2,0)-MATCH($G$1,[2]stages!$2:$2,0)+1),MATCH(H$1,[2]stages!$2:$2,0)-MATCH($G$1,[2]stages!$2:$2,0)+1,FALSE)</f>
        <v>【上級】猛然たる炎獣使い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0"/>
        <v>30036_2-4</v>
      </c>
      <c r="B9" s="16" t="str">
        <f>IF(COUNTIF(enemy_habitats!$H:$H,A9),"OK","NG")</f>
        <v>OK</v>
      </c>
      <c r="C9" s="7">
        <v>30036</v>
      </c>
      <c r="D9" s="11" t="str">
        <f ca="1">VLOOKUP($C9,OFFSET([2]quests!$A$1,0,0,COUNTA([2]quests!$A:$A),MATCH(D$1,[2]quests!$1:$1,0)-MATCH($C$1,[2]quests!$1:$1,0)+1),MATCH(D$1,[2]quests!$1:$1,0)-MATCH($C$1,[2]quests!$1:$1,0)+1,FALSE)</f>
        <v>猛然たる炎獣使い</v>
      </c>
      <c r="E9" s="18" t="str">
        <f ca="1">VLOOKUP($C9,OFFSET([2]quests!$A$1,0,0,COUNTA([2]quests!$A:$A),MATCH(E$1,[2]quests!$1:$1,0)-MATCH($C$1,[2]quests!$1:$1,0)+1),MATCH(E$1,[2]quests!$1:$1,0)-MATCH($C$1,[2]quests!$1:$1,0)+1,FALSE)</f>
        <v>ギリシャ神話シリーズ超級</v>
      </c>
      <c r="F9" s="21">
        <v>2</v>
      </c>
      <c r="G9" s="22" t="str">
        <f t="shared" si="1"/>
        <v>30036_2</v>
      </c>
      <c r="H9" s="15" t="str">
        <f ca="1">VLOOKUP($G9,OFFSET([2]stages!$A$1,0,0,COUNTA([2]stages!$A:$A),MATCH(H$1,[2]stages!$2:$2,0)-MATCH($G$1,[2]stages!$2:$2,0)+1),MATCH(H$1,[2]stages!$2:$2,0)-MATCH($G$1,[2]stages!$2:$2,0)+1,FALSE)</f>
        <v>【上級】猛然たる炎獣使い</v>
      </c>
      <c r="I9" s="21">
        <v>4</v>
      </c>
      <c r="J9" s="12">
        <v>60</v>
      </c>
      <c r="K9" s="12">
        <v>60</v>
      </c>
    </row>
    <row r="10" spans="1:11" ht="21" customHeight="1" x14ac:dyDescent="0.15">
      <c r="A10" s="16" t="str">
        <f t="shared" si="0"/>
        <v>30036_1-1</v>
      </c>
      <c r="B10" s="16" t="str">
        <f>IF(COUNTIF(enemy_habitats!$H:$H,A10),"OK","NG")</f>
        <v>OK</v>
      </c>
      <c r="C10" s="7">
        <v>30036</v>
      </c>
      <c r="D10" s="11" t="str">
        <f ca="1">VLOOKUP($C10,OFFSET([2]quests!$A$1,0,0,COUNTA([2]quests!$A:$A),MATCH(D$1,[2]quests!$1:$1,0)-MATCH($C$1,[2]quests!$1:$1,0)+1),MATCH(D$1,[2]quests!$1:$1,0)-MATCH($C$1,[2]quests!$1:$1,0)+1,FALSE)</f>
        <v>猛然たる炎獣使い</v>
      </c>
      <c r="E10" s="18" t="str">
        <f ca="1">VLOOKUP($C10,OFFSET([2]quests!$A$1,0,0,COUNTA([2]quests!$A:$A),MATCH(E$1,[2]quests!$1:$1,0)-MATCH($C$1,[2]quests!$1:$1,0)+1),MATCH(E$1,[2]quests!$1:$1,0)-MATCH($C$1,[2]quests!$1:$1,0)+1,FALSE)</f>
        <v>ギリシャ神話シリーズ超級</v>
      </c>
      <c r="F10" s="21">
        <v>1</v>
      </c>
      <c r="G10" s="22" t="str">
        <f t="shared" si="1"/>
        <v>30036_1</v>
      </c>
      <c r="H10" s="15" t="str">
        <f ca="1">VLOOKUP($G10,OFFSET([2]stages!$A$1,0,0,COUNTA([2]stages!$A:$A),MATCH(H$1,[2]stages!$2:$2,0)-MATCH($G$1,[2]stages!$2:$2,0)+1),MATCH(H$1,[2]stages!$2:$2,0)-MATCH($G$1,[2]stages!$2:$2,0)+1,FALSE)</f>
        <v>【中級】猛然たる炎獣使い</v>
      </c>
      <c r="I10" s="21">
        <v>1</v>
      </c>
      <c r="J10" s="12">
        <v>30</v>
      </c>
      <c r="K10" s="12">
        <v>30</v>
      </c>
    </row>
    <row r="11" spans="1:11" ht="21" customHeight="1" x14ac:dyDescent="0.15">
      <c r="A11" s="16" t="str">
        <f t="shared" si="0"/>
        <v>30036_1-2</v>
      </c>
      <c r="B11" s="16" t="str">
        <f>IF(COUNTIF(enemy_habitats!$H:$H,A11),"OK","NG")</f>
        <v>OK</v>
      </c>
      <c r="C11" s="7">
        <v>30036</v>
      </c>
      <c r="D11" s="11" t="str">
        <f ca="1">VLOOKUP($C11,OFFSET([2]quests!$A$1,0,0,COUNTA([2]quests!$A:$A),MATCH(D$1,[2]quests!$1:$1,0)-MATCH($C$1,[2]quests!$1:$1,0)+1),MATCH(D$1,[2]quests!$1:$1,0)-MATCH($C$1,[2]quests!$1:$1,0)+1,FALSE)</f>
        <v>猛然たる炎獣使い</v>
      </c>
      <c r="E11" s="18" t="str">
        <f ca="1">VLOOKUP($C11,OFFSET([2]quests!$A$1,0,0,COUNTA([2]quests!$A:$A),MATCH(E$1,[2]quests!$1:$1,0)-MATCH($C$1,[2]quests!$1:$1,0)+1),MATCH(E$1,[2]quests!$1:$1,0)-MATCH($C$1,[2]quests!$1:$1,0)+1,FALSE)</f>
        <v>ギリシャ神話シリーズ超級</v>
      </c>
      <c r="F11" s="21">
        <v>1</v>
      </c>
      <c r="G11" s="22" t="str">
        <f t="shared" si="1"/>
        <v>30036_1</v>
      </c>
      <c r="H11" s="15" t="str">
        <f ca="1">VLOOKUP($G11,OFFSET([2]stages!$A$1,0,0,COUNTA([2]stages!$A:$A),MATCH(H$1,[2]stages!$2:$2,0)-MATCH($G$1,[2]stages!$2:$2,0)+1),MATCH(H$1,[2]stages!$2:$2,0)-MATCH($G$1,[2]stages!$2:$2,0)+1,FALSE)</f>
        <v>【中級】猛然たる炎獣使い</v>
      </c>
      <c r="I11" s="21">
        <v>2</v>
      </c>
      <c r="J11" s="12">
        <v>30</v>
      </c>
      <c r="K11" s="12">
        <v>30</v>
      </c>
    </row>
    <row r="12" spans="1:11" ht="21" customHeight="1" x14ac:dyDescent="0.15">
      <c r="A12" s="16" t="str">
        <f t="shared" si="0"/>
        <v>30036_1-3</v>
      </c>
      <c r="B12" s="16" t="str">
        <f>IF(COUNTIF(enemy_habitats!$H:$H,A12),"OK","NG")</f>
        <v>OK</v>
      </c>
      <c r="C12" s="7">
        <v>30036</v>
      </c>
      <c r="D12" s="11" t="str">
        <f ca="1">VLOOKUP($C12,OFFSET([2]quests!$A$1,0,0,COUNTA([2]quests!$A:$A),MATCH(D$1,[2]quests!$1:$1,0)-MATCH($C$1,[2]quests!$1:$1,0)+1),MATCH(D$1,[2]quests!$1:$1,0)-MATCH($C$1,[2]quests!$1:$1,0)+1,FALSE)</f>
        <v>猛然たる炎獣使い</v>
      </c>
      <c r="E12" s="18" t="str">
        <f ca="1">VLOOKUP($C12,OFFSET([2]quests!$A$1,0,0,COUNTA([2]quests!$A:$A),MATCH(E$1,[2]quests!$1:$1,0)-MATCH($C$1,[2]quests!$1:$1,0)+1),MATCH(E$1,[2]quests!$1:$1,0)-MATCH($C$1,[2]quests!$1:$1,0)+1,FALSE)</f>
        <v>ギリシャ神話シリーズ超級</v>
      </c>
      <c r="F12" s="21">
        <v>1</v>
      </c>
      <c r="G12" s="22" t="str">
        <f t="shared" si="1"/>
        <v>30036_1</v>
      </c>
      <c r="H12" s="15" t="str">
        <f ca="1">VLOOKUP($G12,OFFSET([2]stages!$A$1,0,0,COUNTA([2]stages!$A:$A),MATCH(H$1,[2]stages!$2:$2,0)-MATCH($G$1,[2]stages!$2:$2,0)+1),MATCH(H$1,[2]stages!$2:$2,0)-MATCH($G$1,[2]stages!$2:$2,0)+1,FALSE)</f>
        <v>【中級】猛然たる炎獣使い</v>
      </c>
      <c r="I12" s="21">
        <v>3</v>
      </c>
      <c r="J12" s="12">
        <v>60</v>
      </c>
      <c r="K12" s="12">
        <v>60</v>
      </c>
    </row>
    <row r="13" spans="1:11" ht="21" customHeight="1" x14ac:dyDescent="0.15">
      <c r="A13" s="16" t="str">
        <f t="shared" si="0"/>
        <v>30036_1-4</v>
      </c>
      <c r="B13" s="16" t="str">
        <f>IF(COUNTIF(enemy_habitats!$H:$H,A13),"OK","NG")</f>
        <v>OK</v>
      </c>
      <c r="C13" s="7">
        <v>30036</v>
      </c>
      <c r="D13" s="11" t="str">
        <f ca="1">VLOOKUP($C13,OFFSET([2]quests!$A$1,0,0,COUNTA([2]quests!$A:$A),MATCH(D$1,[2]quests!$1:$1,0)-MATCH($C$1,[2]quests!$1:$1,0)+1),MATCH(D$1,[2]quests!$1:$1,0)-MATCH($C$1,[2]quests!$1:$1,0)+1,FALSE)</f>
        <v>猛然たる炎獣使い</v>
      </c>
      <c r="E13" s="18" t="str">
        <f ca="1">VLOOKUP($C13,OFFSET([2]quests!$A$1,0,0,COUNTA([2]quests!$A:$A),MATCH(E$1,[2]quests!$1:$1,0)-MATCH($C$1,[2]quests!$1:$1,0)+1),MATCH(E$1,[2]quests!$1:$1,0)-MATCH($C$1,[2]quests!$1:$1,0)+1,FALSE)</f>
        <v>ギリシャ神話シリーズ超級</v>
      </c>
      <c r="F13" s="21">
        <v>1</v>
      </c>
      <c r="G13" s="22" t="str">
        <f t="shared" si="1"/>
        <v>30036_1</v>
      </c>
      <c r="H13" s="15" t="str">
        <f ca="1">VLOOKUP($G13,OFFSET([2]stages!$A$1,0,0,COUNTA([2]stages!$A:$A),MATCH(H$1,[2]stages!$2:$2,0)-MATCH($G$1,[2]stages!$2:$2,0)+1),MATCH(H$1,[2]stages!$2:$2,0)-MATCH($G$1,[2]stages!$2:$2,0)+1,FALSE)</f>
        <v>【中級】猛然たる炎獣使い</v>
      </c>
      <c r="I13" s="21">
        <v>4</v>
      </c>
      <c r="J13" s="12">
        <v>60</v>
      </c>
      <c r="K13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22"/>
  <sheetViews>
    <sheetView showGridLines="0" workbookViewId="0">
      <pane xSplit="17" ySplit="1" topLeftCell="AC2" activePane="bottomRight" state="frozen"/>
      <selection pane="topRight" activeCell="N1" sqref="N1"/>
      <selection pane="bottomLeft" activeCell="A2" sqref="A2"/>
      <selection pane="bottomRight" activeCell="AG24" sqref="AG24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customWidth="1" outlineLevel="1"/>
    <col min="5" max="5" width="11.6640625" style="3" customWidth="1" outlineLevel="1"/>
    <col min="6" max="6" width="16.1640625" style="3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 collapsed="1"/>
    <col min="13" max="13" width="16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20</v>
      </c>
      <c r="F1" s="29" t="s">
        <v>20</v>
      </c>
      <c r="G1" s="27" t="s">
        <v>19</v>
      </c>
      <c r="H1" s="28" t="s">
        <v>35</v>
      </c>
      <c r="I1" s="28" t="s">
        <v>14</v>
      </c>
      <c r="J1" s="28" t="s">
        <v>15</v>
      </c>
      <c r="K1" s="35" t="s">
        <v>54</v>
      </c>
      <c r="L1" s="36" t="s">
        <v>2</v>
      </c>
      <c r="M1" s="30" t="s">
        <v>21</v>
      </c>
      <c r="N1" s="28" t="s">
        <v>24</v>
      </c>
      <c r="O1" s="28" t="s">
        <v>23</v>
      </c>
      <c r="P1" s="31" t="s">
        <v>26</v>
      </c>
      <c r="Q1" s="29" t="s">
        <v>25</v>
      </c>
      <c r="R1" s="27" t="s">
        <v>3</v>
      </c>
      <c r="S1" s="25" t="s">
        <v>48</v>
      </c>
      <c r="T1" s="25" t="s">
        <v>50</v>
      </c>
      <c r="U1" s="25" t="s">
        <v>52</v>
      </c>
      <c r="V1" s="28" t="s">
        <v>31</v>
      </c>
      <c r="W1" s="27" t="s">
        <v>4</v>
      </c>
      <c r="X1" s="27" t="s">
        <v>5</v>
      </c>
      <c r="Y1" s="27" t="s">
        <v>6</v>
      </c>
      <c r="Z1" s="27" t="s">
        <v>7</v>
      </c>
      <c r="AA1" s="27" t="s">
        <v>8</v>
      </c>
      <c r="AB1" s="32" t="s">
        <v>9</v>
      </c>
      <c r="AC1" s="33" t="s">
        <v>16</v>
      </c>
      <c r="AD1" s="33" t="s">
        <v>17</v>
      </c>
      <c r="AE1" s="33" t="s">
        <v>27</v>
      </c>
      <c r="AF1" s="32" t="s">
        <v>10</v>
      </c>
      <c r="AG1" s="27" t="s">
        <v>11</v>
      </c>
      <c r="AH1" s="27" t="s">
        <v>12</v>
      </c>
      <c r="AI1" s="27" t="s">
        <v>38</v>
      </c>
      <c r="AJ1" s="27" t="s">
        <v>40</v>
      </c>
      <c r="AK1" s="27" t="s">
        <v>42</v>
      </c>
      <c r="AL1" s="27" t="s">
        <v>44</v>
      </c>
      <c r="AM1" s="27" t="s">
        <v>46</v>
      </c>
      <c r="AN1" s="35" t="s">
        <v>179</v>
      </c>
    </row>
    <row r="2" spans="1:40" ht="21" customHeight="1" x14ac:dyDescent="0.15">
      <c r="A2" s="16" t="str">
        <f t="shared" ref="A2" si="0">B2&amp;"_"&amp;C2&amp;"-"&amp;G2&amp;"/"&amp;L2&amp;"&lt;lv"&amp;R2&amp;"&gt;s"&amp;AA2</f>
        <v>30036_3-1/2&lt;lv40&gt;s3</v>
      </c>
      <c r="B2" s="7">
        <v>30036</v>
      </c>
      <c r="C2" s="21">
        <v>3</v>
      </c>
      <c r="D2" s="2" t="str">
        <f t="shared" ref="D2:D8" si="1">B2&amp;"_"&amp;C2</f>
        <v>30036_3</v>
      </c>
      <c r="E2" s="4" t="str">
        <f ca="1">VLOOKUP($B2,OFFSET([2]quests!$A$1,0,0,COUNTA([2]quests!$A:$A),MATCH(E$1,[2]quests!$1:$1,0)-MATCH($B$1,[2]quests!$1:$1,0)+1),MATCH(E$1,[2]quests!$1:$1,0)-MATCH($B$1,[2]quests!$1:$1,0)+1,FALSE)</f>
        <v>猛然たる炎獣使い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【超級】猛然たる炎獣使い</v>
      </c>
      <c r="G2" s="21">
        <v>1</v>
      </c>
      <c r="H2" s="15" t="str">
        <f t="shared" ref="H2:H8" si="2">B2&amp;"_"&amp;C2&amp;"-"&amp;G2</f>
        <v>30036_3-1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30</v>
      </c>
      <c r="K2" s="37" t="s">
        <v>53</v>
      </c>
      <c r="L2" s="20">
        <v>2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イレギュラー・ジェリー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40</v>
      </c>
      <c r="S2" s="24">
        <v>1.4</v>
      </c>
      <c r="T2" s="24">
        <v>1.5</v>
      </c>
      <c r="U2" s="5">
        <v>0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全体攻撃</v>
      </c>
      <c r="W2" s="4">
        <v>30036001</v>
      </c>
      <c r="X2" s="6">
        <v>0</v>
      </c>
      <c r="Y2" s="6">
        <v>100</v>
      </c>
      <c r="Z2" s="6">
        <v>0</v>
      </c>
      <c r="AA2" s="97">
        <v>3</v>
      </c>
      <c r="AB2" s="23">
        <f t="shared" ref="AB2:AB8" si="3">L2</f>
        <v>2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イレギュラー・ジェリー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2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Drop1T</v>
      </c>
      <c r="AF2" s="7">
        <v>1</v>
      </c>
      <c r="AG2" s="23">
        <f t="shared" ref="AG2:AG8" ca="1" si="4">AD2</f>
        <v>2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7">
        <v>1</v>
      </c>
    </row>
    <row r="3" spans="1:40" ht="21" customHeight="1" x14ac:dyDescent="0.15">
      <c r="A3" s="16" t="str">
        <f t="shared" ref="A3:A9" si="5">B3&amp;"_"&amp;C3&amp;"-"&amp;G3&amp;"/"&amp;L3&amp;"&lt;lv"&amp;R3&amp;"&gt;s"&amp;AA3</f>
        <v>30036_3-1/15&lt;lv50&gt;s3</v>
      </c>
      <c r="B3" s="7">
        <v>30036</v>
      </c>
      <c r="C3" s="21">
        <v>3</v>
      </c>
      <c r="D3" s="2" t="str">
        <f t="shared" si="1"/>
        <v>30036_3</v>
      </c>
      <c r="E3" s="4" t="str">
        <f ca="1">VLOOKUP($B3,OFFSET([2]quests!$A$1,0,0,COUNTA([2]quests!$A:$A),MATCH(E$1,[2]quests!$1:$1,0)-MATCH($B$1,[2]quests!$1:$1,0)+1),MATCH(E$1,[2]quests!$1:$1,0)-MATCH($B$1,[2]quests!$1:$1,0)+1,FALSE)</f>
        <v>猛然たる炎獣使い</v>
      </c>
      <c r="F3" s="4" t="str">
        <f ca="1">VLOOKUP($D3,OFFSET([2]stages!$A$1,0,0,COUNTA([2]stages!$A:$A),MATCH(F$1,[2]stages!$2:$2,0)-MATCH($D$1,[2]stages!$2:$2,0)+1),MATCH(F$1,[2]stages!$2:$2,0)-MATCH($D$1,[2]stages!$2:$2,0)+1,FALSE)</f>
        <v>【超級】猛然たる炎獣使い</v>
      </c>
      <c r="G3" s="21">
        <v>1</v>
      </c>
      <c r="H3" s="15" t="str">
        <f t="shared" si="2"/>
        <v>30036_3-1</v>
      </c>
      <c r="I3" s="4">
        <f ca="1">VLOOKUP($H3,OFFSET(floors!$A$1,0,0,COUNTA(floors!$A:$A),MATCH(I$1,floors!$1:$1,0)-MATCH($H$1,floors!$1:$1,0)+1),MATCH(I$1,floors!$1:$1,0)-MATCH($H$1,floors!$1:$1,0)+1,FALSE)</f>
        <v>30</v>
      </c>
      <c r="J3" s="4">
        <f ca="1">VLOOKUP($H3,OFFSET(floors!$A$1,0,0,COUNTA(floors!$A:$A),MATCH(J$1,floors!$1:$1,0)-MATCH($H$1,floors!$1:$1,0)+1),MATCH(J$1,floors!$1:$1,0)-MATCH($H$1,floors!$1:$1,0)+1,FALSE)</f>
        <v>30</v>
      </c>
      <c r="K3" s="37" t="s">
        <v>53</v>
      </c>
      <c r="L3" s="20">
        <v>15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アカネ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Drop1W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50</v>
      </c>
      <c r="S3" s="24">
        <v>1.2</v>
      </c>
      <c r="T3" s="24">
        <v>1.1000000000000001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全体攻撃</v>
      </c>
      <c r="W3" s="4">
        <v>30036002</v>
      </c>
      <c r="X3" s="6">
        <v>0</v>
      </c>
      <c r="Y3" s="6">
        <v>100</v>
      </c>
      <c r="Z3" s="6">
        <v>0</v>
      </c>
      <c r="AA3" s="97">
        <v>3</v>
      </c>
      <c r="AB3" s="23">
        <f t="shared" si="3"/>
        <v>15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アカネ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1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Drop1W</v>
      </c>
      <c r="AF3" s="7">
        <v>1</v>
      </c>
      <c r="AG3" s="23">
        <f t="shared" ca="1" si="4"/>
        <v>1</v>
      </c>
      <c r="AH3" s="8">
        <v>20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7">
        <v>1</v>
      </c>
    </row>
    <row r="4" spans="1:40" ht="21" customHeight="1" x14ac:dyDescent="0.15">
      <c r="A4" s="16" t="str">
        <f t="shared" si="5"/>
        <v>30036_3-2/13&lt;lv40&gt;s1</v>
      </c>
      <c r="B4" s="7">
        <v>30036</v>
      </c>
      <c r="C4" s="21">
        <v>3</v>
      </c>
      <c r="D4" s="2" t="str">
        <f t="shared" si="1"/>
        <v>30036_3</v>
      </c>
      <c r="E4" s="4" t="str">
        <f ca="1">VLOOKUP($B4,OFFSET([2]quests!$A$1,0,0,COUNTA([2]quests!$A:$A),MATCH(E$1,[2]quests!$1:$1,0)-MATCH($B$1,[2]quests!$1:$1,0)+1),MATCH(E$1,[2]quests!$1:$1,0)-MATCH($B$1,[2]quests!$1:$1,0)+1,FALSE)</f>
        <v>猛然たる炎獣使い</v>
      </c>
      <c r="F4" s="4" t="str">
        <f ca="1">VLOOKUP($D4,OFFSET([2]stages!$A$1,0,0,COUNTA([2]stages!$A:$A),MATCH(F$1,[2]stages!$2:$2,0)-MATCH($D$1,[2]stages!$2:$2,0)+1),MATCH(F$1,[2]stages!$2:$2,0)-MATCH($D$1,[2]stages!$2:$2,0)+1,FALSE)</f>
        <v>【超級】猛然たる炎獣使い</v>
      </c>
      <c r="G4" s="21">
        <v>2</v>
      </c>
      <c r="H4" s="15" t="str">
        <f t="shared" si="2"/>
        <v>30036_3-2</v>
      </c>
      <c r="I4" s="4">
        <f ca="1">VLOOKUP($H4,OFFSET(floors!$A$1,0,0,COUNTA(floors!$A:$A),MATCH(I$1,floors!$1:$1,0)-MATCH($H$1,floors!$1:$1,0)+1),MATCH(I$1,floors!$1:$1,0)-MATCH($H$1,floors!$1:$1,0)+1,FALSE)</f>
        <v>30</v>
      </c>
      <c r="J4" s="4">
        <f ca="1">VLOOKUP($H4,OFFSET(floors!$A$1,0,0,COUNTA(floors!$A:$A),MATCH(J$1,floors!$1:$1,0)-MATCH($H$1,floors!$1:$1,0)+1),MATCH(J$1,floors!$1:$1,0)-MATCH($H$1,floors!$1:$1,0)+1,FALSE)</f>
        <v>30</v>
      </c>
      <c r="K4" s="37" t="s">
        <v>53</v>
      </c>
      <c r="L4" s="20">
        <v>13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ミミ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Drop1W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40</v>
      </c>
      <c r="S4" s="24">
        <v>1</v>
      </c>
      <c r="T4" s="24">
        <v>0.8</v>
      </c>
      <c r="U4" s="5">
        <v>0</v>
      </c>
      <c r="V4" s="4" t="e">
        <f ca="1">VLOOKUP($W4,OFFSET(enemy_skill_sets!$B$1,0,0,COUNTA(enemy_skill_sets!$B:$B),MATCH(M$1,enemy_skill_sets!$1:$1,0)-MATCH($W$1,enemy_skill_sets!$1:$1,0)+2),MATCH(M$1,enemy_skill_sets!$1:$1,0)-MATCH($W$1,enemy_skill_sets!$1:$1,0)+2,FALSE)</f>
        <v>#N/A</v>
      </c>
      <c r="W4" s="4">
        <v>0</v>
      </c>
      <c r="X4" s="6">
        <v>2</v>
      </c>
      <c r="Y4" s="6">
        <v>100</v>
      </c>
      <c r="Z4" s="6">
        <v>0</v>
      </c>
      <c r="AA4" s="97">
        <v>1</v>
      </c>
      <c r="AB4" s="23">
        <f t="shared" si="3"/>
        <v>13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ミミ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1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Drop1W</v>
      </c>
      <c r="AF4" s="7">
        <v>1</v>
      </c>
      <c r="AG4" s="23">
        <f t="shared" ca="1" si="4"/>
        <v>1</v>
      </c>
      <c r="AH4" s="8">
        <v>20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7">
        <v>1</v>
      </c>
    </row>
    <row r="5" spans="1:40" ht="21" customHeight="1" x14ac:dyDescent="0.15">
      <c r="A5" s="16" t="str">
        <f t="shared" si="5"/>
        <v>30036_3-2/142&lt;lv50&gt;s2</v>
      </c>
      <c r="B5" s="7">
        <v>30036</v>
      </c>
      <c r="C5" s="21">
        <v>3</v>
      </c>
      <c r="D5" s="2" t="str">
        <f t="shared" si="1"/>
        <v>30036_3</v>
      </c>
      <c r="E5" s="4" t="str">
        <f ca="1">VLOOKUP($B5,OFFSET([2]quests!$A$1,0,0,COUNTA([2]quests!$A:$A),MATCH(E$1,[2]quests!$1:$1,0)-MATCH($B$1,[2]quests!$1:$1,0)+1),MATCH(E$1,[2]quests!$1:$1,0)-MATCH($B$1,[2]quests!$1:$1,0)+1,FALSE)</f>
        <v>猛然たる炎獣使い</v>
      </c>
      <c r="F5" s="4" t="str">
        <f ca="1">VLOOKUP($D5,OFFSET([2]stages!$A$1,0,0,COUNTA([2]stages!$A:$A),MATCH(F$1,[2]stages!$2:$2,0)-MATCH($D$1,[2]stages!$2:$2,0)+1),MATCH(F$1,[2]stages!$2:$2,0)-MATCH($D$1,[2]stages!$2:$2,0)+1,FALSE)</f>
        <v>【超級】猛然たる炎獣使い</v>
      </c>
      <c r="G5" s="21">
        <v>2</v>
      </c>
      <c r="H5" s="15" t="str">
        <f t="shared" si="2"/>
        <v>30036_3-2</v>
      </c>
      <c r="I5" s="4">
        <f ca="1">VLOOKUP($H5,OFFSET(floors!$A$1,0,0,COUNTA(floors!$A:$A),MATCH(I$1,floors!$1:$1,0)-MATCH($H$1,floors!$1:$1,0)+1),MATCH(I$1,floors!$1:$1,0)-MATCH($H$1,floors!$1:$1,0)+1,FALSE)</f>
        <v>30</v>
      </c>
      <c r="J5" s="4">
        <f ca="1">VLOOKUP($H5,OFFSET(floors!$A$1,0,0,COUNTA(floors!$A:$A),MATCH(J$1,floors!$1:$1,0)-MATCH($H$1,floors!$1:$1,0)+1),MATCH(J$1,floors!$1:$1,0)-MATCH($H$1,floors!$1:$1,0)+1,FALSE)</f>
        <v>30</v>
      </c>
      <c r="K5" s="37" t="s">
        <v>53</v>
      </c>
      <c r="L5" s="20">
        <v>142</v>
      </c>
      <c r="M5" s="17" t="str">
        <f ca="1">VLOOKUP($L5,OFFSET([3]enemies!$A$1,0,0,COUNTA([3]enemies!$A:$A),MATCH(M$1,[3]enemies!$1:$1,0)-MATCH($L$1,[3]enemies!$1:$1,0)+1),MATCH(M$1,[3]enemies!$1:$1,0)-MATCH($L$1,[3]enemies!$1:$1,0)+1,FALSE)</f>
        <v>赤ずきん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PremiumW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20</v>
      </c>
      <c r="R5" s="5">
        <v>50</v>
      </c>
      <c r="S5" s="24">
        <v>1.3</v>
      </c>
      <c r="T5" s="24">
        <v>1.2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ハートパネル吸収攻撃(最大15個)</v>
      </c>
      <c r="W5" s="4">
        <v>30036004</v>
      </c>
      <c r="X5" s="6">
        <v>0</v>
      </c>
      <c r="Y5" s="6">
        <v>100</v>
      </c>
      <c r="Z5" s="6">
        <v>1</v>
      </c>
      <c r="AA5" s="97">
        <v>2</v>
      </c>
      <c r="AB5" s="23">
        <f t="shared" si="3"/>
        <v>142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赤ずきん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3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5" s="7">
        <v>1</v>
      </c>
      <c r="AG5" s="23">
        <f t="shared" ca="1" si="4"/>
        <v>3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7">
        <v>1</v>
      </c>
    </row>
    <row r="6" spans="1:40" ht="21" customHeight="1" x14ac:dyDescent="0.15">
      <c r="A6" s="16" t="str">
        <f t="shared" si="5"/>
        <v>30036_3-3/360&lt;lv40&gt;s1</v>
      </c>
      <c r="B6" s="7">
        <v>30036</v>
      </c>
      <c r="C6" s="21">
        <v>3</v>
      </c>
      <c r="D6" s="2" t="str">
        <f t="shared" si="1"/>
        <v>30036_3</v>
      </c>
      <c r="E6" s="4" t="str">
        <f ca="1">VLOOKUP($B6,OFFSET([2]quests!$A$1,0,0,COUNTA([2]quests!$A:$A),MATCH(E$1,[2]quests!$1:$1,0)-MATCH($B$1,[2]quests!$1:$1,0)+1),MATCH(E$1,[2]quests!$1:$1,0)-MATCH($B$1,[2]quests!$1:$1,0)+1,FALSE)</f>
        <v>猛然たる炎獣使い</v>
      </c>
      <c r="F6" s="4" t="str">
        <f ca="1">VLOOKUP($D6,OFFSET([2]stages!$A$1,0,0,COUNTA([2]stages!$A:$A),MATCH(F$1,[2]stages!$2:$2,0)-MATCH($D$1,[2]stages!$2:$2,0)+1),MATCH(F$1,[2]stages!$2:$2,0)-MATCH($D$1,[2]stages!$2:$2,0)+1,FALSE)</f>
        <v>【超級】猛然たる炎獣使い</v>
      </c>
      <c r="G6" s="21">
        <v>3</v>
      </c>
      <c r="H6" s="15" t="str">
        <f t="shared" si="2"/>
        <v>30036_3-3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7" t="s">
        <v>53</v>
      </c>
      <c r="L6" s="20">
        <v>360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ガンテツ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40</v>
      </c>
      <c r="S6" s="24">
        <v>1.3</v>
      </c>
      <c r="T6" s="24">
        <v>1.2</v>
      </c>
      <c r="U6" s="5">
        <v>0</v>
      </c>
      <c r="V6" s="4" t="e">
        <f ca="1">VLOOKUP($W6,OFFSET(enemy_skill_sets!$B$1,0,0,COUNTA(enemy_skill_sets!$B:$B),MATCH(M$1,enemy_skill_sets!$1:$1,0)-MATCH($W$1,enemy_skill_sets!$1:$1,0)+2),MATCH(M$1,enemy_skill_sets!$1:$1,0)-MATCH($W$1,enemy_skill_sets!$1:$1,0)+2,FALSE)</f>
        <v>#N/A</v>
      </c>
      <c r="W6" s="4">
        <f ca="1">VLOOKUP($L6,OFFSET([3]enemies!$A$1,0,0,COUNTA([3]enemies!$A:$A),MATCH(W$1,[3]enemies!$1:$1,0)-MATCH($L$1,[3]enemies!$1:$1,0)+1),MATCH(W$1,[3]enemies!$1:$1,0)-MATCH($L$1,[3]enemies!$1:$1,0)+1,FALSE)</f>
        <v>0</v>
      </c>
      <c r="X6" s="6">
        <v>2</v>
      </c>
      <c r="Y6" s="6">
        <v>100</v>
      </c>
      <c r="Z6" s="6">
        <v>0</v>
      </c>
      <c r="AA6" s="97">
        <v>1</v>
      </c>
      <c r="AB6" s="23">
        <f t="shared" si="3"/>
        <v>360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ガンテツ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2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Drop1S</v>
      </c>
      <c r="AF6" s="7">
        <v>1</v>
      </c>
      <c r="AG6" s="23">
        <f t="shared" ca="1" si="4"/>
        <v>2</v>
      </c>
      <c r="AH6" s="8">
        <v>20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7">
        <v>1</v>
      </c>
    </row>
    <row r="7" spans="1:40" ht="21" customHeight="1" x14ac:dyDescent="0.15">
      <c r="A7" s="16" t="str">
        <f t="shared" si="5"/>
        <v>30036_3-3/361&lt;lv50&gt;s2</v>
      </c>
      <c r="B7" s="7">
        <v>30036</v>
      </c>
      <c r="C7" s="21">
        <v>3</v>
      </c>
      <c r="D7" s="2" t="str">
        <f t="shared" si="1"/>
        <v>30036_3</v>
      </c>
      <c r="E7" s="4" t="str">
        <f ca="1">VLOOKUP($B7,OFFSET([2]quests!$A$1,0,0,COUNTA([2]quests!$A:$A),MATCH(E$1,[2]quests!$1:$1,0)-MATCH($B$1,[2]quests!$1:$1,0)+1),MATCH(E$1,[2]quests!$1:$1,0)-MATCH($B$1,[2]quests!$1:$1,0)+1,FALSE)</f>
        <v>猛然たる炎獣使い</v>
      </c>
      <c r="F7" s="4" t="str">
        <f ca="1">VLOOKUP($D7,OFFSET([2]stages!$A$1,0,0,COUNTA([2]stages!$A:$A),MATCH(F$1,[2]stages!$2:$2,0)-MATCH($D$1,[2]stages!$2:$2,0)+1),MATCH(F$1,[2]stages!$2:$2,0)-MATCH($D$1,[2]stages!$2:$2,0)+1,FALSE)</f>
        <v>【超級】猛然たる炎獣使い</v>
      </c>
      <c r="G7" s="21">
        <v>3</v>
      </c>
      <c r="H7" s="15" t="str">
        <f t="shared" si="2"/>
        <v>30036_3-3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7" t="s">
        <v>53</v>
      </c>
      <c r="L7" s="20">
        <v>361</v>
      </c>
      <c r="M7" s="17" t="str">
        <f ca="1">VLOOKUP($L7,OFFSET([3]enemies!$A$1,0,0,COUNTA([3]enemies!$A:$A),MATCH(M$1,[3]enemies!$1:$1,0)-MATCH($L$1,[3]enemies!$1:$1,0)+1),MATCH(M$1,[3]enemies!$1:$1,0)-MATCH($L$1,[3]enemies!$1:$1,0)+1,FALSE)</f>
        <v>灼熱の鉄板 ガンテツ</v>
      </c>
      <c r="N7" s="17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50</v>
      </c>
      <c r="S7" s="24">
        <v>2.5</v>
      </c>
      <c r="T7" s="24">
        <v>1.2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敵全体の攻撃力UP</v>
      </c>
      <c r="W7" s="4">
        <v>30036006</v>
      </c>
      <c r="X7" s="6">
        <v>0</v>
      </c>
      <c r="Y7" s="6">
        <v>100</v>
      </c>
      <c r="Z7" s="6">
        <v>1</v>
      </c>
      <c r="AA7" s="97">
        <v>2</v>
      </c>
      <c r="AB7" s="23">
        <f t="shared" si="3"/>
        <v>361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灼熱の鉄板 ガンテツ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3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Drop1S</v>
      </c>
      <c r="AF7" s="7">
        <v>1</v>
      </c>
      <c r="AG7" s="23">
        <f t="shared" ca="1" si="4"/>
        <v>3</v>
      </c>
      <c r="AH7" s="8">
        <v>4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7">
        <v>1</v>
      </c>
    </row>
    <row r="8" spans="1:40" ht="21" customHeight="1" x14ac:dyDescent="0.15">
      <c r="A8" s="16" t="str">
        <f t="shared" si="5"/>
        <v>30036_3-4/736&lt;lv60&gt;s3</v>
      </c>
      <c r="B8" s="7">
        <v>30036</v>
      </c>
      <c r="C8" s="21">
        <v>3</v>
      </c>
      <c r="D8" s="2" t="str">
        <f t="shared" si="1"/>
        <v>30036_3</v>
      </c>
      <c r="E8" s="4" t="str">
        <f ca="1">VLOOKUP($B8,OFFSET([2]quests!$A$1,0,0,COUNTA([2]quests!$A:$A),MATCH(E$1,[2]quests!$1:$1,0)-MATCH($B$1,[2]quests!$1:$1,0)+1),MATCH(E$1,[2]quests!$1:$1,0)-MATCH($B$1,[2]quests!$1:$1,0)+1,FALSE)</f>
        <v>猛然たる炎獣使い</v>
      </c>
      <c r="F8" s="4" t="str">
        <f ca="1">VLOOKUP($D8,OFFSET([2]stages!$A$1,0,0,COUNTA([2]stages!$A:$A),MATCH(F$1,[2]stages!$2:$2,0)-MATCH($D$1,[2]stages!$2:$2,0)+1),MATCH(F$1,[2]stages!$2:$2,0)-MATCH($D$1,[2]stages!$2:$2,0)+1,FALSE)</f>
        <v>【超級】猛然たる炎獣使い</v>
      </c>
      <c r="G8" s="21">
        <v>4</v>
      </c>
      <c r="H8" s="15" t="str">
        <f t="shared" si="2"/>
        <v>30036_3-4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7">
        <v>1</v>
      </c>
      <c r="L8" s="20">
        <v>736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オルトロス</v>
      </c>
      <c r="N8" s="17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Drop2N</v>
      </c>
      <c r="P8" s="17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60</v>
      </c>
      <c r="S8" s="24">
        <v>1</v>
      </c>
      <c r="T8" s="24">
        <v>1.6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状態異常耐性+攻撃力UP</v>
      </c>
      <c r="W8" s="4">
        <v>30036007</v>
      </c>
      <c r="X8" s="6">
        <v>0</v>
      </c>
      <c r="Y8" s="6">
        <v>100</v>
      </c>
      <c r="Z8" s="6">
        <v>1</v>
      </c>
      <c r="AA8" s="97">
        <v>3</v>
      </c>
      <c r="AB8" s="23">
        <f t="shared" si="3"/>
        <v>736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オルトロス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4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Drop2N</v>
      </c>
      <c r="AF8" s="7">
        <v>1</v>
      </c>
      <c r="AG8" s="23">
        <f t="shared" ca="1" si="4"/>
        <v>4</v>
      </c>
      <c r="AH8" s="108">
        <v>100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7">
        <v>1</v>
      </c>
    </row>
    <row r="9" spans="1:40" ht="21" customHeight="1" x14ac:dyDescent="0.15">
      <c r="A9" s="16" t="str">
        <f t="shared" si="5"/>
        <v>30036_2-1/2&lt;lv40&gt;s3</v>
      </c>
      <c r="B9" s="7">
        <v>30036</v>
      </c>
      <c r="C9" s="21">
        <v>2</v>
      </c>
      <c r="D9" s="2" t="str">
        <f t="shared" ref="D9:D15" si="6">B9&amp;"_"&amp;C9</f>
        <v>30036_2</v>
      </c>
      <c r="E9" s="4" t="str">
        <f ca="1">VLOOKUP($B9,OFFSET([2]quests!$A$1,0,0,COUNTA([2]quests!$A:$A),MATCH(E$1,[2]quests!$1:$1,0)-MATCH($B$1,[2]quests!$1:$1,0)+1),MATCH(E$1,[2]quests!$1:$1,0)-MATCH($B$1,[2]quests!$1:$1,0)+1,FALSE)</f>
        <v>猛然たる炎獣使い</v>
      </c>
      <c r="F9" s="4" t="str">
        <f ca="1">VLOOKUP($D9,OFFSET([2]stages!$A$1,0,0,COUNTA([2]stages!$A:$A),MATCH(F$1,[2]stages!$2:$2,0)-MATCH($D$1,[2]stages!$2:$2,0)+1),MATCH(F$1,[2]stages!$2:$2,0)-MATCH($D$1,[2]stages!$2:$2,0)+1,FALSE)</f>
        <v>【上級】猛然たる炎獣使い</v>
      </c>
      <c r="G9" s="21">
        <v>1</v>
      </c>
      <c r="H9" s="15" t="str">
        <f t="shared" ref="H9:H15" si="7">B9&amp;"_"&amp;C9&amp;"-"&amp;G9</f>
        <v>30036_2-1</v>
      </c>
      <c r="I9" s="4">
        <f ca="1">VLOOKUP($H9,OFFSET(floors!$A$1,0,0,COUNTA(floors!$A:$A),MATCH(I$1,floors!$1:$1,0)-MATCH($H$1,floors!$1:$1,0)+1),MATCH(I$1,floors!$1:$1,0)-MATCH($H$1,floors!$1:$1,0)+1,FALSE)</f>
        <v>30</v>
      </c>
      <c r="J9" s="4">
        <f ca="1">VLOOKUP($H9,OFFSET(floors!$A$1,0,0,COUNTA(floors!$A:$A),MATCH(J$1,floors!$1:$1,0)-MATCH($H$1,floors!$1:$1,0)+1),MATCH(J$1,floors!$1:$1,0)-MATCH($H$1,floors!$1:$1,0)+1,FALSE)</f>
        <v>30</v>
      </c>
      <c r="K9" s="37" t="s">
        <v>53</v>
      </c>
      <c r="L9" s="20">
        <v>2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イレギュラー・ジェリー</v>
      </c>
      <c r="N9" s="17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Drop1T</v>
      </c>
      <c r="P9" s="17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40</v>
      </c>
      <c r="S9" s="24">
        <v>1.4</v>
      </c>
      <c r="T9" s="24">
        <v>1.5</v>
      </c>
      <c r="U9" s="5">
        <v>0</v>
      </c>
      <c r="V9" s="4" t="str">
        <f ca="1">VLOOKUP($W9,OFFSET(enemy_skill_sets!$B$1,0,0,COUNTA(enemy_skill_sets!$B:$B),MATCH(M$1,enemy_skill_sets!$1:$1,0)-MATCH($W$1,enemy_skill_sets!$1:$1,0)+2),MATCH(M$1,enemy_skill_sets!$1:$1,0)-MATCH($W$1,enemy_skill_sets!$1:$1,0)+2,FALSE)</f>
        <v>全体攻撃</v>
      </c>
      <c r="W9" s="4">
        <v>30036001</v>
      </c>
      <c r="X9" s="6">
        <v>0</v>
      </c>
      <c r="Y9" s="6">
        <v>100</v>
      </c>
      <c r="Z9" s="6">
        <v>0</v>
      </c>
      <c r="AA9" s="97">
        <v>3</v>
      </c>
      <c r="AB9" s="23">
        <f t="shared" ref="AB9:AB15" si="8">L9</f>
        <v>2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イレギュラー・ジェリー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2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Drop1T</v>
      </c>
      <c r="AF9" s="7">
        <v>1</v>
      </c>
      <c r="AG9" s="23">
        <f t="shared" ref="AG9:AG15" ca="1" si="9">AD9</f>
        <v>2</v>
      </c>
      <c r="AH9" s="8">
        <v>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7">
        <v>1</v>
      </c>
    </row>
    <row r="10" spans="1:40" ht="21" customHeight="1" x14ac:dyDescent="0.15">
      <c r="A10" s="16" t="str">
        <f t="shared" ref="A10:A16" si="10">B10&amp;"_"&amp;C10&amp;"-"&amp;G10&amp;"/"&amp;L10&amp;"&lt;lv"&amp;R10&amp;"&gt;s"&amp;AA10</f>
        <v>30036_2-1/15&lt;lv40&gt;s3</v>
      </c>
      <c r="B10" s="7">
        <v>30036</v>
      </c>
      <c r="C10" s="21">
        <v>2</v>
      </c>
      <c r="D10" s="2" t="str">
        <f t="shared" si="6"/>
        <v>30036_2</v>
      </c>
      <c r="E10" s="4" t="str">
        <f ca="1">VLOOKUP($B10,OFFSET([2]quests!$A$1,0,0,COUNTA([2]quests!$A:$A),MATCH(E$1,[2]quests!$1:$1,0)-MATCH($B$1,[2]quests!$1:$1,0)+1),MATCH(E$1,[2]quests!$1:$1,0)-MATCH($B$1,[2]quests!$1:$1,0)+1,FALSE)</f>
        <v>猛然たる炎獣使い</v>
      </c>
      <c r="F10" s="4" t="str">
        <f ca="1">VLOOKUP($D10,OFFSET([2]stages!$A$1,0,0,COUNTA([2]stages!$A:$A),MATCH(F$1,[2]stages!$2:$2,0)-MATCH($D$1,[2]stages!$2:$2,0)+1),MATCH(F$1,[2]stages!$2:$2,0)-MATCH($D$1,[2]stages!$2:$2,0)+1,FALSE)</f>
        <v>【上級】猛然たる炎獣使い</v>
      </c>
      <c r="G10" s="21">
        <v>1</v>
      </c>
      <c r="H10" s="15" t="str">
        <f t="shared" si="7"/>
        <v>30036_2-1</v>
      </c>
      <c r="I10" s="4">
        <f ca="1">VLOOKUP($H10,OFFSET(floors!$A$1,0,0,COUNTA(floors!$A:$A),MATCH(I$1,floors!$1:$1,0)-MATCH($H$1,floors!$1:$1,0)+1),MATCH(I$1,floors!$1:$1,0)-MATCH($H$1,floors!$1:$1,0)+1,FALSE)</f>
        <v>30</v>
      </c>
      <c r="J10" s="4">
        <f ca="1">VLOOKUP($H10,OFFSET(floors!$A$1,0,0,COUNTA(floors!$A:$A),MATCH(J$1,floors!$1:$1,0)-MATCH($H$1,floors!$1:$1,0)+1),MATCH(J$1,floors!$1:$1,0)-MATCH($H$1,floors!$1:$1,0)+1,FALSE)</f>
        <v>30</v>
      </c>
      <c r="K10" s="37" t="s">
        <v>53</v>
      </c>
      <c r="L10" s="20">
        <v>15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アカネ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Drop1W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7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40</v>
      </c>
      <c r="S10" s="24">
        <v>1.2</v>
      </c>
      <c r="T10" s="24">
        <v>1.1000000000000001</v>
      </c>
      <c r="U10" s="5">
        <v>0</v>
      </c>
      <c r="V10" s="4" t="str">
        <f ca="1">VLOOKUP($W10,OFFSET(enemy_skill_sets!$B$1,0,0,COUNTA(enemy_skill_sets!$B:$B),MATCH(M$1,enemy_skill_sets!$1:$1,0)-MATCH($W$1,enemy_skill_sets!$1:$1,0)+2),MATCH(M$1,enemy_skill_sets!$1:$1,0)-MATCH($W$1,enemy_skill_sets!$1:$1,0)+2,FALSE)</f>
        <v>全体攻撃</v>
      </c>
      <c r="W10" s="4">
        <v>30036002</v>
      </c>
      <c r="X10" s="6">
        <v>0</v>
      </c>
      <c r="Y10" s="6">
        <v>100</v>
      </c>
      <c r="Z10" s="6">
        <v>0</v>
      </c>
      <c r="AA10" s="97">
        <v>3</v>
      </c>
      <c r="AB10" s="23">
        <f t="shared" si="8"/>
        <v>15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アカネ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1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Drop1W</v>
      </c>
      <c r="AF10" s="7">
        <v>1</v>
      </c>
      <c r="AG10" s="23">
        <f t="shared" ca="1" si="9"/>
        <v>1</v>
      </c>
      <c r="AH10" s="8">
        <v>20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67">
        <v>1</v>
      </c>
    </row>
    <row r="11" spans="1:40" ht="21" customHeight="1" x14ac:dyDescent="0.15">
      <c r="A11" s="16" t="str">
        <f t="shared" si="10"/>
        <v>30036_2-2/13&lt;lv40&gt;s1</v>
      </c>
      <c r="B11" s="7">
        <v>30036</v>
      </c>
      <c r="C11" s="21">
        <v>2</v>
      </c>
      <c r="D11" s="2" t="str">
        <f t="shared" si="6"/>
        <v>30036_2</v>
      </c>
      <c r="E11" s="4" t="str">
        <f ca="1">VLOOKUP($B11,OFFSET([2]quests!$A$1,0,0,COUNTA([2]quests!$A:$A),MATCH(E$1,[2]quests!$1:$1,0)-MATCH($B$1,[2]quests!$1:$1,0)+1),MATCH(E$1,[2]quests!$1:$1,0)-MATCH($B$1,[2]quests!$1:$1,0)+1,FALSE)</f>
        <v>猛然たる炎獣使い</v>
      </c>
      <c r="F11" s="4" t="str">
        <f ca="1">VLOOKUP($D11,OFFSET([2]stages!$A$1,0,0,COUNTA([2]stages!$A:$A),MATCH(F$1,[2]stages!$2:$2,0)-MATCH($D$1,[2]stages!$2:$2,0)+1),MATCH(F$1,[2]stages!$2:$2,0)-MATCH($D$1,[2]stages!$2:$2,0)+1,FALSE)</f>
        <v>【上級】猛然たる炎獣使い</v>
      </c>
      <c r="G11" s="21">
        <v>2</v>
      </c>
      <c r="H11" s="15" t="str">
        <f t="shared" si="7"/>
        <v>30036_2-2</v>
      </c>
      <c r="I11" s="4">
        <f ca="1">VLOOKUP($H11,OFFSET(floors!$A$1,0,0,COUNTA(floors!$A:$A),MATCH(I$1,floors!$1:$1,0)-MATCH($H$1,floors!$1:$1,0)+1),MATCH(I$1,floors!$1:$1,0)-MATCH($H$1,floors!$1:$1,0)+1,FALSE)</f>
        <v>30</v>
      </c>
      <c r="J11" s="4">
        <f ca="1">VLOOKUP($H11,OFFSET(floors!$A$1,0,0,COUNTA(floors!$A:$A),MATCH(J$1,floors!$1:$1,0)-MATCH($H$1,floors!$1:$1,0)+1),MATCH(J$1,floors!$1:$1,0)-MATCH($H$1,floors!$1:$1,0)+1,FALSE)</f>
        <v>30</v>
      </c>
      <c r="K11" s="37" t="s">
        <v>53</v>
      </c>
      <c r="L11" s="20">
        <v>13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ミミ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Drop1W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7">
        <f ca="1">VLOOKUP($L11,OFFSET([3]enemies!$A$1,0,0,COUNTA([3]enemies!$A:$A),MATCH(Q$1,[3]enemies!$1:$1,0)-MATCH($L$1,[3]enemies!$1:$1,0)+1),MATCH(Q$1,[3]enemies!$1:$1,0)-MATCH($L$1,[3]enemies!$1:$1,0)+1,FALSE)</f>
        <v>15</v>
      </c>
      <c r="R11" s="5">
        <v>40</v>
      </c>
      <c r="S11" s="24">
        <v>1</v>
      </c>
      <c r="T11" s="24">
        <v>0.6</v>
      </c>
      <c r="U11" s="5">
        <v>0</v>
      </c>
      <c r="V11" s="4" t="e">
        <f ca="1">VLOOKUP($W11,OFFSET(enemy_skill_sets!$B$1,0,0,COUNTA(enemy_skill_sets!$B:$B),MATCH(M$1,enemy_skill_sets!$1:$1,0)-MATCH($W$1,enemy_skill_sets!$1:$1,0)+2),MATCH(M$1,enemy_skill_sets!$1:$1,0)-MATCH($W$1,enemy_skill_sets!$1:$1,0)+2,FALSE)</f>
        <v>#N/A</v>
      </c>
      <c r="W11" s="4">
        <v>0</v>
      </c>
      <c r="X11" s="6">
        <v>2</v>
      </c>
      <c r="Y11" s="6">
        <v>100</v>
      </c>
      <c r="Z11" s="6">
        <v>0</v>
      </c>
      <c r="AA11" s="97">
        <v>1</v>
      </c>
      <c r="AB11" s="23">
        <f t="shared" si="8"/>
        <v>13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ミミ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1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Drop1W</v>
      </c>
      <c r="AF11" s="7">
        <v>1</v>
      </c>
      <c r="AG11" s="23">
        <f t="shared" ca="1" si="9"/>
        <v>1</v>
      </c>
      <c r="AH11" s="8">
        <v>20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  <c r="AN11" s="67">
        <v>1</v>
      </c>
    </row>
    <row r="12" spans="1:40" ht="21" customHeight="1" x14ac:dyDescent="0.15">
      <c r="A12" s="16" t="str">
        <f t="shared" si="10"/>
        <v>30036_2-2/142&lt;lv40&gt;s2</v>
      </c>
      <c r="B12" s="7">
        <v>30036</v>
      </c>
      <c r="C12" s="21">
        <v>2</v>
      </c>
      <c r="D12" s="2" t="str">
        <f t="shared" si="6"/>
        <v>30036_2</v>
      </c>
      <c r="E12" s="4" t="str">
        <f ca="1">VLOOKUP($B12,OFFSET([2]quests!$A$1,0,0,COUNTA([2]quests!$A:$A),MATCH(E$1,[2]quests!$1:$1,0)-MATCH($B$1,[2]quests!$1:$1,0)+1),MATCH(E$1,[2]quests!$1:$1,0)-MATCH($B$1,[2]quests!$1:$1,0)+1,FALSE)</f>
        <v>猛然たる炎獣使い</v>
      </c>
      <c r="F12" s="4" t="str">
        <f ca="1">VLOOKUP($D12,OFFSET([2]stages!$A$1,0,0,COUNTA([2]stages!$A:$A),MATCH(F$1,[2]stages!$2:$2,0)-MATCH($D$1,[2]stages!$2:$2,0)+1),MATCH(F$1,[2]stages!$2:$2,0)-MATCH($D$1,[2]stages!$2:$2,0)+1,FALSE)</f>
        <v>【上級】猛然たる炎獣使い</v>
      </c>
      <c r="G12" s="21">
        <v>2</v>
      </c>
      <c r="H12" s="15" t="str">
        <f t="shared" si="7"/>
        <v>30036_2-2</v>
      </c>
      <c r="I12" s="4">
        <f ca="1">VLOOKUP($H12,OFFSET(floors!$A$1,0,0,COUNTA(floors!$A:$A),MATCH(I$1,floors!$1:$1,0)-MATCH($H$1,floors!$1:$1,0)+1),MATCH(I$1,floors!$1:$1,0)-MATCH($H$1,floors!$1:$1,0)+1,FALSE)</f>
        <v>30</v>
      </c>
      <c r="J12" s="4">
        <f ca="1">VLOOKUP($H12,OFFSET(floors!$A$1,0,0,COUNTA(floors!$A:$A),MATCH(J$1,floors!$1:$1,0)-MATCH($H$1,floors!$1:$1,0)+1),MATCH(J$1,floors!$1:$1,0)-MATCH($H$1,floors!$1:$1,0)+1,FALSE)</f>
        <v>30</v>
      </c>
      <c r="K12" s="37" t="s">
        <v>53</v>
      </c>
      <c r="L12" s="20">
        <v>142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赤ずきん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red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PremiumW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human</v>
      </c>
      <c r="Q12" s="17">
        <f ca="1">VLOOKUP($L12,OFFSET([3]enemies!$A$1,0,0,COUNTA([3]enemies!$A:$A),MATCH(Q$1,[3]enemies!$1:$1,0)-MATCH($L$1,[3]enemies!$1:$1,0)+1),MATCH(Q$1,[3]enemies!$1:$1,0)-MATCH($L$1,[3]enemies!$1:$1,0)+1,FALSE)</f>
        <v>20</v>
      </c>
      <c r="R12" s="5">
        <v>40</v>
      </c>
      <c r="S12" s="24">
        <v>1.3</v>
      </c>
      <c r="T12" s="24">
        <v>1.2</v>
      </c>
      <c r="U12" s="5">
        <v>0</v>
      </c>
      <c r="V12" s="4" t="str">
        <f ca="1">VLOOKUP($W12,OFFSET(enemy_skill_sets!$B$1,0,0,COUNTA(enemy_skill_sets!$B:$B),MATCH(M$1,enemy_skill_sets!$1:$1,0)-MATCH($W$1,enemy_skill_sets!$1:$1,0)+2),MATCH(M$1,enemy_skill_sets!$1:$1,0)-MATCH($W$1,enemy_skill_sets!$1:$1,0)+2,FALSE)</f>
        <v>ハートパネル吸収攻撃(最大15個)</v>
      </c>
      <c r="W12" s="4">
        <v>30036004</v>
      </c>
      <c r="X12" s="6">
        <v>0</v>
      </c>
      <c r="Y12" s="6">
        <v>100</v>
      </c>
      <c r="Z12" s="6">
        <v>1</v>
      </c>
      <c r="AA12" s="97">
        <v>2</v>
      </c>
      <c r="AB12" s="23">
        <f t="shared" si="8"/>
        <v>142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赤ずきん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3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12" s="7">
        <v>1</v>
      </c>
      <c r="AG12" s="23">
        <f t="shared" ca="1" si="9"/>
        <v>3</v>
      </c>
      <c r="AH12" s="8">
        <v>0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  <c r="AN12" s="67">
        <v>1</v>
      </c>
    </row>
    <row r="13" spans="1:40" ht="21" customHeight="1" x14ac:dyDescent="0.15">
      <c r="A13" s="16" t="str">
        <f t="shared" si="10"/>
        <v>30036_2-3/360&lt;lv40&gt;s1</v>
      </c>
      <c r="B13" s="7">
        <v>30036</v>
      </c>
      <c r="C13" s="21">
        <v>2</v>
      </c>
      <c r="D13" s="2" t="str">
        <f t="shared" si="6"/>
        <v>30036_2</v>
      </c>
      <c r="E13" s="4" t="str">
        <f ca="1">VLOOKUP($B13,OFFSET([2]quests!$A$1,0,0,COUNTA([2]quests!$A:$A),MATCH(E$1,[2]quests!$1:$1,0)-MATCH($B$1,[2]quests!$1:$1,0)+1),MATCH(E$1,[2]quests!$1:$1,0)-MATCH($B$1,[2]quests!$1:$1,0)+1,FALSE)</f>
        <v>猛然たる炎獣使い</v>
      </c>
      <c r="F13" s="4" t="str">
        <f ca="1">VLOOKUP($D13,OFFSET([2]stages!$A$1,0,0,COUNTA([2]stages!$A:$A),MATCH(F$1,[2]stages!$2:$2,0)-MATCH($D$1,[2]stages!$2:$2,0)+1),MATCH(F$1,[2]stages!$2:$2,0)-MATCH($D$1,[2]stages!$2:$2,0)+1,FALSE)</f>
        <v>【上級】猛然たる炎獣使い</v>
      </c>
      <c r="G13" s="21">
        <v>3</v>
      </c>
      <c r="H13" s="15" t="str">
        <f t="shared" si="7"/>
        <v>30036_2-3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7" t="s">
        <v>53</v>
      </c>
      <c r="L13" s="20">
        <v>360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ガンテツ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red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Drop1S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animal</v>
      </c>
      <c r="Q13" s="17">
        <f ca="1">VLOOKUP($L13,OFFSET([3]enemies!$A$1,0,0,COUNTA([3]enemies!$A:$A),MATCH(Q$1,[3]enemies!$1:$1,0)-MATCH($L$1,[3]enemies!$1:$1,0)+1),MATCH(Q$1,[3]enemies!$1:$1,0)-MATCH($L$1,[3]enemies!$1:$1,0)+1,FALSE)</f>
        <v>15</v>
      </c>
      <c r="R13" s="5">
        <v>40</v>
      </c>
      <c r="S13" s="24">
        <v>1.3</v>
      </c>
      <c r="T13" s="24">
        <v>1</v>
      </c>
      <c r="U13" s="5">
        <v>0</v>
      </c>
      <c r="V13" s="4" t="e">
        <f ca="1">VLOOKUP($W13,OFFSET(enemy_skill_sets!$B$1,0,0,COUNTA(enemy_skill_sets!$B:$B),MATCH(M$1,enemy_skill_sets!$1:$1,0)-MATCH($W$1,enemy_skill_sets!$1:$1,0)+2),MATCH(M$1,enemy_skill_sets!$1:$1,0)-MATCH($W$1,enemy_skill_sets!$1:$1,0)+2,FALSE)</f>
        <v>#N/A</v>
      </c>
      <c r="W13" s="4">
        <f ca="1">VLOOKUP($L13,OFFSET([3]enemies!$A$1,0,0,COUNTA([3]enemies!$A:$A),MATCH(W$1,[3]enemies!$1:$1,0)-MATCH($L$1,[3]enemies!$1:$1,0)+1),MATCH(W$1,[3]enemies!$1:$1,0)-MATCH($L$1,[3]enemies!$1:$1,0)+1,FALSE)</f>
        <v>0</v>
      </c>
      <c r="X13" s="6">
        <v>2</v>
      </c>
      <c r="Y13" s="6">
        <v>100</v>
      </c>
      <c r="Z13" s="6">
        <v>0</v>
      </c>
      <c r="AA13" s="97">
        <v>1</v>
      </c>
      <c r="AB13" s="23">
        <f t="shared" si="8"/>
        <v>360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ガンテツ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2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Drop1S</v>
      </c>
      <c r="AF13" s="7">
        <v>1</v>
      </c>
      <c r="AG13" s="23">
        <f t="shared" ca="1" si="9"/>
        <v>2</v>
      </c>
      <c r="AH13" s="8">
        <v>20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  <c r="AN13" s="67">
        <v>1</v>
      </c>
    </row>
    <row r="14" spans="1:40" ht="21" customHeight="1" x14ac:dyDescent="0.15">
      <c r="A14" s="16" t="str">
        <f t="shared" si="10"/>
        <v>30036_2-3/361&lt;lv40&gt;s2</v>
      </c>
      <c r="B14" s="7">
        <v>30036</v>
      </c>
      <c r="C14" s="21">
        <v>2</v>
      </c>
      <c r="D14" s="2" t="str">
        <f t="shared" si="6"/>
        <v>30036_2</v>
      </c>
      <c r="E14" s="4" t="str">
        <f ca="1">VLOOKUP($B14,OFFSET([2]quests!$A$1,0,0,COUNTA([2]quests!$A:$A),MATCH(E$1,[2]quests!$1:$1,0)-MATCH($B$1,[2]quests!$1:$1,0)+1),MATCH(E$1,[2]quests!$1:$1,0)-MATCH($B$1,[2]quests!$1:$1,0)+1,FALSE)</f>
        <v>猛然たる炎獣使い</v>
      </c>
      <c r="F14" s="4" t="str">
        <f ca="1">VLOOKUP($D14,OFFSET([2]stages!$A$1,0,0,COUNTA([2]stages!$A:$A),MATCH(F$1,[2]stages!$2:$2,0)-MATCH($D$1,[2]stages!$2:$2,0)+1),MATCH(F$1,[2]stages!$2:$2,0)-MATCH($D$1,[2]stages!$2:$2,0)+1,FALSE)</f>
        <v>【上級】猛然たる炎獣使い</v>
      </c>
      <c r="G14" s="21">
        <v>3</v>
      </c>
      <c r="H14" s="15" t="str">
        <f t="shared" si="7"/>
        <v>30036_2-3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7" t="s">
        <v>53</v>
      </c>
      <c r="L14" s="20">
        <v>361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灼熱の鉄板 ガンテツ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red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Drop1S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animal</v>
      </c>
      <c r="Q14" s="17">
        <f ca="1">VLOOKUP($L14,OFFSET([3]enemies!$A$1,0,0,COUNTA([3]enemies!$A:$A),MATCH(Q$1,[3]enemies!$1:$1,0)-MATCH($L$1,[3]enemies!$1:$1,0)+1),MATCH(Q$1,[3]enemies!$1:$1,0)-MATCH($L$1,[3]enemies!$1:$1,0)+1,FALSE)</f>
        <v>15</v>
      </c>
      <c r="R14" s="5">
        <v>40</v>
      </c>
      <c r="S14" s="24">
        <v>2.5</v>
      </c>
      <c r="T14" s="24">
        <v>1.2</v>
      </c>
      <c r="U14" s="5">
        <v>0</v>
      </c>
      <c r="V14" s="4" t="str">
        <f ca="1">VLOOKUP($W14,OFFSET(enemy_skill_sets!$B$1,0,0,COUNTA(enemy_skill_sets!$B:$B),MATCH(M$1,enemy_skill_sets!$1:$1,0)-MATCH($W$1,enemy_skill_sets!$1:$1,0)+2),MATCH(M$1,enemy_skill_sets!$1:$1,0)-MATCH($W$1,enemy_skill_sets!$1:$1,0)+2,FALSE)</f>
        <v>敵全体の攻撃力UP</v>
      </c>
      <c r="W14" s="4">
        <v>30036006</v>
      </c>
      <c r="X14" s="6">
        <v>0</v>
      </c>
      <c r="Y14" s="6">
        <v>100</v>
      </c>
      <c r="Z14" s="6">
        <v>1</v>
      </c>
      <c r="AA14" s="97">
        <v>2</v>
      </c>
      <c r="AB14" s="23">
        <f t="shared" si="8"/>
        <v>361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灼熱の鉄板 ガンテツ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3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Drop1S</v>
      </c>
      <c r="AF14" s="7">
        <v>1</v>
      </c>
      <c r="AG14" s="23">
        <f t="shared" ca="1" si="9"/>
        <v>3</v>
      </c>
      <c r="AH14" s="8">
        <v>4</v>
      </c>
      <c r="AI14" s="7">
        <v>0</v>
      </c>
      <c r="AJ14" s="7">
        <v>0</v>
      </c>
      <c r="AK14" s="7">
        <v>0</v>
      </c>
      <c r="AL14" s="7">
        <v>0</v>
      </c>
      <c r="AM14" s="7">
        <v>1</v>
      </c>
      <c r="AN14" s="67">
        <v>1</v>
      </c>
    </row>
    <row r="15" spans="1:40" ht="21" customHeight="1" x14ac:dyDescent="0.15">
      <c r="A15" s="16" t="str">
        <f t="shared" si="10"/>
        <v>30036_2-4/736&lt;lv50&gt;s3</v>
      </c>
      <c r="B15" s="7">
        <v>30036</v>
      </c>
      <c r="C15" s="21">
        <v>2</v>
      </c>
      <c r="D15" s="2" t="str">
        <f t="shared" si="6"/>
        <v>30036_2</v>
      </c>
      <c r="E15" s="4" t="str">
        <f ca="1">VLOOKUP($B15,OFFSET([2]quests!$A$1,0,0,COUNTA([2]quests!$A:$A),MATCH(E$1,[2]quests!$1:$1,0)-MATCH($B$1,[2]quests!$1:$1,0)+1),MATCH(E$1,[2]quests!$1:$1,0)-MATCH($B$1,[2]quests!$1:$1,0)+1,FALSE)</f>
        <v>猛然たる炎獣使い</v>
      </c>
      <c r="F15" s="4" t="str">
        <f ca="1">VLOOKUP($D15,OFFSET([2]stages!$A$1,0,0,COUNTA([2]stages!$A:$A),MATCH(F$1,[2]stages!$2:$2,0)-MATCH($D$1,[2]stages!$2:$2,0)+1),MATCH(F$1,[2]stages!$2:$2,0)-MATCH($D$1,[2]stages!$2:$2,0)+1,FALSE)</f>
        <v>【上級】猛然たる炎獣使い</v>
      </c>
      <c r="G15" s="21">
        <v>4</v>
      </c>
      <c r="H15" s="15" t="str">
        <f t="shared" si="7"/>
        <v>30036_2-4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7">
        <v>1</v>
      </c>
      <c r="L15" s="20">
        <v>736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オルトロス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red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Drop2N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animal</v>
      </c>
      <c r="Q15" s="17">
        <f ca="1">VLOOKUP($L15,OFFSET([3]enemies!$A$1,0,0,COUNTA([3]enemies!$A:$A),MATCH(Q$1,[3]enemies!$1:$1,0)-MATCH($L$1,[3]enemies!$1:$1,0)+1),MATCH(Q$1,[3]enemies!$1:$1,0)-MATCH($L$1,[3]enemies!$1:$1,0)+1,FALSE)</f>
        <v>30</v>
      </c>
      <c r="R15" s="5">
        <v>50</v>
      </c>
      <c r="S15" s="24">
        <v>1</v>
      </c>
      <c r="T15" s="24">
        <v>1.6</v>
      </c>
      <c r="U15" s="5">
        <v>0</v>
      </c>
      <c r="V15" s="4" t="str">
        <f ca="1">VLOOKUP($W15,OFFSET(enemy_skill_sets!$B$1,0,0,COUNTA(enemy_skill_sets!$B:$B),MATCH(M$1,enemy_skill_sets!$1:$1,0)-MATCH($W$1,enemy_skill_sets!$1:$1,0)+2),MATCH(M$1,enemy_skill_sets!$1:$1,0)-MATCH($W$1,enemy_skill_sets!$1:$1,0)+2,FALSE)</f>
        <v>状態異常耐性+攻撃力UP</v>
      </c>
      <c r="W15" s="4">
        <v>30036007</v>
      </c>
      <c r="X15" s="6">
        <v>0</v>
      </c>
      <c r="Y15" s="6">
        <v>100</v>
      </c>
      <c r="Z15" s="6">
        <v>1</v>
      </c>
      <c r="AA15" s="97">
        <v>3</v>
      </c>
      <c r="AB15" s="23">
        <f t="shared" si="8"/>
        <v>736</v>
      </c>
      <c r="AC15" s="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オルトロス</v>
      </c>
      <c r="AD15" s="4">
        <f ca="1">VLOOKUP($AB15,OFFSET([4]characters!$A$1,0,0,COUNTA([4]characters!$A:$A),MATCH(AD$1,[4]characters!$1:$1,0)-MATCH("character_id",[4]characters!$1:$1,0)+1),MATCH(AD$1,[4]characters!$1:$1,0)-MATCH("character_id",[4]characters!$1:$1,0)+1,FALSE)</f>
        <v>4</v>
      </c>
      <c r="AE15" s="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Drop2N</v>
      </c>
      <c r="AF15" s="7">
        <v>1</v>
      </c>
      <c r="AG15" s="23">
        <f t="shared" ca="1" si="9"/>
        <v>4</v>
      </c>
      <c r="AH15" s="108">
        <v>50</v>
      </c>
      <c r="AI15" s="7">
        <v>0</v>
      </c>
      <c r="AJ15" s="7">
        <v>0</v>
      </c>
      <c r="AK15" s="7">
        <v>0</v>
      </c>
      <c r="AL15" s="7">
        <v>0</v>
      </c>
      <c r="AM15" s="7">
        <v>1</v>
      </c>
      <c r="AN15" s="67">
        <v>1</v>
      </c>
    </row>
    <row r="16" spans="1:40" ht="21" customHeight="1" x14ac:dyDescent="0.15">
      <c r="A16" s="16" t="str">
        <f t="shared" si="10"/>
        <v>30036_1-1/2&lt;lv35&gt;s3</v>
      </c>
      <c r="B16" s="7">
        <v>30036</v>
      </c>
      <c r="C16" s="21">
        <v>1</v>
      </c>
      <c r="D16" s="2" t="str">
        <f t="shared" ref="D16:D22" si="11">B16&amp;"_"&amp;C16</f>
        <v>30036_1</v>
      </c>
      <c r="E16" s="4" t="str">
        <f ca="1">VLOOKUP($B16,OFFSET([2]quests!$A$1,0,0,COUNTA([2]quests!$A:$A),MATCH(E$1,[2]quests!$1:$1,0)-MATCH($B$1,[2]quests!$1:$1,0)+1),MATCH(E$1,[2]quests!$1:$1,0)-MATCH($B$1,[2]quests!$1:$1,0)+1,FALSE)</f>
        <v>猛然たる炎獣使い</v>
      </c>
      <c r="F16" s="4" t="str">
        <f ca="1">VLOOKUP($D16,OFFSET([2]stages!$A$1,0,0,COUNTA([2]stages!$A:$A),MATCH(F$1,[2]stages!$2:$2,0)-MATCH($D$1,[2]stages!$2:$2,0)+1),MATCH(F$1,[2]stages!$2:$2,0)-MATCH($D$1,[2]stages!$2:$2,0)+1,FALSE)</f>
        <v>【中級】猛然たる炎獣使い</v>
      </c>
      <c r="G16" s="21">
        <v>1</v>
      </c>
      <c r="H16" s="15" t="str">
        <f t="shared" ref="H16:H22" si="12">B16&amp;"_"&amp;C16&amp;"-"&amp;G16</f>
        <v>30036_1-1</v>
      </c>
      <c r="I16" s="4">
        <f ca="1">VLOOKUP($H16,OFFSET(floors!$A$1,0,0,COUNTA(floors!$A:$A),MATCH(I$1,floors!$1:$1,0)-MATCH($H$1,floors!$1:$1,0)+1),MATCH(I$1,floors!$1:$1,0)-MATCH($H$1,floors!$1:$1,0)+1,FALSE)</f>
        <v>30</v>
      </c>
      <c r="J16" s="4">
        <f ca="1">VLOOKUP($H16,OFFSET(floors!$A$1,0,0,COUNTA(floors!$A:$A),MATCH(J$1,floors!$1:$1,0)-MATCH($H$1,floors!$1:$1,0)+1),MATCH(J$1,floors!$1:$1,0)-MATCH($H$1,floors!$1:$1,0)+1,FALSE)</f>
        <v>30</v>
      </c>
      <c r="K16" s="37" t="s">
        <v>53</v>
      </c>
      <c r="L16" s="20">
        <v>2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イレギュラー・ジェリー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red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Drop1T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unknown</v>
      </c>
      <c r="Q16" s="17">
        <f ca="1">VLOOKUP($L16,OFFSET([3]enemies!$A$1,0,0,COUNTA([3]enemies!$A:$A),MATCH(Q$1,[3]enemies!$1:$1,0)-MATCH($L$1,[3]enemies!$1:$1,0)+1),MATCH(Q$1,[3]enemies!$1:$1,0)-MATCH($L$1,[3]enemies!$1:$1,0)+1,FALSE)</f>
        <v>15</v>
      </c>
      <c r="R16" s="5">
        <v>35</v>
      </c>
      <c r="S16" s="24">
        <v>1.4</v>
      </c>
      <c r="T16" s="24">
        <v>1.5</v>
      </c>
      <c r="U16" s="5">
        <v>0</v>
      </c>
      <c r="V16" s="4" t="str">
        <f ca="1">VLOOKUP($W16,OFFSET(enemy_skill_sets!$B$1,0,0,COUNTA(enemy_skill_sets!$B:$B),MATCH(M$1,enemy_skill_sets!$1:$1,0)-MATCH($W$1,enemy_skill_sets!$1:$1,0)+2),MATCH(M$1,enemy_skill_sets!$1:$1,0)-MATCH($W$1,enemy_skill_sets!$1:$1,0)+2,FALSE)</f>
        <v>全体攻撃</v>
      </c>
      <c r="W16" s="4">
        <v>30036001</v>
      </c>
      <c r="X16" s="6">
        <v>0</v>
      </c>
      <c r="Y16" s="6">
        <v>100</v>
      </c>
      <c r="Z16" s="6">
        <v>0</v>
      </c>
      <c r="AA16" s="97">
        <v>3</v>
      </c>
      <c r="AB16" s="23">
        <f t="shared" ref="AB16:AB22" si="13">L16</f>
        <v>2</v>
      </c>
      <c r="AC16" s="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イレギュラー・ジェリー</v>
      </c>
      <c r="AD16" s="4">
        <f ca="1">VLOOKUP($AB16,OFFSET([4]characters!$A$1,0,0,COUNTA([4]characters!$A:$A),MATCH(AD$1,[4]characters!$1:$1,0)-MATCH("character_id",[4]characters!$1:$1,0)+1),MATCH(AD$1,[4]characters!$1:$1,0)-MATCH("character_id",[4]characters!$1:$1,0)+1,FALSE)</f>
        <v>2</v>
      </c>
      <c r="AE16" s="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Drop1T</v>
      </c>
      <c r="AF16" s="7">
        <v>1</v>
      </c>
      <c r="AG16" s="23">
        <f t="shared" ref="AG16:AG22" ca="1" si="14">AD16</f>
        <v>2</v>
      </c>
      <c r="AH16" s="8">
        <v>0</v>
      </c>
      <c r="AI16" s="7">
        <v>0</v>
      </c>
      <c r="AJ16" s="7">
        <v>0</v>
      </c>
      <c r="AK16" s="7">
        <v>0</v>
      </c>
      <c r="AL16" s="7">
        <v>0</v>
      </c>
      <c r="AM16" s="7">
        <v>1</v>
      </c>
      <c r="AN16" s="67">
        <v>1</v>
      </c>
    </row>
    <row r="17" spans="1:40" ht="21" customHeight="1" x14ac:dyDescent="0.15">
      <c r="A17" s="16" t="str">
        <f t="shared" ref="A17:A22" si="15">B17&amp;"_"&amp;C17&amp;"-"&amp;G17&amp;"/"&amp;L17&amp;"&lt;lv"&amp;R17&amp;"&gt;s"&amp;AA17</f>
        <v>30036_1-1/15&lt;lv35&gt;s3</v>
      </c>
      <c r="B17" s="7">
        <v>30036</v>
      </c>
      <c r="C17" s="21">
        <v>1</v>
      </c>
      <c r="D17" s="2" t="str">
        <f t="shared" si="11"/>
        <v>30036_1</v>
      </c>
      <c r="E17" s="4" t="str">
        <f ca="1">VLOOKUP($B17,OFFSET([2]quests!$A$1,0,0,COUNTA([2]quests!$A:$A),MATCH(E$1,[2]quests!$1:$1,0)-MATCH($B$1,[2]quests!$1:$1,0)+1),MATCH(E$1,[2]quests!$1:$1,0)-MATCH($B$1,[2]quests!$1:$1,0)+1,FALSE)</f>
        <v>猛然たる炎獣使い</v>
      </c>
      <c r="F17" s="4" t="str">
        <f ca="1">VLOOKUP($D17,OFFSET([2]stages!$A$1,0,0,COUNTA([2]stages!$A:$A),MATCH(F$1,[2]stages!$2:$2,0)-MATCH($D$1,[2]stages!$2:$2,0)+1),MATCH(F$1,[2]stages!$2:$2,0)-MATCH($D$1,[2]stages!$2:$2,0)+1,FALSE)</f>
        <v>【中級】猛然たる炎獣使い</v>
      </c>
      <c r="G17" s="21">
        <v>1</v>
      </c>
      <c r="H17" s="15" t="str">
        <f t="shared" si="12"/>
        <v>30036_1-1</v>
      </c>
      <c r="I17" s="4">
        <f ca="1">VLOOKUP($H17,OFFSET(floors!$A$1,0,0,COUNTA(floors!$A:$A),MATCH(I$1,floors!$1:$1,0)-MATCH($H$1,floors!$1:$1,0)+1),MATCH(I$1,floors!$1:$1,0)-MATCH($H$1,floors!$1:$1,0)+1,FALSE)</f>
        <v>30</v>
      </c>
      <c r="J17" s="4">
        <f ca="1">VLOOKUP($H17,OFFSET(floors!$A$1,0,0,COUNTA(floors!$A:$A),MATCH(J$1,floors!$1:$1,0)-MATCH($H$1,floors!$1:$1,0)+1),MATCH(J$1,floors!$1:$1,0)-MATCH($H$1,floors!$1:$1,0)+1,FALSE)</f>
        <v>30</v>
      </c>
      <c r="K17" s="37" t="s">
        <v>53</v>
      </c>
      <c r="L17" s="20">
        <v>15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アカネ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red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Drop1W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human</v>
      </c>
      <c r="Q17" s="17">
        <f ca="1">VLOOKUP($L17,OFFSET([3]enemies!$A$1,0,0,COUNTA([3]enemies!$A:$A),MATCH(Q$1,[3]enemies!$1:$1,0)-MATCH($L$1,[3]enemies!$1:$1,0)+1),MATCH(Q$1,[3]enemies!$1:$1,0)-MATCH($L$1,[3]enemies!$1:$1,0)+1,FALSE)</f>
        <v>15</v>
      </c>
      <c r="R17" s="5">
        <v>35</v>
      </c>
      <c r="S17" s="24">
        <v>1.2</v>
      </c>
      <c r="T17" s="24">
        <v>1.1000000000000001</v>
      </c>
      <c r="U17" s="5">
        <v>0</v>
      </c>
      <c r="V17" s="4" t="str">
        <f ca="1">VLOOKUP($W17,OFFSET(enemy_skill_sets!$B$1,0,0,COUNTA(enemy_skill_sets!$B:$B),MATCH(M$1,enemy_skill_sets!$1:$1,0)-MATCH($W$1,enemy_skill_sets!$1:$1,0)+2),MATCH(M$1,enemy_skill_sets!$1:$1,0)-MATCH($W$1,enemy_skill_sets!$1:$1,0)+2,FALSE)</f>
        <v>全体攻撃</v>
      </c>
      <c r="W17" s="4">
        <v>30036002</v>
      </c>
      <c r="X17" s="6">
        <v>0</v>
      </c>
      <c r="Y17" s="6">
        <v>100</v>
      </c>
      <c r="Z17" s="6">
        <v>0</v>
      </c>
      <c r="AA17" s="97">
        <v>3</v>
      </c>
      <c r="AB17" s="23">
        <f t="shared" si="13"/>
        <v>15</v>
      </c>
      <c r="AC17" s="4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アカネ</v>
      </c>
      <c r="AD17" s="4">
        <f ca="1">VLOOKUP($AB17,OFFSET([4]characters!$A$1,0,0,COUNTA([4]characters!$A:$A),MATCH(AD$1,[4]characters!$1:$1,0)-MATCH("character_id",[4]characters!$1:$1,0)+1),MATCH(AD$1,[4]characters!$1:$1,0)-MATCH("character_id",[4]characters!$1:$1,0)+1,FALSE)</f>
        <v>1</v>
      </c>
      <c r="AE17" s="4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Drop1W</v>
      </c>
      <c r="AF17" s="7">
        <v>1</v>
      </c>
      <c r="AG17" s="23">
        <f t="shared" ca="1" si="14"/>
        <v>1</v>
      </c>
      <c r="AH17" s="8">
        <v>20</v>
      </c>
      <c r="AI17" s="7">
        <v>0</v>
      </c>
      <c r="AJ17" s="7">
        <v>0</v>
      </c>
      <c r="AK17" s="7">
        <v>0</v>
      </c>
      <c r="AL17" s="7">
        <v>0</v>
      </c>
      <c r="AM17" s="7">
        <v>1</v>
      </c>
      <c r="AN17" s="67">
        <v>1</v>
      </c>
    </row>
    <row r="18" spans="1:40" ht="21" customHeight="1" x14ac:dyDescent="0.15">
      <c r="A18" s="16" t="str">
        <f t="shared" si="15"/>
        <v>30036_1-2/13&lt;lv35&gt;s1</v>
      </c>
      <c r="B18" s="7">
        <v>30036</v>
      </c>
      <c r="C18" s="21">
        <v>1</v>
      </c>
      <c r="D18" s="2" t="str">
        <f t="shared" si="11"/>
        <v>30036_1</v>
      </c>
      <c r="E18" s="4" t="str">
        <f ca="1">VLOOKUP($B18,OFFSET([2]quests!$A$1,0,0,COUNTA([2]quests!$A:$A),MATCH(E$1,[2]quests!$1:$1,0)-MATCH($B$1,[2]quests!$1:$1,0)+1),MATCH(E$1,[2]quests!$1:$1,0)-MATCH($B$1,[2]quests!$1:$1,0)+1,FALSE)</f>
        <v>猛然たる炎獣使い</v>
      </c>
      <c r="F18" s="4" t="str">
        <f ca="1">VLOOKUP($D18,OFFSET([2]stages!$A$1,0,0,COUNTA([2]stages!$A:$A),MATCH(F$1,[2]stages!$2:$2,0)-MATCH($D$1,[2]stages!$2:$2,0)+1),MATCH(F$1,[2]stages!$2:$2,0)-MATCH($D$1,[2]stages!$2:$2,0)+1,FALSE)</f>
        <v>【中級】猛然たる炎獣使い</v>
      </c>
      <c r="G18" s="21">
        <v>2</v>
      </c>
      <c r="H18" s="15" t="str">
        <f t="shared" si="12"/>
        <v>30036_1-2</v>
      </c>
      <c r="I18" s="4">
        <f ca="1">VLOOKUP($H18,OFFSET(floors!$A$1,0,0,COUNTA(floors!$A:$A),MATCH(I$1,floors!$1:$1,0)-MATCH($H$1,floors!$1:$1,0)+1),MATCH(I$1,floors!$1:$1,0)-MATCH($H$1,floors!$1:$1,0)+1,FALSE)</f>
        <v>30</v>
      </c>
      <c r="J18" s="4">
        <f ca="1">VLOOKUP($H18,OFFSET(floors!$A$1,0,0,COUNTA(floors!$A:$A),MATCH(J$1,floors!$1:$1,0)-MATCH($H$1,floors!$1:$1,0)+1),MATCH(J$1,floors!$1:$1,0)-MATCH($H$1,floors!$1:$1,0)+1,FALSE)</f>
        <v>30</v>
      </c>
      <c r="K18" s="37" t="s">
        <v>53</v>
      </c>
      <c r="L18" s="20">
        <v>13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ミミ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yellow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Drop1W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animal</v>
      </c>
      <c r="Q18" s="17">
        <f ca="1">VLOOKUP($L18,OFFSET([3]enemies!$A$1,0,0,COUNTA([3]enemies!$A:$A),MATCH(Q$1,[3]enemies!$1:$1,0)-MATCH($L$1,[3]enemies!$1:$1,0)+1),MATCH(Q$1,[3]enemies!$1:$1,0)-MATCH($L$1,[3]enemies!$1:$1,0)+1,FALSE)</f>
        <v>15</v>
      </c>
      <c r="R18" s="5">
        <v>35</v>
      </c>
      <c r="S18" s="24">
        <v>0.9</v>
      </c>
      <c r="T18" s="24">
        <v>0.5</v>
      </c>
      <c r="U18" s="5">
        <v>0</v>
      </c>
      <c r="V18" s="4" t="e">
        <f ca="1">VLOOKUP($W18,OFFSET(enemy_skill_sets!$B$1,0,0,COUNTA(enemy_skill_sets!$B:$B),MATCH(M$1,enemy_skill_sets!$1:$1,0)-MATCH($W$1,enemy_skill_sets!$1:$1,0)+2),MATCH(M$1,enemy_skill_sets!$1:$1,0)-MATCH($W$1,enemy_skill_sets!$1:$1,0)+2,FALSE)</f>
        <v>#N/A</v>
      </c>
      <c r="W18" s="4">
        <v>0</v>
      </c>
      <c r="X18" s="6">
        <v>2</v>
      </c>
      <c r="Y18" s="6">
        <v>100</v>
      </c>
      <c r="Z18" s="6">
        <v>0</v>
      </c>
      <c r="AA18" s="97">
        <v>1</v>
      </c>
      <c r="AB18" s="23">
        <f t="shared" si="13"/>
        <v>13</v>
      </c>
      <c r="AC18" s="4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ミミ</v>
      </c>
      <c r="AD18" s="4">
        <f ca="1">VLOOKUP($AB18,OFFSET([4]characters!$A$1,0,0,COUNTA([4]characters!$A:$A),MATCH(AD$1,[4]characters!$1:$1,0)-MATCH("character_id",[4]characters!$1:$1,0)+1),MATCH(AD$1,[4]characters!$1:$1,0)-MATCH("character_id",[4]characters!$1:$1,0)+1,FALSE)</f>
        <v>1</v>
      </c>
      <c r="AE18" s="4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Drop1W</v>
      </c>
      <c r="AF18" s="7">
        <v>1</v>
      </c>
      <c r="AG18" s="23">
        <f t="shared" ca="1" si="14"/>
        <v>1</v>
      </c>
      <c r="AH18" s="8">
        <v>20</v>
      </c>
      <c r="AI18" s="7">
        <v>0</v>
      </c>
      <c r="AJ18" s="7">
        <v>0</v>
      </c>
      <c r="AK18" s="7">
        <v>0</v>
      </c>
      <c r="AL18" s="7">
        <v>0</v>
      </c>
      <c r="AM18" s="7">
        <v>1</v>
      </c>
      <c r="AN18" s="67">
        <v>1</v>
      </c>
    </row>
    <row r="19" spans="1:40" ht="21" customHeight="1" x14ac:dyDescent="0.15">
      <c r="A19" s="16" t="str">
        <f t="shared" si="15"/>
        <v>30036_1-2/142&lt;lv35&gt;s2</v>
      </c>
      <c r="B19" s="7">
        <v>30036</v>
      </c>
      <c r="C19" s="21">
        <v>1</v>
      </c>
      <c r="D19" s="2" t="str">
        <f t="shared" si="11"/>
        <v>30036_1</v>
      </c>
      <c r="E19" s="4" t="str">
        <f ca="1">VLOOKUP($B19,OFFSET([2]quests!$A$1,0,0,COUNTA([2]quests!$A:$A),MATCH(E$1,[2]quests!$1:$1,0)-MATCH($B$1,[2]quests!$1:$1,0)+1),MATCH(E$1,[2]quests!$1:$1,0)-MATCH($B$1,[2]quests!$1:$1,0)+1,FALSE)</f>
        <v>猛然たる炎獣使い</v>
      </c>
      <c r="F19" s="4" t="str">
        <f ca="1">VLOOKUP($D19,OFFSET([2]stages!$A$1,0,0,COUNTA([2]stages!$A:$A),MATCH(F$1,[2]stages!$2:$2,0)-MATCH($D$1,[2]stages!$2:$2,0)+1),MATCH(F$1,[2]stages!$2:$2,0)-MATCH($D$1,[2]stages!$2:$2,0)+1,FALSE)</f>
        <v>【中級】猛然たる炎獣使い</v>
      </c>
      <c r="G19" s="21">
        <v>2</v>
      </c>
      <c r="H19" s="15" t="str">
        <f t="shared" si="12"/>
        <v>30036_1-2</v>
      </c>
      <c r="I19" s="4">
        <f ca="1">VLOOKUP($H19,OFFSET(floors!$A$1,0,0,COUNTA(floors!$A:$A),MATCH(I$1,floors!$1:$1,0)-MATCH($H$1,floors!$1:$1,0)+1),MATCH(I$1,floors!$1:$1,0)-MATCH($H$1,floors!$1:$1,0)+1,FALSE)</f>
        <v>30</v>
      </c>
      <c r="J19" s="4">
        <f ca="1">VLOOKUP($H19,OFFSET(floors!$A$1,0,0,COUNTA(floors!$A:$A),MATCH(J$1,floors!$1:$1,0)-MATCH($H$1,floors!$1:$1,0)+1),MATCH(J$1,floors!$1:$1,0)-MATCH($H$1,floors!$1:$1,0)+1,FALSE)</f>
        <v>30</v>
      </c>
      <c r="K19" s="37" t="s">
        <v>53</v>
      </c>
      <c r="L19" s="20">
        <v>142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赤ずきん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red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PremiumW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human</v>
      </c>
      <c r="Q19" s="17">
        <f ca="1">VLOOKUP($L19,OFFSET([3]enemies!$A$1,0,0,COUNTA([3]enemies!$A:$A),MATCH(Q$1,[3]enemies!$1:$1,0)-MATCH($L$1,[3]enemies!$1:$1,0)+1),MATCH(Q$1,[3]enemies!$1:$1,0)-MATCH($L$1,[3]enemies!$1:$1,0)+1,FALSE)</f>
        <v>20</v>
      </c>
      <c r="R19" s="5">
        <v>35</v>
      </c>
      <c r="S19" s="24">
        <v>1.2</v>
      </c>
      <c r="T19" s="24">
        <v>1.2</v>
      </c>
      <c r="U19" s="5">
        <v>0</v>
      </c>
      <c r="V19" s="4" t="str">
        <f ca="1">VLOOKUP($W19,OFFSET(enemy_skill_sets!$B$1,0,0,COUNTA(enemy_skill_sets!$B:$B),MATCH(M$1,enemy_skill_sets!$1:$1,0)-MATCH($W$1,enemy_skill_sets!$1:$1,0)+2),MATCH(M$1,enemy_skill_sets!$1:$1,0)-MATCH($W$1,enemy_skill_sets!$1:$1,0)+2,FALSE)</f>
        <v>ハートパネル吸収攻撃(最大15個)</v>
      </c>
      <c r="W19" s="4">
        <v>30036004</v>
      </c>
      <c r="X19" s="6">
        <v>0</v>
      </c>
      <c r="Y19" s="6">
        <v>100</v>
      </c>
      <c r="Z19" s="6">
        <v>1</v>
      </c>
      <c r="AA19" s="97">
        <v>2</v>
      </c>
      <c r="AB19" s="23">
        <f t="shared" si="13"/>
        <v>142</v>
      </c>
      <c r="AC19" s="4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赤ずきん</v>
      </c>
      <c r="AD19" s="4">
        <f ca="1">VLOOKUP($AB19,OFFSET([4]characters!$A$1,0,0,COUNTA([4]characters!$A:$A),MATCH(AD$1,[4]characters!$1:$1,0)-MATCH("character_id",[4]characters!$1:$1,0)+1),MATCH(AD$1,[4]characters!$1:$1,0)-MATCH("character_id",[4]characters!$1:$1,0)+1,FALSE)</f>
        <v>3</v>
      </c>
      <c r="AE19" s="4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19" s="7">
        <v>1</v>
      </c>
      <c r="AG19" s="23">
        <f t="shared" ca="1" si="14"/>
        <v>3</v>
      </c>
      <c r="AH19" s="8">
        <v>0</v>
      </c>
      <c r="AI19" s="7">
        <v>0</v>
      </c>
      <c r="AJ19" s="7">
        <v>0</v>
      </c>
      <c r="AK19" s="7">
        <v>0</v>
      </c>
      <c r="AL19" s="7">
        <v>0</v>
      </c>
      <c r="AM19" s="7">
        <v>1</v>
      </c>
      <c r="AN19" s="67">
        <v>1</v>
      </c>
    </row>
    <row r="20" spans="1:40" ht="21" customHeight="1" x14ac:dyDescent="0.15">
      <c r="A20" s="16" t="str">
        <f t="shared" si="15"/>
        <v>30036_1-3/360&lt;lv35&gt;s1</v>
      </c>
      <c r="B20" s="7">
        <v>30036</v>
      </c>
      <c r="C20" s="21">
        <v>1</v>
      </c>
      <c r="D20" s="2" t="str">
        <f t="shared" si="11"/>
        <v>30036_1</v>
      </c>
      <c r="E20" s="4" t="str">
        <f ca="1">VLOOKUP($B20,OFFSET([2]quests!$A$1,0,0,COUNTA([2]quests!$A:$A),MATCH(E$1,[2]quests!$1:$1,0)-MATCH($B$1,[2]quests!$1:$1,0)+1),MATCH(E$1,[2]quests!$1:$1,0)-MATCH($B$1,[2]quests!$1:$1,0)+1,FALSE)</f>
        <v>猛然たる炎獣使い</v>
      </c>
      <c r="F20" s="4" t="str">
        <f ca="1">VLOOKUP($D20,OFFSET([2]stages!$A$1,0,0,COUNTA([2]stages!$A:$A),MATCH(F$1,[2]stages!$2:$2,0)-MATCH($D$1,[2]stages!$2:$2,0)+1),MATCH(F$1,[2]stages!$2:$2,0)-MATCH($D$1,[2]stages!$2:$2,0)+1,FALSE)</f>
        <v>【中級】猛然たる炎獣使い</v>
      </c>
      <c r="G20" s="21">
        <v>3</v>
      </c>
      <c r="H20" s="15" t="str">
        <f t="shared" si="12"/>
        <v>30036_1-3</v>
      </c>
      <c r="I20" s="4">
        <f ca="1">VLOOKUP($H20,OFFSET(floors!$A$1,0,0,COUNTA(floors!$A:$A),MATCH(I$1,floors!$1:$1,0)-MATCH($H$1,floors!$1:$1,0)+1),MATCH(I$1,floors!$1:$1,0)-MATCH($H$1,floors!$1:$1,0)+1,FALSE)</f>
        <v>60</v>
      </c>
      <c r="J20" s="4">
        <f ca="1">VLOOKUP($H20,OFFSET(floors!$A$1,0,0,COUNTA(floors!$A:$A),MATCH(J$1,floors!$1:$1,0)-MATCH($H$1,floors!$1:$1,0)+1),MATCH(J$1,floors!$1:$1,0)-MATCH($H$1,floors!$1:$1,0)+1,FALSE)</f>
        <v>60</v>
      </c>
      <c r="K20" s="37" t="s">
        <v>53</v>
      </c>
      <c r="L20" s="20">
        <v>360</v>
      </c>
      <c r="M20" s="17" t="str">
        <f ca="1">VLOOKUP($L20,OFFSET([3]enemies!$A$1,0,0,COUNTA([3]enemies!$A:$A),MATCH(M$1,[3]enemies!$1:$1,0)-MATCH($L$1,[3]enemies!$1:$1,0)+1),MATCH(M$1,[3]enemies!$1:$1,0)-MATCH($L$1,[3]enemies!$1:$1,0)+1,FALSE)</f>
        <v>ガンテツ</v>
      </c>
      <c r="N20" s="17" t="str">
        <f ca="1">VLOOKUP($L20,OFFSET([3]enemies!$A$1,0,0,COUNTA([3]enemies!$A:$A),MATCH(N$1,[3]enemies!$1:$1,0)-MATCH($L$1,[3]enemies!$1:$1,0)+1),MATCH(N$1,[3]enemies!$1:$1,0)-MATCH($L$1,[3]enemies!$1:$1,0)+1,FALSE)</f>
        <v>red</v>
      </c>
      <c r="O20" s="17" t="str">
        <f ca="1">VLOOKUP($L20,OFFSET([4]characters!$A$1,0,0,COUNTA([4]characters!$A:$A),MATCH(O$1,[4]characters!$1:$1,0)-MATCH($L$1,[4]characters!$1:$1,0)+1),MATCH(O$1,[4]characters!$1:$1,0)-MATCH($L$1,[4]characters!$1:$1,0)+1,FALSE)</f>
        <v>Drop1S</v>
      </c>
      <c r="P20" s="17" t="str">
        <f ca="1">VLOOKUP($L20,OFFSET([3]enemies!$A$1,0,0,COUNTA([3]enemies!$A:$A),MATCH(P$1,[3]enemies!$1:$1,0)-MATCH($L$1,[3]enemies!$1:$1,0)+1),MATCH(P$1,[3]enemies!$1:$1,0)-MATCH($L$1,[3]enemies!$1:$1,0)+1,FALSE)</f>
        <v>animal</v>
      </c>
      <c r="Q20" s="17">
        <f ca="1">VLOOKUP($L20,OFFSET([3]enemies!$A$1,0,0,COUNTA([3]enemies!$A:$A),MATCH(Q$1,[3]enemies!$1:$1,0)-MATCH($L$1,[3]enemies!$1:$1,0)+1),MATCH(Q$1,[3]enemies!$1:$1,0)-MATCH($L$1,[3]enemies!$1:$1,0)+1,FALSE)</f>
        <v>15</v>
      </c>
      <c r="R20" s="5">
        <v>35</v>
      </c>
      <c r="S20" s="24">
        <v>1.2</v>
      </c>
      <c r="T20" s="24">
        <v>0.8</v>
      </c>
      <c r="U20" s="5">
        <v>0</v>
      </c>
      <c r="V20" s="4" t="e">
        <f ca="1">VLOOKUP($W20,OFFSET(enemy_skill_sets!$B$1,0,0,COUNTA(enemy_skill_sets!$B:$B),MATCH(M$1,enemy_skill_sets!$1:$1,0)-MATCH($W$1,enemy_skill_sets!$1:$1,0)+2),MATCH(M$1,enemy_skill_sets!$1:$1,0)-MATCH($W$1,enemy_skill_sets!$1:$1,0)+2,FALSE)</f>
        <v>#N/A</v>
      </c>
      <c r="W20" s="4">
        <f ca="1">VLOOKUP($L20,OFFSET([3]enemies!$A$1,0,0,COUNTA([3]enemies!$A:$A),MATCH(W$1,[3]enemies!$1:$1,0)-MATCH($L$1,[3]enemies!$1:$1,0)+1),MATCH(W$1,[3]enemies!$1:$1,0)-MATCH($L$1,[3]enemies!$1:$1,0)+1,FALSE)</f>
        <v>0</v>
      </c>
      <c r="X20" s="6">
        <v>2</v>
      </c>
      <c r="Y20" s="6">
        <v>100</v>
      </c>
      <c r="Z20" s="6">
        <v>0</v>
      </c>
      <c r="AA20" s="97">
        <v>1</v>
      </c>
      <c r="AB20" s="23">
        <f t="shared" si="13"/>
        <v>360</v>
      </c>
      <c r="AC20" s="4" t="str">
        <f ca="1">VLOOKUP($AB20,OFFSET([4]characters!$A$1,0,0,COUNTA([4]characters!$A:$A),MATCH(AC$1,[4]characters!$1:$1,0)-MATCH("character_id",[4]characters!$1:$1,0)+1),MATCH(AC$1,[4]characters!$1:$1,0)-MATCH("character_id",[4]characters!$1:$1,0)+1,FALSE)</f>
        <v>ガンテツ</v>
      </c>
      <c r="AD20" s="4">
        <f ca="1">VLOOKUP($AB20,OFFSET([4]characters!$A$1,0,0,COUNTA([4]characters!$A:$A),MATCH(AD$1,[4]characters!$1:$1,0)-MATCH("character_id",[4]characters!$1:$1,0)+1),MATCH(AD$1,[4]characters!$1:$1,0)-MATCH("character_id",[4]characters!$1:$1,0)+1,FALSE)</f>
        <v>2</v>
      </c>
      <c r="AE20" s="4" t="str">
        <f ca="1">VLOOKUP($AB20,OFFSET([4]characters!$A$1,0,0,COUNTA([4]characters!$A:$A),MATCH(AE$1,[4]characters!$1:$1,0)-MATCH("character_id",[4]characters!$1:$1,0)+1),MATCH(AE$1,[4]characters!$1:$1,0)-MATCH("character_id",[4]characters!$1:$1,0)+1,FALSE)</f>
        <v>Drop1S</v>
      </c>
      <c r="AF20" s="7">
        <v>1</v>
      </c>
      <c r="AG20" s="23">
        <f t="shared" ca="1" si="14"/>
        <v>2</v>
      </c>
      <c r="AH20" s="8">
        <v>20</v>
      </c>
      <c r="AI20" s="7">
        <v>0</v>
      </c>
      <c r="AJ20" s="7">
        <v>0</v>
      </c>
      <c r="AK20" s="7">
        <v>0</v>
      </c>
      <c r="AL20" s="7">
        <v>0</v>
      </c>
      <c r="AM20" s="7">
        <v>1</v>
      </c>
      <c r="AN20" s="67">
        <v>1</v>
      </c>
    </row>
    <row r="21" spans="1:40" ht="21" customHeight="1" x14ac:dyDescent="0.15">
      <c r="A21" s="16" t="str">
        <f t="shared" si="15"/>
        <v>30036_1-3/361&lt;lv35&gt;s2</v>
      </c>
      <c r="B21" s="7">
        <v>30036</v>
      </c>
      <c r="C21" s="21">
        <v>1</v>
      </c>
      <c r="D21" s="2" t="str">
        <f t="shared" si="11"/>
        <v>30036_1</v>
      </c>
      <c r="E21" s="4" t="str">
        <f ca="1">VLOOKUP($B21,OFFSET([2]quests!$A$1,0,0,COUNTA([2]quests!$A:$A),MATCH(E$1,[2]quests!$1:$1,0)-MATCH($B$1,[2]quests!$1:$1,0)+1),MATCH(E$1,[2]quests!$1:$1,0)-MATCH($B$1,[2]quests!$1:$1,0)+1,FALSE)</f>
        <v>猛然たる炎獣使い</v>
      </c>
      <c r="F21" s="4" t="str">
        <f ca="1">VLOOKUP($D21,OFFSET([2]stages!$A$1,0,0,COUNTA([2]stages!$A:$A),MATCH(F$1,[2]stages!$2:$2,0)-MATCH($D$1,[2]stages!$2:$2,0)+1),MATCH(F$1,[2]stages!$2:$2,0)-MATCH($D$1,[2]stages!$2:$2,0)+1,FALSE)</f>
        <v>【中級】猛然たる炎獣使い</v>
      </c>
      <c r="G21" s="21">
        <v>3</v>
      </c>
      <c r="H21" s="15" t="str">
        <f t="shared" si="12"/>
        <v>30036_1-3</v>
      </c>
      <c r="I21" s="4">
        <f ca="1">VLOOKUP($H21,OFFSET(floors!$A$1,0,0,COUNTA(floors!$A:$A),MATCH(I$1,floors!$1:$1,0)-MATCH($H$1,floors!$1:$1,0)+1),MATCH(I$1,floors!$1:$1,0)-MATCH($H$1,floors!$1:$1,0)+1,FALSE)</f>
        <v>60</v>
      </c>
      <c r="J21" s="4">
        <f ca="1">VLOOKUP($H21,OFFSET(floors!$A$1,0,0,COUNTA(floors!$A:$A),MATCH(J$1,floors!$1:$1,0)-MATCH($H$1,floors!$1:$1,0)+1),MATCH(J$1,floors!$1:$1,0)-MATCH($H$1,floors!$1:$1,0)+1,FALSE)</f>
        <v>60</v>
      </c>
      <c r="K21" s="37" t="s">
        <v>53</v>
      </c>
      <c r="L21" s="20">
        <v>361</v>
      </c>
      <c r="M21" s="17" t="str">
        <f ca="1">VLOOKUP($L21,OFFSET([3]enemies!$A$1,0,0,COUNTA([3]enemies!$A:$A),MATCH(M$1,[3]enemies!$1:$1,0)-MATCH($L$1,[3]enemies!$1:$1,0)+1),MATCH(M$1,[3]enemies!$1:$1,0)-MATCH($L$1,[3]enemies!$1:$1,0)+1,FALSE)</f>
        <v>灼熱の鉄板 ガンテツ</v>
      </c>
      <c r="N21" s="17" t="str">
        <f ca="1">VLOOKUP($L21,OFFSET([3]enemies!$A$1,0,0,COUNTA([3]enemies!$A:$A),MATCH(N$1,[3]enemies!$1:$1,0)-MATCH($L$1,[3]enemies!$1:$1,0)+1),MATCH(N$1,[3]enemies!$1:$1,0)-MATCH($L$1,[3]enemies!$1:$1,0)+1,FALSE)</f>
        <v>red</v>
      </c>
      <c r="O21" s="17" t="str">
        <f ca="1">VLOOKUP($L21,OFFSET([4]characters!$A$1,0,0,COUNTA([4]characters!$A:$A),MATCH(O$1,[4]characters!$1:$1,0)-MATCH($L$1,[4]characters!$1:$1,0)+1),MATCH(O$1,[4]characters!$1:$1,0)-MATCH($L$1,[4]characters!$1:$1,0)+1,FALSE)</f>
        <v>Drop1S</v>
      </c>
      <c r="P21" s="17" t="str">
        <f ca="1">VLOOKUP($L21,OFFSET([3]enemies!$A$1,0,0,COUNTA([3]enemies!$A:$A),MATCH(P$1,[3]enemies!$1:$1,0)-MATCH($L$1,[3]enemies!$1:$1,0)+1),MATCH(P$1,[3]enemies!$1:$1,0)-MATCH($L$1,[3]enemies!$1:$1,0)+1,FALSE)</f>
        <v>animal</v>
      </c>
      <c r="Q21" s="17">
        <f ca="1">VLOOKUP($L21,OFFSET([3]enemies!$A$1,0,0,COUNTA([3]enemies!$A:$A),MATCH(Q$1,[3]enemies!$1:$1,0)-MATCH($L$1,[3]enemies!$1:$1,0)+1),MATCH(Q$1,[3]enemies!$1:$1,0)-MATCH($L$1,[3]enemies!$1:$1,0)+1,FALSE)</f>
        <v>15</v>
      </c>
      <c r="R21" s="5">
        <v>35</v>
      </c>
      <c r="S21" s="24">
        <v>2.5</v>
      </c>
      <c r="T21" s="24">
        <v>1.2</v>
      </c>
      <c r="U21" s="5">
        <v>0</v>
      </c>
      <c r="V21" s="4" t="str">
        <f ca="1">VLOOKUP($W21,OFFSET(enemy_skill_sets!$B$1,0,0,COUNTA(enemy_skill_sets!$B:$B),MATCH(M$1,enemy_skill_sets!$1:$1,0)-MATCH($W$1,enemy_skill_sets!$1:$1,0)+2),MATCH(M$1,enemy_skill_sets!$1:$1,0)-MATCH($W$1,enemy_skill_sets!$1:$1,0)+2,FALSE)</f>
        <v>敵全体の攻撃力UP</v>
      </c>
      <c r="W21" s="4">
        <v>30036006</v>
      </c>
      <c r="X21" s="6">
        <v>0</v>
      </c>
      <c r="Y21" s="6">
        <v>100</v>
      </c>
      <c r="Z21" s="6">
        <v>1</v>
      </c>
      <c r="AA21" s="97">
        <v>2</v>
      </c>
      <c r="AB21" s="23">
        <f t="shared" si="13"/>
        <v>361</v>
      </c>
      <c r="AC21" s="4" t="str">
        <f ca="1">VLOOKUP($AB21,OFFSET([4]characters!$A$1,0,0,COUNTA([4]characters!$A:$A),MATCH(AC$1,[4]characters!$1:$1,0)-MATCH("character_id",[4]characters!$1:$1,0)+1),MATCH(AC$1,[4]characters!$1:$1,0)-MATCH("character_id",[4]characters!$1:$1,0)+1,FALSE)</f>
        <v>灼熱の鉄板 ガンテツ</v>
      </c>
      <c r="AD21" s="4">
        <f ca="1">VLOOKUP($AB21,OFFSET([4]characters!$A$1,0,0,COUNTA([4]characters!$A:$A),MATCH(AD$1,[4]characters!$1:$1,0)-MATCH("character_id",[4]characters!$1:$1,0)+1),MATCH(AD$1,[4]characters!$1:$1,0)-MATCH("character_id",[4]characters!$1:$1,0)+1,FALSE)</f>
        <v>3</v>
      </c>
      <c r="AE21" s="4" t="str">
        <f ca="1">VLOOKUP($AB21,OFFSET([4]characters!$A$1,0,0,COUNTA([4]characters!$A:$A),MATCH(AE$1,[4]characters!$1:$1,0)-MATCH("character_id",[4]characters!$1:$1,0)+1),MATCH(AE$1,[4]characters!$1:$1,0)-MATCH("character_id",[4]characters!$1:$1,0)+1,FALSE)</f>
        <v>Drop1S</v>
      </c>
      <c r="AF21" s="7">
        <v>1</v>
      </c>
      <c r="AG21" s="23">
        <f t="shared" ca="1" si="14"/>
        <v>3</v>
      </c>
      <c r="AH21" s="8">
        <v>4</v>
      </c>
      <c r="AI21" s="7">
        <v>0</v>
      </c>
      <c r="AJ21" s="7">
        <v>0</v>
      </c>
      <c r="AK21" s="7">
        <v>0</v>
      </c>
      <c r="AL21" s="7">
        <v>0</v>
      </c>
      <c r="AM21" s="7">
        <v>1</v>
      </c>
      <c r="AN21" s="67">
        <v>1</v>
      </c>
    </row>
    <row r="22" spans="1:40" ht="21" customHeight="1" x14ac:dyDescent="0.15">
      <c r="A22" s="16" t="str">
        <f t="shared" si="15"/>
        <v>30036_1-4/736&lt;lv40&gt;s3</v>
      </c>
      <c r="B22" s="7">
        <v>30036</v>
      </c>
      <c r="C22" s="21">
        <v>1</v>
      </c>
      <c r="D22" s="2" t="str">
        <f t="shared" si="11"/>
        <v>30036_1</v>
      </c>
      <c r="E22" s="4" t="str">
        <f ca="1">VLOOKUP($B22,OFFSET([2]quests!$A$1,0,0,COUNTA([2]quests!$A:$A),MATCH(E$1,[2]quests!$1:$1,0)-MATCH($B$1,[2]quests!$1:$1,0)+1),MATCH(E$1,[2]quests!$1:$1,0)-MATCH($B$1,[2]quests!$1:$1,0)+1,FALSE)</f>
        <v>猛然たる炎獣使い</v>
      </c>
      <c r="F22" s="4" t="str">
        <f ca="1">VLOOKUP($D22,OFFSET([2]stages!$A$1,0,0,COUNTA([2]stages!$A:$A),MATCH(F$1,[2]stages!$2:$2,0)-MATCH($D$1,[2]stages!$2:$2,0)+1),MATCH(F$1,[2]stages!$2:$2,0)-MATCH($D$1,[2]stages!$2:$2,0)+1,FALSE)</f>
        <v>【中級】猛然たる炎獣使い</v>
      </c>
      <c r="G22" s="21">
        <v>4</v>
      </c>
      <c r="H22" s="15" t="str">
        <f t="shared" si="12"/>
        <v>30036_1-4</v>
      </c>
      <c r="I22" s="4">
        <f ca="1">VLOOKUP($H22,OFFSET(floors!$A$1,0,0,COUNTA(floors!$A:$A),MATCH(I$1,floors!$1:$1,0)-MATCH($H$1,floors!$1:$1,0)+1),MATCH(I$1,floors!$1:$1,0)-MATCH($H$1,floors!$1:$1,0)+1,FALSE)</f>
        <v>60</v>
      </c>
      <c r="J22" s="4">
        <f ca="1">VLOOKUP($H22,OFFSET(floors!$A$1,0,0,COUNTA(floors!$A:$A),MATCH(J$1,floors!$1:$1,0)-MATCH($H$1,floors!$1:$1,0)+1),MATCH(J$1,floors!$1:$1,0)-MATCH($H$1,floors!$1:$1,0)+1,FALSE)</f>
        <v>60</v>
      </c>
      <c r="K22" s="37">
        <v>1</v>
      </c>
      <c r="L22" s="20">
        <v>736</v>
      </c>
      <c r="M22" s="17" t="str">
        <f ca="1">VLOOKUP($L22,OFFSET([3]enemies!$A$1,0,0,COUNTA([3]enemies!$A:$A),MATCH(M$1,[3]enemies!$1:$1,0)-MATCH($L$1,[3]enemies!$1:$1,0)+1),MATCH(M$1,[3]enemies!$1:$1,0)-MATCH($L$1,[3]enemies!$1:$1,0)+1,FALSE)</f>
        <v>オルトロス</v>
      </c>
      <c r="N22" s="17" t="str">
        <f ca="1">VLOOKUP($L22,OFFSET([3]enemies!$A$1,0,0,COUNTA([3]enemies!$A:$A),MATCH(N$1,[3]enemies!$1:$1,0)-MATCH($L$1,[3]enemies!$1:$1,0)+1),MATCH(N$1,[3]enemies!$1:$1,0)-MATCH($L$1,[3]enemies!$1:$1,0)+1,FALSE)</f>
        <v>red</v>
      </c>
      <c r="O22" s="17" t="str">
        <f ca="1">VLOOKUP($L22,OFFSET([4]characters!$A$1,0,0,COUNTA([4]characters!$A:$A),MATCH(O$1,[4]characters!$1:$1,0)-MATCH($L$1,[4]characters!$1:$1,0)+1),MATCH(O$1,[4]characters!$1:$1,0)-MATCH($L$1,[4]characters!$1:$1,0)+1,FALSE)</f>
        <v>Drop2N</v>
      </c>
      <c r="P22" s="17" t="str">
        <f ca="1">VLOOKUP($L22,OFFSET([3]enemies!$A$1,0,0,COUNTA([3]enemies!$A:$A),MATCH(P$1,[3]enemies!$1:$1,0)-MATCH($L$1,[3]enemies!$1:$1,0)+1),MATCH(P$1,[3]enemies!$1:$1,0)-MATCH($L$1,[3]enemies!$1:$1,0)+1,FALSE)</f>
        <v>animal</v>
      </c>
      <c r="Q22" s="17">
        <f ca="1">VLOOKUP($L22,OFFSET([3]enemies!$A$1,0,0,COUNTA([3]enemies!$A:$A),MATCH(Q$1,[3]enemies!$1:$1,0)-MATCH($L$1,[3]enemies!$1:$1,0)+1),MATCH(Q$1,[3]enemies!$1:$1,0)-MATCH($L$1,[3]enemies!$1:$1,0)+1,FALSE)</f>
        <v>30</v>
      </c>
      <c r="R22" s="5">
        <v>40</v>
      </c>
      <c r="S22" s="24">
        <v>1.1000000000000001</v>
      </c>
      <c r="T22" s="24">
        <v>1.2</v>
      </c>
      <c r="U22" s="5">
        <v>0</v>
      </c>
      <c r="V22" s="4" t="str">
        <f ca="1">VLOOKUP($W22,OFFSET(enemy_skill_sets!$B$1,0,0,COUNTA(enemy_skill_sets!$B:$B),MATCH(M$1,enemy_skill_sets!$1:$1,0)-MATCH($W$1,enemy_skill_sets!$1:$1,0)+2),MATCH(M$1,enemy_skill_sets!$1:$1,0)-MATCH($W$1,enemy_skill_sets!$1:$1,0)+2,FALSE)</f>
        <v>状態異常耐性+攻撃力UP</v>
      </c>
      <c r="W22" s="4">
        <v>30036007</v>
      </c>
      <c r="X22" s="6">
        <v>0</v>
      </c>
      <c r="Y22" s="6">
        <v>100</v>
      </c>
      <c r="Z22" s="6">
        <v>1</v>
      </c>
      <c r="AA22" s="97">
        <v>3</v>
      </c>
      <c r="AB22" s="23">
        <f t="shared" si="13"/>
        <v>736</v>
      </c>
      <c r="AC22" s="4" t="str">
        <f ca="1">VLOOKUP($AB22,OFFSET([4]characters!$A$1,0,0,COUNTA([4]characters!$A:$A),MATCH(AC$1,[4]characters!$1:$1,0)-MATCH("character_id",[4]characters!$1:$1,0)+1),MATCH(AC$1,[4]characters!$1:$1,0)-MATCH("character_id",[4]characters!$1:$1,0)+1,FALSE)</f>
        <v>オルトロス</v>
      </c>
      <c r="AD22" s="4">
        <f ca="1">VLOOKUP($AB22,OFFSET([4]characters!$A$1,0,0,COUNTA([4]characters!$A:$A),MATCH(AD$1,[4]characters!$1:$1,0)-MATCH("character_id",[4]characters!$1:$1,0)+1),MATCH(AD$1,[4]characters!$1:$1,0)-MATCH("character_id",[4]characters!$1:$1,0)+1,FALSE)</f>
        <v>4</v>
      </c>
      <c r="AE22" s="4" t="str">
        <f ca="1">VLOOKUP($AB22,OFFSET([4]characters!$A$1,0,0,COUNTA([4]characters!$A:$A),MATCH(AE$1,[4]characters!$1:$1,0)-MATCH("character_id",[4]characters!$1:$1,0)+1),MATCH(AE$1,[4]characters!$1:$1,0)-MATCH("character_id",[4]characters!$1:$1,0)+1,FALSE)</f>
        <v>Drop2N</v>
      </c>
      <c r="AF22" s="7">
        <v>1</v>
      </c>
      <c r="AG22" s="23">
        <f t="shared" ca="1" si="14"/>
        <v>4</v>
      </c>
      <c r="AH22" s="108">
        <v>20</v>
      </c>
      <c r="AI22" s="7">
        <v>0</v>
      </c>
      <c r="AJ22" s="7">
        <v>0</v>
      </c>
      <c r="AK22" s="7">
        <v>0</v>
      </c>
      <c r="AL22" s="7">
        <v>0</v>
      </c>
      <c r="AM22" s="7">
        <v>1</v>
      </c>
      <c r="AN22" s="67">
        <v>1</v>
      </c>
    </row>
  </sheetData>
  <sheetProtection selectLockedCells="1" selectUnlockedCells="1"/>
  <autoFilter ref="B1:AH2">
    <sortState ref="B2:AH28">
      <sortCondition ref="C1:C28"/>
    </sortState>
  </autoFilter>
  <phoneticPr fontId="5"/>
  <pageMargins left="0.74791666666666667" right="0.74791666666666667" top="0.98402777777777772" bottom="0.98402777777777772" header="0.51180555555555551" footer="0.51180555555555551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6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G6" sqref="G6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 collapsed="1"/>
    <col min="14" max="14" width="8.83203125" style="3" hidden="1" customWidth="1" outlineLevel="1"/>
    <col min="15" max="15" width="8.6640625" style="3" hidden="1" customWidth="1" outlineLevel="1"/>
    <col min="16" max="16" width="12" style="3" hidden="1" customWidth="1" outlineLevel="1"/>
    <col min="17" max="17" width="21" style="3" hidden="1" customWidth="1" outlineLevel="1"/>
    <col min="18" max="18" width="8" style="3" hidden="1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16</v>
      </c>
      <c r="F1" s="29" t="s">
        <v>16</v>
      </c>
      <c r="G1" s="27" t="s">
        <v>19</v>
      </c>
      <c r="H1" s="28" t="s">
        <v>30</v>
      </c>
      <c r="I1" s="28" t="s">
        <v>14</v>
      </c>
      <c r="J1" s="28" t="s">
        <v>15</v>
      </c>
      <c r="K1" s="35" t="s">
        <v>54</v>
      </c>
      <c r="L1" s="35" t="s">
        <v>55</v>
      </c>
      <c r="M1" s="36" t="s">
        <v>2</v>
      </c>
      <c r="N1" s="30" t="s">
        <v>16</v>
      </c>
      <c r="O1" s="28" t="s">
        <v>24</v>
      </c>
      <c r="P1" s="28" t="s">
        <v>23</v>
      </c>
      <c r="Q1" s="31" t="s">
        <v>26</v>
      </c>
      <c r="R1" s="29" t="s">
        <v>25</v>
      </c>
      <c r="S1" s="27" t="s">
        <v>3</v>
      </c>
      <c r="T1" s="25" t="s">
        <v>48</v>
      </c>
      <c r="U1" s="25" t="s">
        <v>50</v>
      </c>
      <c r="V1" s="25" t="s">
        <v>52</v>
      </c>
      <c r="W1" s="27" t="s">
        <v>129</v>
      </c>
      <c r="X1" s="28" t="s">
        <v>128</v>
      </c>
      <c r="Y1" s="27" t="s">
        <v>8</v>
      </c>
    </row>
    <row r="2" spans="1:25" ht="21" customHeight="1" x14ac:dyDescent="0.15">
      <c r="A2" s="16" t="str">
        <f t="shared" ref="A2:A6" si="0">B2&amp;"_"&amp;C2&amp;"-"&amp;G2&amp;"/"&amp;M2&amp;"&lt;lv"&amp;S2&amp;"&gt;sq"&amp;K2&amp;"st"&amp;L2</f>
        <v>30036_3-4/736&lt;lv60&gt;sq1st2</v>
      </c>
      <c r="B2" s="7">
        <v>30036</v>
      </c>
      <c r="C2" s="21">
        <v>3</v>
      </c>
      <c r="D2" s="2" t="str">
        <f t="shared" ref="D2:D6" si="1">B2&amp;"_"&amp;C2</f>
        <v>30036_3</v>
      </c>
      <c r="E2" s="4" t="str">
        <f ca="1">VLOOKUP($B2,OFFSET([2]quests!$A$1,0,0,COUNTA([2]quests!$A:$A),MATCH(E$1,[2]quests!$1:$1,0)-MATCH($B$1,[2]quests!$1:$1,0)+1),MATCH(E$1,[2]quests!$1:$1,0)-MATCH($B$1,[2]quests!$1:$1,0)+1,FALSE)</f>
        <v>猛然たる炎獣使い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【超級】猛然たる炎獣使い</v>
      </c>
      <c r="G2" s="21">
        <v>4</v>
      </c>
      <c r="H2" s="15" t="str">
        <f t="shared" ref="H2:H6" si="2">B2&amp;"_"&amp;C2&amp;"-"&amp;G2</f>
        <v>30036_3-4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>
        <v>1</v>
      </c>
      <c r="L2" s="37">
        <v>2</v>
      </c>
      <c r="M2" s="20">
        <v>736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オルトロス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7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60</v>
      </c>
      <c r="T2" s="24">
        <v>1</v>
      </c>
      <c r="U2" s="24">
        <v>1.6</v>
      </c>
      <c r="V2" s="5">
        <v>0</v>
      </c>
      <c r="W2" s="7">
        <v>30036</v>
      </c>
      <c r="X2" s="101">
        <v>30036008</v>
      </c>
      <c r="Y2" s="102">
        <v>2</v>
      </c>
    </row>
    <row r="3" spans="1:25" ht="21" customHeight="1" x14ac:dyDescent="0.15">
      <c r="A3" s="16" t="str">
        <f t="shared" si="0"/>
        <v>30036_3-4/737&lt;lv60&gt;sq1st3</v>
      </c>
      <c r="B3" s="7">
        <v>30036</v>
      </c>
      <c r="C3" s="21">
        <v>3</v>
      </c>
      <c r="D3" s="2" t="str">
        <f t="shared" si="1"/>
        <v>30036_3</v>
      </c>
      <c r="E3" s="4" t="str">
        <f ca="1">VLOOKUP($B3,OFFSET([2]quests!$A$1,0,0,COUNTA([2]quests!$A:$A),MATCH(E$1,[2]quests!$1:$1,0)-MATCH($B$1,[2]quests!$1:$1,0)+1),MATCH(E$1,[2]quests!$1:$1,0)-MATCH($B$1,[2]quests!$1:$1,0)+1,FALSE)</f>
        <v>猛然たる炎獣使い</v>
      </c>
      <c r="F3" s="4" t="str">
        <f ca="1">VLOOKUP($D3,OFFSET([2]stages!$A$1,0,0,COUNTA([2]stages!$A:$A),MATCH(F$1,[2]stages!$2:$2,0)-MATCH($D$1,[2]stages!$2:$2,0)+1),MATCH(F$1,[2]stages!$2:$2,0)-MATCH($D$1,[2]stages!$2:$2,0)+1,FALSE)</f>
        <v>【超級】猛然たる炎獣使い</v>
      </c>
      <c r="G3" s="21">
        <v>4</v>
      </c>
      <c r="H3" s="15" t="str">
        <f t="shared" si="2"/>
        <v>30036_3-4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>
        <v>1</v>
      </c>
      <c r="L3" s="37">
        <v>3</v>
      </c>
      <c r="M3" s="20">
        <v>737</v>
      </c>
      <c r="N3" s="17" t="str">
        <f ca="1">VLOOKUP($M3,OFFSET([3]enemies!$A$1,0,0,COUNTA([3]enemies!$A:$A),MATCH(N$1,[3]enemies!$1:$1,0)-MATCH($M$1,[3]enemies!$1:$1,0)+1),MATCH(N$1,[3]enemies!$1:$1,0)-MATCH($M$1,[3]enemies!$1:$1,0)+1,FALSE)</f>
        <v>狂鳴の慟哭 オルトロス</v>
      </c>
      <c r="O3" s="17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7" t="str">
        <f ca="1">VLOOKUP($M3,OFFSET([3]enemies!$A$1,0,0,COUNTA([3]enemies!$A:$A),MATCH(Q$1,[3]enemies!$1:$1,0)-MATCH($M$1,[3]enemies!$1:$1,0)+1),MATCH(Q$1,[3]enemies!$1:$1,0)-MATCH($M$1,[3]enemies!$1:$1,0)+1,FALSE)</f>
        <v>animal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60</v>
      </c>
      <c r="T3" s="24">
        <v>1.2</v>
      </c>
      <c r="U3" s="24">
        <v>1.6</v>
      </c>
      <c r="V3" s="5">
        <v>0</v>
      </c>
      <c r="W3" s="7">
        <v>30036</v>
      </c>
      <c r="X3" s="101">
        <v>30036009</v>
      </c>
      <c r="Y3" s="102">
        <v>2</v>
      </c>
    </row>
    <row r="4" spans="1:25" ht="21" customHeight="1" x14ac:dyDescent="0.15">
      <c r="A4" s="16" t="str">
        <f t="shared" si="0"/>
        <v>30036_2-4/736&lt;lv40&gt;sq1st2</v>
      </c>
      <c r="B4" s="7">
        <v>30036</v>
      </c>
      <c r="C4" s="21">
        <v>2</v>
      </c>
      <c r="D4" s="2" t="str">
        <f t="shared" si="1"/>
        <v>30036_2</v>
      </c>
      <c r="E4" s="4" t="str">
        <f ca="1">VLOOKUP($B4,OFFSET([2]quests!$A$1,0,0,COUNTA([2]quests!$A:$A),MATCH(E$1,[2]quests!$1:$1,0)-MATCH($B$1,[2]quests!$1:$1,0)+1),MATCH(E$1,[2]quests!$1:$1,0)-MATCH($B$1,[2]quests!$1:$1,0)+1,FALSE)</f>
        <v>猛然たる炎獣使い</v>
      </c>
      <c r="F4" s="4" t="str">
        <f ca="1">VLOOKUP($D4,OFFSET([2]stages!$A$1,0,0,COUNTA([2]stages!$A:$A),MATCH(F$1,[2]stages!$2:$2,0)-MATCH($D$1,[2]stages!$2:$2,0)+1),MATCH(F$1,[2]stages!$2:$2,0)-MATCH($D$1,[2]stages!$2:$2,0)+1,FALSE)</f>
        <v>【上級】猛然たる炎獣使い</v>
      </c>
      <c r="G4" s="21">
        <v>4</v>
      </c>
      <c r="H4" s="15" t="str">
        <f t="shared" si="2"/>
        <v>30036_2-4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>
        <v>1</v>
      </c>
      <c r="L4" s="37">
        <v>2</v>
      </c>
      <c r="M4" s="20">
        <v>736</v>
      </c>
      <c r="N4" s="17" t="str">
        <f ca="1">VLOOKUP($M4,OFFSET([3]enemies!$A$1,0,0,COUNTA([3]enemies!$A:$A),MATCH(N$1,[3]enemies!$1:$1,0)-MATCH($M$1,[3]enemies!$1:$1,0)+1),MATCH(N$1,[3]enemies!$1:$1,0)-MATCH($M$1,[3]enemies!$1:$1,0)+1,FALSE)</f>
        <v>オルトロス</v>
      </c>
      <c r="O4" s="17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7" t="str">
        <f ca="1">VLOOKUP($M4,OFFSET([3]enemies!$A$1,0,0,COUNTA([3]enemies!$A:$A),MATCH(Q$1,[3]enemies!$1:$1,0)-MATCH($M$1,[3]enemies!$1:$1,0)+1),MATCH(Q$1,[3]enemies!$1:$1,0)-MATCH($M$1,[3]enemies!$1:$1,0)+1,FALSE)</f>
        <v>animal</v>
      </c>
      <c r="R4" s="17">
        <f ca="1">VLOOKUP($M4,OFFSET([3]enemies!$A$1,0,0,COUNTA([3]enemies!$A:$A),MATCH(R$1,[3]enemies!$1:$1,0)-MATCH($M$1,[3]enemies!$1:$1,0)+1),MATCH(R$1,[3]enemies!$1:$1,0)-MATCH($M$1,[3]enemies!$1:$1,0)+1,FALSE)</f>
        <v>30</v>
      </c>
      <c r="S4" s="5">
        <v>40</v>
      </c>
      <c r="T4" s="24">
        <v>1</v>
      </c>
      <c r="U4" s="24">
        <v>1.6</v>
      </c>
      <c r="V4" s="5">
        <v>0</v>
      </c>
      <c r="W4" s="7">
        <v>30036</v>
      </c>
      <c r="X4" s="101">
        <v>30036010</v>
      </c>
      <c r="Y4" s="102">
        <v>2</v>
      </c>
    </row>
    <row r="5" spans="1:25" ht="21" customHeight="1" x14ac:dyDescent="0.15">
      <c r="A5" s="16" t="str">
        <f t="shared" si="0"/>
        <v>30036_2-4/737&lt;lv40&gt;sq1st3</v>
      </c>
      <c r="B5" s="7">
        <v>30036</v>
      </c>
      <c r="C5" s="21">
        <v>2</v>
      </c>
      <c r="D5" s="2" t="str">
        <f t="shared" si="1"/>
        <v>30036_2</v>
      </c>
      <c r="E5" s="4" t="str">
        <f ca="1">VLOOKUP($B5,OFFSET([2]quests!$A$1,0,0,COUNTA([2]quests!$A:$A),MATCH(E$1,[2]quests!$1:$1,0)-MATCH($B$1,[2]quests!$1:$1,0)+1),MATCH(E$1,[2]quests!$1:$1,0)-MATCH($B$1,[2]quests!$1:$1,0)+1,FALSE)</f>
        <v>猛然たる炎獣使い</v>
      </c>
      <c r="F5" s="4" t="str">
        <f ca="1">VLOOKUP($D5,OFFSET([2]stages!$A$1,0,0,COUNTA([2]stages!$A:$A),MATCH(F$1,[2]stages!$2:$2,0)-MATCH($D$1,[2]stages!$2:$2,0)+1),MATCH(F$1,[2]stages!$2:$2,0)-MATCH($D$1,[2]stages!$2:$2,0)+1,FALSE)</f>
        <v>【上級】猛然たる炎獣使い</v>
      </c>
      <c r="G5" s="21">
        <v>4</v>
      </c>
      <c r="H5" s="15" t="str">
        <f t="shared" si="2"/>
        <v>30036_2-4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>
        <v>1</v>
      </c>
      <c r="L5" s="37">
        <v>3</v>
      </c>
      <c r="M5" s="20">
        <v>737</v>
      </c>
      <c r="N5" s="17" t="str">
        <f ca="1">VLOOKUP($M5,OFFSET([3]enemies!$A$1,0,0,COUNTA([3]enemies!$A:$A),MATCH(N$1,[3]enemies!$1:$1,0)-MATCH($M$1,[3]enemies!$1:$1,0)+1),MATCH(N$1,[3]enemies!$1:$1,0)-MATCH($M$1,[3]enemies!$1:$1,0)+1,FALSE)</f>
        <v>狂鳴の慟哭 オルトロス</v>
      </c>
      <c r="O5" s="17" t="str">
        <f ca="1">VLOOKUP($M5,OFFSET([3]enemies!$A$1,0,0,COUNTA([3]enemies!$A:$A),MATCH(O$1,[3]enemies!$1:$1,0)-MATCH($M$1,[3]enemies!$1:$1,0)+1),MATCH(O$1,[3]enemies!$1:$1,0)-MATCH($M$1,[3]enemies!$1:$1,0)+1,FALSE)</f>
        <v>red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Drop2N</v>
      </c>
      <c r="Q5" s="17" t="str">
        <f ca="1">VLOOKUP($M5,OFFSET([3]enemies!$A$1,0,0,COUNTA([3]enemies!$A:$A),MATCH(Q$1,[3]enemies!$1:$1,0)-MATCH($M$1,[3]enemies!$1:$1,0)+1),MATCH(Q$1,[3]enemies!$1:$1,0)-MATCH($M$1,[3]enemies!$1:$1,0)+1,FALSE)</f>
        <v>animal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40</v>
      </c>
      <c r="T5" s="24">
        <v>1.3</v>
      </c>
      <c r="U5" s="24">
        <v>1.6</v>
      </c>
      <c r="V5" s="5">
        <v>0</v>
      </c>
      <c r="W5" s="7">
        <v>30036</v>
      </c>
      <c r="X5" s="101">
        <v>30036011</v>
      </c>
      <c r="Y5" s="102">
        <v>2</v>
      </c>
    </row>
    <row r="6" spans="1:25" ht="21" customHeight="1" x14ac:dyDescent="0.15">
      <c r="A6" s="16" t="str">
        <f t="shared" si="0"/>
        <v>30036_1-4/736&lt;lv40&gt;sq1st2</v>
      </c>
      <c r="B6" s="7">
        <v>30036</v>
      </c>
      <c r="C6" s="21">
        <v>1</v>
      </c>
      <c r="D6" s="2" t="str">
        <f t="shared" si="1"/>
        <v>30036_1</v>
      </c>
      <c r="E6" s="4" t="str">
        <f ca="1">VLOOKUP($B6,OFFSET([2]quests!$A$1,0,0,COUNTA([2]quests!$A:$A),MATCH(E$1,[2]quests!$1:$1,0)-MATCH($B$1,[2]quests!$1:$1,0)+1),MATCH(E$1,[2]quests!$1:$1,0)-MATCH($B$1,[2]quests!$1:$1,0)+1,FALSE)</f>
        <v>猛然たる炎獣使い</v>
      </c>
      <c r="F6" s="4" t="str">
        <f ca="1">VLOOKUP($D6,OFFSET([2]stages!$A$1,0,0,COUNTA([2]stages!$A:$A),MATCH(F$1,[2]stages!$2:$2,0)-MATCH($D$1,[2]stages!$2:$2,0)+1),MATCH(F$1,[2]stages!$2:$2,0)-MATCH($D$1,[2]stages!$2:$2,0)+1,FALSE)</f>
        <v>【中級】猛然たる炎獣使い</v>
      </c>
      <c r="G6" s="21">
        <v>4</v>
      </c>
      <c r="H6" s="15" t="str">
        <f t="shared" si="2"/>
        <v>30036_1-4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7">
        <v>1</v>
      </c>
      <c r="L6" s="37">
        <v>2</v>
      </c>
      <c r="M6" s="20">
        <v>736</v>
      </c>
      <c r="N6" s="17" t="str">
        <f ca="1">VLOOKUP($M6,OFFSET([3]enemies!$A$1,0,0,COUNTA([3]enemies!$A:$A),MATCH(N$1,[3]enemies!$1:$1,0)-MATCH($M$1,[3]enemies!$1:$1,0)+1),MATCH(N$1,[3]enemies!$1:$1,0)-MATCH($M$1,[3]enemies!$1:$1,0)+1,FALSE)</f>
        <v>オルトロス</v>
      </c>
      <c r="O6" s="17" t="str">
        <f ca="1">VLOOKUP($M6,OFFSET([3]enemies!$A$1,0,0,COUNTA([3]enemies!$A:$A),MATCH(O$1,[3]enemies!$1:$1,0)-MATCH($M$1,[3]enemies!$1:$1,0)+1),MATCH(O$1,[3]enemies!$1:$1,0)-MATCH($M$1,[3]enemies!$1:$1,0)+1,FALSE)</f>
        <v>red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Drop2N</v>
      </c>
      <c r="Q6" s="17" t="str">
        <f ca="1">VLOOKUP($M6,OFFSET([3]enemies!$A$1,0,0,COUNTA([3]enemies!$A:$A),MATCH(Q$1,[3]enemies!$1:$1,0)-MATCH($M$1,[3]enemies!$1:$1,0)+1),MATCH(Q$1,[3]enemies!$1:$1,0)-MATCH($M$1,[3]enemies!$1:$1,0)+1,FALSE)</f>
        <v>animal</v>
      </c>
      <c r="R6" s="17">
        <f ca="1">VLOOKUP($M6,OFFSET([3]enemies!$A$1,0,0,COUNTA([3]enemies!$A:$A),MATCH(R$1,[3]enemies!$1:$1,0)-MATCH($M$1,[3]enemies!$1:$1,0)+1),MATCH(R$1,[3]enemies!$1:$1,0)-MATCH($M$1,[3]enemies!$1:$1,0)+1,FALSE)</f>
        <v>30</v>
      </c>
      <c r="S6" s="5">
        <v>40</v>
      </c>
      <c r="T6" s="24">
        <v>1.1000000000000001</v>
      </c>
      <c r="U6" s="24">
        <v>1.3</v>
      </c>
      <c r="V6" s="5">
        <v>0</v>
      </c>
      <c r="W6" s="7">
        <v>30036</v>
      </c>
      <c r="X6" s="101">
        <v>30036012</v>
      </c>
      <c r="Y6" s="102">
        <v>2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31"/>
  <sheetViews>
    <sheetView showGridLines="0" workbookViewId="0">
      <pane ySplit="1" topLeftCell="A13" activePane="bottomLeft" state="frozenSplit"/>
      <selection pane="bottomLeft" activeCell="C32" sqref="C32"/>
    </sheetView>
  </sheetViews>
  <sheetFormatPr baseColWidth="12" defaultColWidth="12.83203125" defaultRowHeight="21" customHeight="1" outlineLevelCol="1" x14ac:dyDescent="0.15"/>
  <cols>
    <col min="1" max="1" width="12.83203125" style="48"/>
    <col min="2" max="2" width="67.1640625" style="48" customWidth="1"/>
    <col min="3" max="4" width="12.83203125" style="48"/>
    <col min="5" max="5" width="23.6640625" style="48" bestFit="1" customWidth="1"/>
    <col min="6" max="6" width="44.1640625" style="48" bestFit="1" customWidth="1"/>
    <col min="7" max="7" width="52" style="48" hidden="1" customWidth="1" outlineLevel="1"/>
    <col min="8" max="8" width="18.33203125" style="48" hidden="1" customWidth="1" outlineLevel="1"/>
    <col min="9" max="11" width="18.6640625" style="48" hidden="1" customWidth="1" outlineLevel="1"/>
    <col min="12" max="12" width="23.6640625" style="48" customWidth="1" collapsed="1"/>
    <col min="13" max="18" width="23.6640625" style="48" hidden="1" customWidth="1" outlineLevel="1"/>
    <col min="19" max="19" width="23.6640625" style="48" customWidth="1" collapsed="1"/>
    <col min="20" max="24" width="23.6640625" style="48" hidden="1" customWidth="1" outlineLevel="1"/>
    <col min="25" max="25" width="23.6640625" style="48" customWidth="1" collapsed="1"/>
    <col min="26" max="27" width="12.83203125" style="48"/>
    <col min="28" max="28" width="44.5" style="48" customWidth="1"/>
    <col min="29" max="16384" width="12.83203125" style="48"/>
  </cols>
  <sheetData>
    <row r="1" spans="1:28" ht="21" customHeight="1" x14ac:dyDescent="0.15">
      <c r="A1" s="39" t="s">
        <v>79</v>
      </c>
      <c r="B1" s="39" t="s">
        <v>233</v>
      </c>
      <c r="C1" s="39" t="s">
        <v>81</v>
      </c>
      <c r="D1" s="39" t="s">
        <v>126</v>
      </c>
      <c r="E1" s="39" t="s">
        <v>82</v>
      </c>
      <c r="F1" s="39" t="s">
        <v>83</v>
      </c>
      <c r="G1" s="40" t="s">
        <v>132</v>
      </c>
      <c r="H1" s="40" t="s">
        <v>138</v>
      </c>
      <c r="I1" s="40" t="s">
        <v>140</v>
      </c>
      <c r="J1" s="40" t="s">
        <v>139</v>
      </c>
      <c r="K1" s="40" t="s">
        <v>141</v>
      </c>
      <c r="L1" s="40" t="s">
        <v>133</v>
      </c>
      <c r="M1" s="40" t="s">
        <v>131</v>
      </c>
      <c r="N1" s="40" t="s">
        <v>134</v>
      </c>
      <c r="O1" s="40" t="s">
        <v>142</v>
      </c>
      <c r="P1" s="40" t="s">
        <v>143</v>
      </c>
      <c r="Q1" s="40" t="s">
        <v>144</v>
      </c>
      <c r="R1" s="40" t="s">
        <v>145</v>
      </c>
      <c r="S1" s="40" t="s">
        <v>135</v>
      </c>
      <c r="T1" s="40" t="s">
        <v>136</v>
      </c>
      <c r="U1" s="40" t="s">
        <v>146</v>
      </c>
      <c r="V1" s="40" t="s">
        <v>147</v>
      </c>
      <c r="W1" s="40" t="s">
        <v>148</v>
      </c>
      <c r="X1" s="40" t="s">
        <v>149</v>
      </c>
      <c r="Y1" s="40" t="s">
        <v>137</v>
      </c>
      <c r="Z1" s="40" t="s">
        <v>76</v>
      </c>
      <c r="AA1" s="40" t="s">
        <v>77</v>
      </c>
      <c r="AB1" s="40" t="s">
        <v>78</v>
      </c>
    </row>
    <row r="2" spans="1:28" ht="21" customHeight="1" x14ac:dyDescent="0.15">
      <c r="A2" s="96">
        <v>30036001</v>
      </c>
      <c r="B2" s="46" t="s">
        <v>254</v>
      </c>
      <c r="C2" s="49">
        <v>3</v>
      </c>
      <c r="D2" s="49" t="s">
        <v>127</v>
      </c>
      <c r="E2" s="50" t="s">
        <v>250</v>
      </c>
      <c r="F2" s="50" t="s">
        <v>228</v>
      </c>
      <c r="G2" s="61" t="str">
        <f>IFERROR(LEFT(B2,FIND("],",B2)),B2)</f>
        <v>[effect:spread, val:0.3]</v>
      </c>
      <c r="H2" s="61">
        <f t="shared" ref="H2:H22" si="0">FIND("effect:",G2)+7</f>
        <v>9</v>
      </c>
      <c r="I2" s="61">
        <f t="shared" ref="I2:I16" si="1">IFERROR(FIND(",",G2),LEN(G2))</f>
        <v>15</v>
      </c>
      <c r="J2" s="61" t="e">
        <f t="shared" ref="J2:J16" si="2">FIND("target:",G2)+7</f>
        <v>#VALUE!</v>
      </c>
      <c r="K2" s="61" t="e">
        <f t="shared" ref="K2:K16" si="3">FIND(",",G2,I2+1)</f>
        <v>#VALUE!</v>
      </c>
      <c r="L2" s="61" t="str">
        <f>IFERROR(VLOOKUP(MID(G2,J2,K2-J2),[5]skilldef!$C:$D,2,FALSE),"-") &amp; " / " &amp; IFERROR(VLOOKUP(MID(G2,H2,I2-H2),[5]skilldef!$A:$B,2,FALSE),"-")</f>
        <v>- / 全体攻撃</v>
      </c>
      <c r="M2" s="61" t="str">
        <f>IFERROR(RIGHT(B2,LEN(B2)-FIND("],",B2)-1),"none")</f>
        <v>none</v>
      </c>
      <c r="N2" s="47" t="str">
        <f>IFERROR(LEFT(M2,FIND("],",M2)+S21),M2)</f>
        <v>none</v>
      </c>
      <c r="O2" s="61" t="e">
        <f t="shared" ref="O2:O22" si="4">FIND("effect:",N2)+7</f>
        <v>#VALUE!</v>
      </c>
      <c r="P2" s="61">
        <f t="shared" ref="P2:P16" si="5">IFERROR(FIND(",",N2),LEN(N2))</f>
        <v>4</v>
      </c>
      <c r="Q2" s="61" t="e">
        <f t="shared" ref="Q2:Q16" si="6">FIND("target:",N2)+7</f>
        <v>#VALUE!</v>
      </c>
      <c r="R2" s="61" t="e">
        <f t="shared" ref="R2:R16" si="7">FIND(",",N2,P2+1)</f>
        <v>#VALUE!</v>
      </c>
      <c r="S2" s="61" t="str">
        <f>IFERROR(VLOOKUP(MID(N2,Q2,R2-Q2),[5]skilldef!$C:$D,2,FALSE),"-") &amp; " / " &amp; IFERROR(VLOOKUP(MID(N2,O2,P2-O2),[5]skilldef!$A:$B,2,FALSE),"-")</f>
        <v>- / -</v>
      </c>
      <c r="T2" s="47" t="str">
        <f t="shared" ref="T2:T16" si="8">IFERROR(RIGHT(M2,LEN(M2)-FIND("],",M2)-1),"none")</f>
        <v>none</v>
      </c>
      <c r="U2" s="61" t="e">
        <f t="shared" ref="U2:U22" si="9">FIND("effect:",T2)+7</f>
        <v>#VALUE!</v>
      </c>
      <c r="V2" s="61">
        <f t="shared" ref="V2:V16" si="10">IFERROR(FIND(",",T2),LEN(T2))</f>
        <v>4</v>
      </c>
      <c r="W2" s="61" t="e">
        <f t="shared" ref="W2:W16" si="11">FIND("target:",T2)+7</f>
        <v>#VALUE!</v>
      </c>
      <c r="X2" s="61" t="e">
        <f t="shared" ref="X2:X16" si="12">FIND(",",T2,V2+1)</f>
        <v>#VALUE!</v>
      </c>
      <c r="Y2" s="61" t="str">
        <f>IFERROR(VLOOKUP(MID(T2,W2,X2-W2),[5]skilldef!$C:$D,2,FALSE),"-") &amp; " / " &amp; IFERROR(VLOOKUP(MID(T2,U2,V2-U2),[5]skilldef!$A:$B,2,FALSE),"-")</f>
        <v>- / -</v>
      </c>
      <c r="Z2" s="49"/>
      <c r="AA2" s="51"/>
      <c r="AB2" s="49"/>
    </row>
    <row r="3" spans="1:28" ht="21" customHeight="1" x14ac:dyDescent="0.15">
      <c r="A3" s="96">
        <v>30036002</v>
      </c>
      <c r="B3" s="46"/>
      <c r="C3" s="49">
        <v>3</v>
      </c>
      <c r="D3" s="49" t="s">
        <v>127</v>
      </c>
      <c r="E3" s="61" t="s">
        <v>223</v>
      </c>
      <c r="F3" s="103" t="s">
        <v>231</v>
      </c>
      <c r="G3" s="61"/>
      <c r="H3" s="61"/>
      <c r="I3" s="61"/>
      <c r="J3" s="61"/>
      <c r="K3" s="61"/>
      <c r="L3" s="61"/>
      <c r="M3" s="61"/>
      <c r="N3" s="47"/>
      <c r="O3" s="61"/>
      <c r="P3" s="61"/>
      <c r="Q3" s="61"/>
      <c r="R3" s="61"/>
      <c r="S3" s="61"/>
      <c r="T3" s="47"/>
      <c r="U3" s="61"/>
      <c r="V3" s="61"/>
      <c r="W3" s="61"/>
      <c r="X3" s="61"/>
      <c r="Y3" s="61"/>
      <c r="Z3" s="49"/>
      <c r="AA3" s="51"/>
      <c r="AB3" s="49"/>
    </row>
    <row r="4" spans="1:28" ht="21" customHeight="1" x14ac:dyDescent="0.15">
      <c r="A4" s="96">
        <v>30036003</v>
      </c>
      <c r="B4" s="46" t="s">
        <v>240</v>
      </c>
      <c r="C4" s="49">
        <v>3</v>
      </c>
      <c r="D4" s="49" t="s">
        <v>127</v>
      </c>
      <c r="E4" s="50" t="s">
        <v>274</v>
      </c>
      <c r="F4" s="50" t="s">
        <v>229</v>
      </c>
      <c r="G4" s="61" t="str">
        <f>IFERROR(LEFT(B4,FIND("],",B4)),B4)</f>
        <v>[effect:spread, val:0.3]</v>
      </c>
      <c r="H4" s="61">
        <f t="shared" si="0"/>
        <v>9</v>
      </c>
      <c r="I4" s="61">
        <f t="shared" si="1"/>
        <v>15</v>
      </c>
      <c r="J4" s="61" t="e">
        <f t="shared" si="2"/>
        <v>#VALUE!</v>
      </c>
      <c r="K4" s="61" t="e">
        <f t="shared" si="3"/>
        <v>#VALUE!</v>
      </c>
      <c r="L4" s="61" t="str">
        <f>IFERROR(VLOOKUP(MID(G4,J4,K4-J4),[5]skilldef!$C:$D,2,FALSE),"-") &amp; " / " &amp; IFERROR(VLOOKUP(MID(G4,H4,I4-H4),[5]skilldef!$A:$B,2,FALSE),"-")</f>
        <v>- / 全体攻撃</v>
      </c>
      <c r="M4" s="61" t="str">
        <f>IFERROR(RIGHT(B4,LEN(B4)-FIND("],",B4)-1),"none")</f>
        <v>none</v>
      </c>
      <c r="N4" s="47" t="str">
        <f>IFERROR(LEFT(M4,FIND("],",M4)+#REF!),M4)</f>
        <v>none</v>
      </c>
      <c r="O4" s="61" t="e">
        <f t="shared" si="4"/>
        <v>#VALUE!</v>
      </c>
      <c r="P4" s="61">
        <f t="shared" si="5"/>
        <v>4</v>
      </c>
      <c r="Q4" s="61" t="e">
        <f t="shared" si="6"/>
        <v>#VALUE!</v>
      </c>
      <c r="R4" s="61" t="e">
        <f t="shared" si="7"/>
        <v>#VALUE!</v>
      </c>
      <c r="S4" s="61" t="str">
        <f>IFERROR(VLOOKUP(MID(N4,Q4,R4-Q4),[5]skilldef!$C:$D,2,FALSE),"-") &amp; " / " &amp; IFERROR(VLOOKUP(MID(N4,O4,P4-O4),[5]skilldef!$A:$B,2,FALSE),"-")</f>
        <v>- / -</v>
      </c>
      <c r="T4" s="47" t="str">
        <f t="shared" si="8"/>
        <v>none</v>
      </c>
      <c r="U4" s="61" t="e">
        <f t="shared" si="9"/>
        <v>#VALUE!</v>
      </c>
      <c r="V4" s="61">
        <f t="shared" si="10"/>
        <v>4</v>
      </c>
      <c r="W4" s="61" t="e">
        <f t="shared" si="11"/>
        <v>#VALUE!</v>
      </c>
      <c r="X4" s="61" t="e">
        <f t="shared" si="12"/>
        <v>#VALUE!</v>
      </c>
      <c r="Y4" s="61" t="str">
        <f>IFERROR(VLOOKUP(MID(T4,W4,X4-W4),[5]skilldef!$C:$D,2,FALSE),"-") &amp; " / " &amp; IFERROR(VLOOKUP(MID(T4,U4,V4-U4),[5]skilldef!$A:$B,2,FALSE),"-")</f>
        <v>- / -</v>
      </c>
      <c r="Z4" s="49"/>
      <c r="AA4" s="51"/>
      <c r="AB4" s="49"/>
    </row>
    <row r="5" spans="1:28" ht="21" customHeight="1" x14ac:dyDescent="0.15">
      <c r="A5" s="96">
        <v>30036004</v>
      </c>
      <c r="B5" s="46"/>
      <c r="C5" s="49">
        <v>3</v>
      </c>
      <c r="D5" s="49" t="s">
        <v>127</v>
      </c>
      <c r="E5" s="61" t="s">
        <v>224</v>
      </c>
      <c r="F5" s="103" t="s">
        <v>231</v>
      </c>
      <c r="G5" s="61"/>
      <c r="H5" s="61"/>
      <c r="I5" s="61"/>
      <c r="J5" s="61"/>
      <c r="K5" s="61"/>
      <c r="L5" s="61"/>
      <c r="M5" s="61"/>
      <c r="N5" s="47"/>
      <c r="O5" s="61"/>
      <c r="P5" s="61"/>
      <c r="Q5" s="61"/>
      <c r="R5" s="61"/>
      <c r="S5" s="61"/>
      <c r="T5" s="47"/>
      <c r="U5" s="61"/>
      <c r="V5" s="61"/>
      <c r="W5" s="61"/>
      <c r="X5" s="61"/>
      <c r="Y5" s="61"/>
      <c r="Z5" s="49"/>
      <c r="AA5" s="51"/>
      <c r="AB5" s="49"/>
    </row>
    <row r="6" spans="1:28" ht="21" customHeight="1" x14ac:dyDescent="0.15">
      <c r="A6" s="96">
        <v>30036005</v>
      </c>
      <c r="B6" s="46"/>
      <c r="C6" s="49">
        <v>3</v>
      </c>
      <c r="D6" s="49" t="s">
        <v>127</v>
      </c>
      <c r="E6" s="61" t="s">
        <v>230</v>
      </c>
      <c r="F6" s="103" t="s">
        <v>231</v>
      </c>
      <c r="G6" s="61">
        <f>IFERROR(LEFT(B6,FIND("],",B6)),B6)</f>
        <v>0</v>
      </c>
      <c r="H6" s="61" t="e">
        <f t="shared" si="0"/>
        <v>#VALUE!</v>
      </c>
      <c r="I6" s="61">
        <f t="shared" si="1"/>
        <v>1</v>
      </c>
      <c r="J6" s="61" t="e">
        <f t="shared" si="2"/>
        <v>#VALUE!</v>
      </c>
      <c r="K6" s="61" t="e">
        <f t="shared" si="3"/>
        <v>#VALUE!</v>
      </c>
      <c r="L6" s="61" t="str">
        <f>IFERROR(VLOOKUP(MID(G6,J6,K6-J6),[5]skilldef!$C:$D,2,FALSE),"-") &amp; " / " &amp; IFERROR(VLOOKUP(MID(G6,H6,I6-H6),[5]skilldef!$A:$B,2,FALSE),"-")</f>
        <v>- / -</v>
      </c>
      <c r="M6" s="61" t="str">
        <f>IFERROR(RIGHT(B6,LEN(B6)-FIND("],",B6)-1),"none")</f>
        <v>none</v>
      </c>
      <c r="N6" s="47" t="str">
        <f>IFERROR(LEFT(M6,FIND("],",M6)+#REF!),M6)</f>
        <v>none</v>
      </c>
      <c r="O6" s="61" t="e">
        <f t="shared" si="4"/>
        <v>#VALUE!</v>
      </c>
      <c r="P6" s="61">
        <f t="shared" si="5"/>
        <v>4</v>
      </c>
      <c r="Q6" s="61" t="e">
        <f t="shared" si="6"/>
        <v>#VALUE!</v>
      </c>
      <c r="R6" s="61" t="e">
        <f t="shared" si="7"/>
        <v>#VALUE!</v>
      </c>
      <c r="S6" s="61" t="str">
        <f>IFERROR(VLOOKUP(MID(N6,Q6,R6-Q6),[5]skilldef!$C:$D,2,FALSE),"-") &amp; " / " &amp; IFERROR(VLOOKUP(MID(N6,O6,P6-O6),[5]skilldef!$A:$B,2,FALSE),"-")</f>
        <v>- / -</v>
      </c>
      <c r="T6" s="47" t="str">
        <f t="shared" si="8"/>
        <v>none</v>
      </c>
      <c r="U6" s="61" t="e">
        <f t="shared" si="9"/>
        <v>#VALUE!</v>
      </c>
      <c r="V6" s="61">
        <f t="shared" si="10"/>
        <v>4</v>
      </c>
      <c r="W6" s="61" t="e">
        <f t="shared" si="11"/>
        <v>#VALUE!</v>
      </c>
      <c r="X6" s="61" t="e">
        <f t="shared" si="12"/>
        <v>#VALUE!</v>
      </c>
      <c r="Y6" s="61" t="str">
        <f>IFERROR(VLOOKUP(MID(T6,W6,X6-W6),[5]skilldef!$C:$D,2,FALSE),"-") &amp; " / " &amp; IFERROR(VLOOKUP(MID(T6,U6,V6-U6),[5]skilldef!$A:$B,2,FALSE),"-")</f>
        <v>- / -</v>
      </c>
      <c r="Z6" s="49"/>
      <c r="AA6" s="51"/>
      <c r="AB6" s="49"/>
    </row>
    <row r="7" spans="1:28" ht="21" customHeight="1" x14ac:dyDescent="0.15">
      <c r="A7" s="96">
        <v>30036006</v>
      </c>
      <c r="B7" s="46"/>
      <c r="C7" s="49">
        <v>3</v>
      </c>
      <c r="D7" s="49" t="s">
        <v>127</v>
      </c>
      <c r="E7" s="61" t="s">
        <v>230</v>
      </c>
      <c r="F7" s="103" t="s">
        <v>231</v>
      </c>
      <c r="G7" s="61"/>
      <c r="H7" s="61"/>
      <c r="I7" s="61"/>
      <c r="J7" s="61"/>
      <c r="K7" s="61"/>
      <c r="L7" s="61"/>
      <c r="M7" s="61"/>
      <c r="N7" s="47"/>
      <c r="O7" s="61"/>
      <c r="P7" s="61"/>
      <c r="Q7" s="61"/>
      <c r="R7" s="61"/>
      <c r="S7" s="61"/>
      <c r="T7" s="47"/>
      <c r="U7" s="61"/>
      <c r="V7" s="61"/>
      <c r="W7" s="61"/>
      <c r="X7" s="61"/>
      <c r="Y7" s="61"/>
      <c r="Z7" s="49"/>
      <c r="AA7" s="51"/>
      <c r="AB7" s="49"/>
    </row>
    <row r="8" spans="1:28" ht="21" customHeight="1" x14ac:dyDescent="0.15">
      <c r="A8" s="96">
        <v>30036007</v>
      </c>
      <c r="B8" s="46" t="s">
        <v>241</v>
      </c>
      <c r="C8" s="49">
        <v>3</v>
      </c>
      <c r="D8" s="49" t="s">
        <v>127</v>
      </c>
      <c r="E8" s="50" t="s">
        <v>251</v>
      </c>
      <c r="F8" s="50" t="s">
        <v>278</v>
      </c>
      <c r="G8" s="61" t="str">
        <f>IFERROR(LEFT(B8,FIND("],",B8)),B8)</f>
        <v>[effect:break_attack, val:0.03, lowest_val:2000, count:15, block:block_heart, target:unit_one]</v>
      </c>
      <c r="H8" s="61">
        <f t="shared" ref="H8" si="13">FIND("effect:",G8)+7</f>
        <v>9</v>
      </c>
      <c r="I8" s="61">
        <f t="shared" ref="I8" si="14">IFERROR(FIND(",",G8),LEN(G8))</f>
        <v>21</v>
      </c>
      <c r="J8" s="61">
        <f t="shared" ref="J8" si="15">FIND("target:",G8)+7</f>
        <v>86</v>
      </c>
      <c r="K8" s="61">
        <f t="shared" ref="K8" si="16">FIND(",",G8,I8+1)</f>
        <v>31</v>
      </c>
      <c r="L8" s="61" t="str">
        <f>IFERROR(VLOOKUP(MID(G8,J8,K8-J8),[5]skilldef!$C:$D,2,FALSE),"-") &amp; " / " &amp; IFERROR(VLOOKUP(MID(G8,H8,I8-H8),[5]skilldef!$A:$B,2,FALSE),"-")</f>
        <v>- / -</v>
      </c>
      <c r="M8" s="61" t="str">
        <f>IFERROR(RIGHT(B8,LEN(B8)-FIND("],",B8)-1),"none")</f>
        <v>none</v>
      </c>
      <c r="N8" s="47" t="str">
        <f>IFERROR(LEFT(M8,FIND("],",M8)+#REF!),M8)</f>
        <v>none</v>
      </c>
      <c r="O8" s="61" t="e">
        <f t="shared" ref="O8" si="17">FIND("effect:",N8)+7</f>
        <v>#VALUE!</v>
      </c>
      <c r="P8" s="61">
        <f t="shared" ref="P8" si="18">IFERROR(FIND(",",N8),LEN(N8))</f>
        <v>4</v>
      </c>
      <c r="Q8" s="61" t="e">
        <f t="shared" ref="Q8" si="19">FIND("target:",N8)+7</f>
        <v>#VALUE!</v>
      </c>
      <c r="R8" s="61" t="e">
        <f t="shared" ref="R8" si="20">FIND(",",N8,P8+1)</f>
        <v>#VALUE!</v>
      </c>
      <c r="S8" s="61" t="str">
        <f>IFERROR(VLOOKUP(MID(N8,Q8,R8-Q8),[5]skilldef!$C:$D,2,FALSE),"-") &amp; " / " &amp; IFERROR(VLOOKUP(MID(N8,O8,P8-O8),[5]skilldef!$A:$B,2,FALSE),"-")</f>
        <v>- / -</v>
      </c>
      <c r="T8" s="47" t="str">
        <f t="shared" ref="T8" si="21">IFERROR(RIGHT(M8,LEN(M8)-FIND("],",M8)-1),"none")</f>
        <v>none</v>
      </c>
      <c r="U8" s="61" t="e">
        <f t="shared" ref="U8" si="22">FIND("effect:",T8)+7</f>
        <v>#VALUE!</v>
      </c>
      <c r="V8" s="61">
        <f t="shared" ref="V8" si="23">IFERROR(FIND(",",T8),LEN(T8))</f>
        <v>4</v>
      </c>
      <c r="W8" s="61" t="e">
        <f t="shared" ref="W8" si="24">FIND("target:",T8)+7</f>
        <v>#VALUE!</v>
      </c>
      <c r="X8" s="61" t="e">
        <f t="shared" ref="X8" si="25">FIND(",",T8,V8+1)</f>
        <v>#VALUE!</v>
      </c>
      <c r="Y8" s="61" t="str">
        <f>IFERROR(VLOOKUP(MID(T8,W8,X8-W8),[5]skilldef!$C:$D,2,FALSE),"-") &amp; " / " &amp; IFERROR(VLOOKUP(MID(T8,U8,V8-U8),[5]skilldef!$A:$B,2,FALSE),"-")</f>
        <v>- / -</v>
      </c>
      <c r="Z8" s="49"/>
      <c r="AA8" s="51"/>
      <c r="AB8" s="49"/>
    </row>
    <row r="9" spans="1:28" ht="21" customHeight="1" x14ac:dyDescent="0.15">
      <c r="A9" s="96">
        <v>30036008</v>
      </c>
      <c r="B9" s="46"/>
      <c r="C9" s="49">
        <v>3</v>
      </c>
      <c r="D9" s="49" t="s">
        <v>127</v>
      </c>
      <c r="E9" s="61" t="s">
        <v>225</v>
      </c>
      <c r="F9" s="103" t="s">
        <v>231</v>
      </c>
      <c r="G9" s="61"/>
      <c r="H9" s="61"/>
      <c r="I9" s="61"/>
      <c r="J9" s="61"/>
      <c r="K9" s="61"/>
      <c r="L9" s="61"/>
      <c r="M9" s="61"/>
      <c r="N9" s="47"/>
      <c r="O9" s="61"/>
      <c r="P9" s="61"/>
      <c r="Q9" s="61"/>
      <c r="R9" s="61"/>
      <c r="S9" s="61"/>
      <c r="T9" s="47"/>
      <c r="U9" s="61"/>
      <c r="V9" s="61"/>
      <c r="W9" s="61"/>
      <c r="X9" s="61"/>
      <c r="Y9" s="61"/>
      <c r="Z9" s="49"/>
      <c r="AA9" s="51"/>
      <c r="AB9" s="49"/>
    </row>
    <row r="10" spans="1:28" ht="21" customHeight="1" x14ac:dyDescent="0.15">
      <c r="A10" s="96">
        <v>30036009</v>
      </c>
      <c r="B10" s="46"/>
      <c r="C10" s="49">
        <v>3</v>
      </c>
      <c r="D10" s="49" t="s">
        <v>127</v>
      </c>
      <c r="E10" s="61" t="s">
        <v>226</v>
      </c>
      <c r="F10" s="103" t="s">
        <v>231</v>
      </c>
      <c r="G10" s="61">
        <f>IFERROR(LEFT(B10,FIND("],",B10)),B10)</f>
        <v>0</v>
      </c>
      <c r="H10" s="61" t="e">
        <f t="shared" si="0"/>
        <v>#VALUE!</v>
      </c>
      <c r="I10" s="61">
        <f t="shared" si="1"/>
        <v>1</v>
      </c>
      <c r="J10" s="61" t="e">
        <f t="shared" si="2"/>
        <v>#VALUE!</v>
      </c>
      <c r="K10" s="61" t="e">
        <f t="shared" si="3"/>
        <v>#VALUE!</v>
      </c>
      <c r="L10" s="61" t="str">
        <f>IFERROR(VLOOKUP(MID(G10,J10,K10-J10),[5]skilldef!$C:$D,2,FALSE),"-") &amp; " / " &amp; IFERROR(VLOOKUP(MID(G10,H10,I10-H10),[5]skilldef!$A:$B,2,FALSE),"-")</f>
        <v>- / -</v>
      </c>
      <c r="M10" s="61" t="str">
        <f>IFERROR(RIGHT(B10,LEN(B10)-FIND("],",B10)-1),"none")</f>
        <v>none</v>
      </c>
      <c r="N10" s="47" t="str">
        <f>IFERROR(LEFT(M10,FIND("],",M10)+#REF!),M10)</f>
        <v>none</v>
      </c>
      <c r="O10" s="61" t="e">
        <f t="shared" si="4"/>
        <v>#VALUE!</v>
      </c>
      <c r="P10" s="61">
        <f t="shared" si="5"/>
        <v>4</v>
      </c>
      <c r="Q10" s="61" t="e">
        <f t="shared" si="6"/>
        <v>#VALUE!</v>
      </c>
      <c r="R10" s="61" t="e">
        <f t="shared" si="7"/>
        <v>#VALUE!</v>
      </c>
      <c r="S10" s="61" t="str">
        <f>IFERROR(VLOOKUP(MID(N10,Q10,R10-Q10),[5]skilldef!$C:$D,2,FALSE),"-") &amp; " / " &amp; IFERROR(VLOOKUP(MID(N10,O10,P10-O10),[5]skilldef!$A:$B,2,FALSE),"-")</f>
        <v>- / -</v>
      </c>
      <c r="T10" s="47" t="str">
        <f t="shared" si="8"/>
        <v>none</v>
      </c>
      <c r="U10" s="61" t="e">
        <f t="shared" si="9"/>
        <v>#VALUE!</v>
      </c>
      <c r="V10" s="61">
        <f t="shared" si="10"/>
        <v>4</v>
      </c>
      <c r="W10" s="61" t="e">
        <f t="shared" si="11"/>
        <v>#VALUE!</v>
      </c>
      <c r="X10" s="61" t="e">
        <f t="shared" si="12"/>
        <v>#VALUE!</v>
      </c>
      <c r="Y10" s="61" t="str">
        <f>IFERROR(VLOOKUP(MID(T10,W10,X10-W10),[5]skilldef!$C:$D,2,FALSE),"-") &amp; " / " &amp; IFERROR(VLOOKUP(MID(T10,U10,V10-U10),[5]skilldef!$A:$B,2,FALSE),"-")</f>
        <v>- / -</v>
      </c>
      <c r="Z10" s="49"/>
      <c r="AA10" s="51"/>
      <c r="AB10" s="49"/>
    </row>
    <row r="11" spans="1:28" ht="21" customHeight="1" x14ac:dyDescent="0.15">
      <c r="A11" s="96">
        <v>30036010</v>
      </c>
      <c r="B11" s="46"/>
      <c r="C11" s="49">
        <v>3</v>
      </c>
      <c r="D11" s="49" t="s">
        <v>127</v>
      </c>
      <c r="E11" s="61" t="s">
        <v>226</v>
      </c>
      <c r="F11" s="103" t="s">
        <v>231</v>
      </c>
      <c r="G11" s="61"/>
      <c r="H11" s="61"/>
      <c r="I11" s="61"/>
      <c r="J11" s="61"/>
      <c r="K11" s="61"/>
      <c r="L11" s="61"/>
      <c r="M11" s="61"/>
      <c r="N11" s="47"/>
      <c r="O11" s="61"/>
      <c r="P11" s="61"/>
      <c r="Q11" s="61"/>
      <c r="R11" s="61"/>
      <c r="S11" s="61"/>
      <c r="T11" s="47"/>
      <c r="U11" s="61"/>
      <c r="V11" s="61"/>
      <c r="W11" s="61"/>
      <c r="X11" s="61"/>
      <c r="Y11" s="61"/>
      <c r="Z11" s="49"/>
      <c r="AA11" s="51"/>
      <c r="AB11" s="49"/>
    </row>
    <row r="12" spans="1:28" ht="21" customHeight="1" x14ac:dyDescent="0.15">
      <c r="A12" s="96">
        <v>30036011</v>
      </c>
      <c r="B12" s="46" t="s">
        <v>239</v>
      </c>
      <c r="C12" s="49">
        <v>3</v>
      </c>
      <c r="D12" s="49" t="s">
        <v>127</v>
      </c>
      <c r="E12" s="50" t="s">
        <v>252</v>
      </c>
      <c r="F12" s="50" t="s">
        <v>277</v>
      </c>
      <c r="G12" s="61" t="str">
        <f>IFERROR(LEFT(B12,FIND("],",B12)),B12)</f>
        <v>[effect:enhance_enemy, target:enemy_all, turn:-1, status:attack, val:0.3, calc:mul, animation:enemy_enhance_attack]</v>
      </c>
      <c r="H12" s="61">
        <f t="shared" si="0"/>
        <v>9</v>
      </c>
      <c r="I12" s="61">
        <f t="shared" si="1"/>
        <v>22</v>
      </c>
      <c r="J12" s="61">
        <f t="shared" si="2"/>
        <v>31</v>
      </c>
      <c r="K12" s="61">
        <f t="shared" si="3"/>
        <v>40</v>
      </c>
      <c r="L12" s="61" t="str">
        <f>IFERROR(VLOOKUP(MID(G12,J12,K12-J12),[5]skilldef!$C:$D,2,FALSE),"-") &amp; " / " &amp; IFERROR(VLOOKUP(MID(G12,H12,I12-H12),[5]skilldef!$A:$B,2,FALSE),"-")</f>
        <v>敵全体に / ステータス強化</v>
      </c>
      <c r="M12" s="61" t="str">
        <f>IFERROR(RIGHT(B12,LEN(B12)-FIND("],",B12)-1),"none")</f>
        <v>none</v>
      </c>
      <c r="N12" s="47" t="str">
        <f>IFERROR(LEFT(M12,FIND("],",M12)+#REF!),M12)</f>
        <v>none</v>
      </c>
      <c r="O12" s="61" t="e">
        <f t="shared" si="4"/>
        <v>#VALUE!</v>
      </c>
      <c r="P12" s="61">
        <f t="shared" si="5"/>
        <v>4</v>
      </c>
      <c r="Q12" s="61" t="e">
        <f t="shared" si="6"/>
        <v>#VALUE!</v>
      </c>
      <c r="R12" s="61" t="e">
        <f t="shared" si="7"/>
        <v>#VALUE!</v>
      </c>
      <c r="S12" s="61" t="str">
        <f>IFERROR(VLOOKUP(MID(N12,Q12,R12-Q12),[5]skilldef!$C:$D,2,FALSE),"-") &amp; " / " &amp; IFERROR(VLOOKUP(MID(N12,O12,P12-O12),[5]skilldef!$A:$B,2,FALSE),"-")</f>
        <v>- / -</v>
      </c>
      <c r="T12" s="47" t="str">
        <f t="shared" si="8"/>
        <v>none</v>
      </c>
      <c r="U12" s="61" t="e">
        <f t="shared" si="9"/>
        <v>#VALUE!</v>
      </c>
      <c r="V12" s="61">
        <f t="shared" si="10"/>
        <v>4</v>
      </c>
      <c r="W12" s="61" t="e">
        <f t="shared" si="11"/>
        <v>#VALUE!</v>
      </c>
      <c r="X12" s="61" t="e">
        <f t="shared" si="12"/>
        <v>#VALUE!</v>
      </c>
      <c r="Y12" s="61" t="str">
        <f>IFERROR(VLOOKUP(MID(T12,W12,X12-W12),[5]skilldef!$C:$D,2,FALSE),"-") &amp; " / " &amp; IFERROR(VLOOKUP(MID(T12,U12,V12-U12),[5]skilldef!$A:$B,2,FALSE),"-")</f>
        <v>- / -</v>
      </c>
      <c r="Z12" s="49"/>
      <c r="AA12" s="51"/>
      <c r="AB12" s="49"/>
    </row>
    <row r="13" spans="1:28" ht="21" customHeight="1" x14ac:dyDescent="0.15">
      <c r="A13" s="96">
        <v>30036012</v>
      </c>
      <c r="B13" s="46"/>
      <c r="C13" s="49">
        <v>3</v>
      </c>
      <c r="D13" s="49" t="s">
        <v>127</v>
      </c>
      <c r="E13" s="50" t="s">
        <v>227</v>
      </c>
      <c r="F13" s="103" t="s">
        <v>238</v>
      </c>
      <c r="G13" s="61" t="e">
        <f>IFERROR(LEFT(#REF!,FIND("],",#REF!)),#REF!)</f>
        <v>#REF!</v>
      </c>
      <c r="H13" s="61" t="e">
        <f t="shared" si="0"/>
        <v>#REF!</v>
      </c>
      <c r="I13" s="61" t="e">
        <f t="shared" si="1"/>
        <v>#REF!</v>
      </c>
      <c r="J13" s="61" t="e">
        <f t="shared" si="2"/>
        <v>#REF!</v>
      </c>
      <c r="K13" s="61" t="e">
        <f t="shared" si="3"/>
        <v>#REF!</v>
      </c>
      <c r="L13" s="61" t="str">
        <f>IFERROR(VLOOKUP(MID(G13,J13,K13-J13),[5]skilldef!$C:$D,2,FALSE),"-") &amp; " / " &amp; IFERROR(VLOOKUP(MID(G13,H13,I13-H13),[5]skilldef!$A:$B,2,FALSE),"-")</f>
        <v>- / -</v>
      </c>
      <c r="M13" s="61" t="str">
        <f>IFERROR(RIGHT(#REF!,LEN(#REF!)-FIND("],",#REF!)-1),"none")</f>
        <v>none</v>
      </c>
      <c r="N13" s="47" t="str">
        <f>IFERROR(LEFT(M13,FIND("],",M13)+#REF!),M13)</f>
        <v>none</v>
      </c>
      <c r="O13" s="61" t="e">
        <f t="shared" si="4"/>
        <v>#VALUE!</v>
      </c>
      <c r="P13" s="61">
        <f t="shared" si="5"/>
        <v>4</v>
      </c>
      <c r="Q13" s="61" t="e">
        <f t="shared" si="6"/>
        <v>#VALUE!</v>
      </c>
      <c r="R13" s="61" t="e">
        <f t="shared" si="7"/>
        <v>#VALUE!</v>
      </c>
      <c r="S13" s="61" t="str">
        <f>IFERROR(VLOOKUP(MID(N13,Q13,R13-Q13),[5]skilldef!$C:$D,2,FALSE),"-") &amp; " / " &amp; IFERROR(VLOOKUP(MID(N13,O13,P13-O13),[5]skilldef!$A:$B,2,FALSE),"-")</f>
        <v>- / -</v>
      </c>
      <c r="T13" s="47" t="str">
        <f t="shared" si="8"/>
        <v>none</v>
      </c>
      <c r="U13" s="61" t="e">
        <f t="shared" si="9"/>
        <v>#VALUE!</v>
      </c>
      <c r="V13" s="61">
        <f t="shared" si="10"/>
        <v>4</v>
      </c>
      <c r="W13" s="61" t="e">
        <f t="shared" si="11"/>
        <v>#VALUE!</v>
      </c>
      <c r="X13" s="61" t="e">
        <f t="shared" si="12"/>
        <v>#VALUE!</v>
      </c>
      <c r="Y13" s="61" t="str">
        <f>IFERROR(VLOOKUP(MID(T13,W13,X13-W13),[5]skilldef!$C:$D,2,FALSE),"-") &amp; " / " &amp; IFERROR(VLOOKUP(MID(T13,U13,V13-U13),[5]skilldef!$A:$B,2,FALSE),"-")</f>
        <v>- / -</v>
      </c>
      <c r="Z13" s="49"/>
      <c r="AA13" s="51"/>
      <c r="AB13" s="49"/>
    </row>
    <row r="14" spans="1:28" ht="21" customHeight="1" x14ac:dyDescent="0.15">
      <c r="A14" s="96">
        <v>30036013</v>
      </c>
      <c r="B14" s="104" t="s">
        <v>261</v>
      </c>
      <c r="C14" s="49">
        <v>3</v>
      </c>
      <c r="D14" s="49" t="s">
        <v>127</v>
      </c>
      <c r="E14" s="50" t="s">
        <v>280</v>
      </c>
      <c r="F14" s="50" t="s">
        <v>247</v>
      </c>
      <c r="G14" s="61" t="str">
        <f t="shared" ref="G14:G22" si="26">IFERROR(LEFT(B14,FIND("],",B14)),B14)</f>
        <v>[effect:tolerance, target:myself, turn:-1, tolerance_effect:all, count:-1, animation:enemy_tolerance]</v>
      </c>
      <c r="H14" s="61">
        <f t="shared" si="0"/>
        <v>9</v>
      </c>
      <c r="I14" s="61">
        <f t="shared" si="1"/>
        <v>18</v>
      </c>
      <c r="J14" s="61">
        <f t="shared" si="2"/>
        <v>27</v>
      </c>
      <c r="K14" s="61">
        <f t="shared" si="3"/>
        <v>33</v>
      </c>
      <c r="L14" s="61" t="str">
        <f>IFERROR(VLOOKUP(MID(G14,J14,K14-J14),[5]skilldef!$C:$D,2,FALSE),"-") &amp; " / " &amp; IFERROR(VLOOKUP(MID(G14,H14,I14-H14),[5]skilldef!$A:$B,2,FALSE),"-")</f>
        <v>自分自身に / 状態異常耐性</v>
      </c>
      <c r="M14" s="61" t="str">
        <f t="shared" ref="M14:M22" si="27">IFERROR(RIGHT(B14,LEN(B14)-FIND("],",B14)-1),"none")</f>
        <v>[effect:enhance_enemy, target:myself, turn:-1, status:attack, val:1284, calc:add, animation:enemy_enhance_attack]_x000D_</v>
      </c>
      <c r="N14" s="47" t="str">
        <f>IFERROR(LEFT(M14,FIND("],",M14)+#REF!),M14)</f>
        <v>[effect:enhance_enemy, target:myself, turn:-1, status:attack, val:1284, calc:add, animation:enemy_enhance_attack]_x000D_</v>
      </c>
      <c r="O14" s="61">
        <f t="shared" si="4"/>
        <v>9</v>
      </c>
      <c r="P14" s="61">
        <f t="shared" si="5"/>
        <v>22</v>
      </c>
      <c r="Q14" s="61">
        <f t="shared" si="6"/>
        <v>31</v>
      </c>
      <c r="R14" s="61">
        <f t="shared" si="7"/>
        <v>37</v>
      </c>
      <c r="S14" s="61" t="str">
        <f>IFERROR(VLOOKUP(MID(N14,Q14,R14-Q14),[5]skilldef!$C:$D,2,FALSE),"-") &amp; " / " &amp; IFERROR(VLOOKUP(MID(N14,O14,P14-O14),[5]skilldef!$A:$B,2,FALSE),"-")</f>
        <v>自分自身に / ステータス強化</v>
      </c>
      <c r="T14" s="47" t="str">
        <f t="shared" si="8"/>
        <v>none</v>
      </c>
      <c r="U14" s="61" t="e">
        <f t="shared" si="9"/>
        <v>#VALUE!</v>
      </c>
      <c r="V14" s="61">
        <f t="shared" si="10"/>
        <v>4</v>
      </c>
      <c r="W14" s="61" t="e">
        <f t="shared" si="11"/>
        <v>#VALUE!</v>
      </c>
      <c r="X14" s="61" t="e">
        <f t="shared" si="12"/>
        <v>#VALUE!</v>
      </c>
      <c r="Y14" s="61" t="str">
        <f>IFERROR(VLOOKUP(MID(T14,W14,X14-W14),[5]skilldef!$C:$D,2,FALSE),"-") &amp; " / " &amp; IFERROR(VLOOKUP(MID(T14,U14,V14-U14),[5]skilldef!$A:$B,2,FALSE),"-")</f>
        <v>- / -</v>
      </c>
      <c r="Z14" s="49"/>
      <c r="AA14" s="51"/>
      <c r="AB14" s="49"/>
    </row>
    <row r="15" spans="1:28" ht="21" customHeight="1" x14ac:dyDescent="0.15">
      <c r="A15" s="96">
        <v>30036014</v>
      </c>
      <c r="B15" s="46" t="s">
        <v>262</v>
      </c>
      <c r="C15" s="49">
        <v>3</v>
      </c>
      <c r="D15" s="49" t="s">
        <v>127</v>
      </c>
      <c r="E15" s="105" t="s">
        <v>281</v>
      </c>
      <c r="F15" s="50" t="s">
        <v>242</v>
      </c>
      <c r="G15" s="61" t="str">
        <f t="shared" si="26"/>
        <v>[effect:rush, count:2, val:0.52]</v>
      </c>
      <c r="H15" s="61">
        <f>FIND("effect:",G15)+7</f>
        <v>9</v>
      </c>
      <c r="I15" s="61">
        <f>IFERROR(FIND(",",G15),LEN(G15))</f>
        <v>13</v>
      </c>
      <c r="J15" s="61" t="e">
        <f>FIND("target:",G15)+7</f>
        <v>#VALUE!</v>
      </c>
      <c r="K15" s="61">
        <f>FIND(",",G15,I15+1)</f>
        <v>22</v>
      </c>
      <c r="L15" s="61" t="str">
        <f>IFERROR(VLOOKUP(MID(G15,J15,K15-J15),[5]skilldef!$C:$D,2,FALSE),"-") &amp; " / " &amp; IFERROR(VLOOKUP(MID(G15,H15,I15-H15),[5]skilldef!$A:$B,2,FALSE),"-")</f>
        <v>- / 連続攻撃</v>
      </c>
      <c r="M15" s="61" t="str">
        <f t="shared" si="27"/>
        <v>none</v>
      </c>
      <c r="N15" s="47" t="str">
        <f>IFERROR(LEFT(M15,FIND("],",M15)+#REF!),M15)</f>
        <v>none</v>
      </c>
      <c r="O15" s="61" t="e">
        <f>FIND("effect:",N15)+7</f>
        <v>#VALUE!</v>
      </c>
      <c r="P15" s="61">
        <f>IFERROR(FIND(",",N15),LEN(N15))</f>
        <v>4</v>
      </c>
      <c r="Q15" s="61" t="e">
        <f>FIND("target:",N15)+7</f>
        <v>#VALUE!</v>
      </c>
      <c r="R15" s="61" t="e">
        <f>FIND(",",N15,P15+1)</f>
        <v>#VALUE!</v>
      </c>
      <c r="S15" s="61" t="str">
        <f>IFERROR(VLOOKUP(MID(N15,Q15,R15-Q15),[5]skilldef!$C:$D,2,FALSE),"-") &amp; " / " &amp; IFERROR(VLOOKUP(MID(N15,O15,P15-O15),[5]skilldef!$A:$B,2,FALSE),"-")</f>
        <v>- / -</v>
      </c>
      <c r="T15" s="47" t="str">
        <f>IFERROR(RIGHT(M15,LEN(M15)-FIND("],",M15)-1),"none")</f>
        <v>none</v>
      </c>
      <c r="U15" s="61" t="e">
        <f>FIND("effect:",T15)+7</f>
        <v>#VALUE!</v>
      </c>
      <c r="V15" s="61">
        <f>IFERROR(FIND(",",T15),LEN(T15))</f>
        <v>4</v>
      </c>
      <c r="W15" s="61" t="e">
        <f>FIND("target:",T15)+7</f>
        <v>#VALUE!</v>
      </c>
      <c r="X15" s="61" t="e">
        <f>FIND(",",T15,V15+1)</f>
        <v>#VALUE!</v>
      </c>
      <c r="Y15" s="61" t="str">
        <f>IFERROR(VLOOKUP(MID(T15,W15,X15-W15),[5]skilldef!$C:$D,2,FALSE),"-") &amp; " / " &amp; IFERROR(VLOOKUP(MID(T15,U15,V15-U15),[5]skilldef!$A:$B,2,FALSE),"-")</f>
        <v>- / -</v>
      </c>
      <c r="Z15" s="49"/>
      <c r="AA15" s="51"/>
      <c r="AB15" s="49"/>
    </row>
    <row r="16" spans="1:28" ht="21" customHeight="1" x14ac:dyDescent="0.15">
      <c r="A16" s="96">
        <v>30036015</v>
      </c>
      <c r="B16" s="46"/>
      <c r="C16" s="49">
        <v>3</v>
      </c>
      <c r="D16" s="49" t="s">
        <v>127</v>
      </c>
      <c r="E16" s="105" t="s">
        <v>232</v>
      </c>
      <c r="F16" s="103" t="s">
        <v>231</v>
      </c>
      <c r="G16" s="61">
        <f t="shared" si="26"/>
        <v>0</v>
      </c>
      <c r="H16" s="61" t="e">
        <f t="shared" si="0"/>
        <v>#VALUE!</v>
      </c>
      <c r="I16" s="61">
        <f t="shared" si="1"/>
        <v>1</v>
      </c>
      <c r="J16" s="61" t="e">
        <f t="shared" si="2"/>
        <v>#VALUE!</v>
      </c>
      <c r="K16" s="61" t="e">
        <f t="shared" si="3"/>
        <v>#VALUE!</v>
      </c>
      <c r="L16" s="61" t="str">
        <f>IFERROR(VLOOKUP(MID(G16,J16,K16-J16),[5]skilldef!$C:$D,2,FALSE),"-") &amp; " / " &amp; IFERROR(VLOOKUP(MID(G16,H16,I16-H16),[5]skilldef!$A:$B,2,FALSE),"-")</f>
        <v>- / -</v>
      </c>
      <c r="M16" s="61" t="str">
        <f t="shared" si="27"/>
        <v>none</v>
      </c>
      <c r="N16" s="47" t="str">
        <f>IFERROR(LEFT(M16,FIND("],",M16)+#REF!),M16)</f>
        <v>none</v>
      </c>
      <c r="O16" s="61" t="e">
        <f t="shared" si="4"/>
        <v>#VALUE!</v>
      </c>
      <c r="P16" s="61">
        <f t="shared" si="5"/>
        <v>4</v>
      </c>
      <c r="Q16" s="61" t="e">
        <f t="shared" si="6"/>
        <v>#VALUE!</v>
      </c>
      <c r="R16" s="61" t="e">
        <f t="shared" si="7"/>
        <v>#VALUE!</v>
      </c>
      <c r="S16" s="61" t="str">
        <f>IFERROR(VLOOKUP(MID(N16,Q16,R16-Q16),[5]skilldef!$C:$D,2,FALSE),"-") &amp; " / " &amp; IFERROR(VLOOKUP(MID(N16,O16,P16-O16),[5]skilldef!$A:$B,2,FALSE),"-")</f>
        <v>- / -</v>
      </c>
      <c r="T16" s="47" t="str">
        <f t="shared" si="8"/>
        <v>none</v>
      </c>
      <c r="U16" s="61" t="e">
        <f t="shared" si="9"/>
        <v>#VALUE!</v>
      </c>
      <c r="V16" s="61">
        <f t="shared" si="10"/>
        <v>4</v>
      </c>
      <c r="W16" s="61" t="e">
        <f t="shared" si="11"/>
        <v>#VALUE!</v>
      </c>
      <c r="X16" s="61" t="e">
        <f t="shared" si="12"/>
        <v>#VALUE!</v>
      </c>
      <c r="Y16" s="61" t="str">
        <f>IFERROR(VLOOKUP(MID(T16,W16,X16-W16),[5]skilldef!$C:$D,2,FALSE),"-") &amp; " / " &amp; IFERROR(VLOOKUP(MID(T16,U16,V16-U16),[5]skilldef!$A:$B,2,FALSE),"-")</f>
        <v>- / -</v>
      </c>
      <c r="Z16" s="49"/>
      <c r="AA16" s="51"/>
      <c r="AB16" s="49"/>
    </row>
    <row r="17" spans="1:28" ht="21" customHeight="1" x14ac:dyDescent="0.15">
      <c r="A17" s="96">
        <v>30036016</v>
      </c>
      <c r="B17" s="104" t="s">
        <v>301</v>
      </c>
      <c r="C17" s="49">
        <v>3</v>
      </c>
      <c r="D17" s="49" t="s">
        <v>127</v>
      </c>
      <c r="E17" s="105" t="s">
        <v>257</v>
      </c>
      <c r="F17" s="50" t="s">
        <v>271</v>
      </c>
      <c r="G17" s="61" t="str">
        <f t="shared" si="26"/>
        <v>[effect:damage_fix_absolute, target:unit_one, color:red, val:3000]</v>
      </c>
      <c r="H17" s="61">
        <f t="shared" si="0"/>
        <v>9</v>
      </c>
      <c r="I17" s="61">
        <f t="shared" ref="I17:I22" si="28">IFERROR(FIND(",",G17),LEN(G17))</f>
        <v>28</v>
      </c>
      <c r="J17" s="61">
        <f t="shared" ref="J17:J22" si="29">FIND("target:",G17)+7</f>
        <v>37</v>
      </c>
      <c r="K17" s="61">
        <f t="shared" ref="K17:K22" si="30">FIND(",",G17,I17+1)</f>
        <v>45</v>
      </c>
      <c r="L17" s="61" t="str">
        <f>IFERROR(VLOOKUP(MID(G17,J17,K17-J17),[5]skilldef!$C:$D,2,FALSE),"-") &amp; " / " &amp; IFERROR(VLOOKUP(MID(G17,H17,I17-H17),[5]skilldef!$A:$B,2,FALSE),"-")</f>
        <v>味方単体に / -</v>
      </c>
      <c r="M17" s="61" t="str">
        <f t="shared" si="27"/>
        <v>[effect:tolerance, target:myself, turn:-1, tolerance_effect:all, count:-1, animation:enemy_tolerance],[effect:enemy_message, val1:3.4, val2:1.2]</v>
      </c>
      <c r="N17" s="47" t="str">
        <f>IFERROR(LEFT(M17,FIND("],",M17)+#REF!),M17)</f>
        <v>[effect:tolerance, target:myself, turn:-1, tolerance_effect:all, count:-1, animation:enemy_tolerance],[effect:enemy_message, val1:3.4, val2:1.2]</v>
      </c>
      <c r="O17" s="61">
        <f t="shared" si="4"/>
        <v>9</v>
      </c>
      <c r="P17" s="61">
        <f t="shared" ref="P17:P22" si="31">IFERROR(FIND(",",N17),LEN(N17))</f>
        <v>18</v>
      </c>
      <c r="Q17" s="61">
        <f t="shared" ref="Q17:Q22" si="32">FIND("target:",N17)+7</f>
        <v>27</v>
      </c>
      <c r="R17" s="61">
        <f t="shared" ref="R17:R22" si="33">FIND(",",N17,P17+1)</f>
        <v>33</v>
      </c>
      <c r="S17" s="61" t="str">
        <f>IFERROR(VLOOKUP(MID(N17,Q17,R17-Q17),[5]skilldef!$C:$D,2,FALSE),"-") &amp; " / " &amp; IFERROR(VLOOKUP(MID(N17,O17,P17-O17),[5]skilldef!$A:$B,2,FALSE),"-")</f>
        <v>自分自身に / 状態異常耐性</v>
      </c>
      <c r="T17" s="47" t="str">
        <f t="shared" ref="T17:T22" si="34">IFERROR(RIGHT(M17,LEN(M17)-FIND("],",M17)-1),"none")</f>
        <v>[effect:enemy_message, val1:3.4, val2:1.2]</v>
      </c>
      <c r="U17" s="61">
        <f t="shared" si="9"/>
        <v>9</v>
      </c>
      <c r="V17" s="61">
        <f t="shared" ref="V17:V22" si="35">IFERROR(FIND(",",T17),LEN(T17))</f>
        <v>22</v>
      </c>
      <c r="W17" s="61" t="e">
        <f t="shared" ref="W17:W22" si="36">FIND("target:",T17)+7</f>
        <v>#VALUE!</v>
      </c>
      <c r="X17" s="61">
        <f t="shared" ref="X17:X22" si="37">FIND(",",T17,V17+1)</f>
        <v>32</v>
      </c>
      <c r="Y17" s="61" t="str">
        <f>IFERROR(VLOOKUP(MID(T17,W17,X17-W17),[5]skilldef!$C:$D,2,FALSE),"-") &amp; " / " &amp; IFERROR(VLOOKUP(MID(T17,U17,V17-U17),[5]skilldef!$A:$B,2,FALSE),"-")</f>
        <v>- / -</v>
      </c>
      <c r="Z17" s="49"/>
      <c r="AA17" s="51"/>
      <c r="AB17" s="49"/>
    </row>
    <row r="18" spans="1:28" ht="21" customHeight="1" x14ac:dyDescent="0.15">
      <c r="A18" s="96">
        <v>30036017</v>
      </c>
      <c r="B18" s="46" t="s">
        <v>269</v>
      </c>
      <c r="C18" s="49">
        <v>3</v>
      </c>
      <c r="D18" s="49" t="s">
        <v>127</v>
      </c>
      <c r="E18" s="105" t="s">
        <v>283</v>
      </c>
      <c r="F18" s="50" t="s">
        <v>249</v>
      </c>
      <c r="G18" s="61" t="str">
        <f t="shared" ref="G18:G20" si="38">IFERROR(LEFT(B18,FIND("],",B18)),B18)</f>
        <v>[effect:enemy_counter, target:myself, invoke_condition:unit_all, counter_target:unit_one, turn:-1, val:0.11, animation:enemy_counter]</v>
      </c>
      <c r="H18" s="61">
        <f t="shared" ref="H18:H20" si="39">FIND("effect:",G18)+7</f>
        <v>9</v>
      </c>
      <c r="I18" s="61">
        <f t="shared" ref="I18:I20" si="40">IFERROR(FIND(",",G18),LEN(G18))</f>
        <v>22</v>
      </c>
      <c r="J18" s="61">
        <f t="shared" ref="J18:J20" si="41">FIND("target:",G18)+7</f>
        <v>31</v>
      </c>
      <c r="K18" s="61">
        <f t="shared" ref="K18:K20" si="42">FIND(",",G18,I18+1)</f>
        <v>37</v>
      </c>
      <c r="L18" s="61" t="str">
        <f>IFERROR(VLOOKUP(MID(G18,J18,K18-J18),[5]skilldef!$C:$D,2,FALSE),"-") &amp; " / " &amp; IFERROR(VLOOKUP(MID(G18,H18,I18-H18),[5]skilldef!$A:$B,2,FALSE),"-")</f>
        <v>自分自身に / カウンター</v>
      </c>
      <c r="M18" s="61" t="str">
        <f t="shared" ref="M18:M20" si="43">IFERROR(RIGHT(B18,LEN(B18)-FIND("],",B18)-1),"none")</f>
        <v>none</v>
      </c>
      <c r="N18" s="47" t="str">
        <f>IFERROR(LEFT(M18,FIND("],",M18)+#REF!),M18)</f>
        <v>none</v>
      </c>
      <c r="O18" s="61" t="e">
        <f t="shared" ref="O18:O20" si="44">FIND("effect:",N18)+7</f>
        <v>#VALUE!</v>
      </c>
      <c r="P18" s="61">
        <f t="shared" ref="P18:P20" si="45">IFERROR(FIND(",",N18),LEN(N18))</f>
        <v>4</v>
      </c>
      <c r="Q18" s="61" t="e">
        <f t="shared" ref="Q18:Q20" si="46">FIND("target:",N18)+7</f>
        <v>#VALUE!</v>
      </c>
      <c r="R18" s="61" t="e">
        <f t="shared" ref="R18:R20" si="47">FIND(",",N18,P18+1)</f>
        <v>#VALUE!</v>
      </c>
      <c r="S18" s="61" t="str">
        <f>IFERROR(VLOOKUP(MID(N18,Q18,R18-Q18),[5]skilldef!$C:$D,2,FALSE),"-") &amp; " / " &amp; IFERROR(VLOOKUP(MID(N18,O18,P18-O18),[5]skilldef!$A:$B,2,FALSE),"-")</f>
        <v>- / -</v>
      </c>
      <c r="T18" s="47" t="str">
        <f t="shared" ref="T18:T20" si="48">IFERROR(RIGHT(M18,LEN(M18)-FIND("],",M18)-1),"none")</f>
        <v>none</v>
      </c>
      <c r="U18" s="61" t="e">
        <f t="shared" ref="U18:U20" si="49">FIND("effect:",T18)+7</f>
        <v>#VALUE!</v>
      </c>
      <c r="V18" s="61">
        <f t="shared" ref="V18:V20" si="50">IFERROR(FIND(",",T18),LEN(T18))</f>
        <v>4</v>
      </c>
      <c r="W18" s="61" t="e">
        <f t="shared" ref="W18:W20" si="51">FIND("target:",T18)+7</f>
        <v>#VALUE!</v>
      </c>
      <c r="X18" s="61" t="e">
        <f t="shared" ref="X18:X20" si="52">FIND(",",T18,V18+1)</f>
        <v>#VALUE!</v>
      </c>
      <c r="Y18" s="61" t="str">
        <f>IFERROR(VLOOKUP(MID(T18,W18,X18-W18),[5]skilldef!$C:$D,2,FALSE),"-") &amp; " / " &amp; IFERROR(VLOOKUP(MID(T18,U18,V18-U18),[5]skilldef!$A:$B,2,FALSE),"-")</f>
        <v>- / -</v>
      </c>
      <c r="Z18" s="49"/>
      <c r="AA18" s="51"/>
      <c r="AB18" s="49"/>
    </row>
    <row r="19" spans="1:28" ht="21" customHeight="1" x14ac:dyDescent="0.15">
      <c r="A19" s="96">
        <v>30036018</v>
      </c>
      <c r="B19" s="46" t="s">
        <v>263</v>
      </c>
      <c r="C19" s="49">
        <v>3</v>
      </c>
      <c r="D19" s="49" t="s">
        <v>127</v>
      </c>
      <c r="E19" s="105" t="s">
        <v>282</v>
      </c>
      <c r="F19" s="50" t="s">
        <v>243</v>
      </c>
      <c r="G19" s="61" t="str">
        <f t="shared" si="38"/>
        <v>[effect:rush, count:2, val:0.46]</v>
      </c>
      <c r="H19" s="61">
        <f t="shared" si="39"/>
        <v>9</v>
      </c>
      <c r="I19" s="61">
        <f t="shared" si="40"/>
        <v>13</v>
      </c>
      <c r="J19" s="61" t="e">
        <f t="shared" si="41"/>
        <v>#VALUE!</v>
      </c>
      <c r="K19" s="61">
        <f t="shared" si="42"/>
        <v>22</v>
      </c>
      <c r="L19" s="61" t="str">
        <f>IFERROR(VLOOKUP(MID(G19,J19,K19-J19),[5]skilldef!$C:$D,2,FALSE),"-") &amp; " / " &amp; IFERROR(VLOOKUP(MID(G19,H19,I19-H19),[5]skilldef!$A:$B,2,FALSE),"-")</f>
        <v>- / 連続攻撃</v>
      </c>
      <c r="M19" s="61" t="str">
        <f t="shared" si="43"/>
        <v>none</v>
      </c>
      <c r="N19" s="47" t="str">
        <f>IFERROR(LEFT(M19,FIND("],",M19)+#REF!),M19)</f>
        <v>none</v>
      </c>
      <c r="O19" s="61" t="e">
        <f t="shared" si="44"/>
        <v>#VALUE!</v>
      </c>
      <c r="P19" s="61">
        <f t="shared" si="45"/>
        <v>4</v>
      </c>
      <c r="Q19" s="61" t="e">
        <f t="shared" si="46"/>
        <v>#VALUE!</v>
      </c>
      <c r="R19" s="61" t="e">
        <f t="shared" si="47"/>
        <v>#VALUE!</v>
      </c>
      <c r="S19" s="61" t="str">
        <f>IFERROR(VLOOKUP(MID(N19,Q19,R19-Q19),[5]skilldef!$C:$D,2,FALSE),"-") &amp; " / " &amp; IFERROR(VLOOKUP(MID(N19,O19,P19-O19),[5]skilldef!$A:$B,2,FALSE),"-")</f>
        <v>- / -</v>
      </c>
      <c r="T19" s="47" t="str">
        <f t="shared" si="48"/>
        <v>none</v>
      </c>
      <c r="U19" s="61" t="e">
        <f t="shared" si="49"/>
        <v>#VALUE!</v>
      </c>
      <c r="V19" s="61">
        <f t="shared" si="50"/>
        <v>4</v>
      </c>
      <c r="W19" s="61" t="e">
        <f t="shared" si="51"/>
        <v>#VALUE!</v>
      </c>
      <c r="X19" s="61" t="e">
        <f t="shared" si="52"/>
        <v>#VALUE!</v>
      </c>
      <c r="Y19" s="61" t="str">
        <f>IFERROR(VLOOKUP(MID(T19,W19,X19-W19),[5]skilldef!$C:$D,2,FALSE),"-") &amp; " / " &amp; IFERROR(VLOOKUP(MID(T19,U19,V19-U19),[5]skilldef!$A:$B,2,FALSE),"-")</f>
        <v>- / -</v>
      </c>
      <c r="Z19" s="49"/>
      <c r="AA19" s="51"/>
      <c r="AB19" s="49"/>
    </row>
    <row r="20" spans="1:28" ht="21" customHeight="1" x14ac:dyDescent="0.15">
      <c r="A20" s="96">
        <v>30036019</v>
      </c>
      <c r="B20" s="46" t="s">
        <v>264</v>
      </c>
      <c r="C20" s="49">
        <v>3</v>
      </c>
      <c r="D20" s="49" t="s">
        <v>127</v>
      </c>
      <c r="E20" s="105" t="s">
        <v>295</v>
      </c>
      <c r="F20" s="50" t="s">
        <v>245</v>
      </c>
      <c r="G20" s="61" t="str">
        <f t="shared" si="38"/>
        <v>[effect:rush, count:3, val:0.33]</v>
      </c>
      <c r="H20" s="61">
        <f t="shared" si="39"/>
        <v>9</v>
      </c>
      <c r="I20" s="61">
        <f t="shared" si="40"/>
        <v>13</v>
      </c>
      <c r="J20" s="61" t="e">
        <f t="shared" si="41"/>
        <v>#VALUE!</v>
      </c>
      <c r="K20" s="61">
        <f t="shared" si="42"/>
        <v>22</v>
      </c>
      <c r="L20" s="61" t="str">
        <f>IFERROR(VLOOKUP(MID(G20,J20,K20-J20),[5]skilldef!$C:$D,2,FALSE),"-") &amp; " / " &amp; IFERROR(VLOOKUP(MID(G20,H20,I20-H20),[5]skilldef!$A:$B,2,FALSE),"-")</f>
        <v>- / 連続攻撃</v>
      </c>
      <c r="M20" s="61" t="str">
        <f t="shared" si="43"/>
        <v>none</v>
      </c>
      <c r="N20" s="47" t="str">
        <f>IFERROR(LEFT(M20,FIND("],",M20)+S16),M20)</f>
        <v>none</v>
      </c>
      <c r="O20" s="61" t="e">
        <f t="shared" si="44"/>
        <v>#VALUE!</v>
      </c>
      <c r="P20" s="61">
        <f t="shared" si="45"/>
        <v>4</v>
      </c>
      <c r="Q20" s="61" t="e">
        <f t="shared" si="46"/>
        <v>#VALUE!</v>
      </c>
      <c r="R20" s="61" t="e">
        <f t="shared" si="47"/>
        <v>#VALUE!</v>
      </c>
      <c r="S20" s="61" t="str">
        <f>IFERROR(VLOOKUP(MID(N20,Q20,R20-Q20),[5]skilldef!$C:$D,2,FALSE),"-") &amp; " / " &amp; IFERROR(VLOOKUP(MID(N20,O20,P20-O20),[5]skilldef!$A:$B,2,FALSE),"-")</f>
        <v>- / -</v>
      </c>
      <c r="T20" s="47" t="str">
        <f t="shared" si="48"/>
        <v>none</v>
      </c>
      <c r="U20" s="61" t="e">
        <f t="shared" si="49"/>
        <v>#VALUE!</v>
      </c>
      <c r="V20" s="61">
        <f t="shared" si="50"/>
        <v>4</v>
      </c>
      <c r="W20" s="61" t="e">
        <f t="shared" si="51"/>
        <v>#VALUE!</v>
      </c>
      <c r="X20" s="61" t="e">
        <f t="shared" si="52"/>
        <v>#VALUE!</v>
      </c>
      <c r="Y20" s="61" t="str">
        <f>IFERROR(VLOOKUP(MID(T20,W20,X20-W20),[5]skilldef!$C:$D,2,FALSE),"-") &amp; " / " &amp; IFERROR(VLOOKUP(MID(T20,U20,V20-U20),[5]skilldef!$A:$B,2,FALSE),"-")</f>
        <v>- / -</v>
      </c>
      <c r="Z20" s="49"/>
      <c r="AA20" s="51"/>
      <c r="AB20" s="49"/>
    </row>
    <row r="21" spans="1:28" ht="21" customHeight="1" x14ac:dyDescent="0.15">
      <c r="A21" s="96">
        <v>30036020</v>
      </c>
      <c r="B21" s="46" t="s">
        <v>302</v>
      </c>
      <c r="C21" s="49">
        <v>3</v>
      </c>
      <c r="D21" s="49" t="s">
        <v>127</v>
      </c>
      <c r="E21" s="105" t="s">
        <v>258</v>
      </c>
      <c r="F21" s="50" t="s">
        <v>270</v>
      </c>
      <c r="G21" s="61" t="str">
        <f t="shared" si="26"/>
        <v>[effect:damage_fix_absolute, target:unit_one, color:red, val:3500]</v>
      </c>
      <c r="H21" s="61">
        <f t="shared" si="0"/>
        <v>9</v>
      </c>
      <c r="I21" s="61">
        <f t="shared" si="28"/>
        <v>28</v>
      </c>
      <c r="J21" s="61">
        <f t="shared" si="29"/>
        <v>37</v>
      </c>
      <c r="K21" s="61">
        <f t="shared" si="30"/>
        <v>45</v>
      </c>
      <c r="L21" s="61" t="str">
        <f>IFERROR(VLOOKUP(MID(G21,J21,K21-J21),[5]skilldef!$C:$D,2,FALSE),"-") &amp; " / " &amp; IFERROR(VLOOKUP(MID(G21,H21,I21-H21),[5]skilldef!$A:$B,2,FALSE),"-")</f>
        <v>味方単体に / -</v>
      </c>
      <c r="M21" s="61" t="str">
        <f t="shared" si="27"/>
        <v>[effect:tolerance, target:myself, turn:-1, tolerance_effect:all, count:-1, animation:enemy_tolerance],[effect:enemy_message, val1:3.4, val2:1.2]</v>
      </c>
      <c r="N21" s="47" t="str">
        <f>IFERROR(LEFT(M21,FIND("],",M21)+#REF!),M21)</f>
        <v>[effect:tolerance, target:myself, turn:-1, tolerance_effect:all, count:-1, animation:enemy_tolerance],[effect:enemy_message, val1:3.4, val2:1.2]</v>
      </c>
      <c r="O21" s="61">
        <f t="shared" si="4"/>
        <v>9</v>
      </c>
      <c r="P21" s="61">
        <f t="shared" si="31"/>
        <v>18</v>
      </c>
      <c r="Q21" s="61">
        <f t="shared" si="32"/>
        <v>27</v>
      </c>
      <c r="R21" s="61">
        <f t="shared" si="33"/>
        <v>33</v>
      </c>
      <c r="S21" s="61" t="str">
        <f>IFERROR(VLOOKUP(MID(N21,Q21,R21-Q21),[5]skilldef!$C:$D,2,FALSE),"-") &amp; " / " &amp; IFERROR(VLOOKUP(MID(N21,O21,P21-O21),[5]skilldef!$A:$B,2,FALSE),"-")</f>
        <v>自分自身に / 状態異常耐性</v>
      </c>
      <c r="T21" s="47" t="str">
        <f t="shared" si="34"/>
        <v>[effect:enemy_message, val1:3.4, val2:1.2]</v>
      </c>
      <c r="U21" s="61">
        <f t="shared" si="9"/>
        <v>9</v>
      </c>
      <c r="V21" s="61">
        <f t="shared" si="35"/>
        <v>22</v>
      </c>
      <c r="W21" s="61" t="e">
        <f t="shared" si="36"/>
        <v>#VALUE!</v>
      </c>
      <c r="X21" s="61">
        <f t="shared" si="37"/>
        <v>32</v>
      </c>
      <c r="Y21" s="61" t="str">
        <f>IFERROR(VLOOKUP(MID(T21,W21,X21-W21),[5]skilldef!$C:$D,2,FALSE),"-") &amp; " / " &amp; IFERROR(VLOOKUP(MID(T21,U21,V21-U21),[5]skilldef!$A:$B,2,FALSE),"-")</f>
        <v>- / -</v>
      </c>
      <c r="Z21" s="49"/>
      <c r="AA21" s="51"/>
      <c r="AB21" s="49"/>
    </row>
    <row r="22" spans="1:28" ht="21" customHeight="1" x14ac:dyDescent="0.15">
      <c r="A22" s="96">
        <v>30036021</v>
      </c>
      <c r="B22" s="104" t="s">
        <v>268</v>
      </c>
      <c r="C22" s="49">
        <v>3</v>
      </c>
      <c r="D22" s="49" t="s">
        <v>127</v>
      </c>
      <c r="E22" s="105" t="s">
        <v>253</v>
      </c>
      <c r="F22" s="50" t="s">
        <v>248</v>
      </c>
      <c r="G22" s="61" t="str">
        <f t="shared" si="26"/>
        <v>[effect:freq_turn, target:myself, turn:-1, val:1, animation:enemy_freq_turn]</v>
      </c>
      <c r="H22" s="61">
        <f t="shared" si="0"/>
        <v>9</v>
      </c>
      <c r="I22" s="61">
        <f t="shared" si="28"/>
        <v>18</v>
      </c>
      <c r="J22" s="61">
        <f t="shared" si="29"/>
        <v>27</v>
      </c>
      <c r="K22" s="61">
        <f t="shared" si="30"/>
        <v>33</v>
      </c>
      <c r="L22" s="61" t="str">
        <f>IFERROR(VLOOKUP(MID(G22,J22,K22-J22),[5]skilldef!$C:$D,2,FALSE),"-") &amp; " / " &amp; IFERROR(VLOOKUP(MID(G22,H22,I22-H22),[5]skilldef!$A:$B,2,FALSE),"-")</f>
        <v>自分自身に / 攻撃頻度がUP</v>
      </c>
      <c r="M22" s="61" t="str">
        <f t="shared" si="27"/>
        <v>[effect:enemy_counter, target:myself, invoke_condition:unit_all, counter_target:unit_one, turn:-1, val:0.1, animation:enemy_counter]</v>
      </c>
      <c r="N22" s="47" t="str">
        <f>IFERROR(LEFT(M22,FIND("],",M22)+#REF!),M22)</f>
        <v>[effect:enemy_counter, target:myself, invoke_condition:unit_all, counter_target:unit_one, turn:-1, val:0.1, animation:enemy_counter]</v>
      </c>
      <c r="O22" s="61">
        <f t="shared" si="4"/>
        <v>9</v>
      </c>
      <c r="P22" s="61">
        <f t="shared" si="31"/>
        <v>22</v>
      </c>
      <c r="Q22" s="61">
        <f t="shared" si="32"/>
        <v>31</v>
      </c>
      <c r="R22" s="61">
        <f t="shared" si="33"/>
        <v>37</v>
      </c>
      <c r="S22" s="61" t="str">
        <f>IFERROR(VLOOKUP(MID(N22,Q22,R22-Q22),[5]skilldef!$C:$D,2,FALSE),"-") &amp; " / " &amp; IFERROR(VLOOKUP(MID(N22,O22,P22-O22),[5]skilldef!$A:$B,2,FALSE),"-")</f>
        <v>自分自身に / カウンター</v>
      </c>
      <c r="T22" s="47" t="str">
        <f t="shared" si="34"/>
        <v>none</v>
      </c>
      <c r="U22" s="61" t="e">
        <f t="shared" si="9"/>
        <v>#VALUE!</v>
      </c>
      <c r="V22" s="61">
        <f t="shared" si="35"/>
        <v>4</v>
      </c>
      <c r="W22" s="61" t="e">
        <f t="shared" si="36"/>
        <v>#VALUE!</v>
      </c>
      <c r="X22" s="61" t="e">
        <f t="shared" si="37"/>
        <v>#VALUE!</v>
      </c>
      <c r="Y22" s="61" t="str">
        <f>IFERROR(VLOOKUP(MID(T22,W22,X22-W22),[5]skilldef!$C:$D,2,FALSE),"-") &amp; " / " &amp; IFERROR(VLOOKUP(MID(T22,U22,V22-U22),[5]skilldef!$A:$B,2,FALSE),"-")</f>
        <v>- / -</v>
      </c>
      <c r="Z22" s="49"/>
      <c r="AA22" s="51"/>
      <c r="AB22" s="49"/>
    </row>
    <row r="23" spans="1:28" ht="21" customHeight="1" x14ac:dyDescent="0.15">
      <c r="A23" s="96">
        <v>30036022</v>
      </c>
      <c r="B23" s="46" t="s">
        <v>234</v>
      </c>
      <c r="C23" s="49">
        <v>3</v>
      </c>
      <c r="D23" s="49" t="s">
        <v>127</v>
      </c>
      <c r="E23" s="105" t="s">
        <v>256</v>
      </c>
      <c r="F23" s="105" t="s">
        <v>273</v>
      </c>
      <c r="G23" s="61" t="str">
        <f t="shared" ref="G23" si="53">IFERROR(LEFT(B23,FIND("],",B23)),B23)</f>
        <v>[effect:nothing]</v>
      </c>
      <c r="H23" s="61">
        <f t="shared" ref="H23" si="54">FIND("effect:",G23)+7</f>
        <v>9</v>
      </c>
      <c r="I23" s="61">
        <f t="shared" ref="I23" si="55">IFERROR(FIND(",",G23),LEN(G23))</f>
        <v>16</v>
      </c>
      <c r="J23" s="61" t="e">
        <f t="shared" ref="J23" si="56">FIND("target:",G23)+7</f>
        <v>#VALUE!</v>
      </c>
      <c r="K23" s="61" t="e">
        <f t="shared" ref="K23" si="57">FIND(",",G23,I23+1)</f>
        <v>#VALUE!</v>
      </c>
      <c r="L23" s="61" t="str">
        <f>IFERROR(VLOOKUP(MID(G23,J23,K23-J23),[5]skilldef!$C:$D,2,FALSE),"-") &amp; " / " &amp; IFERROR(VLOOKUP(MID(G23,H23,I23-H23),[5]skilldef!$A:$B,2,FALSE),"-")</f>
        <v>- / 何もしない</v>
      </c>
      <c r="M23" s="61" t="str">
        <f t="shared" ref="M23" si="58">IFERROR(RIGHT(B23,LEN(B23)-FIND("],",B23)-1),"none")</f>
        <v>none</v>
      </c>
      <c r="N23" s="47" t="str">
        <f>IFERROR(LEFT(M23,FIND("],",M23)+#REF!),M23)</f>
        <v>none</v>
      </c>
      <c r="O23" s="61" t="e">
        <f t="shared" ref="O23" si="59">FIND("effect:",N23)+7</f>
        <v>#VALUE!</v>
      </c>
      <c r="P23" s="61">
        <f t="shared" ref="P23" si="60">IFERROR(FIND(",",N23),LEN(N23))</f>
        <v>4</v>
      </c>
      <c r="Q23" s="61" t="e">
        <f t="shared" ref="Q23" si="61">FIND("target:",N23)+7</f>
        <v>#VALUE!</v>
      </c>
      <c r="R23" s="61" t="e">
        <f t="shared" ref="R23" si="62">FIND(",",N23,P23+1)</f>
        <v>#VALUE!</v>
      </c>
      <c r="S23" s="61" t="str">
        <f>IFERROR(VLOOKUP(MID(N23,Q23,R23-Q23),[5]skilldef!$C:$D,2,FALSE),"-") &amp; " / " &amp; IFERROR(VLOOKUP(MID(N23,O23,P23-O23),[5]skilldef!$A:$B,2,FALSE),"-")</f>
        <v>- / -</v>
      </c>
      <c r="T23" s="47" t="str">
        <f t="shared" ref="T23" si="63">IFERROR(RIGHT(M23,LEN(M23)-FIND("],",M23)-1),"none")</f>
        <v>none</v>
      </c>
      <c r="U23" s="61" t="e">
        <f t="shared" ref="U23" si="64">FIND("effect:",T23)+7</f>
        <v>#VALUE!</v>
      </c>
      <c r="V23" s="61">
        <f t="shared" ref="V23" si="65">IFERROR(FIND(",",T23),LEN(T23))</f>
        <v>4</v>
      </c>
      <c r="W23" s="61" t="e">
        <f t="shared" ref="W23" si="66">FIND("target:",T23)+7</f>
        <v>#VALUE!</v>
      </c>
      <c r="X23" s="61" t="e">
        <f t="shared" ref="X23" si="67">FIND(",",T23,V23+1)</f>
        <v>#VALUE!</v>
      </c>
      <c r="Y23" s="61" t="str">
        <f>IFERROR(VLOOKUP(MID(T23,W23,X23-W23),[5]skilldef!$C:$D,2,FALSE),"-") &amp; " / " &amp; IFERROR(VLOOKUP(MID(T23,U23,V23-U23),[5]skilldef!$A:$B,2,FALSE),"-")</f>
        <v>- / -</v>
      </c>
      <c r="Z23" s="49"/>
      <c r="AA23" s="51"/>
      <c r="AB23" s="49"/>
    </row>
    <row r="24" spans="1:28" ht="21" customHeight="1" x14ac:dyDescent="0.15">
      <c r="A24" s="96">
        <v>30036023</v>
      </c>
      <c r="B24" s="46" t="s">
        <v>265</v>
      </c>
      <c r="C24" s="49">
        <v>3</v>
      </c>
      <c r="D24" s="49" t="s">
        <v>127</v>
      </c>
      <c r="E24" s="105" t="s">
        <v>297</v>
      </c>
      <c r="F24" s="105" t="s">
        <v>246</v>
      </c>
      <c r="G24" s="61" t="str">
        <f t="shared" ref="G24" si="68">IFERROR(LEFT(B24,FIND("],",B24)),B24)</f>
        <v>[effect:rush, count:3, val:0.28]</v>
      </c>
      <c r="H24" s="61">
        <f t="shared" ref="H24" si="69">FIND("effect:",G24)+7</f>
        <v>9</v>
      </c>
      <c r="I24" s="61">
        <f t="shared" ref="I24" si="70">IFERROR(FIND(",",G24),LEN(G24))</f>
        <v>13</v>
      </c>
      <c r="J24" s="61" t="e">
        <f t="shared" ref="J24" si="71">FIND("target:",G24)+7</f>
        <v>#VALUE!</v>
      </c>
      <c r="K24" s="61">
        <f t="shared" ref="K24" si="72">FIND(",",G24,I24+1)</f>
        <v>22</v>
      </c>
      <c r="L24" s="61" t="str">
        <f>IFERROR(VLOOKUP(MID(G24,J24,K24-J24),[5]skilldef!$C:$D,2,FALSE),"-") &amp; " / " &amp; IFERROR(VLOOKUP(MID(G24,H24,I24-H24),[5]skilldef!$A:$B,2,FALSE),"-")</f>
        <v>- / 連続攻撃</v>
      </c>
      <c r="M24" s="61" t="str">
        <f t="shared" ref="M24" si="73">IFERROR(RIGHT(B24,LEN(B24)-FIND("],",B24)-1),"none")</f>
        <v>none</v>
      </c>
      <c r="N24" s="47" t="str">
        <f>IFERROR(LEFT(M24,FIND("],",M24)+#REF!),M24)</f>
        <v>none</v>
      </c>
      <c r="O24" s="61" t="e">
        <f t="shared" ref="O24" si="74">FIND("effect:",N24)+7</f>
        <v>#VALUE!</v>
      </c>
      <c r="P24" s="61">
        <f t="shared" ref="P24" si="75">IFERROR(FIND(",",N24),LEN(N24))</f>
        <v>4</v>
      </c>
      <c r="Q24" s="61" t="e">
        <f t="shared" ref="Q24" si="76">FIND("target:",N24)+7</f>
        <v>#VALUE!</v>
      </c>
      <c r="R24" s="61" t="e">
        <f t="shared" ref="R24" si="77">FIND(",",N24,P24+1)</f>
        <v>#VALUE!</v>
      </c>
      <c r="S24" s="61" t="str">
        <f>IFERROR(VLOOKUP(MID(N24,Q24,R24-Q24),[5]skilldef!$C:$D,2,FALSE),"-") &amp; " / " &amp; IFERROR(VLOOKUP(MID(N24,O24,P24-O24),[5]skilldef!$A:$B,2,FALSE),"-")</f>
        <v>- / -</v>
      </c>
      <c r="T24" s="47" t="str">
        <f t="shared" ref="T24" si="78">IFERROR(RIGHT(M24,LEN(M24)-FIND("],",M24)-1),"none")</f>
        <v>none</v>
      </c>
      <c r="U24" s="61" t="e">
        <f t="shared" ref="U24" si="79">FIND("effect:",T24)+7</f>
        <v>#VALUE!</v>
      </c>
      <c r="V24" s="61">
        <f t="shared" ref="V24" si="80">IFERROR(FIND(",",T24),LEN(T24))</f>
        <v>4</v>
      </c>
      <c r="W24" s="61" t="e">
        <f t="shared" ref="W24" si="81">FIND("target:",T24)+7</f>
        <v>#VALUE!</v>
      </c>
      <c r="X24" s="61" t="e">
        <f t="shared" ref="X24" si="82">FIND(",",T24,V24+1)</f>
        <v>#VALUE!</v>
      </c>
      <c r="Y24" s="61" t="str">
        <f>IFERROR(VLOOKUP(MID(T24,W24,X24-W24),[5]skilldef!$C:$D,2,FALSE),"-") &amp; " / " &amp; IFERROR(VLOOKUP(MID(T24,U24,V24-U24),[5]skilldef!$A:$B,2,FALSE),"-")</f>
        <v>- / -</v>
      </c>
      <c r="Z24" s="49"/>
      <c r="AA24" s="51"/>
      <c r="AB24" s="49"/>
    </row>
    <row r="25" spans="1:28" ht="21" customHeight="1" x14ac:dyDescent="0.15">
      <c r="A25" s="96">
        <v>30036024</v>
      </c>
      <c r="B25" s="46" t="s">
        <v>266</v>
      </c>
      <c r="C25" s="49">
        <v>3</v>
      </c>
      <c r="D25" s="49" t="s">
        <v>127</v>
      </c>
      <c r="E25" s="105" t="s">
        <v>294</v>
      </c>
      <c r="F25" s="105" t="s">
        <v>244</v>
      </c>
      <c r="G25" s="61" t="str">
        <f t="shared" ref="G25:G27" si="83">IFERROR(LEFT(B25,FIND("],",B25)),B25)</f>
        <v>[effect:rush, count:2, val:0.38]</v>
      </c>
      <c r="H25" s="61">
        <f t="shared" ref="H25:H27" si="84">FIND("effect:",G25)+7</f>
        <v>9</v>
      </c>
      <c r="I25" s="61">
        <f t="shared" ref="I25:I27" si="85">IFERROR(FIND(",",G25),LEN(G25))</f>
        <v>13</v>
      </c>
      <c r="J25" s="61" t="e">
        <f t="shared" ref="J25:J27" si="86">FIND("target:",G25)+7</f>
        <v>#VALUE!</v>
      </c>
      <c r="K25" s="61">
        <f t="shared" ref="K25:K27" si="87">FIND(",",G25,I25+1)</f>
        <v>22</v>
      </c>
      <c r="L25" s="61" t="str">
        <f>IFERROR(VLOOKUP(MID(G25,J25,K25-J25),[5]skilldef!$C:$D,2,FALSE),"-") &amp; " / " &amp; IFERROR(VLOOKUP(MID(G25,H25,I25-H25),[5]skilldef!$A:$B,2,FALSE),"-")</f>
        <v>- / 連続攻撃</v>
      </c>
      <c r="M25" s="61" t="str">
        <f t="shared" ref="M25:M27" si="88">IFERROR(RIGHT(B25,LEN(B25)-FIND("],",B25)-1),"none")</f>
        <v>none</v>
      </c>
      <c r="N25" s="47" t="str">
        <f>IFERROR(LEFT(M25,FIND("],",M25)+#REF!),M25)</f>
        <v>none</v>
      </c>
      <c r="O25" s="61" t="e">
        <f t="shared" ref="O25:O27" si="89">FIND("effect:",N25)+7</f>
        <v>#VALUE!</v>
      </c>
      <c r="P25" s="61">
        <f t="shared" ref="P25:P27" si="90">IFERROR(FIND(",",N25),LEN(N25))</f>
        <v>4</v>
      </c>
      <c r="Q25" s="61" t="e">
        <f t="shared" ref="Q25:Q27" si="91">FIND("target:",N25)+7</f>
        <v>#VALUE!</v>
      </c>
      <c r="R25" s="61" t="e">
        <f t="shared" ref="R25:R27" si="92">FIND(",",N25,P25+1)</f>
        <v>#VALUE!</v>
      </c>
      <c r="S25" s="61" t="str">
        <f>IFERROR(VLOOKUP(MID(N25,Q25,R25-Q25),[5]skilldef!$C:$D,2,FALSE),"-") &amp; " / " &amp; IFERROR(VLOOKUP(MID(N25,O25,P25-O25),[5]skilldef!$A:$B,2,FALSE),"-")</f>
        <v>- / -</v>
      </c>
      <c r="T25" s="47" t="str">
        <f t="shared" ref="T25:T27" si="93">IFERROR(RIGHT(M25,LEN(M25)-FIND("],",M25)-1),"none")</f>
        <v>none</v>
      </c>
      <c r="U25" s="61" t="e">
        <f t="shared" ref="U25:U27" si="94">FIND("effect:",T25)+7</f>
        <v>#VALUE!</v>
      </c>
      <c r="V25" s="61">
        <f t="shared" ref="V25:V27" si="95">IFERROR(FIND(",",T25),LEN(T25))</f>
        <v>4</v>
      </c>
      <c r="W25" s="61" t="e">
        <f t="shared" ref="W25:W27" si="96">FIND("target:",T25)+7</f>
        <v>#VALUE!</v>
      </c>
      <c r="X25" s="61" t="e">
        <f t="shared" ref="X25:X27" si="97">FIND(",",T25,V25+1)</f>
        <v>#VALUE!</v>
      </c>
      <c r="Y25" s="61" t="str">
        <f>IFERROR(VLOOKUP(MID(T25,W25,X25-W25),[5]skilldef!$C:$D,2,FALSE),"-") &amp; " / " &amp; IFERROR(VLOOKUP(MID(T25,U25,V25-U25),[5]skilldef!$A:$B,2,FALSE),"-")</f>
        <v>- / -</v>
      </c>
      <c r="Z25" s="49"/>
      <c r="AA25" s="51"/>
      <c r="AB25" s="49"/>
    </row>
    <row r="26" spans="1:28" ht="21" customHeight="1" x14ac:dyDescent="0.15">
      <c r="A26" s="110">
        <v>30036025</v>
      </c>
      <c r="B26" s="104" t="s">
        <v>300</v>
      </c>
      <c r="C26" s="49">
        <v>3</v>
      </c>
      <c r="D26" s="49" t="s">
        <v>127</v>
      </c>
      <c r="E26" s="105" t="s">
        <v>259</v>
      </c>
      <c r="F26" s="50" t="s">
        <v>272</v>
      </c>
      <c r="G26" s="61" t="str">
        <f t="shared" si="83"/>
        <v>[effect:damage_fix_absolute, target:unit_one, color:red, val:2000]</v>
      </c>
      <c r="H26" s="61">
        <f t="shared" si="84"/>
        <v>9</v>
      </c>
      <c r="I26" s="61">
        <f t="shared" si="85"/>
        <v>28</v>
      </c>
      <c r="J26" s="61">
        <f t="shared" si="86"/>
        <v>37</v>
      </c>
      <c r="K26" s="61">
        <f t="shared" si="87"/>
        <v>45</v>
      </c>
      <c r="L26" s="61" t="str">
        <f>IFERROR(VLOOKUP(MID(G26,J26,K26-J26),[5]skilldef!$C:$D,2,FALSE),"-") &amp; " / " &amp; IFERROR(VLOOKUP(MID(G26,H26,I26-H26),[5]skilldef!$A:$B,2,FALSE),"-")</f>
        <v>味方単体に / -</v>
      </c>
      <c r="M26" s="61" t="str">
        <f t="shared" si="88"/>
        <v>[effect:tolerance, target:myself, turn:-1, tolerance_effect:all, count:-1, animation:enemy_tolerance],[effect:enemy_message, val1:3.4, val2:1.2]</v>
      </c>
      <c r="N26" s="47" t="str">
        <f>IFERROR(LEFT(M26,FIND("],",M26)+#REF!),M26)</f>
        <v>[effect:tolerance, target:myself, turn:-1, tolerance_effect:all, count:-1, animation:enemy_tolerance],[effect:enemy_message, val1:3.4, val2:1.2]</v>
      </c>
      <c r="O26" s="61">
        <f t="shared" si="89"/>
        <v>9</v>
      </c>
      <c r="P26" s="61">
        <f t="shared" si="90"/>
        <v>18</v>
      </c>
      <c r="Q26" s="61">
        <f t="shared" si="91"/>
        <v>27</v>
      </c>
      <c r="R26" s="61">
        <f t="shared" si="92"/>
        <v>33</v>
      </c>
      <c r="S26" s="61" t="str">
        <f>IFERROR(VLOOKUP(MID(N26,Q26,R26-Q26),[5]skilldef!$C:$D,2,FALSE),"-") &amp; " / " &amp; IFERROR(VLOOKUP(MID(N26,O26,P26-O26),[5]skilldef!$A:$B,2,FALSE),"-")</f>
        <v>自分自身に / 状態異常耐性</v>
      </c>
      <c r="T26" s="47" t="str">
        <f t="shared" si="93"/>
        <v>[effect:enemy_message, val1:3.4, val2:1.2]</v>
      </c>
      <c r="U26" s="61">
        <f t="shared" si="94"/>
        <v>9</v>
      </c>
      <c r="V26" s="61">
        <f t="shared" si="95"/>
        <v>22</v>
      </c>
      <c r="W26" s="61" t="e">
        <f t="shared" si="96"/>
        <v>#VALUE!</v>
      </c>
      <c r="X26" s="61">
        <f t="shared" si="97"/>
        <v>32</v>
      </c>
      <c r="Y26" s="61" t="str">
        <f>IFERROR(VLOOKUP(MID(T26,W26,X26-W26),[5]skilldef!$C:$D,2,FALSE),"-") &amp; " / " &amp; IFERROR(VLOOKUP(MID(T26,U26,V26-U26),[5]skilldef!$A:$B,2,FALSE),"-")</f>
        <v>- / -</v>
      </c>
      <c r="Z26" s="49"/>
      <c r="AA26" s="51"/>
      <c r="AB26" s="49"/>
    </row>
    <row r="27" spans="1:28" ht="21" customHeight="1" x14ac:dyDescent="0.15">
      <c r="A27" s="110">
        <v>30036026</v>
      </c>
      <c r="B27" s="46" t="s">
        <v>299</v>
      </c>
      <c r="C27" s="49">
        <v>3</v>
      </c>
      <c r="D27" s="49" t="s">
        <v>127</v>
      </c>
      <c r="E27" s="105" t="s">
        <v>260</v>
      </c>
      <c r="F27" s="50" t="s">
        <v>275</v>
      </c>
      <c r="G27" s="61" t="str">
        <f t="shared" si="83"/>
        <v>[effect:damage_fix_absolute, target:unit_one, color:red, val:2800]</v>
      </c>
      <c r="H27" s="61">
        <f t="shared" si="84"/>
        <v>9</v>
      </c>
      <c r="I27" s="61">
        <f t="shared" si="85"/>
        <v>28</v>
      </c>
      <c r="J27" s="61">
        <f t="shared" si="86"/>
        <v>37</v>
      </c>
      <c r="K27" s="61">
        <f t="shared" si="87"/>
        <v>45</v>
      </c>
      <c r="L27" s="61" t="str">
        <f>IFERROR(VLOOKUP(MID(G27,J27,K27-J27),[5]skilldef!$C:$D,2,FALSE),"-") &amp; " / " &amp; IFERROR(VLOOKUP(MID(G27,H27,I27-H27),[5]skilldef!$A:$B,2,FALSE),"-")</f>
        <v>味方単体に / -</v>
      </c>
      <c r="M27" s="61" t="str">
        <f t="shared" si="88"/>
        <v>[effect:tolerance, target:myself, turn:-1, tolerance_effect:all, count:-1, animation:enemy_tolerance],[effect:enemy_message, val1:3.4, val2:1.2]</v>
      </c>
      <c r="N27" s="47" t="str">
        <f>IFERROR(LEFT(M27,FIND("],",M27)+#REF!),M27)</f>
        <v>[effect:tolerance, target:myself, turn:-1, tolerance_effect:all, count:-1, animation:enemy_tolerance],[effect:enemy_message, val1:3.4, val2:1.2]</v>
      </c>
      <c r="O27" s="61">
        <f t="shared" si="89"/>
        <v>9</v>
      </c>
      <c r="P27" s="61">
        <f t="shared" si="90"/>
        <v>18</v>
      </c>
      <c r="Q27" s="61">
        <f t="shared" si="91"/>
        <v>27</v>
      </c>
      <c r="R27" s="61">
        <f t="shared" si="92"/>
        <v>33</v>
      </c>
      <c r="S27" s="61" t="str">
        <f>IFERROR(VLOOKUP(MID(N27,Q27,R27-Q27),[5]skilldef!$C:$D,2,FALSE),"-") &amp; " / " &amp; IFERROR(VLOOKUP(MID(N27,O27,P27-O27),[5]skilldef!$A:$B,2,FALSE),"-")</f>
        <v>自分自身に / 状態異常耐性</v>
      </c>
      <c r="T27" s="47" t="str">
        <f t="shared" si="93"/>
        <v>[effect:enemy_message, val1:3.4, val2:1.2]</v>
      </c>
      <c r="U27" s="61">
        <f t="shared" si="94"/>
        <v>9</v>
      </c>
      <c r="V27" s="61">
        <f t="shared" si="95"/>
        <v>22</v>
      </c>
      <c r="W27" s="61" t="e">
        <f t="shared" si="96"/>
        <v>#VALUE!</v>
      </c>
      <c r="X27" s="61">
        <f t="shared" si="97"/>
        <v>32</v>
      </c>
      <c r="Y27" s="61" t="str">
        <f>IFERROR(VLOOKUP(MID(T27,W27,X27-W27),[5]skilldef!$C:$D,2,FALSE),"-") &amp; " / " &amp; IFERROR(VLOOKUP(MID(T27,U27,V27-U27),[5]skilldef!$A:$B,2,FALSE),"-")</f>
        <v>- / -</v>
      </c>
      <c r="Z27" s="49"/>
      <c r="AA27" s="51"/>
      <c r="AB27" s="49"/>
    </row>
    <row r="28" spans="1:28" ht="21" customHeight="1" x14ac:dyDescent="0.15">
      <c r="A28" s="109">
        <v>30036027</v>
      </c>
      <c r="B28" s="104" t="s">
        <v>298</v>
      </c>
      <c r="C28" s="49">
        <v>3</v>
      </c>
      <c r="D28" s="49" t="s">
        <v>127</v>
      </c>
      <c r="E28" s="105" t="s">
        <v>259</v>
      </c>
      <c r="F28" s="50" t="s">
        <v>276</v>
      </c>
      <c r="G28" s="61" t="str">
        <f t="shared" ref="G28" si="98">IFERROR(LEFT(B28,FIND("],",B28)),B28)</f>
        <v>[effect:damage_fix_absolute, target:unit_one, color:red, val:1800]</v>
      </c>
      <c r="H28" s="61">
        <f t="shared" ref="H28" si="99">FIND("effect:",G28)+7</f>
        <v>9</v>
      </c>
      <c r="I28" s="61">
        <f t="shared" ref="I28" si="100">IFERROR(FIND(",",G28),LEN(G28))</f>
        <v>28</v>
      </c>
      <c r="J28" s="61">
        <f t="shared" ref="J28" si="101">FIND("target:",G28)+7</f>
        <v>37</v>
      </c>
      <c r="K28" s="61">
        <f t="shared" ref="K28" si="102">FIND(",",G28,I28+1)</f>
        <v>45</v>
      </c>
      <c r="L28" s="61" t="str">
        <f>IFERROR(VLOOKUP(MID(G28,J28,K28-J28),[5]skilldef!$C:$D,2,FALSE),"-") &amp; " / " &amp; IFERROR(VLOOKUP(MID(G28,H28,I28-H28),[5]skilldef!$A:$B,2,FALSE),"-")</f>
        <v>味方単体に / -</v>
      </c>
      <c r="M28" s="61" t="str">
        <f t="shared" ref="M28" si="103">IFERROR(RIGHT(B28,LEN(B28)-FIND("],",B28)-1),"none")</f>
        <v>[effect:tolerance, target:myself, turn:-1, tolerance_effect:all, count:-1, animation:enemy_tolerance],[effect:enemy_message, val1:3.4, val2:1.2]</v>
      </c>
      <c r="N28" s="47" t="str">
        <f>IFERROR(LEFT(M28,FIND("],",M28)+#REF!),M28)</f>
        <v>[effect:tolerance, target:myself, turn:-1, tolerance_effect:all, count:-1, animation:enemy_tolerance],[effect:enemy_message, val1:3.4, val2:1.2]</v>
      </c>
      <c r="O28" s="61">
        <f t="shared" ref="O28" si="104">FIND("effect:",N28)+7</f>
        <v>9</v>
      </c>
      <c r="P28" s="61">
        <f t="shared" ref="P28" si="105">IFERROR(FIND(",",N28),LEN(N28))</f>
        <v>18</v>
      </c>
      <c r="Q28" s="61">
        <f t="shared" ref="Q28" si="106">FIND("target:",N28)+7</f>
        <v>27</v>
      </c>
      <c r="R28" s="61">
        <f t="shared" ref="R28" si="107">FIND(",",N28,P28+1)</f>
        <v>33</v>
      </c>
      <c r="S28" s="61" t="str">
        <f>IFERROR(VLOOKUP(MID(N28,Q28,R28-Q28),[5]skilldef!$C:$D,2,FALSE),"-") &amp; " / " &amp; IFERROR(VLOOKUP(MID(N28,O28,P28-O28),[5]skilldef!$A:$B,2,FALSE),"-")</f>
        <v>自分自身に / 状態異常耐性</v>
      </c>
      <c r="T28" s="47" t="str">
        <f t="shared" ref="T28" si="108">IFERROR(RIGHT(M28,LEN(M28)-FIND("],",M28)-1),"none")</f>
        <v>[effect:enemy_message, val1:3.4, val2:1.2]</v>
      </c>
      <c r="U28" s="61">
        <f t="shared" ref="U28" si="109">FIND("effect:",T28)+7</f>
        <v>9</v>
      </c>
      <c r="V28" s="61">
        <f t="shared" ref="V28" si="110">IFERROR(FIND(",",T28),LEN(T28))</f>
        <v>22</v>
      </c>
      <c r="W28" s="61" t="e">
        <f t="shared" ref="W28" si="111">FIND("target:",T28)+7</f>
        <v>#VALUE!</v>
      </c>
      <c r="X28" s="61">
        <f t="shared" ref="X28" si="112">FIND(",",T28,V28+1)</f>
        <v>32</v>
      </c>
      <c r="Y28" s="61" t="str">
        <f>IFERROR(VLOOKUP(MID(T28,W28,X28-W28),[5]skilldef!$C:$D,2,FALSE),"-") &amp; " / " &amp; IFERROR(VLOOKUP(MID(T28,U28,V28-U28),[5]skilldef!$A:$B,2,FALSE),"-")</f>
        <v>- / -</v>
      </c>
      <c r="Z28" s="49"/>
      <c r="AA28" s="51"/>
      <c r="AB28" s="49"/>
    </row>
    <row r="29" spans="1:28" ht="21" customHeight="1" x14ac:dyDescent="0.15">
      <c r="A29" s="109">
        <v>30036028</v>
      </c>
      <c r="B29" s="46" t="s">
        <v>286</v>
      </c>
      <c r="C29" s="49">
        <v>3</v>
      </c>
      <c r="D29" s="49" t="s">
        <v>127</v>
      </c>
      <c r="E29" s="105" t="s">
        <v>283</v>
      </c>
      <c r="F29" s="50" t="s">
        <v>249</v>
      </c>
      <c r="G29" s="61" t="str">
        <f t="shared" ref="G29:G30" si="113">IFERROR(LEFT(B29,FIND("],",B29)),B29)</f>
        <v>[effect:enemy_counter, target:myself, invoke_condition:unit_all, counter_target:unit_one, turn:-1, val:0.09, animation:enemy_counter]</v>
      </c>
      <c r="H29" s="61">
        <f t="shared" ref="H29:H30" si="114">FIND("effect:",G29)+7</f>
        <v>9</v>
      </c>
      <c r="I29" s="61">
        <f t="shared" ref="I29:I30" si="115">IFERROR(FIND(",",G29),LEN(G29))</f>
        <v>22</v>
      </c>
      <c r="J29" s="61">
        <f t="shared" ref="J29:J30" si="116">FIND("target:",G29)+7</f>
        <v>31</v>
      </c>
      <c r="K29" s="61">
        <f t="shared" ref="K29:K30" si="117">FIND(",",G29,I29+1)</f>
        <v>37</v>
      </c>
      <c r="L29" s="61" t="str">
        <f>IFERROR(VLOOKUP(MID(G29,J29,K29-J29),[5]skilldef!$C:$D,2,FALSE),"-") &amp; " / " &amp; IFERROR(VLOOKUP(MID(G29,H29,I29-H29),[5]skilldef!$A:$B,2,FALSE),"-")</f>
        <v>自分自身に / カウンター</v>
      </c>
      <c r="M29" s="61" t="str">
        <f t="shared" ref="M29:M30" si="118">IFERROR(RIGHT(B29,LEN(B29)-FIND("],",B29)-1),"none")</f>
        <v>none</v>
      </c>
      <c r="N29" s="47" t="str">
        <f>IFERROR(LEFT(M29,FIND("],",M29)+#REF!),M29)</f>
        <v>none</v>
      </c>
      <c r="O29" s="61" t="e">
        <f t="shared" ref="O29:O30" si="119">FIND("effect:",N29)+7</f>
        <v>#VALUE!</v>
      </c>
      <c r="P29" s="61">
        <f t="shared" ref="P29:P30" si="120">IFERROR(FIND(",",N29),LEN(N29))</f>
        <v>4</v>
      </c>
      <c r="Q29" s="61" t="e">
        <f t="shared" ref="Q29:Q30" si="121">FIND("target:",N29)+7</f>
        <v>#VALUE!</v>
      </c>
      <c r="R29" s="61" t="e">
        <f t="shared" ref="R29:R30" si="122">FIND(",",N29,P29+1)</f>
        <v>#VALUE!</v>
      </c>
      <c r="S29" s="61" t="str">
        <f>IFERROR(VLOOKUP(MID(N29,Q29,R29-Q29),[5]skilldef!$C:$D,2,FALSE),"-") &amp; " / " &amp; IFERROR(VLOOKUP(MID(N29,O29,P29-O29),[5]skilldef!$A:$B,2,FALSE),"-")</f>
        <v>- / -</v>
      </c>
      <c r="T29" s="47" t="str">
        <f t="shared" ref="T29:T30" si="123">IFERROR(RIGHT(M29,LEN(M29)-FIND("],",M29)-1),"none")</f>
        <v>none</v>
      </c>
      <c r="U29" s="61" t="e">
        <f t="shared" ref="U29:U30" si="124">FIND("effect:",T29)+7</f>
        <v>#VALUE!</v>
      </c>
      <c r="V29" s="61">
        <f t="shared" ref="V29:V30" si="125">IFERROR(FIND(",",T29),LEN(T29))</f>
        <v>4</v>
      </c>
      <c r="W29" s="61" t="e">
        <f t="shared" ref="W29:W30" si="126">FIND("target:",T29)+7</f>
        <v>#VALUE!</v>
      </c>
      <c r="X29" s="61" t="e">
        <f t="shared" ref="X29:X30" si="127">FIND(",",T29,V29+1)</f>
        <v>#VALUE!</v>
      </c>
      <c r="Y29" s="61" t="str">
        <f>IFERROR(VLOOKUP(MID(T29,W29,X29-W29),[5]skilldef!$C:$D,2,FALSE),"-") &amp; " / " &amp; IFERROR(VLOOKUP(MID(T29,U29,V29-U29),[5]skilldef!$A:$B,2,FALSE),"-")</f>
        <v>- / -</v>
      </c>
      <c r="Z29" s="49"/>
      <c r="AA29" s="51"/>
      <c r="AB29" s="49"/>
    </row>
    <row r="30" spans="1:28" ht="21" customHeight="1" x14ac:dyDescent="0.15">
      <c r="A30" s="109">
        <v>30036029</v>
      </c>
      <c r="B30" s="46" t="s">
        <v>263</v>
      </c>
      <c r="C30" s="49">
        <v>3</v>
      </c>
      <c r="D30" s="49" t="s">
        <v>127</v>
      </c>
      <c r="E30" s="105" t="s">
        <v>282</v>
      </c>
      <c r="F30" s="50" t="s">
        <v>243</v>
      </c>
      <c r="G30" s="61" t="str">
        <f t="shared" si="113"/>
        <v>[effect:rush, count:2, val:0.46]</v>
      </c>
      <c r="H30" s="61">
        <f t="shared" si="114"/>
        <v>9</v>
      </c>
      <c r="I30" s="61">
        <f t="shared" si="115"/>
        <v>13</v>
      </c>
      <c r="J30" s="61" t="e">
        <f t="shared" si="116"/>
        <v>#VALUE!</v>
      </c>
      <c r="K30" s="61">
        <f t="shared" si="117"/>
        <v>22</v>
      </c>
      <c r="L30" s="61" t="str">
        <f>IFERROR(VLOOKUP(MID(G30,J30,K30-J30),[5]skilldef!$C:$D,2,FALSE),"-") &amp; " / " &amp; IFERROR(VLOOKUP(MID(G30,H30,I30-H30),[5]skilldef!$A:$B,2,FALSE),"-")</f>
        <v>- / 連続攻撃</v>
      </c>
      <c r="M30" s="61" t="str">
        <f t="shared" si="118"/>
        <v>none</v>
      </c>
      <c r="N30" s="47" t="str">
        <f>IFERROR(LEFT(M30,FIND("],",M30)+#REF!),M30)</f>
        <v>none</v>
      </c>
      <c r="O30" s="61" t="e">
        <f t="shared" si="119"/>
        <v>#VALUE!</v>
      </c>
      <c r="P30" s="61">
        <f t="shared" si="120"/>
        <v>4</v>
      </c>
      <c r="Q30" s="61" t="e">
        <f t="shared" si="121"/>
        <v>#VALUE!</v>
      </c>
      <c r="R30" s="61" t="e">
        <f t="shared" si="122"/>
        <v>#VALUE!</v>
      </c>
      <c r="S30" s="61" t="str">
        <f>IFERROR(VLOOKUP(MID(N30,Q30,R30-Q30),[5]skilldef!$C:$D,2,FALSE),"-") &amp; " / " &amp; IFERROR(VLOOKUP(MID(N30,O30,P30-O30),[5]skilldef!$A:$B,2,FALSE),"-")</f>
        <v>- / -</v>
      </c>
      <c r="T30" s="47" t="str">
        <f t="shared" si="123"/>
        <v>none</v>
      </c>
      <c r="U30" s="61" t="e">
        <f t="shared" si="124"/>
        <v>#VALUE!</v>
      </c>
      <c r="V30" s="61">
        <f t="shared" si="125"/>
        <v>4</v>
      </c>
      <c r="W30" s="61" t="e">
        <f t="shared" si="126"/>
        <v>#VALUE!</v>
      </c>
      <c r="X30" s="61" t="e">
        <f t="shared" si="127"/>
        <v>#VALUE!</v>
      </c>
      <c r="Y30" s="61" t="str">
        <f>IFERROR(VLOOKUP(MID(T30,W30,X30-W30),[5]skilldef!$C:$D,2,FALSE),"-") &amp; " / " &amp; IFERROR(VLOOKUP(MID(T30,U30,V30-U30),[5]skilldef!$A:$B,2,FALSE),"-")</f>
        <v>- / -</v>
      </c>
      <c r="Z30" s="49"/>
      <c r="AA30" s="51"/>
      <c r="AB30" s="49"/>
    </row>
    <row r="31" spans="1:28" ht="21" customHeight="1" x14ac:dyDescent="0.15">
      <c r="A31" s="109">
        <v>30036030</v>
      </c>
      <c r="B31" s="46" t="s">
        <v>285</v>
      </c>
      <c r="C31" s="49">
        <v>3</v>
      </c>
      <c r="D31" s="49" t="s">
        <v>127</v>
      </c>
      <c r="E31" s="105" t="s">
        <v>296</v>
      </c>
      <c r="F31" s="50" t="s">
        <v>245</v>
      </c>
      <c r="G31" s="61" t="str">
        <f t="shared" ref="G31" si="128">IFERROR(LEFT(B31,FIND("],",B31)),B31)</f>
        <v>[effect:rush, count:3, val:0.37]</v>
      </c>
      <c r="H31" s="61">
        <f t="shared" ref="H31" si="129">FIND("effect:",G31)+7</f>
        <v>9</v>
      </c>
      <c r="I31" s="61">
        <f t="shared" ref="I31" si="130">IFERROR(FIND(",",G31),LEN(G31))</f>
        <v>13</v>
      </c>
      <c r="J31" s="61" t="e">
        <f t="shared" ref="J31" si="131">FIND("target:",G31)+7</f>
        <v>#VALUE!</v>
      </c>
      <c r="K31" s="61">
        <f t="shared" ref="K31" si="132">FIND(",",G31,I31+1)</f>
        <v>22</v>
      </c>
      <c r="L31" s="61" t="str">
        <f>IFERROR(VLOOKUP(MID(G31,J31,K31-J31),[5]skilldef!$C:$D,2,FALSE),"-") &amp; " / " &amp; IFERROR(VLOOKUP(MID(G31,H31,I31-H31),[5]skilldef!$A:$B,2,FALSE),"-")</f>
        <v>- / 連続攻撃</v>
      </c>
      <c r="M31" s="61" t="str">
        <f t="shared" ref="M31" si="133">IFERROR(RIGHT(B31,LEN(B31)-FIND("],",B31)-1),"none")</f>
        <v>none</v>
      </c>
      <c r="N31" s="47" t="str">
        <f>IFERROR(LEFT(M31,FIND("],",M31)+S29),M31)</f>
        <v>none</v>
      </c>
      <c r="O31" s="61" t="e">
        <f t="shared" ref="O31" si="134">FIND("effect:",N31)+7</f>
        <v>#VALUE!</v>
      </c>
      <c r="P31" s="61">
        <f t="shared" ref="P31" si="135">IFERROR(FIND(",",N31),LEN(N31))</f>
        <v>4</v>
      </c>
      <c r="Q31" s="61" t="e">
        <f t="shared" ref="Q31" si="136">FIND("target:",N31)+7</f>
        <v>#VALUE!</v>
      </c>
      <c r="R31" s="61" t="e">
        <f t="shared" ref="R31" si="137">FIND(",",N31,P31+1)</f>
        <v>#VALUE!</v>
      </c>
      <c r="S31" s="61" t="str">
        <f>IFERROR(VLOOKUP(MID(N31,Q31,R31-Q31),[5]skilldef!$C:$D,2,FALSE),"-") &amp; " / " &amp; IFERROR(VLOOKUP(MID(N31,O31,P31-O31),[5]skilldef!$A:$B,2,FALSE),"-")</f>
        <v>- / -</v>
      </c>
      <c r="T31" s="47" t="str">
        <f t="shared" ref="T31" si="138">IFERROR(RIGHT(M31,LEN(M31)-FIND("],",M31)-1),"none")</f>
        <v>none</v>
      </c>
      <c r="U31" s="61" t="e">
        <f t="shared" ref="U31" si="139">FIND("effect:",T31)+7</f>
        <v>#VALUE!</v>
      </c>
      <c r="V31" s="61">
        <f t="shared" ref="V31" si="140">IFERROR(FIND(",",T31),LEN(T31))</f>
        <v>4</v>
      </c>
      <c r="W31" s="61" t="e">
        <f t="shared" ref="W31" si="141">FIND("target:",T31)+7</f>
        <v>#VALUE!</v>
      </c>
      <c r="X31" s="61" t="e">
        <f t="shared" ref="X31" si="142">FIND(",",T31,V31+1)</f>
        <v>#VALUE!</v>
      </c>
      <c r="Y31" s="61" t="str">
        <f>IFERROR(VLOOKUP(MID(T31,W31,X31-W31),[5]skilldef!$C:$D,2,FALSE),"-") &amp; " / " &amp; IFERROR(VLOOKUP(MID(T31,U31,V31-U31),[5]skilldef!$A:$B,2,FALSE),"-")</f>
        <v>- / -</v>
      </c>
      <c r="Z31" s="49"/>
      <c r="AA31" s="51"/>
      <c r="AB31" s="49"/>
    </row>
  </sheetData>
  <autoFilter ref="A1:AB1"/>
  <phoneticPr fontId="5"/>
  <pageMargins left="0.75" right="0.75" top="1" bottom="1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1"/>
  <sheetViews>
    <sheetView showGridLines="0" zoomScale="120" zoomScaleNormal="120" zoomScalePageLayoutView="120" workbookViewId="0">
      <pane ySplit="1" topLeftCell="A5" activePane="bottomLeft" state="frozenSplit"/>
      <selection pane="bottomLeft" activeCell="C30" sqref="C30"/>
    </sheetView>
  </sheetViews>
  <sheetFormatPr baseColWidth="12" defaultColWidth="12.83203125" defaultRowHeight="21" customHeight="1" x14ac:dyDescent="0.15"/>
  <cols>
    <col min="1" max="1" width="16.1640625" style="48" bestFit="1" customWidth="1"/>
    <col min="2" max="2" width="13.33203125" style="48" bestFit="1" customWidth="1"/>
    <col min="3" max="3" width="11.83203125" style="48" bestFit="1" customWidth="1"/>
    <col min="4" max="4" width="14.6640625" style="48" bestFit="1" customWidth="1"/>
    <col min="5" max="5" width="15.6640625" style="48" bestFit="1" customWidth="1"/>
    <col min="6" max="6" width="17" style="48" bestFit="1" customWidth="1"/>
    <col min="7" max="7" width="15.6640625" style="48" bestFit="1" customWidth="1"/>
    <col min="8" max="9" width="14.6640625" style="48" customWidth="1"/>
    <col min="10" max="10" width="14.6640625" style="48" bestFit="1" customWidth="1"/>
    <col min="11" max="11" width="22.83203125" style="38" bestFit="1" customWidth="1"/>
    <col min="12" max="16384" width="12.83203125" style="44"/>
  </cols>
  <sheetData>
    <row r="1" spans="1:11" ht="21" customHeight="1" x14ac:dyDescent="0.15">
      <c r="A1" s="41" t="s">
        <v>84</v>
      </c>
      <c r="B1" s="41" t="s">
        <v>85</v>
      </c>
      <c r="C1" s="41" t="s">
        <v>86</v>
      </c>
      <c r="D1" s="41" t="s">
        <v>235</v>
      </c>
      <c r="E1" s="41" t="s">
        <v>70</v>
      </c>
      <c r="F1" s="52" t="s">
        <v>71</v>
      </c>
      <c r="G1" s="52" t="s">
        <v>72</v>
      </c>
      <c r="H1" s="41" t="s">
        <v>73</v>
      </c>
      <c r="I1" s="41" t="s">
        <v>74</v>
      </c>
      <c r="J1" s="41" t="s">
        <v>75</v>
      </c>
      <c r="K1" s="53" t="s">
        <v>87</v>
      </c>
    </row>
    <row r="2" spans="1:11" ht="21" customHeight="1" x14ac:dyDescent="0.15">
      <c r="A2" s="107">
        <v>30036001</v>
      </c>
      <c r="B2" s="46">
        <v>0</v>
      </c>
      <c r="C2" s="46" t="s">
        <v>88</v>
      </c>
      <c r="D2" s="46">
        <v>40</v>
      </c>
      <c r="E2" s="46" t="s">
        <v>214</v>
      </c>
      <c r="F2" s="46" t="s">
        <v>89</v>
      </c>
      <c r="G2" s="46" t="s">
        <v>53</v>
      </c>
      <c r="H2" s="46" t="s">
        <v>89</v>
      </c>
      <c r="I2" s="46" t="s">
        <v>89</v>
      </c>
      <c r="J2" s="47">
        <f t="shared" ref="J2" si="0">D2</f>
        <v>40</v>
      </c>
    </row>
    <row r="3" spans="1:11" ht="21" customHeight="1" x14ac:dyDescent="0.15">
      <c r="A3" s="96">
        <v>30036002</v>
      </c>
      <c r="B3" s="46">
        <v>0</v>
      </c>
      <c r="C3" s="46" t="s">
        <v>53</v>
      </c>
      <c r="D3" s="46">
        <v>100</v>
      </c>
      <c r="E3" s="46" t="s">
        <v>215</v>
      </c>
      <c r="F3" s="46" t="s">
        <v>89</v>
      </c>
      <c r="G3" s="46" t="s">
        <v>236</v>
      </c>
      <c r="H3" s="46" t="s">
        <v>236</v>
      </c>
      <c r="I3" s="46" t="s">
        <v>89</v>
      </c>
      <c r="J3" s="47">
        <f t="shared" ref="J3" si="1">D3</f>
        <v>100</v>
      </c>
    </row>
    <row r="4" spans="1:11" ht="21" customHeight="1" x14ac:dyDescent="0.15">
      <c r="A4" s="107">
        <v>30036003</v>
      </c>
      <c r="B4" s="46">
        <v>0</v>
      </c>
      <c r="C4" s="46" t="s">
        <v>53</v>
      </c>
      <c r="D4" s="46">
        <v>40</v>
      </c>
      <c r="E4" s="46" t="s">
        <v>215</v>
      </c>
      <c r="F4" s="46" t="s">
        <v>89</v>
      </c>
      <c r="G4" s="46" t="s">
        <v>217</v>
      </c>
      <c r="H4" s="46" t="s">
        <v>89</v>
      </c>
      <c r="I4" s="46" t="s">
        <v>89</v>
      </c>
      <c r="J4" s="47">
        <f t="shared" ref="J4:J8" si="2">D4</f>
        <v>40</v>
      </c>
    </row>
    <row r="5" spans="1:11" ht="21" customHeight="1" x14ac:dyDescent="0.15">
      <c r="A5" s="96">
        <v>30036004</v>
      </c>
      <c r="B5" s="46">
        <v>0</v>
      </c>
      <c r="C5" s="46" t="s">
        <v>53</v>
      </c>
      <c r="D5" s="46">
        <v>100</v>
      </c>
      <c r="E5" s="46" t="s">
        <v>216</v>
      </c>
      <c r="F5" s="46" t="s">
        <v>89</v>
      </c>
      <c r="G5" s="46" t="s">
        <v>236</v>
      </c>
      <c r="H5" s="46" t="s">
        <v>89</v>
      </c>
      <c r="I5" s="46" t="s">
        <v>236</v>
      </c>
      <c r="J5" s="47">
        <f t="shared" si="2"/>
        <v>100</v>
      </c>
    </row>
    <row r="6" spans="1:11" ht="21" customHeight="1" x14ac:dyDescent="0.15">
      <c r="A6" s="96">
        <v>30036005</v>
      </c>
      <c r="B6" s="46">
        <v>0</v>
      </c>
      <c r="C6" s="46" t="s">
        <v>53</v>
      </c>
      <c r="D6" s="46">
        <v>100</v>
      </c>
      <c r="E6" s="46" t="s">
        <v>217</v>
      </c>
      <c r="F6" s="46" t="s">
        <v>89</v>
      </c>
      <c r="G6" s="46" t="s">
        <v>236</v>
      </c>
      <c r="H6" s="46" t="s">
        <v>236</v>
      </c>
      <c r="I6" s="46" t="s">
        <v>89</v>
      </c>
      <c r="J6" s="47">
        <f t="shared" si="2"/>
        <v>100</v>
      </c>
    </row>
    <row r="7" spans="1:11" ht="21" customHeight="1" x14ac:dyDescent="0.15">
      <c r="A7" s="96">
        <v>30036006</v>
      </c>
      <c r="B7" s="46">
        <v>0</v>
      </c>
      <c r="C7" s="46" t="s">
        <v>53</v>
      </c>
      <c r="D7" s="46">
        <v>100</v>
      </c>
      <c r="E7" s="46" t="s">
        <v>217</v>
      </c>
      <c r="F7" s="46" t="s">
        <v>89</v>
      </c>
      <c r="G7" s="46" t="s">
        <v>217</v>
      </c>
      <c r="H7" s="46" t="s">
        <v>89</v>
      </c>
      <c r="I7" s="46" t="s">
        <v>89</v>
      </c>
      <c r="J7" s="47">
        <f t="shared" si="2"/>
        <v>100</v>
      </c>
    </row>
    <row r="8" spans="1:11" ht="21" customHeight="1" x14ac:dyDescent="0.15">
      <c r="A8" s="107">
        <v>30036007</v>
      </c>
      <c r="B8" s="46">
        <v>0</v>
      </c>
      <c r="C8" s="46" t="s">
        <v>53</v>
      </c>
      <c r="D8" s="46">
        <v>38</v>
      </c>
      <c r="E8" s="46" t="s">
        <v>217</v>
      </c>
      <c r="F8" s="46" t="s">
        <v>89</v>
      </c>
      <c r="G8" s="46" t="s">
        <v>217</v>
      </c>
      <c r="H8" s="46" t="s">
        <v>89</v>
      </c>
      <c r="I8" s="46" t="s">
        <v>89</v>
      </c>
      <c r="J8" s="47">
        <f t="shared" si="2"/>
        <v>38</v>
      </c>
    </row>
    <row r="9" spans="1:11" ht="21" customHeight="1" x14ac:dyDescent="0.15">
      <c r="A9" s="96">
        <v>30036008</v>
      </c>
      <c r="B9" s="46">
        <v>0</v>
      </c>
      <c r="C9" s="46" t="s">
        <v>53</v>
      </c>
      <c r="D9" s="46">
        <v>100</v>
      </c>
      <c r="E9" s="46" t="s">
        <v>217</v>
      </c>
      <c r="F9" s="46" t="s">
        <v>89</v>
      </c>
      <c r="G9" s="46" t="s">
        <v>236</v>
      </c>
      <c r="H9" s="46" t="s">
        <v>89</v>
      </c>
      <c r="I9" s="46" t="s">
        <v>89</v>
      </c>
      <c r="J9" s="47">
        <f t="shared" ref="J9" si="3">D9</f>
        <v>100</v>
      </c>
    </row>
    <row r="10" spans="1:11" ht="21" customHeight="1" x14ac:dyDescent="0.15">
      <c r="A10" s="96">
        <v>30036009</v>
      </c>
      <c r="B10" s="46">
        <v>0</v>
      </c>
      <c r="C10" s="46" t="s">
        <v>53</v>
      </c>
      <c r="D10" s="46">
        <v>100</v>
      </c>
      <c r="E10" s="46" t="s">
        <v>217</v>
      </c>
      <c r="F10" s="46" t="s">
        <v>89</v>
      </c>
      <c r="G10" s="46" t="s">
        <v>236</v>
      </c>
      <c r="H10" s="46" t="s">
        <v>89</v>
      </c>
      <c r="I10" s="46" t="s">
        <v>89</v>
      </c>
      <c r="J10" s="47">
        <f t="shared" ref="J10" si="4">D10</f>
        <v>100</v>
      </c>
    </row>
    <row r="11" spans="1:11" ht="21" customHeight="1" x14ac:dyDescent="0.15">
      <c r="A11" s="96">
        <v>30036010</v>
      </c>
      <c r="B11" s="46">
        <v>0</v>
      </c>
      <c r="C11" s="46" t="s">
        <v>53</v>
      </c>
      <c r="D11" s="46">
        <v>100</v>
      </c>
      <c r="E11" s="46" t="s">
        <v>217</v>
      </c>
      <c r="F11" s="46" t="s">
        <v>89</v>
      </c>
      <c r="G11" s="46" t="s">
        <v>216</v>
      </c>
      <c r="H11" s="46" t="s">
        <v>89</v>
      </c>
      <c r="I11" s="46" t="s">
        <v>89</v>
      </c>
      <c r="J11" s="47">
        <f t="shared" ref="J11:J12" si="5">D11</f>
        <v>100</v>
      </c>
    </row>
    <row r="12" spans="1:11" ht="21" customHeight="1" x14ac:dyDescent="0.15">
      <c r="A12" s="107">
        <v>30036011</v>
      </c>
      <c r="B12" s="46">
        <v>1</v>
      </c>
      <c r="C12" s="46" t="s">
        <v>53</v>
      </c>
      <c r="D12" s="46">
        <v>100</v>
      </c>
      <c r="E12" s="46" t="s">
        <v>53</v>
      </c>
      <c r="F12" s="46" t="s">
        <v>89</v>
      </c>
      <c r="G12" s="46">
        <v>1</v>
      </c>
      <c r="H12" s="46" t="s">
        <v>89</v>
      </c>
      <c r="I12" s="46" t="s">
        <v>89</v>
      </c>
      <c r="J12" s="47">
        <f t="shared" si="5"/>
        <v>100</v>
      </c>
    </row>
    <row r="13" spans="1:11" ht="21" customHeight="1" x14ac:dyDescent="0.15">
      <c r="A13" s="107">
        <v>30036012</v>
      </c>
      <c r="B13" s="46">
        <v>0</v>
      </c>
      <c r="C13" s="46" t="s">
        <v>53</v>
      </c>
      <c r="D13" s="46">
        <v>100</v>
      </c>
      <c r="E13" s="46" t="s">
        <v>217</v>
      </c>
      <c r="F13" s="46" t="s">
        <v>89</v>
      </c>
      <c r="G13" s="46" t="s">
        <v>53</v>
      </c>
      <c r="H13" s="46" t="s">
        <v>53</v>
      </c>
      <c r="I13" s="46" t="s">
        <v>89</v>
      </c>
      <c r="J13" s="47">
        <f t="shared" ref="J13:J14" si="6">D13</f>
        <v>100</v>
      </c>
    </row>
    <row r="14" spans="1:11" ht="21" customHeight="1" x14ac:dyDescent="0.15">
      <c r="A14" s="107">
        <v>30036013</v>
      </c>
      <c r="B14" s="46">
        <v>1</v>
      </c>
      <c r="C14" s="46" t="s">
        <v>53</v>
      </c>
      <c r="D14" s="46">
        <v>100</v>
      </c>
      <c r="E14" s="46" t="s">
        <v>217</v>
      </c>
      <c r="F14" s="46" t="s">
        <v>89</v>
      </c>
      <c r="G14" s="46">
        <v>1</v>
      </c>
      <c r="H14" s="46" t="s">
        <v>89</v>
      </c>
      <c r="I14" s="46" t="s">
        <v>89</v>
      </c>
      <c r="J14" s="47">
        <f t="shared" si="6"/>
        <v>100</v>
      </c>
    </row>
    <row r="15" spans="1:11" ht="21" customHeight="1" x14ac:dyDescent="0.15">
      <c r="A15" s="107">
        <v>30036014</v>
      </c>
      <c r="B15" s="46">
        <v>0</v>
      </c>
      <c r="C15" s="46" t="s">
        <v>53</v>
      </c>
      <c r="D15" s="46">
        <v>40</v>
      </c>
      <c r="E15" s="46" t="s">
        <v>217</v>
      </c>
      <c r="F15" s="46" t="s">
        <v>89</v>
      </c>
      <c r="G15" s="46" t="s">
        <v>237</v>
      </c>
      <c r="H15" s="46" t="s">
        <v>89</v>
      </c>
      <c r="I15" s="46" t="s">
        <v>89</v>
      </c>
      <c r="J15" s="47">
        <f t="shared" ref="J15" si="7">D15</f>
        <v>40</v>
      </c>
    </row>
    <row r="16" spans="1:11" ht="21" customHeight="1" x14ac:dyDescent="0.15">
      <c r="A16" s="96">
        <v>30036015</v>
      </c>
      <c r="B16" s="46">
        <v>0</v>
      </c>
      <c r="C16" s="46" t="s">
        <v>53</v>
      </c>
      <c r="D16" s="46">
        <v>100</v>
      </c>
      <c r="E16" s="46" t="s">
        <v>217</v>
      </c>
      <c r="F16" s="46" t="s">
        <v>89</v>
      </c>
      <c r="G16" s="46" t="s">
        <v>236</v>
      </c>
      <c r="H16" s="46" t="s">
        <v>89</v>
      </c>
      <c r="I16" s="46" t="s">
        <v>89</v>
      </c>
      <c r="J16" s="47">
        <f t="shared" ref="J16" si="8">D16</f>
        <v>100</v>
      </c>
    </row>
    <row r="17" spans="1:10" ht="21" customHeight="1" x14ac:dyDescent="0.15">
      <c r="A17" s="107">
        <v>30036016</v>
      </c>
      <c r="B17" s="46">
        <v>1</v>
      </c>
      <c r="C17" s="46" t="s">
        <v>53</v>
      </c>
      <c r="D17" s="46">
        <v>100</v>
      </c>
      <c r="E17" s="46" t="s">
        <v>217</v>
      </c>
      <c r="F17" s="46" t="s">
        <v>89</v>
      </c>
      <c r="G17" s="46">
        <v>1</v>
      </c>
      <c r="H17" s="46" t="s">
        <v>236</v>
      </c>
      <c r="I17" s="46" t="s">
        <v>89</v>
      </c>
      <c r="J17" s="47">
        <f t="shared" ref="J17:J19" si="9">D17</f>
        <v>100</v>
      </c>
    </row>
    <row r="18" spans="1:10" ht="21" customHeight="1" x14ac:dyDescent="0.15">
      <c r="A18" s="107">
        <v>30036017</v>
      </c>
      <c r="B18" s="46">
        <v>0</v>
      </c>
      <c r="C18" s="46">
        <v>90</v>
      </c>
      <c r="D18" s="46">
        <v>100</v>
      </c>
      <c r="E18" s="46" t="s">
        <v>217</v>
      </c>
      <c r="F18" s="46" t="s">
        <v>89</v>
      </c>
      <c r="G18" s="46">
        <v>1</v>
      </c>
      <c r="H18" s="46" t="s">
        <v>89</v>
      </c>
      <c r="I18" s="46" t="s">
        <v>89</v>
      </c>
      <c r="J18" s="47">
        <f t="shared" si="9"/>
        <v>100</v>
      </c>
    </row>
    <row r="19" spans="1:10" ht="21" customHeight="1" x14ac:dyDescent="0.15">
      <c r="A19" s="107">
        <v>30036018</v>
      </c>
      <c r="B19" s="46">
        <v>0</v>
      </c>
      <c r="C19" s="46">
        <v>80</v>
      </c>
      <c r="D19" s="46">
        <v>80</v>
      </c>
      <c r="E19" s="46" t="s">
        <v>217</v>
      </c>
      <c r="F19" s="46" t="s">
        <v>89</v>
      </c>
      <c r="G19" s="46" t="s">
        <v>216</v>
      </c>
      <c r="H19" s="46" t="s">
        <v>236</v>
      </c>
      <c r="I19" s="46" t="s">
        <v>89</v>
      </c>
      <c r="J19" s="47">
        <f t="shared" si="9"/>
        <v>80</v>
      </c>
    </row>
    <row r="20" spans="1:10" ht="21" customHeight="1" x14ac:dyDescent="0.15">
      <c r="A20" s="107">
        <v>30036019</v>
      </c>
      <c r="B20" s="46">
        <v>0</v>
      </c>
      <c r="C20" s="46">
        <v>70</v>
      </c>
      <c r="D20" s="46">
        <v>80</v>
      </c>
      <c r="E20" s="46" t="s">
        <v>217</v>
      </c>
      <c r="F20" s="46" t="s">
        <v>89</v>
      </c>
      <c r="G20" s="46" t="s">
        <v>216</v>
      </c>
      <c r="H20" s="46" t="s">
        <v>89</v>
      </c>
      <c r="I20" s="46" t="s">
        <v>89</v>
      </c>
      <c r="J20" s="47">
        <f t="shared" ref="J20" si="10">D20</f>
        <v>80</v>
      </c>
    </row>
    <row r="21" spans="1:10" ht="21" customHeight="1" x14ac:dyDescent="0.15">
      <c r="A21" s="107">
        <v>30036020</v>
      </c>
      <c r="B21" s="46">
        <v>1</v>
      </c>
      <c r="C21" s="46" t="s">
        <v>53</v>
      </c>
      <c r="D21" s="46">
        <v>100</v>
      </c>
      <c r="E21" s="46" t="s">
        <v>53</v>
      </c>
      <c r="F21" s="46" t="s">
        <v>89</v>
      </c>
      <c r="G21" s="46">
        <v>1</v>
      </c>
      <c r="H21" s="46" t="s">
        <v>236</v>
      </c>
      <c r="I21" s="46" t="s">
        <v>89</v>
      </c>
      <c r="J21" s="47">
        <f t="shared" ref="J21" si="11">D21</f>
        <v>100</v>
      </c>
    </row>
    <row r="22" spans="1:10" ht="21" customHeight="1" x14ac:dyDescent="0.15">
      <c r="A22" s="107">
        <v>30036021</v>
      </c>
      <c r="B22" s="46">
        <v>0</v>
      </c>
      <c r="C22" s="46">
        <v>100</v>
      </c>
      <c r="D22" s="46">
        <v>100</v>
      </c>
      <c r="E22" s="46">
        <v>60</v>
      </c>
      <c r="F22" s="46" t="s">
        <v>89</v>
      </c>
      <c r="G22" s="46">
        <v>1</v>
      </c>
      <c r="H22" s="46" t="s">
        <v>53</v>
      </c>
      <c r="I22" s="46" t="s">
        <v>89</v>
      </c>
      <c r="J22" s="47">
        <f>D22</f>
        <v>100</v>
      </c>
    </row>
    <row r="23" spans="1:10" ht="21" customHeight="1" x14ac:dyDescent="0.15">
      <c r="A23" s="107">
        <v>30036022</v>
      </c>
      <c r="B23" s="46">
        <v>0</v>
      </c>
      <c r="C23" s="46">
        <v>90</v>
      </c>
      <c r="D23" s="46">
        <v>11</v>
      </c>
      <c r="E23" s="46" t="s">
        <v>88</v>
      </c>
      <c r="F23" s="46" t="s">
        <v>88</v>
      </c>
      <c r="G23" s="46">
        <v>1</v>
      </c>
      <c r="H23" s="46" t="s">
        <v>88</v>
      </c>
      <c r="I23" s="46" t="s">
        <v>88</v>
      </c>
      <c r="J23" s="47">
        <f>D23</f>
        <v>11</v>
      </c>
    </row>
    <row r="24" spans="1:10" ht="21" customHeight="1" x14ac:dyDescent="0.15">
      <c r="A24" s="107">
        <v>30036023</v>
      </c>
      <c r="B24" s="46">
        <v>0</v>
      </c>
      <c r="C24" s="46">
        <v>80</v>
      </c>
      <c r="D24" s="46">
        <v>50</v>
      </c>
      <c r="E24" s="46" t="s">
        <v>53</v>
      </c>
      <c r="F24" s="46" t="s">
        <v>53</v>
      </c>
      <c r="G24" s="46" t="s">
        <v>88</v>
      </c>
      <c r="H24" s="46" t="s">
        <v>53</v>
      </c>
      <c r="I24" s="46" t="s">
        <v>53</v>
      </c>
      <c r="J24" s="47">
        <f>D24</f>
        <v>50</v>
      </c>
    </row>
    <row r="25" spans="1:10" ht="21" customHeight="1" x14ac:dyDescent="0.15">
      <c r="A25" s="107">
        <v>30036024</v>
      </c>
      <c r="B25" s="46">
        <v>0</v>
      </c>
      <c r="C25" s="46">
        <v>70</v>
      </c>
      <c r="D25" s="46">
        <v>100</v>
      </c>
      <c r="E25" s="46" t="s">
        <v>53</v>
      </c>
      <c r="F25" s="46" t="s">
        <v>53</v>
      </c>
      <c r="G25" s="46" t="s">
        <v>53</v>
      </c>
      <c r="H25" s="46" t="s">
        <v>53</v>
      </c>
      <c r="I25" s="46" t="s">
        <v>53</v>
      </c>
      <c r="J25" s="47">
        <f>D25</f>
        <v>100</v>
      </c>
    </row>
    <row r="26" spans="1:10" ht="21" customHeight="1" x14ac:dyDescent="0.15">
      <c r="A26" s="110">
        <v>30036025</v>
      </c>
      <c r="B26" s="46">
        <v>1</v>
      </c>
      <c r="C26" s="46" t="s">
        <v>255</v>
      </c>
      <c r="D26" s="46">
        <v>100</v>
      </c>
      <c r="E26" s="46" t="s">
        <v>53</v>
      </c>
      <c r="F26" s="46" t="s">
        <v>53</v>
      </c>
      <c r="G26" s="46">
        <v>1</v>
      </c>
      <c r="H26" s="46" t="s">
        <v>53</v>
      </c>
      <c r="I26" s="46" t="s">
        <v>53</v>
      </c>
      <c r="J26" s="47">
        <f t="shared" ref="J26" si="12">D26</f>
        <v>100</v>
      </c>
    </row>
    <row r="27" spans="1:10" ht="21" customHeight="1" x14ac:dyDescent="0.15">
      <c r="A27" s="110">
        <v>30036026</v>
      </c>
      <c r="B27" s="46">
        <v>1</v>
      </c>
      <c r="C27" s="46" t="s">
        <v>255</v>
      </c>
      <c r="D27" s="46">
        <v>100</v>
      </c>
      <c r="E27" s="46" t="s">
        <v>53</v>
      </c>
      <c r="F27" s="46" t="s">
        <v>53</v>
      </c>
      <c r="G27" s="46">
        <v>1</v>
      </c>
      <c r="H27" s="46" t="s">
        <v>53</v>
      </c>
      <c r="I27" s="46" t="s">
        <v>53</v>
      </c>
      <c r="J27" s="47">
        <f t="shared" ref="J27:J28" si="13">D27</f>
        <v>100</v>
      </c>
    </row>
    <row r="28" spans="1:10" ht="21" customHeight="1" x14ac:dyDescent="0.15">
      <c r="A28" s="109">
        <v>30036027</v>
      </c>
      <c r="B28" s="46">
        <v>1</v>
      </c>
      <c r="C28" s="46" t="s">
        <v>255</v>
      </c>
      <c r="D28" s="46">
        <v>100</v>
      </c>
      <c r="E28" s="46" t="s">
        <v>53</v>
      </c>
      <c r="F28" s="46" t="s">
        <v>53</v>
      </c>
      <c r="G28" s="46">
        <v>1</v>
      </c>
      <c r="H28" s="46" t="s">
        <v>53</v>
      </c>
      <c r="I28" s="46" t="s">
        <v>53</v>
      </c>
      <c r="J28" s="47">
        <f t="shared" si="13"/>
        <v>100</v>
      </c>
    </row>
    <row r="29" spans="1:10" ht="21" customHeight="1" x14ac:dyDescent="0.15">
      <c r="A29" s="109">
        <v>30036028</v>
      </c>
      <c r="B29" s="46">
        <v>0</v>
      </c>
      <c r="C29" s="46">
        <v>90</v>
      </c>
      <c r="D29" s="46">
        <v>100</v>
      </c>
      <c r="E29" s="46" t="s">
        <v>53</v>
      </c>
      <c r="F29" s="46" t="s">
        <v>53</v>
      </c>
      <c r="G29" s="46">
        <v>1</v>
      </c>
      <c r="H29" s="46" t="s">
        <v>53</v>
      </c>
      <c r="I29" s="46" t="s">
        <v>53</v>
      </c>
      <c r="J29" s="47">
        <f t="shared" ref="J29:J30" si="14">D29</f>
        <v>100</v>
      </c>
    </row>
    <row r="30" spans="1:10" ht="21" customHeight="1" x14ac:dyDescent="0.15">
      <c r="A30" s="109">
        <v>30036029</v>
      </c>
      <c r="B30" s="46">
        <v>0</v>
      </c>
      <c r="C30" s="46">
        <v>80</v>
      </c>
      <c r="D30" s="46">
        <v>50</v>
      </c>
      <c r="E30" s="46" t="s">
        <v>53</v>
      </c>
      <c r="F30" s="46" t="s">
        <v>53</v>
      </c>
      <c r="G30" s="46" t="s">
        <v>284</v>
      </c>
      <c r="H30" s="46" t="s">
        <v>53</v>
      </c>
      <c r="I30" s="46" t="s">
        <v>53</v>
      </c>
      <c r="J30" s="47">
        <f t="shared" si="14"/>
        <v>50</v>
      </c>
    </row>
    <row r="31" spans="1:10" ht="21" customHeight="1" x14ac:dyDescent="0.15">
      <c r="A31" s="109">
        <v>30036030</v>
      </c>
      <c r="B31" s="46">
        <v>0</v>
      </c>
      <c r="C31" s="46">
        <v>70</v>
      </c>
      <c r="D31" s="46">
        <v>100</v>
      </c>
      <c r="E31" s="46" t="s">
        <v>53</v>
      </c>
      <c r="F31" s="46" t="s">
        <v>53</v>
      </c>
      <c r="G31" s="46" t="s">
        <v>53</v>
      </c>
      <c r="H31" s="46" t="s">
        <v>53</v>
      </c>
      <c r="I31" s="46" t="s">
        <v>53</v>
      </c>
      <c r="J31" s="47">
        <f t="shared" ref="J31" si="15">D31</f>
        <v>100</v>
      </c>
    </row>
  </sheetData>
  <autoFilter ref="A1:G1"/>
  <phoneticPr fontId="5"/>
  <conditionalFormatting sqref="K32:K1048576 K13:K14 K1:K2 K4:K8 K17 K26:K28">
    <cfRule type="duplicateValues" dxfId="18" priority="21"/>
  </conditionalFormatting>
  <conditionalFormatting sqref="K3">
    <cfRule type="duplicateValues" dxfId="17" priority="20"/>
  </conditionalFormatting>
  <conditionalFormatting sqref="K9">
    <cfRule type="duplicateValues" dxfId="16" priority="19"/>
  </conditionalFormatting>
  <conditionalFormatting sqref="K10">
    <cfRule type="duplicateValues" dxfId="15" priority="18"/>
  </conditionalFormatting>
  <conditionalFormatting sqref="K11">
    <cfRule type="duplicateValues" dxfId="14" priority="17"/>
  </conditionalFormatting>
  <conditionalFormatting sqref="K15">
    <cfRule type="duplicateValues" dxfId="13" priority="16"/>
  </conditionalFormatting>
  <conditionalFormatting sqref="K16">
    <cfRule type="duplicateValues" dxfId="12" priority="15"/>
  </conditionalFormatting>
  <conditionalFormatting sqref="K18">
    <cfRule type="duplicateValues" dxfId="11" priority="14"/>
  </conditionalFormatting>
  <conditionalFormatting sqref="K19">
    <cfRule type="duplicateValues" dxfId="10" priority="13"/>
  </conditionalFormatting>
  <conditionalFormatting sqref="K20">
    <cfRule type="duplicateValues" dxfId="9" priority="12"/>
  </conditionalFormatting>
  <conditionalFormatting sqref="K21">
    <cfRule type="duplicateValues" dxfId="8" priority="11"/>
  </conditionalFormatting>
  <conditionalFormatting sqref="K22">
    <cfRule type="duplicateValues" dxfId="7" priority="10"/>
  </conditionalFormatting>
  <conditionalFormatting sqref="K12">
    <cfRule type="duplicateValues" dxfId="6" priority="9"/>
  </conditionalFormatting>
  <conditionalFormatting sqref="K23">
    <cfRule type="duplicateValues" dxfId="5" priority="8"/>
  </conditionalFormatting>
  <conditionalFormatting sqref="K24">
    <cfRule type="duplicateValues" dxfId="4" priority="7"/>
  </conditionalFormatting>
  <conditionalFormatting sqref="K25">
    <cfRule type="duplicateValues" dxfId="3" priority="6"/>
  </conditionalFormatting>
  <conditionalFormatting sqref="K29">
    <cfRule type="duplicateValues" dxfId="2" priority="3"/>
  </conditionalFormatting>
  <conditionalFormatting sqref="K30">
    <cfRule type="duplicateValues" dxfId="1" priority="2"/>
  </conditionalFormatting>
  <conditionalFormatting sqref="K31">
    <cfRule type="duplicateValues" dxfId="0" priority="1"/>
  </conditionalFormatting>
  <printOptions gridLines="1"/>
  <pageMargins left="0.75" right="0.75" top="1" bottom="1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9"/>
  <sheetViews>
    <sheetView showGridLines="0" workbookViewId="0">
      <pane xSplit="5" ySplit="1" topLeftCell="F2" activePane="bottomRight" state="frozen"/>
      <selection activeCell="C24" sqref="C24"/>
      <selection pane="topRight" activeCell="C24" sqref="C24"/>
      <selection pane="bottomLeft" activeCell="C24" sqref="C24"/>
      <selection pane="bottomRight" activeCell="C29" sqref="C29"/>
    </sheetView>
  </sheetViews>
  <sheetFormatPr baseColWidth="12" defaultColWidth="12.83203125" defaultRowHeight="21" customHeight="1" outlineLevelCol="1" x14ac:dyDescent="0.15"/>
  <cols>
    <col min="1" max="1" width="11.33203125" style="38" bestFit="1" customWidth="1"/>
    <col min="2" max="2" width="9.5" style="48" bestFit="1" customWidth="1"/>
    <col min="3" max="3" width="9.6640625" style="48" customWidth="1"/>
    <col min="4" max="4" width="18.5" style="48" customWidth="1" outlineLevel="1"/>
    <col min="5" max="5" width="44.1640625" style="48" bestFit="1" customWidth="1" outlineLevel="1"/>
    <col min="6" max="6" width="10.83203125" style="48" bestFit="1" customWidth="1"/>
    <col min="7" max="7" width="8.33203125" style="48" bestFit="1" customWidth="1" outlineLevel="1"/>
    <col min="8" max="9" width="12.83203125" style="48" outlineLevel="1"/>
    <col min="10" max="10" width="17.6640625" style="48" bestFit="1" customWidth="1" outlineLevel="1"/>
    <col min="11" max="15" width="12.83203125" style="48" outlineLevel="1"/>
    <col min="16" max="16" width="8.33203125" style="44" bestFit="1" customWidth="1"/>
    <col min="17" max="17" width="9.6640625" style="44" customWidth="1"/>
    <col min="18" max="18" width="56.5" style="44" bestFit="1" customWidth="1"/>
    <col min="19" max="16384" width="12.83203125" style="44"/>
  </cols>
  <sheetData>
    <row r="1" spans="1:18" ht="21" customHeight="1" x14ac:dyDescent="0.15">
      <c r="A1" s="38" t="s">
        <v>60</v>
      </c>
      <c r="B1" s="39" t="s">
        <v>61</v>
      </c>
      <c r="C1" s="39" t="s">
        <v>62</v>
      </c>
      <c r="D1" s="40" t="s">
        <v>63</v>
      </c>
      <c r="E1" s="40" t="s">
        <v>64</v>
      </c>
      <c r="F1" s="41" t="s">
        <v>65</v>
      </c>
      <c r="G1" s="42" t="s">
        <v>66</v>
      </c>
      <c r="H1" s="42" t="s">
        <v>68</v>
      </c>
      <c r="I1" s="42" t="s">
        <v>69</v>
      </c>
      <c r="J1" s="42" t="s">
        <v>70</v>
      </c>
      <c r="K1" s="43" t="s">
        <v>71</v>
      </c>
      <c r="L1" s="43" t="s">
        <v>72</v>
      </c>
      <c r="M1" s="42" t="s">
        <v>73</v>
      </c>
      <c r="N1" s="42" t="s">
        <v>74</v>
      </c>
      <c r="O1" s="42" t="s">
        <v>75</v>
      </c>
      <c r="P1" s="40" t="s">
        <v>76</v>
      </c>
      <c r="Q1" s="40" t="s">
        <v>77</v>
      </c>
      <c r="R1" s="40" t="s">
        <v>78</v>
      </c>
    </row>
    <row r="2" spans="1:18" ht="21" customHeight="1" x14ac:dyDescent="0.15">
      <c r="A2" s="38" t="str">
        <f t="shared" ref="A2" si="0">B2&amp;"_"&amp;C2</f>
        <v>30036001_30036001</v>
      </c>
      <c r="B2" s="7">
        <v>30036001</v>
      </c>
      <c r="C2" s="46">
        <v>30036001</v>
      </c>
      <c r="D2" s="45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スターマイン</v>
      </c>
      <c r="E2" s="45" t="str">
        <f ca="1">VLOOKUP($C2,OFFSET(enemy_skills!$A$1,0,0,COUNTA(enemy_skills!$A:$A),MATCH(E$1,enemy_skills!$1:$1,0)-MATCH("enemy_skill_id",enemy_skills!$1:$1,0)+1),MATCH(E$1,enemy_skills!$1:$1,0)-MATCH("enemy_skill_id",enemy_skills!$1:$1,0)+1,FALSE)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" s="106">
        <v>30036001</v>
      </c>
      <c r="G2" s="4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7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" s="47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7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7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" s="46"/>
      <c r="Q2" s="46"/>
      <c r="R2" s="46"/>
    </row>
    <row r="3" spans="1:18" ht="21" customHeight="1" x14ac:dyDescent="0.15">
      <c r="A3" s="38" t="str">
        <f t="shared" ref="A3" si="1">B3&amp;"_"&amp;C3</f>
        <v>30036002_30036003</v>
      </c>
      <c r="B3" s="7">
        <v>30036002</v>
      </c>
      <c r="C3" s="46">
        <v>30036003</v>
      </c>
      <c r="D3" s="45" t="str">
        <f ca="1">VLOOKUP($C3,OFFSET(enemy_skills!$A$1,0,0,COUNTA(enemy_skills!$A:$A),MATCH(D$1,enemy_skills!$1:$1,0)-MATCH("enemy_skill_id",enemy_skills!$1:$1,0)+1),MATCH(D$1,enemy_skills!$1:$1,0)-MATCH("enemy_skill_id",enemy_skills!$1:$1,0)+1,FALSE)</f>
        <v>熱風のダンス</v>
      </c>
      <c r="E3" s="45" t="str">
        <f ca="1">VLOOKUP($C3,OFFSET(enemy_skills!$A$1,0,0,COUNTA(enemy_skills!$A:$A),MATCH(E$1,enemy_skills!$1:$1,0)-MATCH("enemy_skill_id",enemy_skills!$1:$1,0)+1),MATCH(E$1,enemy_skills!$1:$1,0)-MATCH("enemy_skill_id",enemy_skills!$1:$1,0)+1,FALSE)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" s="106">
        <v>30036003</v>
      </c>
      <c r="G3" s="4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7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" s="4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7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7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" s="46"/>
      <c r="Q3" s="46"/>
      <c r="R3" s="46"/>
    </row>
    <row r="4" spans="1:18" ht="21" customHeight="1" x14ac:dyDescent="0.15">
      <c r="A4" s="38" t="str">
        <f t="shared" ref="A4" si="2">B4&amp;"_"&amp;C4</f>
        <v>30036004_30036007</v>
      </c>
      <c r="B4" s="7">
        <v>30036004</v>
      </c>
      <c r="C4" s="46">
        <v>30036007</v>
      </c>
      <c r="D4" s="45" t="str">
        <f ca="1">VLOOKUP($C4,OFFSET(enemy_skills!$A$1,0,0,COUNTA(enemy_skills!$A:$A),MATCH(D$1,enemy_skills!$1:$1,0)-MATCH("enemy_skill_id",enemy_skills!$1:$1,0)+1),MATCH(D$1,enemy_skills!$1:$1,0)-MATCH("enemy_skill_id",enemy_skills!$1:$1,0)+1,FALSE)</f>
        <v>狙い撃ち</v>
      </c>
      <c r="E4" s="45" t="str">
        <f ca="1">VLOOKUP($C4,OFFSET(enemy_skills!$A$1,0,0,COUNTA(enemy_skills!$A:$A),MATCH(E$1,enemy_skills!$1:$1,0)-MATCH("enemy_skill_id",enemy_skills!$1:$1,0)+1),MATCH(E$1,enemy_skills!$1:$1,0)-MATCH("enemy_skill_id",enemy_skills!$1:$1,0)+1,FALSE)</f>
        <v>ハートパネル吸収攻撃(最大15個)</v>
      </c>
      <c r="F4" s="106">
        <v>30036007</v>
      </c>
      <c r="G4" s="4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7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38</v>
      </c>
      <c r="J4" s="47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7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7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38</v>
      </c>
      <c r="P4" s="46"/>
      <c r="Q4" s="46"/>
      <c r="R4" s="46"/>
    </row>
    <row r="5" spans="1:18" ht="21" customHeight="1" x14ac:dyDescent="0.15">
      <c r="A5" s="38" t="str">
        <f t="shared" ref="A5" si="3">B5&amp;"_"&amp;C5</f>
        <v>30036006_30036011</v>
      </c>
      <c r="B5" s="7">
        <v>30036006</v>
      </c>
      <c r="C5" s="46">
        <v>30036011</v>
      </c>
      <c r="D5" s="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ペンギンの号令</v>
      </c>
      <c r="E5" s="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敵全体の攻撃力UP</v>
      </c>
      <c r="F5" s="106">
        <v>30036011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7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7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7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6"/>
      <c r="Q5" s="46"/>
      <c r="R5" s="46"/>
    </row>
    <row r="6" spans="1:18" ht="21" customHeight="1" x14ac:dyDescent="0.15">
      <c r="A6" s="38" t="str">
        <f t="shared" ref="A6:A12" si="4">B6&amp;"_"&amp;C6</f>
        <v>30036007_30036013</v>
      </c>
      <c r="B6" s="7">
        <v>30036007</v>
      </c>
      <c r="C6" s="46">
        <v>30036013</v>
      </c>
      <c r="D6" s="45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オレにはなにも効かねェ！</v>
      </c>
      <c r="E6" s="45" t="str">
        <f ca="1">VLOOKUP($C6,OFFSET(enemy_skills!$A$1,0,0,COUNTA(enemy_skills!$A:$A),MATCH(E$1,enemy_skills!$1:$1,0)-MATCH("enemy_skill_id",enemy_skills!$1:$1,0)+1),MATCH(E$1,enemy_skills!$1:$1,0)-MATCH("enemy_skill_id",enemy_skills!$1:$1,0)+1,FALSE)</f>
        <v>状態異常耐性+攻撃力UP</v>
      </c>
      <c r="F6" s="106">
        <v>30036013</v>
      </c>
      <c r="G6" s="4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7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7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7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7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7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6"/>
      <c r="Q6" s="46"/>
      <c r="R6" s="46"/>
    </row>
    <row r="7" spans="1:18" ht="21" customHeight="1" x14ac:dyDescent="0.15">
      <c r="A7" s="38" t="str">
        <f t="shared" si="4"/>
        <v>30036007_30036014</v>
      </c>
      <c r="B7" s="7">
        <v>30036007</v>
      </c>
      <c r="C7" s="46">
        <v>30036014</v>
      </c>
      <c r="D7" s="45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いくぜェ！！</v>
      </c>
      <c r="E7" s="45" t="str">
        <f ca="1">VLOOKUP($C7,OFFSET(enemy_skills!$A$1,0,0,COUNTA(enemy_skills!$A:$A),MATCH(E$1,enemy_skills!$1:$1,0)-MATCH("enemy_skill_id",enemy_skills!$1:$1,0)+1),MATCH(E$1,enemy_skills!$1:$1,0)-MATCH("enemy_skill_id",enemy_skills!$1:$1,0)+1,FALSE)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7" s="106">
        <v>30036014</v>
      </c>
      <c r="G7" s="4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7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7" s="47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7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7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7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7" s="46"/>
      <c r="Q7" s="46"/>
      <c r="R7" s="46"/>
    </row>
    <row r="8" spans="1:18" ht="21" customHeight="1" x14ac:dyDescent="0.15">
      <c r="A8" s="38" t="str">
        <f t="shared" si="4"/>
        <v>30036008_30036016</v>
      </c>
      <c r="B8" s="7">
        <v>30036008</v>
      </c>
      <c r="C8" s="46">
        <v>30036016</v>
      </c>
      <c r="D8" s="45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かすめる炎弾</v>
      </c>
      <c r="E8" s="45" t="str">
        <f ca="1">VLOOKUP($C8,OFFSET(enemy_skills!$A$1,0,0,COUNTA(enemy_skills!$A:$A),MATCH(E$1,enemy_skills!$1:$1,0)-MATCH("enemy_skill_id",enemy_skills!$1:$1,0)+1),MATCH(E$1,enemy_skills!$1:$1,0)-MATCH("enemy_skill_id",enemy_skills!$1:$1,0)+1,FALSE)</f>
        <v>3000固定ダメージ+状態異常耐性</v>
      </c>
      <c r="F8" s="106">
        <v>30036016</v>
      </c>
      <c r="G8" s="4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7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7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7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7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6"/>
      <c r="Q8" s="46"/>
      <c r="R8" s="46"/>
    </row>
    <row r="9" spans="1:18" ht="21" customHeight="1" x14ac:dyDescent="0.15">
      <c r="A9" s="38" t="str">
        <f t="shared" si="4"/>
        <v>30036008_30036017</v>
      </c>
      <c r="B9" s="7">
        <v>30036008</v>
      </c>
      <c r="C9" s="46">
        <v>30036017</v>
      </c>
      <c r="D9" s="45" t="str">
        <f ca="1">VLOOKUP($C9,OFFSET(enemy_skills!$A$1,0,0,COUNTA(enemy_skills!$A:$A),MATCH(D$1,enemy_skills!$1:$1,0)-MATCH("enemy_skill_id",enemy_skills!$1:$1,0)+1),MATCH(D$1,enemy_skills!$1:$1,0)-MATCH("enemy_skill_id",enemy_skills!$1:$1,0)+1,FALSE)</f>
        <v>何も効かねェぜ！</v>
      </c>
      <c r="E9" s="45" t="str">
        <f ca="1">VLOOKUP($C9,OFFSET(enemy_skills!$A$1,0,0,COUNTA(enemy_skills!$A:$A),MATCH(E$1,enemy_skills!$1:$1,0)-MATCH("enemy_skill_id",enemy_skills!$1:$1,0)+1),MATCH(E$1,enemy_skills!$1:$1,0)-MATCH("enemy_skill_id",enemy_skills!$1:$1,0)+1,FALSE)</f>
        <v>全属性カウンター</v>
      </c>
      <c r="F9" s="106">
        <v>30036017</v>
      </c>
      <c r="G9" s="4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7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9" s="4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7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7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6"/>
      <c r="Q9" s="46"/>
      <c r="R9" s="46"/>
    </row>
    <row r="10" spans="1:18" ht="21" customHeight="1" x14ac:dyDescent="0.15">
      <c r="A10" s="38" t="str">
        <f t="shared" si="4"/>
        <v>30036008_30036018</v>
      </c>
      <c r="B10" s="7">
        <v>30036008</v>
      </c>
      <c r="C10" s="46">
        <v>30036018</v>
      </c>
      <c r="D10" s="4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燃やすぜェ！！</v>
      </c>
      <c r="E10" s="4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10" s="106">
        <v>30036018</v>
      </c>
      <c r="G10" s="4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7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0" s="4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10" s="47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7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7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7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10" s="46"/>
      <c r="Q10" s="46"/>
      <c r="R10" s="46"/>
    </row>
    <row r="11" spans="1:18" ht="21" customHeight="1" x14ac:dyDescent="0.15">
      <c r="A11" s="38" t="str">
        <f t="shared" si="4"/>
        <v>30036008_30036019</v>
      </c>
      <c r="B11" s="7">
        <v>30036008</v>
      </c>
      <c r="C11" s="46">
        <v>30036019</v>
      </c>
      <c r="D11" s="4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業火に焼かれなァ！！</v>
      </c>
      <c r="E11" s="4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1" s="106">
        <v>30036019</v>
      </c>
      <c r="G11" s="4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7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1" s="4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11" s="47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7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7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7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11" s="46"/>
      <c r="Q11" s="46"/>
      <c r="R11" s="46"/>
    </row>
    <row r="12" spans="1:18" ht="21" customHeight="1" x14ac:dyDescent="0.15">
      <c r="A12" s="38" t="str">
        <f t="shared" si="4"/>
        <v>30036009_30036020</v>
      </c>
      <c r="B12" s="7">
        <v>30036009</v>
      </c>
      <c r="C12" s="46">
        <v>30036020</v>
      </c>
      <c r="D12" s="4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直撃する炎弾</v>
      </c>
      <c r="E12" s="4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3500固定ダメージ+状態異常耐性</v>
      </c>
      <c r="F12" s="106">
        <v>30036020</v>
      </c>
      <c r="G12" s="4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7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7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7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7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7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6"/>
      <c r="Q12" s="46"/>
      <c r="R12" s="46"/>
    </row>
    <row r="13" spans="1:18" ht="21" customHeight="1" x14ac:dyDescent="0.15">
      <c r="A13" s="38" t="str">
        <f t="shared" ref="A13" si="5">B13&amp;"_"&amp;C13</f>
        <v>30036009_30036021</v>
      </c>
      <c r="B13" s="7">
        <v>30036009</v>
      </c>
      <c r="C13" s="46">
        <v>30036021</v>
      </c>
      <c r="D13" s="4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もう手加減しねェ！</v>
      </c>
      <c r="E13" s="4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攻撃頻度UP+全属性カウンター</v>
      </c>
      <c r="F13" s="106">
        <v>30036021</v>
      </c>
      <c r="G13" s="4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7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" s="4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7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13" s="4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7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7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7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6"/>
      <c r="Q13" s="46"/>
      <c r="R13" s="46"/>
    </row>
    <row r="14" spans="1:18" ht="21" customHeight="1" x14ac:dyDescent="0.15">
      <c r="A14" s="38" t="str">
        <f t="shared" ref="A14:A15" si="6">B14&amp;"_"&amp;C14</f>
        <v>30036009_30036022</v>
      </c>
      <c r="B14" s="7">
        <v>30036009</v>
      </c>
      <c r="C14" s="46">
        <v>30036022</v>
      </c>
      <c r="D14" s="4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まだまだいくぜェ！</v>
      </c>
      <c r="E14" s="45" t="str">
        <f ca="1">VLOOKUP($C14,OFFSET(enemy_skills!$A$1,0,0,COUNTA(enemy_skills!$A:$A),MATCH(E$1,enemy_skills!$1:$1,0)-MATCH("enemy_skill_id",enemy_skills!$1:$1,0)+1),MATCH(E$1,enemy_skills!$1:$1,0)-MATCH("enemy_skill_id",enemy_skills!$1:$1,0)+1,FALSE)</f>
        <v>高速で動き回り、次の攻撃のチャンスを伺っている</v>
      </c>
      <c r="F14" s="106">
        <v>30036022</v>
      </c>
      <c r="G14" s="4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7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4" s="4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11</v>
      </c>
      <c r="J14" s="47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7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7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7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11</v>
      </c>
      <c r="P14" s="46"/>
      <c r="Q14" s="46"/>
      <c r="R14" s="46"/>
    </row>
    <row r="15" spans="1:18" ht="21" customHeight="1" x14ac:dyDescent="0.15">
      <c r="A15" s="38" t="str">
        <f t="shared" si="6"/>
        <v>30036009_30036023</v>
      </c>
      <c r="B15" s="7">
        <v>30036009</v>
      </c>
      <c r="C15" s="46">
        <v>30036023</v>
      </c>
      <c r="D15" s="4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勝つのはオレだァ！！</v>
      </c>
      <c r="E15" s="4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5" s="106">
        <v>30036023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7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5" s="4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5" s="47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7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7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5" s="46"/>
      <c r="Q15" s="46"/>
      <c r="R15" s="46"/>
    </row>
    <row r="16" spans="1:18" ht="21" customHeight="1" x14ac:dyDescent="0.15">
      <c r="A16" s="38" t="str">
        <f t="shared" ref="A16:A24" si="7">B16&amp;"_"&amp;C16</f>
        <v>30036009_30036024</v>
      </c>
      <c r="B16" s="7">
        <v>30036009</v>
      </c>
      <c r="C16" s="46">
        <v>30036024</v>
      </c>
      <c r="D16" s="4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終わりにしてやる！！</v>
      </c>
      <c r="E16" s="4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16" s="106">
        <v>30036024</v>
      </c>
      <c r="G16" s="4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7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6" s="4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7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7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7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7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6"/>
      <c r="Q16" s="46"/>
      <c r="R16" s="46"/>
    </row>
    <row r="17" spans="1:18" ht="21" customHeight="1" x14ac:dyDescent="0.15">
      <c r="A17" s="38" t="str">
        <f t="shared" si="7"/>
        <v>30036010_30036025</v>
      </c>
      <c r="B17" s="7">
        <v>30036010</v>
      </c>
      <c r="C17" s="111">
        <v>30036025</v>
      </c>
      <c r="D17" s="4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かすめる炎弾</v>
      </c>
      <c r="E17" s="4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2000固定ダメージ+状態異常耐性</v>
      </c>
      <c r="F17" s="106">
        <v>30036016</v>
      </c>
      <c r="G17" s="4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7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7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7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7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7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7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6"/>
      <c r="Q17" s="46"/>
      <c r="R17" s="46"/>
    </row>
    <row r="18" spans="1:18" ht="21" customHeight="1" x14ac:dyDescent="0.15">
      <c r="A18" s="38" t="str">
        <f t="shared" si="7"/>
        <v>30036010_30036017</v>
      </c>
      <c r="B18" s="7">
        <v>30036010</v>
      </c>
      <c r="C18" s="46">
        <v>30036017</v>
      </c>
      <c r="D18" s="4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何も効かねェぜ！</v>
      </c>
      <c r="E18" s="4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全属性カウンター</v>
      </c>
      <c r="F18" s="106">
        <v>30036017</v>
      </c>
      <c r="G18" s="4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7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8" s="4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7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7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7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7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6"/>
      <c r="Q18" s="46"/>
      <c r="R18" s="46"/>
    </row>
    <row r="19" spans="1:18" ht="21" customHeight="1" x14ac:dyDescent="0.15">
      <c r="A19" s="38" t="str">
        <f t="shared" si="7"/>
        <v>30036010_30036018</v>
      </c>
      <c r="B19" s="7">
        <v>30036010</v>
      </c>
      <c r="C19" s="46">
        <v>30036018</v>
      </c>
      <c r="D19" s="4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燃やすぜェ！！</v>
      </c>
      <c r="E19" s="45" t="str">
        <f ca="1">VLOOKUP($C19,OFFSET(enemy_skills!$A$1,0,0,COUNTA(enemy_skills!$A:$A),MATCH(E$1,enemy_skills!$1:$1,0)-MATCH("enemy_skill_id",enemy_skills!$1:$1,0)+1),MATCH(E$1,enemy_skills!$1:$1,0)-MATCH("enemy_skill_id",enemy_skills!$1:$1,0)+1,FALSE)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19" s="106">
        <v>30036018</v>
      </c>
      <c r="G19" s="4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7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9" s="4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19" s="47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7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7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7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19" s="46"/>
      <c r="Q19" s="46"/>
      <c r="R19" s="46"/>
    </row>
    <row r="20" spans="1:18" ht="21" customHeight="1" x14ac:dyDescent="0.15">
      <c r="A20" s="38" t="str">
        <f t="shared" si="7"/>
        <v>30036010_30036019</v>
      </c>
      <c r="B20" s="7">
        <v>30036010</v>
      </c>
      <c r="C20" s="46">
        <v>30036019</v>
      </c>
      <c r="D20" s="45" t="str">
        <f ca="1">VLOOKUP($C20,OFFSET(enemy_skills!$A$1,0,0,COUNTA(enemy_skills!$A:$A),MATCH(D$1,enemy_skills!$1:$1,0)-MATCH("enemy_skill_id",enemy_skills!$1:$1,0)+1),MATCH(D$1,enemy_skills!$1:$1,0)-MATCH("enemy_skill_id",enemy_skills!$1:$1,0)+1,FALSE)</f>
        <v>業火に焼かれなァ！！</v>
      </c>
      <c r="E20" s="4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20" s="106">
        <v>30036019</v>
      </c>
      <c r="G20" s="4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7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0" s="4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20" s="47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7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7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7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7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20" s="46"/>
      <c r="Q20" s="46"/>
      <c r="R20" s="46"/>
    </row>
    <row r="21" spans="1:18" ht="21" customHeight="1" x14ac:dyDescent="0.15">
      <c r="A21" s="38" t="str">
        <f t="shared" si="7"/>
        <v>30036011_30036026</v>
      </c>
      <c r="B21" s="7">
        <v>30036011</v>
      </c>
      <c r="C21" s="111">
        <v>30036026</v>
      </c>
      <c r="D21" s="4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直撃する炎弾</v>
      </c>
      <c r="E21" s="45" t="str">
        <f ca="1">VLOOKUP($C21,OFFSET(enemy_skills!$A$1,0,0,COUNTA(enemy_skills!$A:$A),MATCH(E$1,enemy_skills!$1:$1,0)-MATCH("enemy_skill_id",enemy_skills!$1:$1,0)+1),MATCH(E$1,enemy_skills!$1:$1,0)-MATCH("enemy_skill_id",enemy_skills!$1:$1,0)+1,FALSE)</f>
        <v>2800固定ダメージ+状態異常耐性</v>
      </c>
      <c r="F21" s="106">
        <v>30036020</v>
      </c>
      <c r="G21" s="4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7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7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7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7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7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7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7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6"/>
      <c r="Q21" s="46"/>
      <c r="R21" s="46"/>
    </row>
    <row r="22" spans="1:18" ht="21" customHeight="1" x14ac:dyDescent="0.15">
      <c r="A22" s="38" t="str">
        <f t="shared" si="7"/>
        <v>30036011_30036021</v>
      </c>
      <c r="B22" s="7">
        <v>30036011</v>
      </c>
      <c r="C22" s="46">
        <v>30036021</v>
      </c>
      <c r="D22" s="45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もう手加減しねェ！</v>
      </c>
      <c r="E22" s="45" t="str">
        <f ca="1">VLOOKUP($C22,OFFSET(enemy_skills!$A$1,0,0,COUNTA(enemy_skills!$A:$A),MATCH(E$1,enemy_skills!$1:$1,0)-MATCH("enemy_skill_id",enemy_skills!$1:$1,0)+1),MATCH(E$1,enemy_skills!$1:$1,0)-MATCH("enemy_skill_id",enemy_skills!$1:$1,0)+1,FALSE)</f>
        <v>攻撃頻度UP+全属性カウンター</v>
      </c>
      <c r="F22" s="106">
        <v>30036021</v>
      </c>
      <c r="G22" s="4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7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2" s="4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7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22" s="47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7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7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7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6"/>
      <c r="Q22" s="46"/>
      <c r="R22" s="46"/>
    </row>
    <row r="23" spans="1:18" ht="21" customHeight="1" x14ac:dyDescent="0.15">
      <c r="A23" s="38" t="str">
        <f t="shared" si="7"/>
        <v>30036011_30036022</v>
      </c>
      <c r="B23" s="7">
        <v>30036011</v>
      </c>
      <c r="C23" s="46">
        <v>30036022</v>
      </c>
      <c r="D23" s="4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まだまだいくぜェ！</v>
      </c>
      <c r="E23" s="4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高速で動き回り、次の攻撃のチャンスを伺っている</v>
      </c>
      <c r="F23" s="106">
        <v>30036022</v>
      </c>
      <c r="G23" s="4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7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3" s="4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11</v>
      </c>
      <c r="J23" s="47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7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7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7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7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11</v>
      </c>
      <c r="P23" s="46"/>
      <c r="Q23" s="46"/>
      <c r="R23" s="46"/>
    </row>
    <row r="24" spans="1:18" ht="21" customHeight="1" x14ac:dyDescent="0.15">
      <c r="A24" s="38" t="str">
        <f t="shared" si="7"/>
        <v>30036011_30036023</v>
      </c>
      <c r="B24" s="7">
        <v>30036011</v>
      </c>
      <c r="C24" s="46">
        <v>30036023</v>
      </c>
      <c r="D24" s="4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勝つのはオレだァ！！</v>
      </c>
      <c r="E24" s="45" t="str">
        <f ca="1">VLOOKUP($C24,OFFSET(enemy_skills!$A$1,0,0,COUNTA(enemy_skills!$A:$A),MATCH(E$1,enemy_skills!$1:$1,0)-MATCH("enemy_skill_id",enemy_skills!$1:$1,0)+1),MATCH(E$1,enemy_skills!$1:$1,0)-MATCH("enemy_skill_id",enemy_skills!$1:$1,0)+1,FALSE)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24" s="106">
        <v>30036023</v>
      </c>
      <c r="G24" s="4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7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4" s="4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4" s="47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7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7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7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4" s="46"/>
      <c r="Q24" s="46"/>
      <c r="R24" s="46"/>
    </row>
    <row r="25" spans="1:18" ht="21" customHeight="1" x14ac:dyDescent="0.15">
      <c r="A25" s="38" t="str">
        <f t="shared" ref="A25:A29" si="8">B25&amp;"_"&amp;C25</f>
        <v>30036011_30036024</v>
      </c>
      <c r="B25" s="7">
        <v>30036011</v>
      </c>
      <c r="C25" s="46">
        <v>30036024</v>
      </c>
      <c r="D25" s="45" t="str">
        <f ca="1">VLOOKUP($C25,OFFSET(enemy_skills!$A$1,0,0,COUNTA(enemy_skills!$A:$A),MATCH(D$1,enemy_skills!$1:$1,0)-MATCH("enemy_skill_id",enemy_skills!$1:$1,0)+1),MATCH(D$1,enemy_skills!$1:$1,0)-MATCH("enemy_skill_id",enemy_skills!$1:$1,0)+1,FALSE)</f>
        <v>終わりにしてやる！！</v>
      </c>
      <c r="E25" s="45" t="str">
        <f ca="1">VLOOKUP($C25,OFFSET(enemy_skills!$A$1,0,0,COUNTA(enemy_skills!$A:$A),MATCH(E$1,enemy_skills!$1:$1,0)-MATCH("enemy_skill_id",enemy_skills!$1:$1,0)+1),MATCH(E$1,enemy_skills!$1:$1,0)-MATCH("enemy_skill_id",enemy_skills!$1:$1,0)+1,FALSE)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25" s="106">
        <v>30036024</v>
      </c>
      <c r="G25" s="47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7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5" s="47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7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7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7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7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7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6"/>
      <c r="Q25" s="46"/>
      <c r="R25" s="46"/>
    </row>
    <row r="26" spans="1:18" ht="21" customHeight="1" x14ac:dyDescent="0.15">
      <c r="A26" s="38" t="str">
        <f t="shared" si="8"/>
        <v>30036012_30036027</v>
      </c>
      <c r="B26" s="7">
        <v>30036012</v>
      </c>
      <c r="C26" s="112">
        <v>30036027</v>
      </c>
      <c r="D26" s="45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かすめる炎弾</v>
      </c>
      <c r="E26" s="45" t="str">
        <f ca="1">VLOOKUP($C26,OFFSET(enemy_skills!$A$1,0,0,COUNTA(enemy_skills!$A:$A),MATCH(E$1,enemy_skills!$1:$1,0)-MATCH("enemy_skill_id",enemy_skills!$1:$1,0)+1),MATCH(E$1,enemy_skills!$1:$1,0)-MATCH("enemy_skill_id",enemy_skills!$1:$1,0)+1,FALSE)</f>
        <v>1800固定ダメージ+状態異常耐性</v>
      </c>
      <c r="F26" s="106">
        <v>30036016</v>
      </c>
      <c r="G26" s="4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7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7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7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7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7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6"/>
      <c r="Q26" s="46"/>
      <c r="R26" s="46"/>
    </row>
    <row r="27" spans="1:18" ht="21" customHeight="1" x14ac:dyDescent="0.15">
      <c r="A27" s="38" t="str">
        <f t="shared" si="8"/>
        <v>30036012_30036028</v>
      </c>
      <c r="B27" s="7">
        <v>30036012</v>
      </c>
      <c r="C27" s="112">
        <v>30036028</v>
      </c>
      <c r="D27" s="45" t="str">
        <f ca="1">VLOOKUP($C27,OFFSET(enemy_skills!$A$1,0,0,COUNTA(enemy_skills!$A:$A),MATCH(D$1,enemy_skills!$1:$1,0)-MATCH("enemy_skill_id",enemy_skills!$1:$1,0)+1),MATCH(D$1,enemy_skills!$1:$1,0)-MATCH("enemy_skill_id",enemy_skills!$1:$1,0)+1,FALSE)</f>
        <v>何も効かねェぜ！</v>
      </c>
      <c r="E27" s="45" t="str">
        <f ca="1">VLOOKUP($C27,OFFSET(enemy_skills!$A$1,0,0,COUNTA(enemy_skills!$A:$A),MATCH(E$1,enemy_skills!$1:$1,0)-MATCH("enemy_skill_id",enemy_skills!$1:$1,0)+1),MATCH(E$1,enemy_skills!$1:$1,0)-MATCH("enemy_skill_id",enemy_skills!$1:$1,0)+1,FALSE)</f>
        <v>全属性カウンター</v>
      </c>
      <c r="F27" s="106">
        <v>30036028</v>
      </c>
      <c r="G27" s="4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7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7" s="4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7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7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7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7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6"/>
      <c r="Q27" s="46"/>
      <c r="R27" s="46"/>
    </row>
    <row r="28" spans="1:18" ht="21" customHeight="1" x14ac:dyDescent="0.15">
      <c r="A28" s="38" t="str">
        <f t="shared" si="8"/>
        <v>30036012_30036029</v>
      </c>
      <c r="B28" s="7">
        <v>30036012</v>
      </c>
      <c r="C28" s="112">
        <v>30036029</v>
      </c>
      <c r="D28" s="45" t="str">
        <f ca="1">VLOOKUP($C28,OFFSET(enemy_skills!$A$1,0,0,COUNTA(enemy_skills!$A:$A),MATCH(D$1,enemy_skills!$1:$1,0)-MATCH("enemy_skill_id",enemy_skills!$1:$1,0)+1),MATCH(D$1,enemy_skills!$1:$1,0)-MATCH("enemy_skill_id",enemy_skills!$1:$1,0)+1,FALSE)</f>
        <v>燃やすぜェ！！</v>
      </c>
      <c r="E28" s="45" t="str">
        <f ca="1">VLOOKUP($C28,OFFSET(enemy_skills!$A$1,0,0,COUNTA(enemy_skills!$A:$A),MATCH(E$1,enemy_skills!$1:$1,0)-MATCH("enemy_skill_id",enemy_skills!$1:$1,0)+1),MATCH(E$1,enemy_skills!$1:$1,0)-MATCH("enemy_skill_id",enemy_skills!$1:$1,0)+1,FALSE)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28" s="106">
        <v>30036029</v>
      </c>
      <c r="G28" s="4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7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8" s="4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8" s="47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7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7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7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7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7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8" s="46"/>
      <c r="Q28" s="46"/>
      <c r="R28" s="46"/>
    </row>
    <row r="29" spans="1:18" ht="21" customHeight="1" x14ac:dyDescent="0.15">
      <c r="A29" s="38" t="str">
        <f t="shared" si="8"/>
        <v>30036012_30036030</v>
      </c>
      <c r="B29" s="7">
        <v>30036012</v>
      </c>
      <c r="C29" s="112">
        <v>30036030</v>
      </c>
      <c r="D29" s="45" t="str">
        <f ca="1">VLOOKUP($C29,OFFSET(enemy_skills!$A$1,0,0,COUNTA(enemy_skills!$A:$A),MATCH(D$1,enemy_skills!$1:$1,0)-MATCH("enemy_skill_id",enemy_skills!$1:$1,0)+1),MATCH(D$1,enemy_skills!$1:$1,0)-MATCH("enemy_skill_id",enemy_skills!$1:$1,0)+1,FALSE)</f>
        <v>業火に焼かれなァ！！</v>
      </c>
      <c r="E29" s="45" t="str">
        <f ca="1">VLOOKUP($C29,OFFSET(enemy_skills!$A$1,0,0,COUNTA(enemy_skills!$A:$A),MATCH(E$1,enemy_skills!$1:$1,0)-MATCH("enemy_skill_id",enemy_skills!$1:$1,0)+1),MATCH(E$1,enemy_skills!$1:$1,0)-MATCH("enemy_skill_id",enemy_skills!$1:$1,0)+1,FALSE)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29" s="106">
        <v>30036030</v>
      </c>
      <c r="G29" s="47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7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9" s="4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7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7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7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7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7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7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6"/>
      <c r="Q29" s="46"/>
      <c r="R29" s="46"/>
    </row>
  </sheetData>
  <autoFilter ref="A1:R1"/>
  <phoneticPr fontId="5"/>
  <pageMargins left="0.75" right="0.75" top="1" bottom="1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4"/>
  <sheetViews>
    <sheetView tabSelected="1" workbookViewId="0">
      <selection activeCell="N35" sqref="N35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2" t="s">
        <v>150</v>
      </c>
      <c r="B1" s="62" t="s">
        <v>151</v>
      </c>
      <c r="C1" s="63" t="s">
        <v>152</v>
      </c>
      <c r="D1" s="69" t="s">
        <v>153</v>
      </c>
      <c r="E1" s="64" t="s">
        <v>154</v>
      </c>
      <c r="F1" s="62" t="s">
        <v>155</v>
      </c>
      <c r="G1" s="62" t="s">
        <v>156</v>
      </c>
      <c r="H1" s="62" t="s">
        <v>157</v>
      </c>
      <c r="I1" s="62" t="s">
        <v>158</v>
      </c>
      <c r="J1" s="62" t="s">
        <v>159</v>
      </c>
      <c r="K1" s="62" t="s">
        <v>160</v>
      </c>
      <c r="L1" s="62" t="s">
        <v>161</v>
      </c>
      <c r="M1" s="62" t="s">
        <v>162</v>
      </c>
      <c r="N1" s="62" t="s">
        <v>163</v>
      </c>
      <c r="O1" s="62" t="s">
        <v>164</v>
      </c>
      <c r="P1" s="62" t="s">
        <v>165</v>
      </c>
      <c r="Q1" s="62" t="s">
        <v>166</v>
      </c>
      <c r="R1" s="62" t="s">
        <v>167</v>
      </c>
    </row>
    <row r="2" spans="1:18" x14ac:dyDescent="0.15">
      <c r="A2" s="56">
        <v>30036</v>
      </c>
      <c r="B2" s="79">
        <v>3</v>
      </c>
      <c r="C2" s="68" t="str">
        <f>A2&amp; "_"&amp;B2</f>
        <v>30036_3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79">
        <v>1</v>
      </c>
      <c r="F2" s="79" t="s">
        <v>168</v>
      </c>
      <c r="G2" s="79">
        <v>6500</v>
      </c>
      <c r="H2" s="79" t="s">
        <v>218</v>
      </c>
      <c r="I2" s="79">
        <v>1</v>
      </c>
      <c r="J2" s="79">
        <v>1</v>
      </c>
      <c r="K2" s="79">
        <v>0</v>
      </c>
      <c r="L2" s="79">
        <v>0</v>
      </c>
      <c r="M2" s="79">
        <v>0</v>
      </c>
      <c r="N2" s="79">
        <v>0</v>
      </c>
      <c r="O2" s="79">
        <v>1</v>
      </c>
      <c r="P2" s="79">
        <v>100</v>
      </c>
      <c r="Q2" s="79" t="s">
        <v>169</v>
      </c>
      <c r="R2" s="79" t="s">
        <v>170</v>
      </c>
    </row>
    <row r="3" spans="1:18" x14ac:dyDescent="0.15">
      <c r="A3" s="56">
        <v>30036</v>
      </c>
      <c r="B3" s="79">
        <v>3</v>
      </c>
      <c r="C3" s="68" t="str">
        <f t="shared" ref="C3:C34" si="0">A3&amp; "_"&amp;B3</f>
        <v>30036_3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79">
        <v>2</v>
      </c>
      <c r="F3" s="79" t="s">
        <v>219</v>
      </c>
      <c r="G3" s="79">
        <v>25</v>
      </c>
      <c r="H3" s="79" t="s">
        <v>218</v>
      </c>
      <c r="I3" s="79">
        <v>1</v>
      </c>
      <c r="J3" s="79">
        <v>1</v>
      </c>
      <c r="K3" s="79">
        <v>0</v>
      </c>
      <c r="L3" s="79">
        <v>0</v>
      </c>
      <c r="M3" s="79">
        <v>0</v>
      </c>
      <c r="N3" s="79">
        <v>0</v>
      </c>
      <c r="O3" s="79">
        <v>1</v>
      </c>
      <c r="P3" s="79">
        <v>100</v>
      </c>
      <c r="Q3" s="79" t="s">
        <v>169</v>
      </c>
      <c r="R3" s="79" t="s">
        <v>170</v>
      </c>
    </row>
    <row r="4" spans="1:18" x14ac:dyDescent="0.15">
      <c r="A4" s="56">
        <v>30036</v>
      </c>
      <c r="B4" s="79">
        <v>3</v>
      </c>
      <c r="C4" s="68" t="str">
        <f t="shared" si="0"/>
        <v>30036_3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79">
        <v>3</v>
      </c>
      <c r="F4" s="79" t="s">
        <v>220</v>
      </c>
      <c r="G4" s="100">
        <v>332</v>
      </c>
      <c r="H4" s="79">
        <v>1</v>
      </c>
      <c r="I4" s="79">
        <v>1</v>
      </c>
      <c r="J4" s="79">
        <v>1</v>
      </c>
      <c r="K4" s="79">
        <v>0</v>
      </c>
      <c r="L4" s="79">
        <v>0</v>
      </c>
      <c r="M4" s="79">
        <v>0</v>
      </c>
      <c r="N4" s="79">
        <v>0</v>
      </c>
      <c r="O4" s="79">
        <v>1</v>
      </c>
      <c r="P4" s="79">
        <v>28</v>
      </c>
      <c r="Q4" s="79" t="s">
        <v>169</v>
      </c>
      <c r="R4" s="79" t="s">
        <v>170</v>
      </c>
    </row>
    <row r="5" spans="1:18" x14ac:dyDescent="0.15">
      <c r="A5" s="56">
        <v>30036</v>
      </c>
      <c r="B5" s="79">
        <v>3</v>
      </c>
      <c r="C5" s="68" t="str">
        <f t="shared" si="0"/>
        <v>30036_3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79">
        <v>4</v>
      </c>
      <c r="F5" s="79" t="s">
        <v>220</v>
      </c>
      <c r="G5" s="100">
        <v>333</v>
      </c>
      <c r="H5" s="79">
        <v>1</v>
      </c>
      <c r="I5" s="79">
        <v>1</v>
      </c>
      <c r="J5" s="79">
        <v>1</v>
      </c>
      <c r="K5" s="79">
        <v>0</v>
      </c>
      <c r="L5" s="79">
        <v>0</v>
      </c>
      <c r="M5" s="79">
        <v>0</v>
      </c>
      <c r="N5" s="79">
        <v>0</v>
      </c>
      <c r="O5" s="79">
        <v>1</v>
      </c>
      <c r="P5" s="79">
        <v>56</v>
      </c>
      <c r="Q5" s="79" t="s">
        <v>169</v>
      </c>
      <c r="R5" s="79" t="s">
        <v>170</v>
      </c>
    </row>
    <row r="6" spans="1:18" x14ac:dyDescent="0.15">
      <c r="A6" s="56">
        <v>30036</v>
      </c>
      <c r="B6" s="79">
        <v>3</v>
      </c>
      <c r="C6" s="68" t="str">
        <f t="shared" si="0"/>
        <v>30036_3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79">
        <v>5</v>
      </c>
      <c r="F6" s="79" t="s">
        <v>267</v>
      </c>
      <c r="G6" s="100">
        <v>334</v>
      </c>
      <c r="H6" s="79">
        <v>1</v>
      </c>
      <c r="I6" s="79">
        <v>1</v>
      </c>
      <c r="J6" s="79">
        <v>1</v>
      </c>
      <c r="K6" s="79">
        <v>0</v>
      </c>
      <c r="L6" s="79">
        <v>0</v>
      </c>
      <c r="M6" s="79">
        <v>0</v>
      </c>
      <c r="N6" s="79">
        <v>0</v>
      </c>
      <c r="O6" s="79">
        <v>1</v>
      </c>
      <c r="P6" s="79">
        <v>56</v>
      </c>
      <c r="Q6" s="79" t="s">
        <v>169</v>
      </c>
      <c r="R6" s="79" t="s">
        <v>170</v>
      </c>
    </row>
    <row r="7" spans="1:18" x14ac:dyDescent="0.15">
      <c r="A7" s="56">
        <v>30036</v>
      </c>
      <c r="B7" s="79">
        <v>3</v>
      </c>
      <c r="C7" s="68" t="str">
        <f t="shared" si="0"/>
        <v>30036_3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79">
        <v>6</v>
      </c>
      <c r="F7" s="79" t="s">
        <v>220</v>
      </c>
      <c r="G7" s="79">
        <v>121</v>
      </c>
      <c r="H7" s="79">
        <v>1</v>
      </c>
      <c r="I7" s="79">
        <v>1</v>
      </c>
      <c r="J7" s="79">
        <v>1</v>
      </c>
      <c r="K7" s="79">
        <v>0</v>
      </c>
      <c r="L7" s="79">
        <v>0</v>
      </c>
      <c r="M7" s="79">
        <v>0</v>
      </c>
      <c r="N7" s="79">
        <v>0</v>
      </c>
      <c r="O7" s="79">
        <v>1</v>
      </c>
      <c r="P7" s="79">
        <v>50</v>
      </c>
      <c r="Q7" s="79" t="s">
        <v>169</v>
      </c>
      <c r="R7" s="79" t="s">
        <v>170</v>
      </c>
    </row>
    <row r="8" spans="1:18" x14ac:dyDescent="0.15">
      <c r="A8" s="56">
        <v>30036</v>
      </c>
      <c r="B8" s="79">
        <v>3</v>
      </c>
      <c r="C8" s="68" t="str">
        <f t="shared" si="0"/>
        <v>30036_3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79">
        <v>7</v>
      </c>
      <c r="F8" s="79" t="s">
        <v>220</v>
      </c>
      <c r="G8" s="79">
        <v>122</v>
      </c>
      <c r="H8" s="79">
        <v>1</v>
      </c>
      <c r="I8" s="79">
        <v>1</v>
      </c>
      <c r="J8" s="79">
        <v>1</v>
      </c>
      <c r="K8" s="79">
        <v>0</v>
      </c>
      <c r="L8" s="79">
        <v>0</v>
      </c>
      <c r="M8" s="79">
        <v>0</v>
      </c>
      <c r="N8" s="79">
        <v>0</v>
      </c>
      <c r="O8" s="79">
        <v>1</v>
      </c>
      <c r="P8" s="79">
        <v>50</v>
      </c>
      <c r="Q8" s="79" t="s">
        <v>169</v>
      </c>
      <c r="R8" s="79" t="s">
        <v>170</v>
      </c>
    </row>
    <row r="9" spans="1:18" x14ac:dyDescent="0.15">
      <c r="A9" s="56">
        <v>30036</v>
      </c>
      <c r="B9" s="79">
        <v>3</v>
      </c>
      <c r="C9" s="68" t="str">
        <f t="shared" si="0"/>
        <v>30036_3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79">
        <v>8</v>
      </c>
      <c r="F9" s="79" t="s">
        <v>220</v>
      </c>
      <c r="G9" s="79">
        <v>123</v>
      </c>
      <c r="H9" s="79">
        <v>1</v>
      </c>
      <c r="I9" s="79">
        <v>1</v>
      </c>
      <c r="J9" s="79">
        <v>1</v>
      </c>
      <c r="K9" s="79">
        <v>0</v>
      </c>
      <c r="L9" s="79">
        <v>0</v>
      </c>
      <c r="M9" s="79">
        <v>0</v>
      </c>
      <c r="N9" s="79">
        <v>0</v>
      </c>
      <c r="O9" s="79">
        <v>1</v>
      </c>
      <c r="P9" s="79">
        <v>50</v>
      </c>
      <c r="Q9" s="79" t="s">
        <v>169</v>
      </c>
      <c r="R9" s="79" t="s">
        <v>170</v>
      </c>
    </row>
    <row r="10" spans="1:18" x14ac:dyDescent="0.15">
      <c r="A10" s="56">
        <v>30036</v>
      </c>
      <c r="B10" s="79">
        <v>3</v>
      </c>
      <c r="C10" s="68" t="str">
        <f t="shared" si="0"/>
        <v>30036_3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79">
        <v>9</v>
      </c>
      <c r="F10" s="79" t="s">
        <v>220</v>
      </c>
      <c r="G10" s="79">
        <v>125</v>
      </c>
      <c r="H10" s="79">
        <v>1</v>
      </c>
      <c r="I10" s="79">
        <v>1</v>
      </c>
      <c r="J10" s="79">
        <v>1</v>
      </c>
      <c r="K10" s="79">
        <v>0</v>
      </c>
      <c r="L10" s="79">
        <v>0</v>
      </c>
      <c r="M10" s="79">
        <v>0</v>
      </c>
      <c r="N10" s="79">
        <v>0</v>
      </c>
      <c r="O10" s="79">
        <v>1</v>
      </c>
      <c r="P10" s="79">
        <v>10</v>
      </c>
      <c r="Q10" s="79" t="s">
        <v>169</v>
      </c>
      <c r="R10" s="79" t="s">
        <v>170</v>
      </c>
    </row>
    <row r="11" spans="1:18" x14ac:dyDescent="0.15">
      <c r="A11" s="56">
        <v>30036</v>
      </c>
      <c r="B11" s="79">
        <v>3</v>
      </c>
      <c r="C11" s="68" t="str">
        <f t="shared" si="0"/>
        <v>30036_3</v>
      </c>
      <c r="D11" s="18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79">
        <v>10</v>
      </c>
      <c r="F11" s="79" t="s">
        <v>220</v>
      </c>
      <c r="G11" s="99">
        <v>736</v>
      </c>
      <c r="H11" s="79">
        <v>1</v>
      </c>
      <c r="I11" s="79">
        <v>1</v>
      </c>
      <c r="J11" s="79">
        <v>1</v>
      </c>
      <c r="K11" s="79">
        <v>0</v>
      </c>
      <c r="L11" s="79">
        <v>0</v>
      </c>
      <c r="M11" s="79">
        <v>0</v>
      </c>
      <c r="N11" s="79">
        <v>0</v>
      </c>
      <c r="O11" s="79">
        <v>1</v>
      </c>
      <c r="P11" s="79">
        <v>400</v>
      </c>
      <c r="Q11" s="79" t="s">
        <v>169</v>
      </c>
      <c r="R11" s="79" t="s">
        <v>170</v>
      </c>
    </row>
    <row r="12" spans="1:18" ht="16" thickBot="1" x14ac:dyDescent="0.2">
      <c r="A12" s="118">
        <v>30036</v>
      </c>
      <c r="B12" s="119">
        <v>3</v>
      </c>
      <c r="C12" s="120" t="str">
        <f t="shared" si="0"/>
        <v>30036_3</v>
      </c>
      <c r="D12" s="12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19">
        <v>11</v>
      </c>
      <c r="F12" s="119" t="s">
        <v>220</v>
      </c>
      <c r="G12" s="122">
        <v>348</v>
      </c>
      <c r="H12" s="119">
        <v>1</v>
      </c>
      <c r="I12" s="119">
        <v>1</v>
      </c>
      <c r="J12" s="119">
        <v>1</v>
      </c>
      <c r="K12" s="119">
        <v>0</v>
      </c>
      <c r="L12" s="119">
        <v>0</v>
      </c>
      <c r="M12" s="119">
        <v>0</v>
      </c>
      <c r="N12" s="119">
        <v>0</v>
      </c>
      <c r="O12" s="119">
        <v>1</v>
      </c>
      <c r="P12" s="119">
        <v>100</v>
      </c>
      <c r="Q12" s="119" t="s">
        <v>169</v>
      </c>
      <c r="R12" s="119" t="s">
        <v>170</v>
      </c>
    </row>
    <row r="13" spans="1:18" ht="16" thickTop="1" x14ac:dyDescent="0.15">
      <c r="A13" s="114">
        <v>30036</v>
      </c>
      <c r="B13" s="115">
        <v>2</v>
      </c>
      <c r="C13" s="116" t="str">
        <f t="shared" si="0"/>
        <v>30036_2</v>
      </c>
      <c r="D13" s="117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115">
        <v>12</v>
      </c>
      <c r="F13" s="115" t="s">
        <v>168</v>
      </c>
      <c r="G13" s="115">
        <v>5000</v>
      </c>
      <c r="H13" s="115" t="s">
        <v>218</v>
      </c>
      <c r="I13" s="115">
        <v>1</v>
      </c>
      <c r="J13" s="115">
        <v>1</v>
      </c>
      <c r="K13" s="115">
        <v>0</v>
      </c>
      <c r="L13" s="115">
        <v>0</v>
      </c>
      <c r="M13" s="115">
        <v>0</v>
      </c>
      <c r="N13" s="115">
        <v>0</v>
      </c>
      <c r="O13" s="115">
        <v>1</v>
      </c>
      <c r="P13" s="115">
        <v>200</v>
      </c>
      <c r="Q13" s="115" t="s">
        <v>169</v>
      </c>
      <c r="R13" s="115" t="s">
        <v>170</v>
      </c>
    </row>
    <row r="14" spans="1:18" x14ac:dyDescent="0.15">
      <c r="A14" s="56">
        <v>30036</v>
      </c>
      <c r="B14" s="79">
        <v>2</v>
      </c>
      <c r="C14" s="68" t="str">
        <f t="shared" si="0"/>
        <v>30036_2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79">
        <v>13</v>
      </c>
      <c r="F14" s="79" t="s">
        <v>221</v>
      </c>
      <c r="G14" s="79">
        <v>25</v>
      </c>
      <c r="H14" s="79" t="s">
        <v>218</v>
      </c>
      <c r="I14" s="79">
        <v>1</v>
      </c>
      <c r="J14" s="79">
        <v>1</v>
      </c>
      <c r="K14" s="79">
        <v>0</v>
      </c>
      <c r="L14" s="79">
        <v>0</v>
      </c>
      <c r="M14" s="79">
        <v>0</v>
      </c>
      <c r="N14" s="79">
        <v>0</v>
      </c>
      <c r="O14" s="79">
        <v>1</v>
      </c>
      <c r="P14" s="79">
        <v>150</v>
      </c>
      <c r="Q14" s="79" t="s">
        <v>169</v>
      </c>
      <c r="R14" s="79" t="s">
        <v>170</v>
      </c>
    </row>
    <row r="15" spans="1:18" x14ac:dyDescent="0.15">
      <c r="A15" s="56">
        <v>30036</v>
      </c>
      <c r="B15" s="79">
        <v>2</v>
      </c>
      <c r="C15" s="68" t="str">
        <f t="shared" si="0"/>
        <v>30036_2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79">
        <v>14</v>
      </c>
      <c r="F15" s="79" t="s">
        <v>220</v>
      </c>
      <c r="G15" s="100">
        <v>332</v>
      </c>
      <c r="H15" s="79">
        <v>1</v>
      </c>
      <c r="I15" s="79">
        <v>1</v>
      </c>
      <c r="J15" s="79">
        <v>1</v>
      </c>
      <c r="K15" s="79">
        <v>0</v>
      </c>
      <c r="L15" s="79">
        <v>0</v>
      </c>
      <c r="M15" s="79">
        <v>0</v>
      </c>
      <c r="N15" s="79">
        <v>0</v>
      </c>
      <c r="O15" s="79">
        <v>1</v>
      </c>
      <c r="P15" s="79">
        <v>56</v>
      </c>
      <c r="Q15" s="79" t="s">
        <v>169</v>
      </c>
      <c r="R15" s="79" t="s">
        <v>170</v>
      </c>
    </row>
    <row r="16" spans="1:18" x14ac:dyDescent="0.15">
      <c r="A16" s="56">
        <v>30036</v>
      </c>
      <c r="B16" s="79">
        <v>2</v>
      </c>
      <c r="C16" s="68" t="str">
        <f t="shared" si="0"/>
        <v>30036_2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79">
        <v>15</v>
      </c>
      <c r="F16" s="79" t="s">
        <v>220</v>
      </c>
      <c r="G16" s="100">
        <v>333</v>
      </c>
      <c r="H16" s="79">
        <v>1</v>
      </c>
      <c r="I16" s="79">
        <v>1</v>
      </c>
      <c r="J16" s="79">
        <v>1</v>
      </c>
      <c r="K16" s="79">
        <v>0</v>
      </c>
      <c r="L16" s="79">
        <v>0</v>
      </c>
      <c r="M16" s="79">
        <v>0</v>
      </c>
      <c r="N16" s="79">
        <v>0</v>
      </c>
      <c r="O16" s="79">
        <v>1</v>
      </c>
      <c r="P16" s="79">
        <v>56</v>
      </c>
      <c r="Q16" s="79" t="s">
        <v>169</v>
      </c>
      <c r="R16" s="79" t="s">
        <v>170</v>
      </c>
    </row>
    <row r="17" spans="1:18" x14ac:dyDescent="0.15">
      <c r="A17" s="56">
        <v>30036</v>
      </c>
      <c r="B17" s="79">
        <v>2</v>
      </c>
      <c r="C17" s="68" t="str">
        <f t="shared" si="0"/>
        <v>30036_2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79">
        <v>16</v>
      </c>
      <c r="F17" s="79" t="s">
        <v>220</v>
      </c>
      <c r="G17" s="100">
        <v>334</v>
      </c>
      <c r="H17" s="79">
        <v>1</v>
      </c>
      <c r="I17" s="79">
        <v>1</v>
      </c>
      <c r="J17" s="79">
        <v>1</v>
      </c>
      <c r="K17" s="79">
        <v>0</v>
      </c>
      <c r="L17" s="79">
        <v>0</v>
      </c>
      <c r="M17" s="79">
        <v>0</v>
      </c>
      <c r="N17" s="79">
        <v>0</v>
      </c>
      <c r="O17" s="79">
        <v>1</v>
      </c>
      <c r="P17" s="79">
        <v>28</v>
      </c>
      <c r="Q17" s="79" t="s">
        <v>169</v>
      </c>
      <c r="R17" s="79" t="s">
        <v>170</v>
      </c>
    </row>
    <row r="18" spans="1:18" x14ac:dyDescent="0.15">
      <c r="A18" s="56">
        <v>30036</v>
      </c>
      <c r="B18" s="79">
        <v>2</v>
      </c>
      <c r="C18" s="68" t="str">
        <f t="shared" si="0"/>
        <v>30036_2</v>
      </c>
      <c r="D18" s="1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79">
        <v>17</v>
      </c>
      <c r="F18" s="79" t="s">
        <v>220</v>
      </c>
      <c r="G18" s="79">
        <v>121</v>
      </c>
      <c r="H18" s="79">
        <v>1</v>
      </c>
      <c r="I18" s="79">
        <v>1</v>
      </c>
      <c r="J18" s="79">
        <v>1</v>
      </c>
      <c r="K18" s="79">
        <v>0</v>
      </c>
      <c r="L18" s="79">
        <v>0</v>
      </c>
      <c r="M18" s="79">
        <v>0</v>
      </c>
      <c r="N18" s="79">
        <v>0</v>
      </c>
      <c r="O18" s="79">
        <v>1</v>
      </c>
      <c r="P18" s="79">
        <v>50</v>
      </c>
      <c r="Q18" s="79" t="s">
        <v>169</v>
      </c>
      <c r="R18" s="79" t="s">
        <v>170</v>
      </c>
    </row>
    <row r="19" spans="1:18" x14ac:dyDescent="0.15">
      <c r="A19" s="56">
        <v>30036</v>
      </c>
      <c r="B19" s="79">
        <v>2</v>
      </c>
      <c r="C19" s="68" t="str">
        <f t="shared" si="0"/>
        <v>30036_2</v>
      </c>
      <c r="D19" s="18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79">
        <v>18</v>
      </c>
      <c r="F19" s="79" t="s">
        <v>220</v>
      </c>
      <c r="G19" s="79">
        <v>122</v>
      </c>
      <c r="H19" s="79">
        <v>1</v>
      </c>
      <c r="I19" s="79">
        <v>1</v>
      </c>
      <c r="J19" s="79">
        <v>1</v>
      </c>
      <c r="K19" s="79">
        <v>0</v>
      </c>
      <c r="L19" s="79">
        <v>0</v>
      </c>
      <c r="M19" s="79">
        <v>0</v>
      </c>
      <c r="N19" s="79">
        <v>0</v>
      </c>
      <c r="O19" s="79">
        <v>1</v>
      </c>
      <c r="P19" s="79">
        <v>50</v>
      </c>
      <c r="Q19" s="79" t="s">
        <v>169</v>
      </c>
      <c r="R19" s="79" t="s">
        <v>170</v>
      </c>
    </row>
    <row r="20" spans="1:18" x14ac:dyDescent="0.15">
      <c r="A20" s="56">
        <v>30036</v>
      </c>
      <c r="B20" s="79">
        <v>2</v>
      </c>
      <c r="C20" s="68" t="str">
        <f t="shared" si="0"/>
        <v>30036_2</v>
      </c>
      <c r="D20" s="18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79">
        <v>19</v>
      </c>
      <c r="F20" s="79" t="s">
        <v>220</v>
      </c>
      <c r="G20" s="79">
        <v>123</v>
      </c>
      <c r="H20" s="79">
        <v>1</v>
      </c>
      <c r="I20" s="79">
        <v>1</v>
      </c>
      <c r="J20" s="79">
        <v>1</v>
      </c>
      <c r="K20" s="79">
        <v>0</v>
      </c>
      <c r="L20" s="79">
        <v>0</v>
      </c>
      <c r="M20" s="79">
        <v>0</v>
      </c>
      <c r="N20" s="79">
        <v>0</v>
      </c>
      <c r="O20" s="79">
        <v>1</v>
      </c>
      <c r="P20" s="79">
        <v>50</v>
      </c>
      <c r="Q20" s="79" t="s">
        <v>169</v>
      </c>
      <c r="R20" s="79" t="s">
        <v>170</v>
      </c>
    </row>
    <row r="21" spans="1:18" x14ac:dyDescent="0.15">
      <c r="A21" s="56">
        <v>30036</v>
      </c>
      <c r="B21" s="79">
        <v>2</v>
      </c>
      <c r="C21" s="68" t="str">
        <f t="shared" si="0"/>
        <v>30036_2</v>
      </c>
      <c r="D21" s="18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79">
        <v>20</v>
      </c>
      <c r="F21" s="79" t="s">
        <v>220</v>
      </c>
      <c r="G21" s="79">
        <v>125</v>
      </c>
      <c r="H21" s="79">
        <v>1</v>
      </c>
      <c r="I21" s="79">
        <v>1</v>
      </c>
      <c r="J21" s="79">
        <v>1</v>
      </c>
      <c r="K21" s="79">
        <v>0</v>
      </c>
      <c r="L21" s="79">
        <v>0</v>
      </c>
      <c r="M21" s="79">
        <v>0</v>
      </c>
      <c r="N21" s="79">
        <v>0</v>
      </c>
      <c r="O21" s="79">
        <v>1</v>
      </c>
      <c r="P21" s="79">
        <v>10</v>
      </c>
      <c r="Q21" s="79" t="s">
        <v>169</v>
      </c>
      <c r="R21" s="79" t="s">
        <v>170</v>
      </c>
    </row>
    <row r="22" spans="1:18" x14ac:dyDescent="0.15">
      <c r="A22" s="56">
        <v>30036</v>
      </c>
      <c r="B22" s="79">
        <v>2</v>
      </c>
      <c r="C22" s="68" t="str">
        <f t="shared" si="0"/>
        <v>30036_2</v>
      </c>
      <c r="D22" s="18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79">
        <v>21</v>
      </c>
      <c r="F22" s="79" t="s">
        <v>220</v>
      </c>
      <c r="G22" s="99">
        <v>736</v>
      </c>
      <c r="H22" s="79">
        <v>1</v>
      </c>
      <c r="I22" s="79">
        <v>1</v>
      </c>
      <c r="J22" s="79">
        <v>1</v>
      </c>
      <c r="K22" s="79">
        <v>0</v>
      </c>
      <c r="L22" s="79">
        <v>0</v>
      </c>
      <c r="M22" s="79">
        <v>0</v>
      </c>
      <c r="N22" s="79">
        <v>0</v>
      </c>
      <c r="O22" s="79">
        <v>1</v>
      </c>
      <c r="P22" s="79">
        <v>250</v>
      </c>
      <c r="Q22" s="79" t="s">
        <v>169</v>
      </c>
      <c r="R22" s="79" t="s">
        <v>170</v>
      </c>
    </row>
    <row r="23" spans="1:18" ht="16" thickBot="1" x14ac:dyDescent="0.2">
      <c r="A23" s="118">
        <v>30036</v>
      </c>
      <c r="B23" s="119">
        <v>2</v>
      </c>
      <c r="C23" s="120" t="str">
        <f t="shared" si="0"/>
        <v>30036_2</v>
      </c>
      <c r="D23" s="121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119">
        <v>22</v>
      </c>
      <c r="F23" s="119" t="s">
        <v>220</v>
      </c>
      <c r="G23" s="122">
        <v>348</v>
      </c>
      <c r="H23" s="119">
        <v>1</v>
      </c>
      <c r="I23" s="119">
        <v>1</v>
      </c>
      <c r="J23" s="119">
        <v>1</v>
      </c>
      <c r="K23" s="119">
        <v>0</v>
      </c>
      <c r="L23" s="119">
        <v>0</v>
      </c>
      <c r="M23" s="119">
        <v>0</v>
      </c>
      <c r="N23" s="119">
        <v>0</v>
      </c>
      <c r="O23" s="119">
        <v>1</v>
      </c>
      <c r="P23" s="119">
        <v>100</v>
      </c>
      <c r="Q23" s="119" t="s">
        <v>169</v>
      </c>
      <c r="R23" s="119" t="s">
        <v>170</v>
      </c>
    </row>
    <row r="24" spans="1:18" ht="16" thickTop="1" x14ac:dyDescent="0.15">
      <c r="A24" s="114">
        <v>30036</v>
      </c>
      <c r="B24" s="115">
        <v>1</v>
      </c>
      <c r="C24" s="116" t="str">
        <f t="shared" si="0"/>
        <v>30036_1</v>
      </c>
      <c r="D24" s="117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115">
        <v>23</v>
      </c>
      <c r="F24" s="115" t="s">
        <v>168</v>
      </c>
      <c r="G24" s="115">
        <v>3200</v>
      </c>
      <c r="H24" s="115" t="s">
        <v>218</v>
      </c>
      <c r="I24" s="115">
        <v>1</v>
      </c>
      <c r="J24" s="115">
        <v>1</v>
      </c>
      <c r="K24" s="115">
        <v>0</v>
      </c>
      <c r="L24" s="115">
        <v>0</v>
      </c>
      <c r="M24" s="115">
        <v>0</v>
      </c>
      <c r="N24" s="115">
        <v>0</v>
      </c>
      <c r="O24" s="115">
        <v>1</v>
      </c>
      <c r="P24" s="115">
        <v>200</v>
      </c>
      <c r="Q24" s="115" t="s">
        <v>169</v>
      </c>
      <c r="R24" s="115" t="s">
        <v>170</v>
      </c>
    </row>
    <row r="25" spans="1:18" x14ac:dyDescent="0.15">
      <c r="A25" s="56">
        <v>30036</v>
      </c>
      <c r="B25" s="79">
        <v>1</v>
      </c>
      <c r="C25" s="68" t="str">
        <f t="shared" si="0"/>
        <v>30036_1</v>
      </c>
      <c r="D25" s="18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79">
        <v>24</v>
      </c>
      <c r="F25" s="79" t="s">
        <v>221</v>
      </c>
      <c r="G25" s="79">
        <v>20</v>
      </c>
      <c r="H25" s="79" t="s">
        <v>218</v>
      </c>
      <c r="I25" s="79">
        <v>1</v>
      </c>
      <c r="J25" s="79">
        <v>1</v>
      </c>
      <c r="K25" s="79">
        <v>0</v>
      </c>
      <c r="L25" s="79">
        <v>0</v>
      </c>
      <c r="M25" s="79">
        <v>0</v>
      </c>
      <c r="N25" s="79">
        <v>0</v>
      </c>
      <c r="O25" s="79">
        <v>1</v>
      </c>
      <c r="P25" s="79">
        <v>200</v>
      </c>
      <c r="Q25" s="79" t="s">
        <v>169</v>
      </c>
      <c r="R25" s="79" t="s">
        <v>170</v>
      </c>
    </row>
    <row r="26" spans="1:18" x14ac:dyDescent="0.15">
      <c r="A26" s="56">
        <v>30036</v>
      </c>
      <c r="B26" s="79">
        <v>1</v>
      </c>
      <c r="C26" s="68" t="str">
        <f t="shared" si="0"/>
        <v>30036_1</v>
      </c>
      <c r="D26" s="18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79">
        <v>25</v>
      </c>
      <c r="F26" s="79" t="s">
        <v>220</v>
      </c>
      <c r="G26" s="100">
        <v>332</v>
      </c>
      <c r="H26" s="79">
        <v>1</v>
      </c>
      <c r="I26" s="79">
        <v>1</v>
      </c>
      <c r="J26" s="79">
        <v>1</v>
      </c>
      <c r="K26" s="79">
        <v>0</v>
      </c>
      <c r="L26" s="79">
        <v>0</v>
      </c>
      <c r="M26" s="79">
        <v>0</v>
      </c>
      <c r="N26" s="79">
        <v>0</v>
      </c>
      <c r="O26" s="79">
        <v>1</v>
      </c>
      <c r="P26" s="79">
        <v>70</v>
      </c>
      <c r="Q26" s="79" t="s">
        <v>169</v>
      </c>
      <c r="R26" s="79" t="s">
        <v>170</v>
      </c>
    </row>
    <row r="27" spans="1:18" x14ac:dyDescent="0.15">
      <c r="A27" s="56">
        <v>30036</v>
      </c>
      <c r="B27" s="79">
        <v>1</v>
      </c>
      <c r="C27" s="68" t="str">
        <f t="shared" si="0"/>
        <v>30036_1</v>
      </c>
      <c r="D27" s="18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79">
        <v>26</v>
      </c>
      <c r="F27" s="79" t="s">
        <v>220</v>
      </c>
      <c r="G27" s="100">
        <v>333</v>
      </c>
      <c r="H27" s="79">
        <v>1</v>
      </c>
      <c r="I27" s="79">
        <v>1</v>
      </c>
      <c r="J27" s="79">
        <v>1</v>
      </c>
      <c r="K27" s="79">
        <v>0</v>
      </c>
      <c r="L27" s="79">
        <v>0</v>
      </c>
      <c r="M27" s="79">
        <v>0</v>
      </c>
      <c r="N27" s="79">
        <v>0</v>
      </c>
      <c r="O27" s="79">
        <v>1</v>
      </c>
      <c r="P27" s="79">
        <v>70</v>
      </c>
      <c r="Q27" s="79" t="s">
        <v>169</v>
      </c>
      <c r="R27" s="79" t="s">
        <v>170</v>
      </c>
    </row>
    <row r="28" spans="1:18" x14ac:dyDescent="0.15">
      <c r="A28" s="56">
        <v>30036</v>
      </c>
      <c r="B28" s="79">
        <v>1</v>
      </c>
      <c r="C28" s="68" t="str">
        <f t="shared" si="0"/>
        <v>30036_1</v>
      </c>
      <c r="D28" s="18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79">
        <v>27</v>
      </c>
      <c r="F28" s="79" t="s">
        <v>220</v>
      </c>
      <c r="G28" s="100">
        <v>334</v>
      </c>
      <c r="H28" s="79">
        <v>1</v>
      </c>
      <c r="I28" s="79">
        <v>1</v>
      </c>
      <c r="J28" s="79">
        <v>1</v>
      </c>
      <c r="K28" s="79">
        <v>0</v>
      </c>
      <c r="L28" s="79">
        <v>0</v>
      </c>
      <c r="M28" s="79">
        <v>0</v>
      </c>
      <c r="N28" s="79">
        <v>0</v>
      </c>
      <c r="O28" s="79">
        <v>1</v>
      </c>
      <c r="P28" s="79">
        <v>0</v>
      </c>
      <c r="Q28" s="79" t="s">
        <v>169</v>
      </c>
      <c r="R28" s="79" t="s">
        <v>170</v>
      </c>
    </row>
    <row r="29" spans="1:18" x14ac:dyDescent="0.15">
      <c r="A29" s="56">
        <v>30036</v>
      </c>
      <c r="B29" s="79">
        <v>1</v>
      </c>
      <c r="C29" s="68" t="str">
        <f t="shared" si="0"/>
        <v>30036_1</v>
      </c>
      <c r="D29" s="18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79">
        <v>28</v>
      </c>
      <c r="F29" s="79" t="s">
        <v>222</v>
      </c>
      <c r="G29" s="79">
        <v>121</v>
      </c>
      <c r="H29" s="79">
        <v>1</v>
      </c>
      <c r="I29" s="79">
        <v>1</v>
      </c>
      <c r="J29" s="79">
        <v>1</v>
      </c>
      <c r="K29" s="79">
        <v>0</v>
      </c>
      <c r="L29" s="79">
        <v>0</v>
      </c>
      <c r="M29" s="79">
        <v>0</v>
      </c>
      <c r="N29" s="79">
        <v>0</v>
      </c>
      <c r="O29" s="79">
        <v>1</v>
      </c>
      <c r="P29" s="79">
        <v>50</v>
      </c>
      <c r="Q29" s="79" t="s">
        <v>169</v>
      </c>
      <c r="R29" s="79" t="s">
        <v>170</v>
      </c>
    </row>
    <row r="30" spans="1:18" x14ac:dyDescent="0.15">
      <c r="A30" s="56">
        <v>30036</v>
      </c>
      <c r="B30" s="79">
        <v>1</v>
      </c>
      <c r="C30" s="68" t="str">
        <f t="shared" si="0"/>
        <v>30036_1</v>
      </c>
      <c r="D30" s="18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79">
        <v>29</v>
      </c>
      <c r="F30" s="79" t="s">
        <v>222</v>
      </c>
      <c r="G30" s="79">
        <v>122</v>
      </c>
      <c r="H30" s="79">
        <v>1</v>
      </c>
      <c r="I30" s="79">
        <v>1</v>
      </c>
      <c r="J30" s="79">
        <v>1</v>
      </c>
      <c r="K30" s="79">
        <v>0</v>
      </c>
      <c r="L30" s="79">
        <v>0</v>
      </c>
      <c r="M30" s="79">
        <v>0</v>
      </c>
      <c r="N30" s="79">
        <v>0</v>
      </c>
      <c r="O30" s="79">
        <v>1</v>
      </c>
      <c r="P30" s="79">
        <v>50</v>
      </c>
      <c r="Q30" s="79" t="s">
        <v>169</v>
      </c>
      <c r="R30" s="79" t="s">
        <v>170</v>
      </c>
    </row>
    <row r="31" spans="1:18" x14ac:dyDescent="0.15">
      <c r="A31" s="56">
        <v>30036</v>
      </c>
      <c r="B31" s="79">
        <v>1</v>
      </c>
      <c r="C31" s="68" t="str">
        <f t="shared" si="0"/>
        <v>30036_1</v>
      </c>
      <c r="D31" s="18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79">
        <v>30</v>
      </c>
      <c r="F31" s="79" t="s">
        <v>222</v>
      </c>
      <c r="G31" s="79">
        <v>123</v>
      </c>
      <c r="H31" s="79">
        <v>1</v>
      </c>
      <c r="I31" s="79">
        <v>1</v>
      </c>
      <c r="J31" s="79">
        <v>1</v>
      </c>
      <c r="K31" s="79">
        <v>0</v>
      </c>
      <c r="L31" s="79">
        <v>0</v>
      </c>
      <c r="M31" s="79">
        <v>0</v>
      </c>
      <c r="N31" s="79">
        <v>0</v>
      </c>
      <c r="O31" s="79">
        <v>1</v>
      </c>
      <c r="P31" s="79">
        <v>50</v>
      </c>
      <c r="Q31" s="79" t="s">
        <v>169</v>
      </c>
      <c r="R31" s="79" t="s">
        <v>170</v>
      </c>
    </row>
    <row r="32" spans="1:18" x14ac:dyDescent="0.15">
      <c r="A32" s="56">
        <v>30036</v>
      </c>
      <c r="B32" s="79">
        <v>1</v>
      </c>
      <c r="C32" s="68" t="str">
        <f t="shared" si="0"/>
        <v>30036_1</v>
      </c>
      <c r="D32" s="18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79">
        <v>31</v>
      </c>
      <c r="F32" s="79" t="s">
        <v>222</v>
      </c>
      <c r="G32" s="79">
        <v>125</v>
      </c>
      <c r="H32" s="79">
        <v>1</v>
      </c>
      <c r="I32" s="79">
        <v>1</v>
      </c>
      <c r="J32" s="79">
        <v>1</v>
      </c>
      <c r="K32" s="79">
        <v>0</v>
      </c>
      <c r="L32" s="79">
        <v>0</v>
      </c>
      <c r="M32" s="79">
        <v>0</v>
      </c>
      <c r="N32" s="79">
        <v>0</v>
      </c>
      <c r="O32" s="79">
        <v>1</v>
      </c>
      <c r="P32" s="79">
        <v>10</v>
      </c>
      <c r="Q32" s="79" t="s">
        <v>169</v>
      </c>
      <c r="R32" s="79" t="s">
        <v>170</v>
      </c>
    </row>
    <row r="33" spans="1:18" x14ac:dyDescent="0.15">
      <c r="A33" s="56">
        <v>30036</v>
      </c>
      <c r="B33" s="79">
        <v>1</v>
      </c>
      <c r="C33" s="68" t="str">
        <f t="shared" si="0"/>
        <v>30036_1</v>
      </c>
      <c r="D33" s="18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79">
        <v>32</v>
      </c>
      <c r="F33" s="79" t="s">
        <v>222</v>
      </c>
      <c r="G33" s="99">
        <v>736</v>
      </c>
      <c r="H33" s="79">
        <v>1</v>
      </c>
      <c r="I33" s="79">
        <v>1</v>
      </c>
      <c r="J33" s="79">
        <v>1</v>
      </c>
      <c r="K33" s="79">
        <v>0</v>
      </c>
      <c r="L33" s="79">
        <v>0</v>
      </c>
      <c r="M33" s="79">
        <v>0</v>
      </c>
      <c r="N33" s="79">
        <v>0</v>
      </c>
      <c r="O33" s="79">
        <v>1</v>
      </c>
      <c r="P33" s="79">
        <v>200</v>
      </c>
      <c r="Q33" s="79" t="s">
        <v>169</v>
      </c>
      <c r="R33" s="79" t="s">
        <v>170</v>
      </c>
    </row>
    <row r="34" spans="1:18" x14ac:dyDescent="0.15">
      <c r="A34" s="56">
        <v>30036</v>
      </c>
      <c r="B34" s="79">
        <v>1</v>
      </c>
      <c r="C34" s="68" t="str">
        <f t="shared" si="0"/>
        <v>30036_1</v>
      </c>
      <c r="D34" s="18" t="str">
        <f ca="1">VLOOKUP($C34,OFFSET([2]stages!$A$1,0,0,COUNTA([2]stages!$A:$A),MATCH(D$1,[2]stages!$2:$2,0)-MATCH($C$1,[2]stages!$2:$2,0)+1),MATCH(D$1,[2]stages!$2:$2,0)-MATCH($C$1,[2]stages!$2:$2,0)+1,FALSE)</f>
        <v>everyone</v>
      </c>
      <c r="E34" s="79">
        <v>33</v>
      </c>
      <c r="F34" s="79" t="s">
        <v>222</v>
      </c>
      <c r="G34" s="100">
        <v>348</v>
      </c>
      <c r="H34" s="79">
        <v>1</v>
      </c>
      <c r="I34" s="79">
        <v>1</v>
      </c>
      <c r="J34" s="79">
        <v>1</v>
      </c>
      <c r="K34" s="79">
        <v>0</v>
      </c>
      <c r="L34" s="79">
        <v>0</v>
      </c>
      <c r="M34" s="79">
        <v>0</v>
      </c>
      <c r="N34" s="79">
        <v>0</v>
      </c>
      <c r="O34" s="79">
        <v>1</v>
      </c>
      <c r="P34" s="79">
        <v>100</v>
      </c>
      <c r="Q34" s="79" t="s">
        <v>169</v>
      </c>
      <c r="R34" s="79" t="s">
        <v>170</v>
      </c>
    </row>
  </sheetData>
  <phoneticPr fontId="5"/>
  <dataValidations count="1">
    <dataValidation type="list" allowBlank="1" showInputMessage="1" showErrorMessage="1" sqref="F2:F34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82"/>
  <sheetViews>
    <sheetView showGridLines="0" workbookViewId="0">
      <pane ySplit="1" topLeftCell="A2" activePane="bottomLeft" state="frozen"/>
      <selection pane="bottomLeft" activeCell="J71" sqref="J71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4" t="s">
        <v>187</v>
      </c>
      <c r="B1" s="70" t="s">
        <v>188</v>
      </c>
      <c r="C1" s="75" t="s">
        <v>189</v>
      </c>
      <c r="D1" s="75" t="s">
        <v>33</v>
      </c>
      <c r="E1" s="70" t="s">
        <v>190</v>
      </c>
      <c r="F1" s="75" t="s">
        <v>191</v>
      </c>
      <c r="G1" s="75" t="s">
        <v>33</v>
      </c>
      <c r="H1" s="70" t="s">
        <v>192</v>
      </c>
      <c r="I1" s="89" t="s">
        <v>194</v>
      </c>
      <c r="J1" s="77" t="s">
        <v>126</v>
      </c>
      <c r="K1" s="76" t="s">
        <v>186</v>
      </c>
      <c r="L1" s="90" t="s">
        <v>185</v>
      </c>
      <c r="M1" s="78" t="s">
        <v>195</v>
      </c>
    </row>
    <row r="2" spans="1:13" x14ac:dyDescent="0.15">
      <c r="A2" s="79" t="s">
        <v>200</v>
      </c>
      <c r="B2" s="80">
        <f>floors!$C$2</f>
        <v>30036</v>
      </c>
      <c r="C2" s="81" t="str">
        <f ca="1">VLOOKUP($B2,OFFSET([2]quests!$A$1,0,0,COUNTA([2]quests!$A:$A),MATCH(C$1,[2]quests!$1:$1,0)-MATCH($B$1,[2]quests!$1:$1,0)+1),MATCH(C$1,[2]quests!$1:$1,0)-MATCH($B$1,[2]quests!$1:$1,0)+1,FALSE)</f>
        <v>猛然たる炎獣使い</v>
      </c>
      <c r="D2" s="81" t="str">
        <f ca="1">VLOOKUP($B2,OFFSET([2]quests!$A$1,0,0,COUNTA([2]quests!$A:$A),MATCH(D$1,[2]quests!$1:$1,0)-MATCH($B$1,[2]quests!$1:$1,0)+1),MATCH(D$1,[2]quests!$1:$1,0)-MATCH($B$1,[2]quests!$1:$1,0)+1,FALSE)</f>
        <v>ギリシャ神話シリーズ超級</v>
      </c>
      <c r="E2" s="85">
        <v>1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【中級】猛然たる炎獣使い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ギリシャ神話シリーズ超級</v>
      </c>
      <c r="H2" s="83">
        <v>0</v>
      </c>
      <c r="I2">
        <v>3</v>
      </c>
      <c r="J2" s="82" t="s">
        <v>197</v>
      </c>
      <c r="K2" s="91" t="str">
        <f>VLOOKUP(I2,[6]stage_hints!$A:$C,3,FALSE)</f>
        <v>ターゲット</v>
      </c>
      <c r="L2" s="92" t="str">
        <f>VLOOKUP(I2,[6]stage_hints!$A:$D,4,FALSE)</f>
        <v>敵ユニットをタップすると_x000D_その敵を狙い撃ちできます</v>
      </c>
      <c r="M2" s="56" t="s">
        <v>210</v>
      </c>
    </row>
    <row r="3" spans="1:13" x14ac:dyDescent="0.15">
      <c r="A3" s="79" t="s">
        <v>200</v>
      </c>
      <c r="B3" s="80">
        <f>floors!$C$2</f>
        <v>30036</v>
      </c>
      <c r="C3" s="81" t="str">
        <f ca="1">VLOOKUP($B3,OFFSET([2]quests!$A$1,0,0,COUNTA([2]quests!$A:$A),MATCH(C$1,[2]quests!$1:$1,0)-MATCH($B$1,[2]quests!$1:$1,0)+1),MATCH(C$1,[2]quests!$1:$1,0)-MATCH($B$1,[2]quests!$1:$1,0)+1,FALSE)</f>
        <v>猛然たる炎獣使い</v>
      </c>
      <c r="D3" s="81" t="str">
        <f ca="1">VLOOKUP($B3,OFFSET([2]quests!$A$1,0,0,COUNTA([2]quests!$A:$A),MATCH(D$1,[2]quests!$1:$1,0)-MATCH($B$1,[2]quests!$1:$1,0)+1),MATCH(D$1,[2]quests!$1:$1,0)-MATCH($B$1,[2]quests!$1:$1,0)+1,FALSE)</f>
        <v>ギリシャ神話シリーズ超級</v>
      </c>
      <c r="E3" s="85">
        <v>1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【中級】猛然たる炎獣使い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ギリシャ神話シリーズ超級</v>
      </c>
      <c r="H3" s="83">
        <v>0</v>
      </c>
      <c r="I3">
        <v>6</v>
      </c>
      <c r="J3" s="82" t="s">
        <v>197</v>
      </c>
      <c r="K3" s="91" t="str">
        <f>VLOOKUP(I3,[6]stage_hints!$A:$C,3,FALSE)</f>
        <v>ユニット強化の属性ボーナス</v>
      </c>
      <c r="L3" s="92" t="str">
        <f>VLOOKUP(I3,[6]stage_hints!$A:$D,4,FALSE)</f>
        <v>同属性ユニットを強化素材にすると_x000D_経験値が多くもらえます</v>
      </c>
      <c r="M3" s="56" t="s">
        <v>210</v>
      </c>
    </row>
    <row r="4" spans="1:13" x14ac:dyDescent="0.15">
      <c r="A4" s="79" t="s">
        <v>200</v>
      </c>
      <c r="B4" s="80">
        <f>floors!$C$2</f>
        <v>30036</v>
      </c>
      <c r="C4" s="81" t="str">
        <f ca="1">VLOOKUP($B4,OFFSET([2]quests!$A$1,0,0,COUNTA([2]quests!$A:$A),MATCH(C$1,[2]quests!$1:$1,0)-MATCH($B$1,[2]quests!$1:$1,0)+1),MATCH(C$1,[2]quests!$1:$1,0)-MATCH($B$1,[2]quests!$1:$1,0)+1,FALSE)</f>
        <v>猛然たる炎獣使い</v>
      </c>
      <c r="D4" s="81" t="str">
        <f ca="1">VLOOKUP($B4,OFFSET([2]quests!$A$1,0,0,COUNTA([2]quests!$A:$A),MATCH(D$1,[2]quests!$1:$1,0)-MATCH($B$1,[2]quests!$1:$1,0)+1),MATCH(D$1,[2]quests!$1:$1,0)-MATCH($B$1,[2]quests!$1:$1,0)+1,FALSE)</f>
        <v>ギリシャ神話シリーズ超級</v>
      </c>
      <c r="E4" s="85">
        <v>1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【中級】猛然たる炎獣使い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ギリシャ神話シリーズ超級</v>
      </c>
      <c r="H4" s="83">
        <v>0</v>
      </c>
      <c r="I4">
        <v>7</v>
      </c>
      <c r="J4" s="82" t="s">
        <v>197</v>
      </c>
      <c r="K4" s="91" t="str">
        <f>VLOOKUP(I4,[6]stage_hints!$A:$C,3,FALSE)</f>
        <v>メタルダックで経験値を獲得</v>
      </c>
      <c r="L4" s="92" t="str">
        <f>VLOOKUP(I4,[6]stage_hints!$A:$D,4,FALSE)</f>
        <v>「メタルなアヒル」を強化素材にすると_x000D_大量の経験値がもらえます</v>
      </c>
      <c r="M4" s="56" t="s">
        <v>210</v>
      </c>
    </row>
    <row r="5" spans="1:13" x14ac:dyDescent="0.15">
      <c r="A5" s="79" t="s">
        <v>200</v>
      </c>
      <c r="B5" s="80">
        <f>floors!$C$2</f>
        <v>30036</v>
      </c>
      <c r="C5" s="81" t="str">
        <f ca="1">VLOOKUP($B5,OFFSET([2]quests!$A$1,0,0,COUNTA([2]quests!$A:$A),MATCH(C$1,[2]quests!$1:$1,0)-MATCH($B$1,[2]quests!$1:$1,0)+1),MATCH(C$1,[2]quests!$1:$1,0)-MATCH($B$1,[2]quests!$1:$1,0)+1,FALSE)</f>
        <v>猛然たる炎獣使い</v>
      </c>
      <c r="D5" s="81" t="str">
        <f ca="1">VLOOKUP($B5,OFFSET([2]quests!$A$1,0,0,COUNTA([2]quests!$A:$A),MATCH(D$1,[2]quests!$1:$1,0)-MATCH($B$1,[2]quests!$1:$1,0)+1),MATCH(D$1,[2]quests!$1:$1,0)-MATCH($B$1,[2]quests!$1:$1,0)+1,FALSE)</f>
        <v>ギリシャ神話シリーズ超級</v>
      </c>
      <c r="E5" s="85">
        <v>1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【中級】猛然たる炎獣使い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ギリシャ神話シリーズ超級</v>
      </c>
      <c r="H5" s="83">
        <v>0</v>
      </c>
      <c r="I5">
        <v>8</v>
      </c>
      <c r="J5" s="82" t="s">
        <v>197</v>
      </c>
      <c r="K5" s="91" t="str">
        <f>VLOOKUP(I5,[6]stage_hints!$A:$C,3,FALSE)</f>
        <v>ゲリラクエストは要チェック</v>
      </c>
      <c r="L5" s="92" t="str">
        <f>VLOOKUP(I5,[6]stage_hints!$A:$D,4,FALSE)</f>
        <v>時間限定の「アヒル捕獲作戦」では_x000D_経験値素材ユニットが多く手に入ります</v>
      </c>
      <c r="M5" s="56" t="s">
        <v>210</v>
      </c>
    </row>
    <row r="6" spans="1:13" x14ac:dyDescent="0.15">
      <c r="A6" s="79" t="s">
        <v>200</v>
      </c>
      <c r="B6" s="80">
        <f>floors!$C$2</f>
        <v>30036</v>
      </c>
      <c r="C6" s="81" t="str">
        <f ca="1">VLOOKUP($B6,OFFSET([2]quests!$A$1,0,0,COUNTA([2]quests!$A:$A),MATCH(C$1,[2]quests!$1:$1,0)-MATCH($B$1,[2]quests!$1:$1,0)+1),MATCH(C$1,[2]quests!$1:$1,0)-MATCH($B$1,[2]quests!$1:$1,0)+1,FALSE)</f>
        <v>猛然たる炎獣使い</v>
      </c>
      <c r="D6" s="81" t="str">
        <f ca="1">VLOOKUP($B6,OFFSET([2]quests!$A$1,0,0,COUNTA([2]quests!$A:$A),MATCH(D$1,[2]quests!$1:$1,0)-MATCH($B$1,[2]quests!$1:$1,0)+1),MATCH(D$1,[2]quests!$1:$1,0)-MATCH($B$1,[2]quests!$1:$1,0)+1,FALSE)</f>
        <v>ギリシャ神話シリーズ超級</v>
      </c>
      <c r="E6" s="85">
        <v>1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【中級】猛然たる炎獣使い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ギリシャ神話シリーズ超級</v>
      </c>
      <c r="H6" s="83">
        <v>0</v>
      </c>
      <c r="I6">
        <v>9</v>
      </c>
      <c r="J6" s="82" t="s">
        <v>197</v>
      </c>
      <c r="K6" s="91" t="str">
        <f>VLOOKUP(I6,[6]stage_hints!$A:$C,3,FALSE)</f>
        <v>ゴールドダックでビットを獲得</v>
      </c>
      <c r="L6" s="92" t="str">
        <f>VLOOKUP(I6,[6]stage_hints!$A:$D,4,FALSE)</f>
        <v>「ゴールドなアヒル」を売却すると_x000D_大量のビットがもらえます</v>
      </c>
      <c r="M6" s="56" t="s">
        <v>210</v>
      </c>
    </row>
    <row r="7" spans="1:13" x14ac:dyDescent="0.15">
      <c r="A7" s="79" t="s">
        <v>200</v>
      </c>
      <c r="B7" s="80">
        <f>floors!$C$2</f>
        <v>30036</v>
      </c>
      <c r="C7" s="81" t="str">
        <f ca="1">VLOOKUP($B7,OFFSET([2]quests!$A$1,0,0,COUNTA([2]quests!$A:$A),MATCH(C$1,[2]quests!$1:$1,0)-MATCH($B$1,[2]quests!$1:$1,0)+1),MATCH(C$1,[2]quests!$1:$1,0)-MATCH($B$1,[2]quests!$1:$1,0)+1,FALSE)</f>
        <v>猛然たる炎獣使い</v>
      </c>
      <c r="D7" s="81" t="str">
        <f ca="1">VLOOKUP($B7,OFFSET([2]quests!$A$1,0,0,COUNTA([2]quests!$A:$A),MATCH(D$1,[2]quests!$1:$1,0)-MATCH($B$1,[2]quests!$1:$1,0)+1),MATCH(D$1,[2]quests!$1:$1,0)-MATCH($B$1,[2]quests!$1:$1,0)+1,FALSE)</f>
        <v>ギリシャ神話シリーズ超級</v>
      </c>
      <c r="E7" s="85">
        <v>1</v>
      </c>
      <c r="F7" s="81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【中級】猛然たる炎獣使い</v>
      </c>
      <c r="G7" s="81" t="str">
        <f ca="1">VLOOKUP($B7&amp;"_"&amp;$E7,OFFSET([2]stages!$A$1,0,0,COUNTA([2]stages!$A:$A),MATCH(G$1,[2]stages!$2:$2,0)-MATCH("temp_stage",[2]stages!$2:$2,0)+1),MATCH(G$1,[2]stages!$2:$2,0)-MATCH("temp_stage",[2]stages!$2:$2,0)+1,FALSE)</f>
        <v>ギリシャ神話シリーズ超級</v>
      </c>
      <c r="H7" s="83">
        <v>0</v>
      </c>
      <c r="I7">
        <v>10</v>
      </c>
      <c r="J7" s="82" t="s">
        <v>197</v>
      </c>
      <c r="K7" s="91" t="str">
        <f>VLOOKUP(I7,[6]stage_hints!$A:$C,3,FALSE)</f>
        <v>土日に大量のビットを獲得</v>
      </c>
      <c r="L7" s="92" t="str">
        <f>VLOOKUP(I7,[6]stage_hints!$A:$D,4,FALSE)</f>
        <v>土日限定の「ゴールドカジノ」では_x000D_売却素材ユニットが多く手に入ります</v>
      </c>
      <c r="M7" s="56" t="s">
        <v>210</v>
      </c>
    </row>
    <row r="8" spans="1:13" x14ac:dyDescent="0.15">
      <c r="A8" s="79" t="s">
        <v>200</v>
      </c>
      <c r="B8" s="80">
        <f>floors!$C$2</f>
        <v>30036</v>
      </c>
      <c r="C8" s="81" t="str">
        <f ca="1">VLOOKUP($B8,OFFSET([2]quests!$A$1,0,0,COUNTA([2]quests!$A:$A),MATCH(C$1,[2]quests!$1:$1,0)-MATCH($B$1,[2]quests!$1:$1,0)+1),MATCH(C$1,[2]quests!$1:$1,0)-MATCH($B$1,[2]quests!$1:$1,0)+1,FALSE)</f>
        <v>猛然たる炎獣使い</v>
      </c>
      <c r="D8" s="81" t="str">
        <f ca="1">VLOOKUP($B8,OFFSET([2]quests!$A$1,0,0,COUNTA([2]quests!$A:$A),MATCH(D$1,[2]quests!$1:$1,0)-MATCH($B$1,[2]quests!$1:$1,0)+1),MATCH(D$1,[2]quests!$1:$1,0)-MATCH($B$1,[2]quests!$1:$1,0)+1,FALSE)</f>
        <v>ギリシャ神話シリーズ超級</v>
      </c>
      <c r="E8" s="85">
        <v>1</v>
      </c>
      <c r="F8" s="81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【中級】猛然たる炎獣使い</v>
      </c>
      <c r="G8" s="81" t="str">
        <f ca="1">VLOOKUP($B8&amp;"_"&amp;$E8,OFFSET([2]stages!$A$1,0,0,COUNTA([2]stages!$A:$A),MATCH(G$1,[2]stages!$2:$2,0)-MATCH("temp_stage",[2]stages!$2:$2,0)+1),MATCH(G$1,[2]stages!$2:$2,0)-MATCH("temp_stage",[2]stages!$2:$2,0)+1,FALSE)</f>
        <v>ギリシャ神話シリーズ超級</v>
      </c>
      <c r="H8" s="83">
        <v>0</v>
      </c>
      <c r="I8">
        <v>11</v>
      </c>
      <c r="J8" s="82" t="s">
        <v>197</v>
      </c>
      <c r="K8" s="91" t="str">
        <f>VLOOKUP(I8,[6]stage_hints!$A:$C,3,FALSE)</f>
        <v>ランク解放クエスト</v>
      </c>
      <c r="L8" s="92" t="str">
        <f>VLOOKUP(I8,[6]stage_hints!$A:$D,4,FALSE)</f>
        <v>一定ランクに到達すると_x000D_報酬付きのランク開放クエストが現れます</v>
      </c>
      <c r="M8" s="56" t="s">
        <v>210</v>
      </c>
    </row>
    <row r="9" spans="1:13" x14ac:dyDescent="0.15">
      <c r="A9" s="79" t="s">
        <v>200</v>
      </c>
      <c r="B9" s="80">
        <f>floors!$C$2</f>
        <v>30036</v>
      </c>
      <c r="C9" s="81" t="str">
        <f ca="1">VLOOKUP($B9,OFFSET([2]quests!$A$1,0,0,COUNTA([2]quests!$A:$A),MATCH(C$1,[2]quests!$1:$1,0)-MATCH($B$1,[2]quests!$1:$1,0)+1),MATCH(C$1,[2]quests!$1:$1,0)-MATCH($B$1,[2]quests!$1:$1,0)+1,FALSE)</f>
        <v>猛然たる炎獣使い</v>
      </c>
      <c r="D9" s="81" t="str">
        <f ca="1">VLOOKUP($B9,OFFSET([2]quests!$A$1,0,0,COUNTA([2]quests!$A:$A),MATCH(D$1,[2]quests!$1:$1,0)-MATCH($B$1,[2]quests!$1:$1,0)+1),MATCH(D$1,[2]quests!$1:$1,0)-MATCH($B$1,[2]quests!$1:$1,0)+1,FALSE)</f>
        <v>ギリシャ神話シリーズ超級</v>
      </c>
      <c r="E9" s="85">
        <v>1</v>
      </c>
      <c r="F9" s="81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【中級】猛然たる炎獣使い</v>
      </c>
      <c r="G9" s="81" t="str">
        <f ca="1">VLOOKUP($B9&amp;"_"&amp;$E9,OFFSET([2]stages!$A$1,0,0,COUNTA([2]stages!$A:$A),MATCH(G$1,[2]stages!$2:$2,0)-MATCH("temp_stage",[2]stages!$2:$2,0)+1),MATCH(G$1,[2]stages!$2:$2,0)-MATCH("temp_stage",[2]stages!$2:$2,0)+1,FALSE)</f>
        <v>ギリシャ神話シリーズ超級</v>
      </c>
      <c r="H9" s="83">
        <v>0</v>
      </c>
      <c r="I9">
        <v>12</v>
      </c>
      <c r="J9" s="82" t="s">
        <v>197</v>
      </c>
      <c r="K9" s="91" t="str">
        <f>VLOOKUP(I9,[6]stage_hints!$A:$C,3,FALSE)</f>
        <v>ユニットのお気に入り登録</v>
      </c>
      <c r="L9" s="92" t="str">
        <f>VLOOKUP(I9,[6]stage_hints!$A:$D,4,FALSE)</f>
        <v>大事なユニットを誤って消さないように_x000D_フォルダから「お気に入り登録」しましょう</v>
      </c>
      <c r="M9" s="56" t="s">
        <v>210</v>
      </c>
    </row>
    <row r="10" spans="1:13" x14ac:dyDescent="0.15">
      <c r="A10" s="79" t="s">
        <v>200</v>
      </c>
      <c r="B10" s="80">
        <f>floors!$C$2</f>
        <v>30036</v>
      </c>
      <c r="C10" s="81" t="str">
        <f ca="1">VLOOKUP($B10,OFFSET([2]quests!$A$1,0,0,COUNTA([2]quests!$A:$A),MATCH(C$1,[2]quests!$1:$1,0)-MATCH($B$1,[2]quests!$1:$1,0)+1),MATCH(C$1,[2]quests!$1:$1,0)-MATCH($B$1,[2]quests!$1:$1,0)+1,FALSE)</f>
        <v>猛然たる炎獣使い</v>
      </c>
      <c r="D10" s="81" t="str">
        <f ca="1">VLOOKUP($B10,OFFSET([2]quests!$A$1,0,0,COUNTA([2]quests!$A:$A),MATCH(D$1,[2]quests!$1:$1,0)-MATCH($B$1,[2]quests!$1:$1,0)+1),MATCH(D$1,[2]quests!$1:$1,0)-MATCH($B$1,[2]quests!$1:$1,0)+1,FALSE)</f>
        <v>ギリシャ神話シリーズ超級</v>
      </c>
      <c r="E10" s="85">
        <v>1</v>
      </c>
      <c r="F10" s="81" t="str">
        <f ca="1">VLOOKUP($B10&amp;"_"&amp;$E10,OFFSET([2]stages!$A$1,0,0,COUNTA([2]stages!$A:$A),MATCH(F$1,[2]stages!$2:$2,0)-MATCH("temp_stage",[2]stages!$2:$2,0)+1),MATCH(F$1,[2]stages!$2:$2,0)-MATCH("temp_stage",[2]stages!$2:$2,0)+1,FALSE)</f>
        <v>【中級】猛然たる炎獣使い</v>
      </c>
      <c r="G10" s="81" t="str">
        <f ca="1">VLOOKUP($B10&amp;"_"&amp;$E10,OFFSET([2]stages!$A$1,0,0,COUNTA([2]stages!$A:$A),MATCH(G$1,[2]stages!$2:$2,0)-MATCH("temp_stage",[2]stages!$2:$2,0)+1),MATCH(G$1,[2]stages!$2:$2,0)-MATCH("temp_stage",[2]stages!$2:$2,0)+1,FALSE)</f>
        <v>ギリシャ神話シリーズ超級</v>
      </c>
      <c r="H10" s="83">
        <v>0</v>
      </c>
      <c r="I10">
        <v>13</v>
      </c>
      <c r="J10" s="82" t="s">
        <v>197</v>
      </c>
      <c r="K10" s="91" t="str">
        <f>VLOOKUP(I10,[6]stage_hints!$A:$C,3,FALSE)</f>
        <v>ユニットの覚醒</v>
      </c>
      <c r="L10" s="92" t="str">
        <f>VLOOKUP(I10,[6]stage_hints!$A:$D,4,FALSE)</f>
        <v>ユニットを覚醒させると_x000D_比べものにならない強さが手に入ります</v>
      </c>
      <c r="M10" s="56" t="s">
        <v>210</v>
      </c>
    </row>
    <row r="11" spans="1:13" x14ac:dyDescent="0.15">
      <c r="A11" s="79" t="s">
        <v>200</v>
      </c>
      <c r="B11" s="80">
        <f>floors!$C$2</f>
        <v>30036</v>
      </c>
      <c r="C11" s="81" t="str">
        <f ca="1">VLOOKUP($B11,OFFSET([2]quests!$A$1,0,0,COUNTA([2]quests!$A:$A),MATCH(C$1,[2]quests!$1:$1,0)-MATCH($B$1,[2]quests!$1:$1,0)+1),MATCH(C$1,[2]quests!$1:$1,0)-MATCH($B$1,[2]quests!$1:$1,0)+1,FALSE)</f>
        <v>猛然たる炎獣使い</v>
      </c>
      <c r="D11" s="81" t="str">
        <f ca="1">VLOOKUP($B11,OFFSET([2]quests!$A$1,0,0,COUNTA([2]quests!$A:$A),MATCH(D$1,[2]quests!$1:$1,0)-MATCH($B$1,[2]quests!$1:$1,0)+1),MATCH(D$1,[2]quests!$1:$1,0)-MATCH($B$1,[2]quests!$1:$1,0)+1,FALSE)</f>
        <v>ギリシャ神話シリーズ超級</v>
      </c>
      <c r="E11" s="85">
        <v>1</v>
      </c>
      <c r="F11" s="81" t="str">
        <f ca="1">VLOOKUP($B11&amp;"_"&amp;$E11,OFFSET([2]stages!$A$1,0,0,COUNTA([2]stages!$A:$A),MATCH(F$1,[2]stages!$2:$2,0)-MATCH("temp_stage",[2]stages!$2:$2,0)+1),MATCH(F$1,[2]stages!$2:$2,0)-MATCH("temp_stage",[2]stages!$2:$2,0)+1,FALSE)</f>
        <v>【中級】猛然たる炎獣使い</v>
      </c>
      <c r="G11" s="81" t="str">
        <f ca="1">VLOOKUP($B11&amp;"_"&amp;$E11,OFFSET([2]stages!$A$1,0,0,COUNTA([2]stages!$A:$A),MATCH(G$1,[2]stages!$2:$2,0)-MATCH("temp_stage",[2]stages!$2:$2,0)+1),MATCH(G$1,[2]stages!$2:$2,0)-MATCH("temp_stage",[2]stages!$2:$2,0)+1,FALSE)</f>
        <v>ギリシャ神話シリーズ超級</v>
      </c>
      <c r="H11" s="83">
        <v>0</v>
      </c>
      <c r="I11">
        <v>14</v>
      </c>
      <c r="J11" s="82" t="s">
        <v>197</v>
      </c>
      <c r="K11" s="91" t="str">
        <f>VLOOKUP(I11,[6]stage_hints!$A:$C,3,FALSE)</f>
        <v>覚醒するにはレベルを最大に</v>
      </c>
      <c r="L11" s="92" t="str">
        <f>VLOOKUP(I11,[6]stage_hints!$A:$D,4,FALSE)</f>
        <v>覚醒するにはユニットのレベルを_x000D_最大まで上げる必要があります</v>
      </c>
      <c r="M11" s="56" t="s">
        <v>210</v>
      </c>
    </row>
    <row r="12" spans="1:13" x14ac:dyDescent="0.15">
      <c r="A12" s="79" t="s">
        <v>200</v>
      </c>
      <c r="B12" s="80">
        <f>floors!$C$2</f>
        <v>30036</v>
      </c>
      <c r="C12" s="81" t="str">
        <f ca="1">VLOOKUP($B12,OFFSET([2]quests!$A$1,0,0,COUNTA([2]quests!$A:$A),MATCH(C$1,[2]quests!$1:$1,0)-MATCH($B$1,[2]quests!$1:$1,0)+1),MATCH(C$1,[2]quests!$1:$1,0)-MATCH($B$1,[2]quests!$1:$1,0)+1,FALSE)</f>
        <v>猛然たる炎獣使い</v>
      </c>
      <c r="D12" s="81" t="str">
        <f ca="1">VLOOKUP($B12,OFFSET([2]quests!$A$1,0,0,COUNTA([2]quests!$A:$A),MATCH(D$1,[2]quests!$1:$1,0)-MATCH($B$1,[2]quests!$1:$1,0)+1),MATCH(D$1,[2]quests!$1:$1,0)-MATCH($B$1,[2]quests!$1:$1,0)+1,FALSE)</f>
        <v>ギリシャ神話シリーズ超級</v>
      </c>
      <c r="E12" s="85">
        <v>1</v>
      </c>
      <c r="F12" s="81" t="str">
        <f ca="1">VLOOKUP($B12&amp;"_"&amp;$E12,OFFSET([2]stages!$A$1,0,0,COUNTA([2]stages!$A:$A),MATCH(F$1,[2]stages!$2:$2,0)-MATCH("temp_stage",[2]stages!$2:$2,0)+1),MATCH(F$1,[2]stages!$2:$2,0)-MATCH("temp_stage",[2]stages!$2:$2,0)+1,FALSE)</f>
        <v>【中級】猛然たる炎獣使い</v>
      </c>
      <c r="G12" s="81" t="str">
        <f ca="1">VLOOKUP($B12&amp;"_"&amp;$E12,OFFSET([2]stages!$A$1,0,0,COUNTA([2]stages!$A:$A),MATCH(G$1,[2]stages!$2:$2,0)-MATCH("temp_stage",[2]stages!$2:$2,0)+1),MATCH(G$1,[2]stages!$2:$2,0)-MATCH("temp_stage",[2]stages!$2:$2,0)+1,FALSE)</f>
        <v>ギリシャ神話シリーズ超級</v>
      </c>
      <c r="H12" s="83">
        <v>0</v>
      </c>
      <c r="I12">
        <v>15</v>
      </c>
      <c r="J12" s="82" t="s">
        <v>197</v>
      </c>
      <c r="K12" s="91" t="str">
        <f>VLOOKUP(I12,[6]stage_hints!$A:$C,3,FALSE)</f>
        <v>覚醒素材を獲得</v>
      </c>
      <c r="L12" s="92" t="str">
        <f>VLOOKUP(I12,[6]stage_hints!$A:$D,4,FALSE)</f>
        <v>「曜日クエスト」では_x000D_ユニットの覚醒に必要な素材が手に入ります</v>
      </c>
      <c r="M12" s="56" t="s">
        <v>210</v>
      </c>
    </row>
    <row r="13" spans="1:13" x14ac:dyDescent="0.15">
      <c r="A13" s="79" t="s">
        <v>200</v>
      </c>
      <c r="B13" s="80">
        <f>floors!$C$2</f>
        <v>30036</v>
      </c>
      <c r="C13" s="81" t="str">
        <f ca="1">VLOOKUP($B13,OFFSET([2]quests!$A$1,0,0,COUNTA([2]quests!$A:$A),MATCH(C$1,[2]quests!$1:$1,0)-MATCH($B$1,[2]quests!$1:$1,0)+1),MATCH(C$1,[2]quests!$1:$1,0)-MATCH($B$1,[2]quests!$1:$1,0)+1,FALSE)</f>
        <v>猛然たる炎獣使い</v>
      </c>
      <c r="D13" s="81" t="str">
        <f ca="1">VLOOKUP($B13,OFFSET([2]quests!$A$1,0,0,COUNTA([2]quests!$A:$A),MATCH(D$1,[2]quests!$1:$1,0)-MATCH($B$1,[2]quests!$1:$1,0)+1),MATCH(D$1,[2]quests!$1:$1,0)-MATCH($B$1,[2]quests!$1:$1,0)+1,FALSE)</f>
        <v>ギリシャ神話シリーズ超級</v>
      </c>
      <c r="E13" s="85">
        <v>1</v>
      </c>
      <c r="F13" s="81" t="str">
        <f ca="1">VLOOKUP($B13&amp;"_"&amp;$E13,OFFSET([2]stages!$A$1,0,0,COUNTA([2]stages!$A:$A),MATCH(F$1,[2]stages!$2:$2,0)-MATCH("temp_stage",[2]stages!$2:$2,0)+1),MATCH(F$1,[2]stages!$2:$2,0)-MATCH("temp_stage",[2]stages!$2:$2,0)+1,FALSE)</f>
        <v>【中級】猛然たる炎獣使い</v>
      </c>
      <c r="G13" s="81" t="str">
        <f ca="1">VLOOKUP($B13&amp;"_"&amp;$E13,OFFSET([2]stages!$A$1,0,0,COUNTA([2]stages!$A:$A),MATCH(G$1,[2]stages!$2:$2,0)-MATCH("temp_stage",[2]stages!$2:$2,0)+1),MATCH(G$1,[2]stages!$2:$2,0)-MATCH("temp_stage",[2]stages!$2:$2,0)+1,FALSE)</f>
        <v>ギリシャ神話シリーズ超級</v>
      </c>
      <c r="H13" s="83">
        <v>0</v>
      </c>
      <c r="I13">
        <v>16</v>
      </c>
      <c r="J13" s="82" t="s">
        <v>197</v>
      </c>
      <c r="K13" s="91" t="str">
        <f>VLOOKUP(I13,[6]stage_hints!$A:$C,3,FALSE)</f>
        <v>マルチプレイのメリット（その1）</v>
      </c>
      <c r="L13" s="92" t="str">
        <f>VLOOKUP(I13,[6]stage_hints!$A:$D,4,FALSE)</f>
        <v>他のプレイヤーとマルチプレイで遊ぶと_x000D_ポリゴンがもらえます（100人まで）</v>
      </c>
      <c r="M13" s="56" t="s">
        <v>210</v>
      </c>
    </row>
    <row r="14" spans="1:13" x14ac:dyDescent="0.15">
      <c r="A14" s="79" t="s">
        <v>200</v>
      </c>
      <c r="B14" s="80">
        <f>floors!$C$2</f>
        <v>30036</v>
      </c>
      <c r="C14" s="81" t="str">
        <f ca="1">VLOOKUP($B14,OFFSET([2]quests!$A$1,0,0,COUNTA([2]quests!$A:$A),MATCH(C$1,[2]quests!$1:$1,0)-MATCH($B$1,[2]quests!$1:$1,0)+1),MATCH(C$1,[2]quests!$1:$1,0)-MATCH($B$1,[2]quests!$1:$1,0)+1,FALSE)</f>
        <v>猛然たる炎獣使い</v>
      </c>
      <c r="D14" s="81" t="str">
        <f ca="1">VLOOKUP($B14,OFFSET([2]quests!$A$1,0,0,COUNTA([2]quests!$A:$A),MATCH(D$1,[2]quests!$1:$1,0)-MATCH($B$1,[2]quests!$1:$1,0)+1),MATCH(D$1,[2]quests!$1:$1,0)-MATCH($B$1,[2]quests!$1:$1,0)+1,FALSE)</f>
        <v>ギリシャ神話シリーズ超級</v>
      </c>
      <c r="E14" s="85">
        <v>1</v>
      </c>
      <c r="F14" s="81" t="str">
        <f ca="1">VLOOKUP($B14&amp;"_"&amp;$E14,OFFSET([2]stages!$A$1,0,0,COUNTA([2]stages!$A:$A),MATCH(F$1,[2]stages!$2:$2,0)-MATCH("temp_stage",[2]stages!$2:$2,0)+1),MATCH(F$1,[2]stages!$2:$2,0)-MATCH("temp_stage",[2]stages!$2:$2,0)+1,FALSE)</f>
        <v>【中級】猛然たる炎獣使い</v>
      </c>
      <c r="G14" s="81" t="str">
        <f ca="1">VLOOKUP($B14&amp;"_"&amp;$E14,OFFSET([2]stages!$A$1,0,0,COUNTA([2]stages!$A:$A),MATCH(G$1,[2]stages!$2:$2,0)-MATCH("temp_stage",[2]stages!$2:$2,0)+1),MATCH(G$1,[2]stages!$2:$2,0)-MATCH("temp_stage",[2]stages!$2:$2,0)+1,FALSE)</f>
        <v>ギリシャ神話シリーズ超級</v>
      </c>
      <c r="H14" s="83">
        <v>0</v>
      </c>
      <c r="I14">
        <v>17</v>
      </c>
      <c r="J14" s="82" t="s">
        <v>197</v>
      </c>
      <c r="K14" s="91" t="str">
        <f>VLOOKUP(I14,[6]stage_hints!$A:$C,3,FALSE)</f>
        <v>リンクガチャ</v>
      </c>
      <c r="L14" s="92" t="str">
        <f>VLOOKUP(I14,[6]stage_hints!$A:$D,4,FALSE)</f>
        <v>無料のリンクガチャを回して_x000D_経験値素材や売却素材を獲得しましょう</v>
      </c>
      <c r="M14" s="56" t="s">
        <v>210</v>
      </c>
    </row>
    <row r="15" spans="1:13" x14ac:dyDescent="0.15">
      <c r="A15" s="79" t="s">
        <v>200</v>
      </c>
      <c r="B15" s="80">
        <f>floors!$C$2</f>
        <v>30036</v>
      </c>
      <c r="C15" s="81" t="str">
        <f ca="1">VLOOKUP($B15,OFFSET([2]quests!$A$1,0,0,COUNTA([2]quests!$A:$A),MATCH(C$1,[2]quests!$1:$1,0)-MATCH($B$1,[2]quests!$1:$1,0)+1),MATCH(C$1,[2]quests!$1:$1,0)-MATCH($B$1,[2]quests!$1:$1,0)+1,FALSE)</f>
        <v>猛然たる炎獣使い</v>
      </c>
      <c r="D15" s="81" t="str">
        <f ca="1">VLOOKUP($B15,OFFSET([2]quests!$A$1,0,0,COUNTA([2]quests!$A:$A),MATCH(D$1,[2]quests!$1:$1,0)-MATCH($B$1,[2]quests!$1:$1,0)+1),MATCH(D$1,[2]quests!$1:$1,0)-MATCH($B$1,[2]quests!$1:$1,0)+1,FALSE)</f>
        <v>ギリシャ神話シリーズ超級</v>
      </c>
      <c r="E15" s="85">
        <v>1</v>
      </c>
      <c r="F15" s="81" t="str">
        <f ca="1">VLOOKUP($B15&amp;"_"&amp;$E15,OFFSET([2]stages!$A$1,0,0,COUNTA([2]stages!$A:$A),MATCH(F$1,[2]stages!$2:$2,0)-MATCH("temp_stage",[2]stages!$2:$2,0)+1),MATCH(F$1,[2]stages!$2:$2,0)-MATCH("temp_stage",[2]stages!$2:$2,0)+1,FALSE)</f>
        <v>【中級】猛然たる炎獣使い</v>
      </c>
      <c r="G15" s="81" t="str">
        <f ca="1">VLOOKUP($B15&amp;"_"&amp;$E15,OFFSET([2]stages!$A$1,0,0,COUNTA([2]stages!$A:$A),MATCH(G$1,[2]stages!$2:$2,0)-MATCH("temp_stage",[2]stages!$2:$2,0)+1),MATCH(G$1,[2]stages!$2:$2,0)-MATCH("temp_stage",[2]stages!$2:$2,0)+1,FALSE)</f>
        <v>ギリシャ神話シリーズ超級</v>
      </c>
      <c r="H15" s="83">
        <v>0</v>
      </c>
      <c r="I15">
        <v>18</v>
      </c>
      <c r="J15" s="82" t="s">
        <v>197</v>
      </c>
      <c r="K15" s="91" t="str">
        <f>VLOOKUP(I15,[6]stage_hints!$A:$C,3,FALSE)</f>
        <v>マルチプレイのメリット（その2）</v>
      </c>
      <c r="L15" s="92" t="str">
        <f>VLOOKUP(I15,[6]stage_hints!$A:$D,4,FALSE)</f>
        <v>マルチプレイならリンクが2倍もらえます_x000D_リンクガチャをたくさん回しましょう</v>
      </c>
      <c r="M15" s="56" t="s">
        <v>210</v>
      </c>
    </row>
    <row r="16" spans="1:13" x14ac:dyDescent="0.15">
      <c r="A16" s="79" t="s">
        <v>200</v>
      </c>
      <c r="B16" s="80">
        <f>floors!$C$2</f>
        <v>30036</v>
      </c>
      <c r="C16" s="81" t="str">
        <f ca="1">VLOOKUP($B16,OFFSET([2]quests!$A$1,0,0,COUNTA([2]quests!$A:$A),MATCH(C$1,[2]quests!$1:$1,0)-MATCH($B$1,[2]quests!$1:$1,0)+1),MATCH(C$1,[2]quests!$1:$1,0)-MATCH($B$1,[2]quests!$1:$1,0)+1,FALSE)</f>
        <v>猛然たる炎獣使い</v>
      </c>
      <c r="D16" s="81" t="str">
        <f ca="1">VLOOKUP($B16,OFFSET([2]quests!$A$1,0,0,COUNTA([2]quests!$A:$A),MATCH(D$1,[2]quests!$1:$1,0)-MATCH($B$1,[2]quests!$1:$1,0)+1),MATCH(D$1,[2]quests!$1:$1,0)-MATCH($B$1,[2]quests!$1:$1,0)+1,FALSE)</f>
        <v>ギリシャ神話シリーズ超級</v>
      </c>
      <c r="E16" s="85">
        <v>1</v>
      </c>
      <c r="F16" s="81" t="str">
        <f ca="1">VLOOKUP($B16&amp;"_"&amp;$E16,OFFSET([2]stages!$A$1,0,0,COUNTA([2]stages!$A:$A),MATCH(F$1,[2]stages!$2:$2,0)-MATCH("temp_stage",[2]stages!$2:$2,0)+1),MATCH(F$1,[2]stages!$2:$2,0)-MATCH("temp_stage",[2]stages!$2:$2,0)+1,FALSE)</f>
        <v>【中級】猛然たる炎獣使い</v>
      </c>
      <c r="G16" s="81" t="str">
        <f ca="1">VLOOKUP($B16&amp;"_"&amp;$E16,OFFSET([2]stages!$A$1,0,0,COUNTA([2]stages!$A:$A),MATCH(G$1,[2]stages!$2:$2,0)-MATCH("temp_stage",[2]stages!$2:$2,0)+1),MATCH(G$1,[2]stages!$2:$2,0)-MATCH("temp_stage",[2]stages!$2:$2,0)+1,FALSE)</f>
        <v>ギリシャ神話シリーズ超級</v>
      </c>
      <c r="H16" s="83">
        <v>0</v>
      </c>
      <c r="I16">
        <v>19</v>
      </c>
      <c r="J16" s="82" t="s">
        <v>197</v>
      </c>
      <c r="K16" s="91" t="str">
        <f>VLOOKUP(I16,[6]stage_hints!$A:$C,3,FALSE)</f>
        <v>ソロ専用タワーオブザクイーン</v>
      </c>
      <c r="L16" s="92" t="str">
        <f>VLOOKUP(I16,[6]stage_hints!$A:$D,4,FALSE)</f>
        <v>ソロ専用の「タワーオブザクイーン」は_x000D_期間限定で定期的に開催されます_x000D_ここでしか獲得できない報酬もあるようです</v>
      </c>
      <c r="M16" s="56" t="s">
        <v>210</v>
      </c>
    </row>
    <row r="17" spans="1:13" x14ac:dyDescent="0.15">
      <c r="A17" s="79" t="s">
        <v>200</v>
      </c>
      <c r="B17" s="80">
        <f>floors!$C$2</f>
        <v>30036</v>
      </c>
      <c r="C17" s="81" t="str">
        <f ca="1">VLOOKUP($B17,OFFSET([2]quests!$A$1,0,0,COUNTA([2]quests!$A:$A),MATCH(C$1,[2]quests!$1:$1,0)-MATCH($B$1,[2]quests!$1:$1,0)+1),MATCH(C$1,[2]quests!$1:$1,0)-MATCH($B$1,[2]quests!$1:$1,0)+1,FALSE)</f>
        <v>猛然たる炎獣使い</v>
      </c>
      <c r="D17" s="81" t="str">
        <f ca="1">VLOOKUP($B17,OFFSET([2]quests!$A$1,0,0,COUNTA([2]quests!$A:$A),MATCH(D$1,[2]quests!$1:$1,0)-MATCH($B$1,[2]quests!$1:$1,0)+1),MATCH(D$1,[2]quests!$1:$1,0)-MATCH($B$1,[2]quests!$1:$1,0)+1,FALSE)</f>
        <v>ギリシャ神話シリーズ超級</v>
      </c>
      <c r="E17" s="85">
        <v>1</v>
      </c>
      <c r="F17" s="81" t="str">
        <f ca="1">VLOOKUP($B17&amp;"_"&amp;$E17,OFFSET([2]stages!$A$1,0,0,COUNTA([2]stages!$A:$A),MATCH(F$1,[2]stages!$2:$2,0)-MATCH("temp_stage",[2]stages!$2:$2,0)+1),MATCH(F$1,[2]stages!$2:$2,0)-MATCH("temp_stage",[2]stages!$2:$2,0)+1,FALSE)</f>
        <v>【中級】猛然たる炎獣使い</v>
      </c>
      <c r="G17" s="81" t="str">
        <f ca="1">VLOOKUP($B17&amp;"_"&amp;$E17,OFFSET([2]stages!$A$1,0,0,COUNTA([2]stages!$A:$A),MATCH(G$1,[2]stages!$2:$2,0)-MATCH("temp_stage",[2]stages!$2:$2,0)+1),MATCH(G$1,[2]stages!$2:$2,0)-MATCH("temp_stage",[2]stages!$2:$2,0)+1,FALSE)</f>
        <v>ギリシャ神話シリーズ超級</v>
      </c>
      <c r="H17" s="83">
        <v>0</v>
      </c>
      <c r="I17">
        <v>20</v>
      </c>
      <c r="J17" s="82" t="s">
        <v>197</v>
      </c>
      <c r="K17" s="91" t="str">
        <f>VLOOKUP(I17,[6]stage_hints!$A:$C,3,FALSE)</f>
        <v>マルチプレイのメリット（その3）</v>
      </c>
      <c r="L17" s="92" t="str">
        <f>VLOOKUP(I17,[6]stage_hints!$A:$D,4,FALSE)</f>
        <v>マルチプレイへの参加はエナジー消費ゼロ_x000D_いつでも好きなだけ遊ぶことができます</v>
      </c>
      <c r="M17" s="56" t="s">
        <v>210</v>
      </c>
    </row>
    <row r="18" spans="1:13" x14ac:dyDescent="0.15">
      <c r="A18" s="79" t="s">
        <v>200</v>
      </c>
      <c r="B18" s="80">
        <f>floors!$C$2</f>
        <v>30036</v>
      </c>
      <c r="C18" s="81" t="str">
        <f ca="1">VLOOKUP($B18,OFFSET([2]quests!$A$1,0,0,COUNTA([2]quests!$A:$A),MATCH(C$1,[2]quests!$1:$1,0)-MATCH($B$1,[2]quests!$1:$1,0)+1),MATCH(C$1,[2]quests!$1:$1,0)-MATCH($B$1,[2]quests!$1:$1,0)+1,FALSE)</f>
        <v>猛然たる炎獣使い</v>
      </c>
      <c r="D18" s="81" t="str">
        <f ca="1">VLOOKUP($B18,OFFSET([2]quests!$A$1,0,0,COUNTA([2]quests!$A:$A),MATCH(D$1,[2]quests!$1:$1,0)-MATCH($B$1,[2]quests!$1:$1,0)+1),MATCH(D$1,[2]quests!$1:$1,0)-MATCH($B$1,[2]quests!$1:$1,0)+1,FALSE)</f>
        <v>ギリシャ神話シリーズ超級</v>
      </c>
      <c r="E18" s="85">
        <v>1</v>
      </c>
      <c r="F18" s="81" t="str">
        <f ca="1">VLOOKUP($B18&amp;"_"&amp;$E18,OFFSET([2]stages!$A$1,0,0,COUNTA([2]stages!$A:$A),MATCH(F$1,[2]stages!$2:$2,0)-MATCH("temp_stage",[2]stages!$2:$2,0)+1),MATCH(F$1,[2]stages!$2:$2,0)-MATCH("temp_stage",[2]stages!$2:$2,0)+1,FALSE)</f>
        <v>【中級】猛然たる炎獣使い</v>
      </c>
      <c r="G18" s="81" t="str">
        <f ca="1">VLOOKUP($B18&amp;"_"&amp;$E18,OFFSET([2]stages!$A$1,0,0,COUNTA([2]stages!$A:$A),MATCH(G$1,[2]stages!$2:$2,0)-MATCH("temp_stage",[2]stages!$2:$2,0)+1),MATCH(G$1,[2]stages!$2:$2,0)-MATCH("temp_stage",[2]stages!$2:$2,0)+1,FALSE)</f>
        <v>ギリシャ神話シリーズ超級</v>
      </c>
      <c r="H18" s="83">
        <v>0</v>
      </c>
      <c r="I18">
        <v>21</v>
      </c>
      <c r="J18" s="82" t="s">
        <v>197</v>
      </c>
      <c r="K18" s="91" t="str">
        <f>VLOOKUP(I18,[6]stage_hints!$A:$C,3,FALSE)</f>
        <v>スキルを有効に</v>
      </c>
      <c r="L18" s="92" t="str">
        <f>VLOOKUP(I18,[6]stage_hints!$A:$D,4,FALSE)</f>
        <v>ターン経過でユニットのスキルが使えます_x000D_強力スキルでバトルを有利に進めましょう</v>
      </c>
      <c r="M18" s="56" t="s">
        <v>210</v>
      </c>
    </row>
    <row r="19" spans="1:13" x14ac:dyDescent="0.15">
      <c r="A19" s="79" t="s">
        <v>200</v>
      </c>
      <c r="B19" s="80">
        <f>floors!$C$2</f>
        <v>30036</v>
      </c>
      <c r="C19" s="81" t="str">
        <f ca="1">VLOOKUP($B19,OFFSET([2]quests!$A$1,0,0,COUNTA([2]quests!$A:$A),MATCH(C$1,[2]quests!$1:$1,0)-MATCH($B$1,[2]quests!$1:$1,0)+1),MATCH(C$1,[2]quests!$1:$1,0)-MATCH($B$1,[2]quests!$1:$1,0)+1,FALSE)</f>
        <v>猛然たる炎獣使い</v>
      </c>
      <c r="D19" s="81" t="str">
        <f ca="1">VLOOKUP($B19,OFFSET([2]quests!$A$1,0,0,COUNTA([2]quests!$A:$A),MATCH(D$1,[2]quests!$1:$1,0)-MATCH($B$1,[2]quests!$1:$1,0)+1),MATCH(D$1,[2]quests!$1:$1,0)-MATCH($B$1,[2]quests!$1:$1,0)+1,FALSE)</f>
        <v>ギリシャ神話シリーズ超級</v>
      </c>
      <c r="E19" s="85">
        <v>1</v>
      </c>
      <c r="F19" s="81" t="str">
        <f ca="1">VLOOKUP($B19&amp;"_"&amp;$E19,OFFSET([2]stages!$A$1,0,0,COUNTA([2]stages!$A:$A),MATCH(F$1,[2]stages!$2:$2,0)-MATCH("temp_stage",[2]stages!$2:$2,0)+1),MATCH(F$1,[2]stages!$2:$2,0)-MATCH("temp_stage",[2]stages!$2:$2,0)+1,FALSE)</f>
        <v>【中級】猛然たる炎獣使い</v>
      </c>
      <c r="G19" s="81" t="str">
        <f ca="1">VLOOKUP($B19&amp;"_"&amp;$E19,OFFSET([2]stages!$A$1,0,0,COUNTA([2]stages!$A:$A),MATCH(G$1,[2]stages!$2:$2,0)-MATCH("temp_stage",[2]stages!$2:$2,0)+1),MATCH(G$1,[2]stages!$2:$2,0)-MATCH("temp_stage",[2]stages!$2:$2,0)+1,FALSE)</f>
        <v>ギリシャ神話シリーズ超級</v>
      </c>
      <c r="H19" s="83">
        <v>0</v>
      </c>
      <c r="I19">
        <v>22</v>
      </c>
      <c r="J19" s="82" t="s">
        <v>197</v>
      </c>
      <c r="K19" s="91" t="str">
        <f>VLOOKUP(I19,[6]stage_hints!$A:$C,3,FALSE)</f>
        <v>フィーバーで一発逆転（その1）</v>
      </c>
      <c r="L19" s="92" t="str">
        <f>VLOOKUP(I19,[6]stage_hints!$A:$D,4,FALSE)</f>
        <v>フィーバーは攻撃と回復を兼ね備えます_x000D_ピンチからの一発逆転を狙いましょう</v>
      </c>
      <c r="M19" s="56" t="s">
        <v>210</v>
      </c>
    </row>
    <row r="20" spans="1:13" x14ac:dyDescent="0.15">
      <c r="A20" s="79" t="s">
        <v>200</v>
      </c>
      <c r="B20" s="80">
        <f>floors!$C$2</f>
        <v>30036</v>
      </c>
      <c r="C20" s="81" t="str">
        <f ca="1">VLOOKUP($B20,OFFSET([2]quests!$A$1,0,0,COUNTA([2]quests!$A:$A),MATCH(C$1,[2]quests!$1:$1,0)-MATCH($B$1,[2]quests!$1:$1,0)+1),MATCH(C$1,[2]quests!$1:$1,0)-MATCH($B$1,[2]quests!$1:$1,0)+1,FALSE)</f>
        <v>猛然たる炎獣使い</v>
      </c>
      <c r="D20" s="81" t="str">
        <f ca="1">VLOOKUP($B20,OFFSET([2]quests!$A$1,0,0,COUNTA([2]quests!$A:$A),MATCH(D$1,[2]quests!$1:$1,0)-MATCH($B$1,[2]quests!$1:$1,0)+1),MATCH(D$1,[2]quests!$1:$1,0)-MATCH($B$1,[2]quests!$1:$1,0)+1,FALSE)</f>
        <v>ギリシャ神話シリーズ超級</v>
      </c>
      <c r="E20" s="85">
        <v>1</v>
      </c>
      <c r="F20" s="81" t="str">
        <f ca="1">VLOOKUP($B20&amp;"_"&amp;$E20,OFFSET([2]stages!$A$1,0,0,COUNTA([2]stages!$A:$A),MATCH(F$1,[2]stages!$2:$2,0)-MATCH("temp_stage",[2]stages!$2:$2,0)+1),MATCH(F$1,[2]stages!$2:$2,0)-MATCH("temp_stage",[2]stages!$2:$2,0)+1,FALSE)</f>
        <v>【中級】猛然たる炎獣使い</v>
      </c>
      <c r="G20" s="81" t="str">
        <f ca="1">VLOOKUP($B20&amp;"_"&amp;$E20,OFFSET([2]stages!$A$1,0,0,COUNTA([2]stages!$A:$A),MATCH(G$1,[2]stages!$2:$2,0)-MATCH("temp_stage",[2]stages!$2:$2,0)+1),MATCH(G$1,[2]stages!$2:$2,0)-MATCH("temp_stage",[2]stages!$2:$2,0)+1,FALSE)</f>
        <v>ギリシャ神話シリーズ超級</v>
      </c>
      <c r="H20" s="83">
        <v>0</v>
      </c>
      <c r="I20">
        <v>23</v>
      </c>
      <c r="J20" s="82" t="s">
        <v>197</v>
      </c>
      <c r="K20" s="91" t="str">
        <f>VLOOKUP(I20,[6]stage_hints!$A:$C,3,FALSE)</f>
        <v>フィーバーで一発逆転（その2）</v>
      </c>
      <c r="L20" s="92" t="str">
        <f>VLOOKUP(I20,[6]stage_hints!$A:$D,4,FALSE)</f>
        <v>フィーバー中は虹色のボムパネルを狙って_x000D_画面上のパネルを一気に破壊しましょう</v>
      </c>
      <c r="M20" s="56" t="s">
        <v>210</v>
      </c>
    </row>
    <row r="21" spans="1:13" x14ac:dyDescent="0.15">
      <c r="A21" s="79" t="s">
        <v>200</v>
      </c>
      <c r="B21" s="80">
        <f>floors!$C$2</f>
        <v>30036</v>
      </c>
      <c r="C21" s="81" t="str">
        <f ca="1">VLOOKUP($B21,OFFSET([2]quests!$A$1,0,0,COUNTA([2]quests!$A:$A),MATCH(C$1,[2]quests!$1:$1,0)-MATCH($B$1,[2]quests!$1:$1,0)+1),MATCH(C$1,[2]quests!$1:$1,0)-MATCH($B$1,[2]quests!$1:$1,0)+1,FALSE)</f>
        <v>猛然たる炎獣使い</v>
      </c>
      <c r="D21" s="81" t="str">
        <f ca="1">VLOOKUP($B21,OFFSET([2]quests!$A$1,0,0,COUNTA([2]quests!$A:$A),MATCH(D$1,[2]quests!$1:$1,0)-MATCH($B$1,[2]quests!$1:$1,0)+1),MATCH(D$1,[2]quests!$1:$1,0)-MATCH($B$1,[2]quests!$1:$1,0)+1,FALSE)</f>
        <v>ギリシャ神話シリーズ超級</v>
      </c>
      <c r="E21" s="85">
        <v>1</v>
      </c>
      <c r="F21" s="81" t="str">
        <f ca="1">VLOOKUP($B21&amp;"_"&amp;$E21,OFFSET([2]stages!$A$1,0,0,COUNTA([2]stages!$A:$A),MATCH(F$1,[2]stages!$2:$2,0)-MATCH("temp_stage",[2]stages!$2:$2,0)+1),MATCH(F$1,[2]stages!$2:$2,0)-MATCH("temp_stage",[2]stages!$2:$2,0)+1,FALSE)</f>
        <v>【中級】猛然たる炎獣使い</v>
      </c>
      <c r="G21" s="81" t="str">
        <f ca="1">VLOOKUP($B21&amp;"_"&amp;$E21,OFFSET([2]stages!$A$1,0,0,COUNTA([2]stages!$A:$A),MATCH(G$1,[2]stages!$2:$2,0)-MATCH("temp_stage",[2]stages!$2:$2,0)+1),MATCH(G$1,[2]stages!$2:$2,0)-MATCH("temp_stage",[2]stages!$2:$2,0)+1,FALSE)</f>
        <v>ギリシャ神話シリーズ超級</v>
      </c>
      <c r="H21" s="83">
        <v>0</v>
      </c>
      <c r="I21">
        <v>24</v>
      </c>
      <c r="J21" s="82" t="s">
        <v>197</v>
      </c>
      <c r="K21" s="91" t="str">
        <f>VLOOKUP(I21,[6]stage_hints!$A:$C,3,FALSE)</f>
        <v>果実を使って限界突破</v>
      </c>
      <c r="L21" s="92" t="str">
        <f>VLOOKUP(I21,[6]stage_hints!$A:$D,4,FALSE)</f>
        <v>攻めの果実 癒しの果実_x000D_生命の果実をユニット強化に使うと_x000D_ステータスが限界突破します（計99個迄）</v>
      </c>
      <c r="M21" s="56" t="s">
        <v>210</v>
      </c>
    </row>
    <row r="22" spans="1:13" x14ac:dyDescent="0.15">
      <c r="A22" s="79" t="s">
        <v>200</v>
      </c>
      <c r="B22" s="80">
        <f>floors!$C$2</f>
        <v>30036</v>
      </c>
      <c r="C22" s="81" t="str">
        <f ca="1">VLOOKUP($B22,OFFSET([2]quests!$A$1,0,0,COUNTA([2]quests!$A:$A),MATCH(C$1,[2]quests!$1:$1,0)-MATCH($B$1,[2]quests!$1:$1,0)+1),MATCH(C$1,[2]quests!$1:$1,0)-MATCH($B$1,[2]quests!$1:$1,0)+1,FALSE)</f>
        <v>猛然たる炎獣使い</v>
      </c>
      <c r="D22" s="81" t="str">
        <f ca="1">VLOOKUP($B22,OFFSET([2]quests!$A$1,0,0,COUNTA([2]quests!$A:$A),MATCH(D$1,[2]quests!$1:$1,0)-MATCH($B$1,[2]quests!$1:$1,0)+1),MATCH(D$1,[2]quests!$1:$1,0)-MATCH($B$1,[2]quests!$1:$1,0)+1,FALSE)</f>
        <v>ギリシャ神話シリーズ超級</v>
      </c>
      <c r="E22" s="85">
        <v>1</v>
      </c>
      <c r="F22" s="81" t="str">
        <f ca="1">VLOOKUP($B22&amp;"_"&amp;$E22,OFFSET([2]stages!$A$1,0,0,COUNTA([2]stages!$A:$A),MATCH(F$1,[2]stages!$2:$2,0)-MATCH("temp_stage",[2]stages!$2:$2,0)+1),MATCH(F$1,[2]stages!$2:$2,0)-MATCH("temp_stage",[2]stages!$2:$2,0)+1,FALSE)</f>
        <v>【中級】猛然たる炎獣使い</v>
      </c>
      <c r="G22" s="81" t="str">
        <f ca="1">VLOOKUP($B22&amp;"_"&amp;$E22,OFFSET([2]stages!$A$1,0,0,COUNTA([2]stages!$A:$A),MATCH(G$1,[2]stages!$2:$2,0)-MATCH("temp_stage",[2]stages!$2:$2,0)+1),MATCH(G$1,[2]stages!$2:$2,0)-MATCH("temp_stage",[2]stages!$2:$2,0)+1,FALSE)</f>
        <v>ギリシャ神話シリーズ超級</v>
      </c>
      <c r="H22" s="83">
        <v>0</v>
      </c>
      <c r="I22">
        <v>25</v>
      </c>
      <c r="J22" s="82" t="s">
        <v>197</v>
      </c>
      <c r="K22" s="91" t="str">
        <f>VLOOKUP(I22,[6]stage_hints!$A:$C,3,FALSE)</f>
        <v>スキルレベルアップ</v>
      </c>
      <c r="L22" s="92" t="str">
        <f>VLOOKUP(I22,[6]stage_hints!$A:$D,4,FALSE)</f>
        <v>「秘術の果実」を強化に使うと_x000D_スキルレベルを上げることができます</v>
      </c>
      <c r="M22" s="56" t="s">
        <v>210</v>
      </c>
    </row>
    <row r="23" spans="1:13" x14ac:dyDescent="0.15">
      <c r="A23" s="79" t="s">
        <v>200</v>
      </c>
      <c r="B23" s="80">
        <f>floors!$C$2</f>
        <v>30036</v>
      </c>
      <c r="C23" s="81" t="str">
        <f ca="1">VLOOKUP($B23,OFFSET([2]quests!$A$1,0,0,COUNTA([2]quests!$A:$A),MATCH(C$1,[2]quests!$1:$1,0)-MATCH($B$1,[2]quests!$1:$1,0)+1),MATCH(C$1,[2]quests!$1:$1,0)-MATCH($B$1,[2]quests!$1:$1,0)+1,FALSE)</f>
        <v>猛然たる炎獣使い</v>
      </c>
      <c r="D23" s="81" t="str">
        <f ca="1">VLOOKUP($B23,OFFSET([2]quests!$A$1,0,0,COUNTA([2]quests!$A:$A),MATCH(D$1,[2]quests!$1:$1,0)-MATCH($B$1,[2]quests!$1:$1,0)+1),MATCH(D$1,[2]quests!$1:$1,0)-MATCH($B$1,[2]quests!$1:$1,0)+1,FALSE)</f>
        <v>ギリシャ神話シリーズ超級</v>
      </c>
      <c r="E23" s="85">
        <v>1</v>
      </c>
      <c r="F23" s="81" t="str">
        <f ca="1">VLOOKUP($B23&amp;"_"&amp;$E23,OFFSET([2]stages!$A$1,0,0,COUNTA([2]stages!$A:$A),MATCH(F$1,[2]stages!$2:$2,0)-MATCH("temp_stage",[2]stages!$2:$2,0)+1),MATCH(F$1,[2]stages!$2:$2,0)-MATCH("temp_stage",[2]stages!$2:$2,0)+1,FALSE)</f>
        <v>【中級】猛然たる炎獣使い</v>
      </c>
      <c r="G23" s="81" t="str">
        <f ca="1">VLOOKUP($B23&amp;"_"&amp;$E23,OFFSET([2]stages!$A$1,0,0,COUNTA([2]stages!$A:$A),MATCH(G$1,[2]stages!$2:$2,0)-MATCH("temp_stage",[2]stages!$2:$2,0)+1),MATCH(G$1,[2]stages!$2:$2,0)-MATCH("temp_stage",[2]stages!$2:$2,0)+1,FALSE)</f>
        <v>ギリシャ神話シリーズ超級</v>
      </c>
      <c r="H23" s="83">
        <v>0</v>
      </c>
      <c r="I23">
        <v>26</v>
      </c>
      <c r="J23" s="82" t="s">
        <v>197</v>
      </c>
      <c r="K23" s="91" t="str">
        <f>VLOOKUP(I23,[6]stage_hints!$A:$C,3,FALSE)</f>
        <v>スキルレベルの効果</v>
      </c>
      <c r="L23" s="92" t="str">
        <f>VLOOKUP(I23,[6]stage_hints!$A:$D,4,FALSE)</f>
        <v>スキルレベルが上がると_x000D_短いターンでスキルを使うことができます</v>
      </c>
      <c r="M23" s="56" t="s">
        <v>210</v>
      </c>
    </row>
    <row r="24" spans="1:13" x14ac:dyDescent="0.15">
      <c r="A24" s="79" t="s">
        <v>200</v>
      </c>
      <c r="B24" s="80">
        <f>floors!$C$2</f>
        <v>30036</v>
      </c>
      <c r="C24" s="81" t="str">
        <f ca="1">VLOOKUP($B24,OFFSET([2]quests!$A$1,0,0,COUNTA([2]quests!$A:$A),MATCH(C$1,[2]quests!$1:$1,0)-MATCH($B$1,[2]quests!$1:$1,0)+1),MATCH(C$1,[2]quests!$1:$1,0)-MATCH($B$1,[2]quests!$1:$1,0)+1,FALSE)</f>
        <v>猛然たる炎獣使い</v>
      </c>
      <c r="D24" s="81" t="str">
        <f ca="1">VLOOKUP($B24,OFFSET([2]quests!$A$1,0,0,COUNTA([2]quests!$A:$A),MATCH(D$1,[2]quests!$1:$1,0)-MATCH($B$1,[2]quests!$1:$1,0)+1),MATCH(D$1,[2]quests!$1:$1,0)-MATCH($B$1,[2]quests!$1:$1,0)+1,FALSE)</f>
        <v>ギリシャ神話シリーズ超級</v>
      </c>
      <c r="E24" s="85">
        <v>1</v>
      </c>
      <c r="F24" s="81" t="str">
        <f ca="1">VLOOKUP($B24&amp;"_"&amp;$E24,OFFSET([2]stages!$A$1,0,0,COUNTA([2]stages!$A:$A),MATCH(F$1,[2]stages!$2:$2,0)-MATCH("temp_stage",[2]stages!$2:$2,0)+1),MATCH(F$1,[2]stages!$2:$2,0)-MATCH("temp_stage",[2]stages!$2:$2,0)+1,FALSE)</f>
        <v>【中級】猛然たる炎獣使い</v>
      </c>
      <c r="G24" s="81" t="str">
        <f ca="1">VLOOKUP($B24&amp;"_"&amp;$E24,OFFSET([2]stages!$A$1,0,0,COUNTA([2]stages!$A:$A),MATCH(G$1,[2]stages!$2:$2,0)-MATCH("temp_stage",[2]stages!$2:$2,0)+1),MATCH(G$1,[2]stages!$2:$2,0)-MATCH("temp_stage",[2]stages!$2:$2,0)+1,FALSE)</f>
        <v>ギリシャ神話シリーズ超級</v>
      </c>
      <c r="H24" s="83">
        <v>0</v>
      </c>
      <c r="I24">
        <v>27</v>
      </c>
      <c r="J24" s="82" t="s">
        <v>197</v>
      </c>
      <c r="K24" s="91" t="str">
        <f>VLOOKUP(I24,[6]stage_hints!$A:$C,3,FALSE)</f>
        <v>ホーム画面からデッキを編成</v>
      </c>
      <c r="L24" s="92" t="str">
        <f>VLOOKUP(I24,[6]stage_hints!$A:$D,4,FALSE)</f>
        <v>ホーム画面でユニットを長押しすると_x000D_すぐにパーティ編成に移動できます</v>
      </c>
      <c r="M24" s="56" t="s">
        <v>210</v>
      </c>
    </row>
    <row r="25" spans="1:13" x14ac:dyDescent="0.15">
      <c r="A25" s="79" t="s">
        <v>200</v>
      </c>
      <c r="B25" s="80">
        <f>floors!$C$2</f>
        <v>30036</v>
      </c>
      <c r="C25" s="81" t="str">
        <f ca="1">VLOOKUP($B25,OFFSET([2]quests!$A$1,0,0,COUNTA([2]quests!$A:$A),MATCH(C$1,[2]quests!$1:$1,0)-MATCH($B$1,[2]quests!$1:$1,0)+1),MATCH(C$1,[2]quests!$1:$1,0)-MATCH($B$1,[2]quests!$1:$1,0)+1,FALSE)</f>
        <v>猛然たる炎獣使い</v>
      </c>
      <c r="D25" s="81" t="str">
        <f ca="1">VLOOKUP($B25,OFFSET([2]quests!$A$1,0,0,COUNTA([2]quests!$A:$A),MATCH(D$1,[2]quests!$1:$1,0)-MATCH($B$1,[2]quests!$1:$1,0)+1),MATCH(D$1,[2]quests!$1:$1,0)-MATCH($B$1,[2]quests!$1:$1,0)+1,FALSE)</f>
        <v>ギリシャ神話シリーズ超級</v>
      </c>
      <c r="E25" s="85">
        <v>1</v>
      </c>
      <c r="F25" s="81" t="str">
        <f ca="1">VLOOKUP($B25&amp;"_"&amp;$E25,OFFSET([2]stages!$A$1,0,0,COUNTA([2]stages!$A:$A),MATCH(F$1,[2]stages!$2:$2,0)-MATCH("temp_stage",[2]stages!$2:$2,0)+1),MATCH(F$1,[2]stages!$2:$2,0)-MATCH("temp_stage",[2]stages!$2:$2,0)+1,FALSE)</f>
        <v>【中級】猛然たる炎獣使い</v>
      </c>
      <c r="G25" s="81" t="str">
        <f ca="1">VLOOKUP($B25&amp;"_"&amp;$E25,OFFSET([2]stages!$A$1,0,0,COUNTA([2]stages!$A:$A),MATCH(G$1,[2]stages!$2:$2,0)-MATCH("temp_stage",[2]stages!$2:$2,0)+1),MATCH(G$1,[2]stages!$2:$2,0)-MATCH("temp_stage",[2]stages!$2:$2,0)+1,FALSE)</f>
        <v>ギリシャ神話シリーズ超級</v>
      </c>
      <c r="H25" s="83">
        <v>0</v>
      </c>
      <c r="I25">
        <v>28</v>
      </c>
      <c r="J25" s="82" t="s">
        <v>197</v>
      </c>
      <c r="K25" s="91" t="str">
        <f>VLOOKUP(I25,[6]stage_hints!$A:$C,3,FALSE)</f>
        <v>ステータス情報は長押しで</v>
      </c>
      <c r="L25" s="92" t="str">
        <f>VLOOKUP(I25,[6]stage_hints!$A:$D,4,FALSE)</f>
        <v>ユニットのアイコンを長押しすると_x000D_ステータス情報を確認することができます</v>
      </c>
      <c r="M25" s="56" t="s">
        <v>210</v>
      </c>
    </row>
    <row r="26" spans="1:13" x14ac:dyDescent="0.15">
      <c r="A26" s="79" t="s">
        <v>200</v>
      </c>
      <c r="B26" s="80">
        <f>floors!$C$2</f>
        <v>30036</v>
      </c>
      <c r="C26" s="81" t="str">
        <f ca="1">VLOOKUP($B26,OFFSET([2]quests!$A$1,0,0,COUNTA([2]quests!$A:$A),MATCH(C$1,[2]quests!$1:$1,0)-MATCH($B$1,[2]quests!$1:$1,0)+1),MATCH(C$1,[2]quests!$1:$1,0)-MATCH($B$1,[2]quests!$1:$1,0)+1,FALSE)</f>
        <v>猛然たる炎獣使い</v>
      </c>
      <c r="D26" s="81" t="str">
        <f ca="1">VLOOKUP($B26,OFFSET([2]quests!$A$1,0,0,COUNTA([2]quests!$A:$A),MATCH(D$1,[2]quests!$1:$1,0)-MATCH($B$1,[2]quests!$1:$1,0)+1),MATCH(D$1,[2]quests!$1:$1,0)-MATCH($B$1,[2]quests!$1:$1,0)+1,FALSE)</f>
        <v>ギリシャ神話シリーズ超級</v>
      </c>
      <c r="E26" s="85">
        <v>1</v>
      </c>
      <c r="F26" s="81" t="str">
        <f ca="1">VLOOKUP($B26&amp;"_"&amp;$E26,OFFSET([2]stages!$A$1,0,0,COUNTA([2]stages!$A:$A),MATCH(F$1,[2]stages!$2:$2,0)-MATCH("temp_stage",[2]stages!$2:$2,0)+1),MATCH(F$1,[2]stages!$2:$2,0)-MATCH("temp_stage",[2]stages!$2:$2,0)+1,FALSE)</f>
        <v>【中級】猛然たる炎獣使い</v>
      </c>
      <c r="G26" s="81" t="str">
        <f ca="1">VLOOKUP($B26&amp;"_"&amp;$E26,OFFSET([2]stages!$A$1,0,0,COUNTA([2]stages!$A:$A),MATCH(G$1,[2]stages!$2:$2,0)-MATCH("temp_stage",[2]stages!$2:$2,0)+1),MATCH(G$1,[2]stages!$2:$2,0)-MATCH("temp_stage",[2]stages!$2:$2,0)+1,FALSE)</f>
        <v>ギリシャ神話シリーズ超級</v>
      </c>
      <c r="H26" s="83">
        <v>0</v>
      </c>
      <c r="I26">
        <v>29</v>
      </c>
      <c r="J26" s="82" t="s">
        <v>197</v>
      </c>
      <c r="K26" s="91" t="str">
        <f>VLOOKUP(I26,[6]stage_hints!$A:$C,3,FALSE)</f>
        <v>「バグ」のメリット</v>
      </c>
      <c r="L26" s="92" t="str">
        <f>VLOOKUP(I26,[6]stage_hints!$A:$D,4,FALSE)</f>
        <v>ユニットの「バグ」を増やすと_x000D_報酬をもらえる確率がアップします</v>
      </c>
      <c r="M26" s="56" t="s">
        <v>210</v>
      </c>
    </row>
    <row r="27" spans="1:13" x14ac:dyDescent="0.15">
      <c r="A27" s="79" t="s">
        <v>200</v>
      </c>
      <c r="B27" s="80">
        <f>floors!$C$2</f>
        <v>30036</v>
      </c>
      <c r="C27" s="81" t="str">
        <f ca="1">VLOOKUP($B27,OFFSET([2]quests!$A$1,0,0,COUNTA([2]quests!$A:$A),MATCH(C$1,[2]quests!$1:$1,0)-MATCH($B$1,[2]quests!$1:$1,0)+1),MATCH(C$1,[2]quests!$1:$1,0)-MATCH($B$1,[2]quests!$1:$1,0)+1,FALSE)</f>
        <v>猛然たる炎獣使い</v>
      </c>
      <c r="D27" s="81" t="str">
        <f ca="1">VLOOKUP($B27,OFFSET([2]quests!$A$1,0,0,COUNTA([2]quests!$A:$A),MATCH(D$1,[2]quests!$1:$1,0)-MATCH($B$1,[2]quests!$1:$1,0)+1),MATCH(D$1,[2]quests!$1:$1,0)-MATCH($B$1,[2]quests!$1:$1,0)+1,FALSE)</f>
        <v>ギリシャ神話シリーズ超級</v>
      </c>
      <c r="E27" s="85">
        <v>1</v>
      </c>
      <c r="F27" s="81" t="str">
        <f ca="1">VLOOKUP($B27&amp;"_"&amp;$E27,OFFSET([2]stages!$A$1,0,0,COUNTA([2]stages!$A:$A),MATCH(F$1,[2]stages!$2:$2,0)-MATCH("temp_stage",[2]stages!$2:$2,0)+1),MATCH(F$1,[2]stages!$2:$2,0)-MATCH("temp_stage",[2]stages!$2:$2,0)+1,FALSE)</f>
        <v>【中級】猛然たる炎獣使い</v>
      </c>
      <c r="G27" s="81" t="str">
        <f ca="1">VLOOKUP($B27&amp;"_"&amp;$E27,OFFSET([2]stages!$A$1,0,0,COUNTA([2]stages!$A:$A),MATCH(G$1,[2]stages!$2:$2,0)-MATCH("temp_stage",[2]stages!$2:$2,0)+1),MATCH(G$1,[2]stages!$2:$2,0)-MATCH("temp_stage",[2]stages!$2:$2,0)+1,FALSE)</f>
        <v>ギリシャ神話シリーズ超級</v>
      </c>
      <c r="H27" s="83">
        <v>0</v>
      </c>
      <c r="I27">
        <v>30</v>
      </c>
      <c r="J27" s="82" t="s">
        <v>197</v>
      </c>
      <c r="K27" s="91" t="str">
        <f>VLOOKUP(I27,[6]stage_hints!$A:$C,3,FALSE)</f>
        <v>「バグ」の増やし方</v>
      </c>
      <c r="L27" s="92" t="str">
        <f>VLOOKUP(I27,[6]stage_hints!$A:$D,4,FALSE)</f>
        <v>同じユニット同士を強化で合成すると_x000D_「バグ」を増やすことができます</v>
      </c>
      <c r="M27" s="56" t="s">
        <v>210</v>
      </c>
    </row>
    <row r="28" spans="1:13" x14ac:dyDescent="0.15">
      <c r="A28" s="79" t="s">
        <v>200</v>
      </c>
      <c r="B28" s="80">
        <f>floors!$C$2</f>
        <v>30036</v>
      </c>
      <c r="C28" s="81" t="str">
        <f ca="1">VLOOKUP($B28,OFFSET([2]quests!$A$1,0,0,COUNTA([2]quests!$A:$A),MATCH(C$1,[2]quests!$1:$1,0)-MATCH($B$1,[2]quests!$1:$1,0)+1),MATCH(C$1,[2]quests!$1:$1,0)-MATCH($B$1,[2]quests!$1:$1,0)+1,FALSE)</f>
        <v>猛然たる炎獣使い</v>
      </c>
      <c r="D28" s="81" t="str">
        <f ca="1">VLOOKUP($B28,OFFSET([2]quests!$A$1,0,0,COUNTA([2]quests!$A:$A),MATCH(D$1,[2]quests!$1:$1,0)-MATCH($B$1,[2]quests!$1:$1,0)+1),MATCH(D$1,[2]quests!$1:$1,0)-MATCH($B$1,[2]quests!$1:$1,0)+1,FALSE)</f>
        <v>ギリシャ神話シリーズ超級</v>
      </c>
      <c r="E28" s="85">
        <v>1</v>
      </c>
      <c r="F28" s="81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【中級】猛然たる炎獣使い</v>
      </c>
      <c r="G28" s="81" t="str">
        <f ca="1">VLOOKUP($B28&amp;"_"&amp;$E28,OFFSET([2]stages!$A$1,0,0,COUNTA([2]stages!$A:$A),MATCH(G$1,[2]stages!$2:$2,0)-MATCH("temp_stage",[2]stages!$2:$2,0)+1),MATCH(G$1,[2]stages!$2:$2,0)-MATCH("temp_stage",[2]stages!$2:$2,0)+1,FALSE)</f>
        <v>ギリシャ神話シリーズ超級</v>
      </c>
      <c r="H28" s="83">
        <v>0</v>
      </c>
      <c r="I28">
        <v>31</v>
      </c>
      <c r="J28" s="82" t="s">
        <v>197</v>
      </c>
      <c r="K28" s="91" t="str">
        <f>VLOOKUP(I28,[6]stage_hints!$A:$C,3,FALSE)</f>
        <v>イベントはお知らせでチェック</v>
      </c>
      <c r="L28" s="92" t="str">
        <f>VLOOKUP(I28,[6]stage_hints!$A:$D,4,FALSE)</f>
        <v>イベント限定ユニットを取り忘れないように_x000D_お知らせをこまめにチェックしましょう</v>
      </c>
      <c r="M28" s="56" t="s">
        <v>210</v>
      </c>
    </row>
    <row r="29" spans="1:13" x14ac:dyDescent="0.15">
      <c r="A29" s="79" t="s">
        <v>200</v>
      </c>
      <c r="B29" s="80">
        <f>floors!$C$2</f>
        <v>30036</v>
      </c>
      <c r="C29" s="81" t="str">
        <f ca="1">VLOOKUP($B29,OFFSET([2]quests!$A$1,0,0,COUNTA([2]quests!$A:$A),MATCH(C$1,[2]quests!$1:$1,0)-MATCH($B$1,[2]quests!$1:$1,0)+1),MATCH(C$1,[2]quests!$1:$1,0)-MATCH($B$1,[2]quests!$1:$1,0)+1,FALSE)</f>
        <v>猛然たる炎獣使い</v>
      </c>
      <c r="D29" s="81" t="str">
        <f ca="1">VLOOKUP($B29,OFFSET([2]quests!$A$1,0,0,COUNTA([2]quests!$A:$A),MATCH(D$1,[2]quests!$1:$1,0)-MATCH($B$1,[2]quests!$1:$1,0)+1),MATCH(D$1,[2]quests!$1:$1,0)-MATCH($B$1,[2]quests!$1:$1,0)+1,FALSE)</f>
        <v>ギリシャ神話シリーズ超級</v>
      </c>
      <c r="E29" s="85">
        <v>1</v>
      </c>
      <c r="F29" s="81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【中級】猛然たる炎獣使い</v>
      </c>
      <c r="G29" s="81" t="str">
        <f ca="1">VLOOKUP($B29&amp;"_"&amp;$E29,OFFSET([2]stages!$A$1,0,0,COUNTA([2]stages!$A:$A),MATCH(G$1,[2]stages!$2:$2,0)-MATCH("temp_stage",[2]stages!$2:$2,0)+1),MATCH(G$1,[2]stages!$2:$2,0)-MATCH("temp_stage",[2]stages!$2:$2,0)+1,FALSE)</f>
        <v>ギリシャ神話シリーズ超級</v>
      </c>
      <c r="H29" s="83">
        <v>0</v>
      </c>
      <c r="I29">
        <v>32</v>
      </c>
      <c r="J29" s="82" t="s">
        <v>197</v>
      </c>
      <c r="K29" s="91" t="str">
        <f>VLOOKUP(I29,[6]stage_hints!$A:$C,3,FALSE)</f>
        <v>敵の連続攻撃には</v>
      </c>
      <c r="L29" s="92" t="str">
        <f>VLOOKUP(I29,[6]stage_hints!$A:$D,4,FALSE)</f>
        <v>カウンタースキルを持つユニットがいれば_x000D_ダメージ回数分の反撃ができます</v>
      </c>
      <c r="M29" s="56" t="s">
        <v>210</v>
      </c>
    </row>
    <row r="30" spans="1:13" x14ac:dyDescent="0.15">
      <c r="A30" s="79" t="s">
        <v>200</v>
      </c>
      <c r="B30" s="80">
        <f>floors!$C$2</f>
        <v>30036</v>
      </c>
      <c r="C30" s="81" t="str">
        <f ca="1">VLOOKUP($B30,OFFSET([2]quests!$A$1,0,0,COUNTA([2]quests!$A:$A),MATCH(C$1,[2]quests!$1:$1,0)-MATCH($B$1,[2]quests!$1:$1,0)+1),MATCH(C$1,[2]quests!$1:$1,0)-MATCH($B$1,[2]quests!$1:$1,0)+1,FALSE)</f>
        <v>猛然たる炎獣使い</v>
      </c>
      <c r="D30" s="81" t="str">
        <f ca="1">VLOOKUP($B30,OFFSET([2]quests!$A$1,0,0,COUNTA([2]quests!$A:$A),MATCH(D$1,[2]quests!$1:$1,0)-MATCH($B$1,[2]quests!$1:$1,0)+1),MATCH(D$1,[2]quests!$1:$1,0)-MATCH($B$1,[2]quests!$1:$1,0)+1,FALSE)</f>
        <v>ギリシャ神話シリーズ超級</v>
      </c>
      <c r="E30" s="85">
        <v>1</v>
      </c>
      <c r="F30" s="81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【中級】猛然たる炎獣使い</v>
      </c>
      <c r="G30" s="81" t="str">
        <f ca="1">VLOOKUP($B30&amp;"_"&amp;$E30,OFFSET([2]stages!$A$1,0,0,COUNTA([2]stages!$A:$A),MATCH(G$1,[2]stages!$2:$2,0)-MATCH("temp_stage",[2]stages!$2:$2,0)+1),MATCH(G$1,[2]stages!$2:$2,0)-MATCH("temp_stage",[2]stages!$2:$2,0)+1,FALSE)</f>
        <v>ギリシャ神話シリーズ超級</v>
      </c>
      <c r="H30" s="83">
        <v>0</v>
      </c>
      <c r="I30">
        <v>33</v>
      </c>
      <c r="J30" s="82" t="s">
        <v>197</v>
      </c>
      <c r="K30" s="91" t="str">
        <f>VLOOKUP(I30,[6]stage_hints!$A:$C,3,FALSE)</f>
        <v>敵のカウンター攻撃には</v>
      </c>
      <c r="L30" s="92" t="str">
        <f>VLOOKUP(I30,[6]stage_hints!$A:$D,4,FALSE)</f>
        <v>カウンターブレイクスキルを持っていれば_x000D_敵のカウンターを解除して攻撃ができます</v>
      </c>
      <c r="M30" s="56" t="s">
        <v>210</v>
      </c>
    </row>
    <row r="31" spans="1:13" x14ac:dyDescent="0.15">
      <c r="A31" s="79" t="s">
        <v>200</v>
      </c>
      <c r="B31" s="80">
        <f>floors!$C$2</f>
        <v>30036</v>
      </c>
      <c r="C31" s="81" t="str">
        <f ca="1">VLOOKUP($B31,OFFSET([2]quests!$A$1,0,0,COUNTA([2]quests!$A:$A),MATCH(C$1,[2]quests!$1:$1,0)-MATCH($B$1,[2]quests!$1:$1,0)+1),MATCH(C$1,[2]quests!$1:$1,0)-MATCH($B$1,[2]quests!$1:$1,0)+1,FALSE)</f>
        <v>猛然たる炎獣使い</v>
      </c>
      <c r="D31" s="81" t="str">
        <f ca="1">VLOOKUP($B31,OFFSET([2]quests!$A$1,0,0,COUNTA([2]quests!$A:$A),MATCH(D$1,[2]quests!$1:$1,0)-MATCH($B$1,[2]quests!$1:$1,0)+1),MATCH(D$1,[2]quests!$1:$1,0)-MATCH($B$1,[2]quests!$1:$1,0)+1,FALSE)</f>
        <v>ギリシャ神話シリーズ超級</v>
      </c>
      <c r="E31" s="85">
        <v>1</v>
      </c>
      <c r="F31" s="81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【中級】猛然たる炎獣使い</v>
      </c>
      <c r="G31" s="81" t="str">
        <f ca="1">VLOOKUP($B31&amp;"_"&amp;$E31,OFFSET([2]stages!$A$1,0,0,COUNTA([2]stages!$A:$A),MATCH(G$1,[2]stages!$2:$2,0)-MATCH("temp_stage",[2]stages!$2:$2,0)+1),MATCH(G$1,[2]stages!$2:$2,0)-MATCH("temp_stage",[2]stages!$2:$2,0)+1,FALSE)</f>
        <v>ギリシャ神話シリーズ超級</v>
      </c>
      <c r="H31" s="83">
        <v>0</v>
      </c>
      <c r="I31">
        <v>34</v>
      </c>
      <c r="J31" s="82" t="s">
        <v>197</v>
      </c>
      <c r="K31" s="91" t="str">
        <f>VLOOKUP(I31,[6]stage_hints!$A:$C,3,FALSE)</f>
        <v>ステータスをスキルで下げられたら</v>
      </c>
      <c r="L31" s="92" t="str">
        <f>VLOOKUP(I31,[6]stage_hints!$A:$D,4,FALSE)</f>
        <v>ステータスダウンのスキルを受けたら_x000D_ステータスアップスキルで上書きしましょう</v>
      </c>
      <c r="M31" s="56" t="s">
        <v>210</v>
      </c>
    </row>
    <row r="32" spans="1:13" x14ac:dyDescent="0.15">
      <c r="A32" s="79" t="s">
        <v>200</v>
      </c>
      <c r="B32" s="80">
        <f>floors!$C$2</f>
        <v>30036</v>
      </c>
      <c r="C32" s="81" t="str">
        <f ca="1">VLOOKUP($B32,OFFSET([2]quests!$A$1,0,0,COUNTA([2]quests!$A:$A),MATCH(C$1,[2]quests!$1:$1,0)-MATCH($B$1,[2]quests!$1:$1,0)+1),MATCH(C$1,[2]quests!$1:$1,0)-MATCH($B$1,[2]quests!$1:$1,0)+1,FALSE)</f>
        <v>猛然たる炎獣使い</v>
      </c>
      <c r="D32" s="81" t="str">
        <f ca="1">VLOOKUP($B32,OFFSET([2]quests!$A$1,0,0,COUNTA([2]quests!$A:$A),MATCH(D$1,[2]quests!$1:$1,0)-MATCH($B$1,[2]quests!$1:$1,0)+1),MATCH(D$1,[2]quests!$1:$1,0)-MATCH($B$1,[2]quests!$1:$1,0)+1,FALSE)</f>
        <v>ギリシャ神話シリーズ超級</v>
      </c>
      <c r="E32" s="85">
        <v>1</v>
      </c>
      <c r="F32" s="81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【中級】猛然たる炎獣使い</v>
      </c>
      <c r="G32" s="81" t="str">
        <f ca="1">VLOOKUP($B32&amp;"_"&amp;$E32,OFFSET([2]stages!$A$1,0,0,COUNTA([2]stages!$A:$A),MATCH(G$1,[2]stages!$2:$2,0)-MATCH("temp_stage",[2]stages!$2:$2,0)+1),MATCH(G$1,[2]stages!$2:$2,0)-MATCH("temp_stage",[2]stages!$2:$2,0)+1,FALSE)</f>
        <v>ギリシャ神話シリーズ超級</v>
      </c>
      <c r="H32" s="83">
        <v>0</v>
      </c>
      <c r="I32">
        <v>35</v>
      </c>
      <c r="J32" s="82" t="s">
        <v>197</v>
      </c>
      <c r="K32" s="91" t="str">
        <f>VLOOKUP(I32,[6]stage_hints!$A:$C,3,FALSE)</f>
        <v>敵のステータスがスキルで上がったら</v>
      </c>
      <c r="L32" s="92" t="str">
        <f>VLOOKUP(I32,[6]stage_hints!$A:$D,4,FALSE)</f>
        <v>敵のステータスがスキルでアップしたときは_x000D_ステータスダウンスキルで上書きしましょう</v>
      </c>
      <c r="M32" s="56" t="s">
        <v>210</v>
      </c>
    </row>
    <row r="33" spans="1:13" x14ac:dyDescent="0.15">
      <c r="A33" s="79" t="s">
        <v>200</v>
      </c>
      <c r="B33" s="80">
        <f>floors!$C$2</f>
        <v>30036</v>
      </c>
      <c r="C33" s="81" t="str">
        <f ca="1">VLOOKUP($B33,OFFSET([2]quests!$A$1,0,0,COUNTA([2]quests!$A:$A),MATCH(C$1,[2]quests!$1:$1,0)-MATCH($B$1,[2]quests!$1:$1,0)+1),MATCH(C$1,[2]quests!$1:$1,0)-MATCH($B$1,[2]quests!$1:$1,0)+1,FALSE)</f>
        <v>猛然たる炎獣使い</v>
      </c>
      <c r="D33" s="81" t="str">
        <f ca="1">VLOOKUP($B33,OFFSET([2]quests!$A$1,0,0,COUNTA([2]quests!$A:$A),MATCH(D$1,[2]quests!$1:$1,0)-MATCH($B$1,[2]quests!$1:$1,0)+1),MATCH(D$1,[2]quests!$1:$1,0)-MATCH($B$1,[2]quests!$1:$1,0)+1,FALSE)</f>
        <v>ギリシャ神話シリーズ超級</v>
      </c>
      <c r="E33" s="85">
        <v>1</v>
      </c>
      <c r="F33" s="81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【中級】猛然たる炎獣使い</v>
      </c>
      <c r="G33" s="81" t="str">
        <f ca="1">VLOOKUP($B33&amp;"_"&amp;$E33,OFFSET([2]stages!$A$1,0,0,COUNTA([2]stages!$A:$A),MATCH(G$1,[2]stages!$2:$2,0)-MATCH("temp_stage",[2]stages!$2:$2,0)+1),MATCH(G$1,[2]stages!$2:$2,0)-MATCH("temp_stage",[2]stages!$2:$2,0)+1,FALSE)</f>
        <v>ギリシャ神話シリーズ超級</v>
      </c>
      <c r="H33" s="83">
        <v>0</v>
      </c>
      <c r="I33">
        <v>39</v>
      </c>
      <c r="J33" s="82" t="s">
        <v>197</v>
      </c>
      <c r="K33" s="91" t="str">
        <f>VLOOKUP(I33,[6]stage_hints!$A:$C,3,FALSE)</f>
        <v>システム適合者を確認</v>
      </c>
      <c r="L33" s="92" t="str">
        <f>VLOOKUP(I33,[6]stage_hints!$A:$D,4,FALSE)</f>
        <v>ALICEが 「アナタ」を呼んでいます</v>
      </c>
      <c r="M33" s="56" t="s">
        <v>210</v>
      </c>
    </row>
    <row r="34" spans="1:13" x14ac:dyDescent="0.15">
      <c r="A34" s="79" t="s">
        <v>200</v>
      </c>
      <c r="B34" s="80">
        <f>floors!$C$2</f>
        <v>30036</v>
      </c>
      <c r="C34" s="81" t="str">
        <f ca="1">VLOOKUP($B34,OFFSET([2]quests!$A$1,0,0,COUNTA([2]quests!$A:$A),MATCH(C$1,[2]quests!$1:$1,0)-MATCH($B$1,[2]quests!$1:$1,0)+1),MATCH(C$1,[2]quests!$1:$1,0)-MATCH($B$1,[2]quests!$1:$1,0)+1,FALSE)</f>
        <v>猛然たる炎獣使い</v>
      </c>
      <c r="D34" s="81" t="str">
        <f ca="1">VLOOKUP($B34,OFFSET([2]quests!$A$1,0,0,COUNTA([2]quests!$A:$A),MATCH(D$1,[2]quests!$1:$1,0)-MATCH($B$1,[2]quests!$1:$1,0)+1),MATCH(D$1,[2]quests!$1:$1,0)-MATCH($B$1,[2]quests!$1:$1,0)+1,FALSE)</f>
        <v>ギリシャ神話シリーズ超級</v>
      </c>
      <c r="E34" s="85">
        <v>2</v>
      </c>
      <c r="F34" s="81" t="str">
        <f ca="1">VLOOKUP($B34&amp;"_"&amp;$E34,OFFSET([2]stages!$A$1,0,0,COUNTA([2]stages!$A:$A),MATCH(F$1,[2]stages!$2:$2,0)-MATCH("temp_stage",[2]stages!$2:$2,0)+1),MATCH(F$1,[2]stages!$2:$2,0)-MATCH("temp_stage",[2]stages!$2:$2,0)+1,FALSE)</f>
        <v>【上級】猛然たる炎獣使い</v>
      </c>
      <c r="G34" s="81" t="str">
        <f ca="1">VLOOKUP($B34&amp;"_"&amp;$E34,OFFSET([2]stages!$A$1,0,0,COUNTA([2]stages!$A:$A),MATCH(G$1,[2]stages!$2:$2,0)-MATCH("temp_stage",[2]stages!$2:$2,0)+1),MATCH(G$1,[2]stages!$2:$2,0)-MATCH("temp_stage",[2]stages!$2:$2,0)+1,FALSE)</f>
        <v>ギリシャ神話シリーズ超級</v>
      </c>
      <c r="H34" s="83">
        <v>0</v>
      </c>
      <c r="I34" s="95">
        <v>3</v>
      </c>
      <c r="J34" s="82" t="s">
        <v>197</v>
      </c>
      <c r="K34" s="91" t="str">
        <f>VLOOKUP(I34,[6]stage_hints!$A:$C,3,FALSE)</f>
        <v>ターゲット</v>
      </c>
      <c r="L34" s="92" t="str">
        <f>VLOOKUP(I34,[6]stage_hints!$A:$D,4,FALSE)</f>
        <v>敵ユニットをタップすると_x000D_その敵を狙い撃ちできます</v>
      </c>
      <c r="M34" s="56" t="s">
        <v>210</v>
      </c>
    </row>
    <row r="35" spans="1:13" x14ac:dyDescent="0.15">
      <c r="A35" s="79" t="s">
        <v>200</v>
      </c>
      <c r="B35" s="80">
        <f>floors!$C$2</f>
        <v>30036</v>
      </c>
      <c r="C35" s="81" t="str">
        <f ca="1">VLOOKUP($B35,OFFSET([2]quests!$A$1,0,0,COUNTA([2]quests!$A:$A),MATCH(C$1,[2]quests!$1:$1,0)-MATCH($B$1,[2]quests!$1:$1,0)+1),MATCH(C$1,[2]quests!$1:$1,0)-MATCH($B$1,[2]quests!$1:$1,0)+1,FALSE)</f>
        <v>猛然たる炎獣使い</v>
      </c>
      <c r="D35" s="81" t="str">
        <f ca="1">VLOOKUP($B35,OFFSET([2]quests!$A$1,0,0,COUNTA([2]quests!$A:$A),MATCH(D$1,[2]quests!$1:$1,0)-MATCH($B$1,[2]quests!$1:$1,0)+1),MATCH(D$1,[2]quests!$1:$1,0)-MATCH($B$1,[2]quests!$1:$1,0)+1,FALSE)</f>
        <v>ギリシャ神話シリーズ超級</v>
      </c>
      <c r="E35" s="85">
        <v>2</v>
      </c>
      <c r="F35" s="81" t="str">
        <f ca="1">VLOOKUP($B35&amp;"_"&amp;$E35,OFFSET([2]stages!$A$1,0,0,COUNTA([2]stages!$A:$A),MATCH(F$1,[2]stages!$2:$2,0)-MATCH("temp_stage",[2]stages!$2:$2,0)+1),MATCH(F$1,[2]stages!$2:$2,0)-MATCH("temp_stage",[2]stages!$2:$2,0)+1,FALSE)</f>
        <v>【上級】猛然たる炎獣使い</v>
      </c>
      <c r="G35" s="81" t="str">
        <f ca="1">VLOOKUP($B35&amp;"_"&amp;$E35,OFFSET([2]stages!$A$1,0,0,COUNTA([2]stages!$A:$A),MATCH(G$1,[2]stages!$2:$2,0)-MATCH("temp_stage",[2]stages!$2:$2,0)+1),MATCH(G$1,[2]stages!$2:$2,0)-MATCH("temp_stage",[2]stages!$2:$2,0)+1,FALSE)</f>
        <v>ギリシャ神話シリーズ超級</v>
      </c>
      <c r="H35" s="83">
        <v>0</v>
      </c>
      <c r="I35" s="95">
        <v>6</v>
      </c>
      <c r="J35" s="82" t="s">
        <v>197</v>
      </c>
      <c r="K35" s="91" t="str">
        <f>VLOOKUP(I35,[6]stage_hints!$A:$C,3,FALSE)</f>
        <v>ユニット強化の属性ボーナス</v>
      </c>
      <c r="L35" s="92" t="str">
        <f>VLOOKUP(I35,[6]stage_hints!$A:$D,4,FALSE)</f>
        <v>同属性ユニットを強化素材にすると_x000D_経験値が多くもらえます</v>
      </c>
      <c r="M35" s="56" t="s">
        <v>210</v>
      </c>
    </row>
    <row r="36" spans="1:13" x14ac:dyDescent="0.15">
      <c r="A36" s="79" t="s">
        <v>200</v>
      </c>
      <c r="B36" s="80">
        <f>floors!$C$2</f>
        <v>30036</v>
      </c>
      <c r="C36" s="81" t="str">
        <f ca="1">VLOOKUP($B36,OFFSET([2]quests!$A$1,0,0,COUNTA([2]quests!$A:$A),MATCH(C$1,[2]quests!$1:$1,0)-MATCH($B$1,[2]quests!$1:$1,0)+1),MATCH(C$1,[2]quests!$1:$1,0)-MATCH($B$1,[2]quests!$1:$1,0)+1,FALSE)</f>
        <v>猛然たる炎獣使い</v>
      </c>
      <c r="D36" s="81" t="str">
        <f ca="1">VLOOKUP($B36,OFFSET([2]quests!$A$1,0,0,COUNTA([2]quests!$A:$A),MATCH(D$1,[2]quests!$1:$1,0)-MATCH($B$1,[2]quests!$1:$1,0)+1),MATCH(D$1,[2]quests!$1:$1,0)-MATCH($B$1,[2]quests!$1:$1,0)+1,FALSE)</f>
        <v>ギリシャ神話シリーズ超級</v>
      </c>
      <c r="E36" s="85">
        <v>2</v>
      </c>
      <c r="F36" s="81" t="str">
        <f ca="1">VLOOKUP($B36&amp;"_"&amp;$E36,OFFSET([2]stages!$A$1,0,0,COUNTA([2]stages!$A:$A),MATCH(F$1,[2]stages!$2:$2,0)-MATCH("temp_stage",[2]stages!$2:$2,0)+1),MATCH(F$1,[2]stages!$2:$2,0)-MATCH("temp_stage",[2]stages!$2:$2,0)+1,FALSE)</f>
        <v>【上級】猛然たる炎獣使い</v>
      </c>
      <c r="G36" s="81" t="str">
        <f ca="1">VLOOKUP($B36&amp;"_"&amp;$E36,OFFSET([2]stages!$A$1,0,0,COUNTA([2]stages!$A:$A),MATCH(G$1,[2]stages!$2:$2,0)-MATCH("temp_stage",[2]stages!$2:$2,0)+1),MATCH(G$1,[2]stages!$2:$2,0)-MATCH("temp_stage",[2]stages!$2:$2,0)+1,FALSE)</f>
        <v>ギリシャ神話シリーズ超級</v>
      </c>
      <c r="H36" s="83">
        <v>0</v>
      </c>
      <c r="I36" s="95">
        <v>7</v>
      </c>
      <c r="J36" s="82" t="s">
        <v>197</v>
      </c>
      <c r="K36" s="91" t="str">
        <f>VLOOKUP(I36,[6]stage_hints!$A:$C,3,FALSE)</f>
        <v>メタルダックで経験値を獲得</v>
      </c>
      <c r="L36" s="92" t="str">
        <f>VLOOKUP(I36,[6]stage_hints!$A:$D,4,FALSE)</f>
        <v>「メタルなアヒル」を強化素材にすると_x000D_大量の経験値がもらえます</v>
      </c>
      <c r="M36" s="56" t="s">
        <v>210</v>
      </c>
    </row>
    <row r="37" spans="1:13" x14ac:dyDescent="0.15">
      <c r="A37" s="79" t="s">
        <v>200</v>
      </c>
      <c r="B37" s="80">
        <f>floors!$C$2</f>
        <v>30036</v>
      </c>
      <c r="C37" s="81" t="str">
        <f ca="1">VLOOKUP($B37,OFFSET([2]quests!$A$1,0,0,COUNTA([2]quests!$A:$A),MATCH(C$1,[2]quests!$1:$1,0)-MATCH($B$1,[2]quests!$1:$1,0)+1),MATCH(C$1,[2]quests!$1:$1,0)-MATCH($B$1,[2]quests!$1:$1,0)+1,FALSE)</f>
        <v>猛然たる炎獣使い</v>
      </c>
      <c r="D37" s="81" t="str">
        <f ca="1">VLOOKUP($B37,OFFSET([2]quests!$A$1,0,0,COUNTA([2]quests!$A:$A),MATCH(D$1,[2]quests!$1:$1,0)-MATCH($B$1,[2]quests!$1:$1,0)+1),MATCH(D$1,[2]quests!$1:$1,0)-MATCH($B$1,[2]quests!$1:$1,0)+1,FALSE)</f>
        <v>ギリシャ神話シリーズ超級</v>
      </c>
      <c r="E37" s="85">
        <v>2</v>
      </c>
      <c r="F37" s="81" t="str">
        <f ca="1">VLOOKUP($B37&amp;"_"&amp;$E37,OFFSET([2]stages!$A$1,0,0,COUNTA([2]stages!$A:$A),MATCH(F$1,[2]stages!$2:$2,0)-MATCH("temp_stage",[2]stages!$2:$2,0)+1),MATCH(F$1,[2]stages!$2:$2,0)-MATCH("temp_stage",[2]stages!$2:$2,0)+1,FALSE)</f>
        <v>【上級】猛然たる炎獣使い</v>
      </c>
      <c r="G37" s="81" t="str">
        <f ca="1">VLOOKUP($B37&amp;"_"&amp;$E37,OFFSET([2]stages!$A$1,0,0,COUNTA([2]stages!$A:$A),MATCH(G$1,[2]stages!$2:$2,0)-MATCH("temp_stage",[2]stages!$2:$2,0)+1),MATCH(G$1,[2]stages!$2:$2,0)-MATCH("temp_stage",[2]stages!$2:$2,0)+1,FALSE)</f>
        <v>ギリシャ神話シリーズ超級</v>
      </c>
      <c r="H37" s="83">
        <v>0</v>
      </c>
      <c r="I37" s="95">
        <v>8</v>
      </c>
      <c r="J37" s="82" t="s">
        <v>197</v>
      </c>
      <c r="K37" s="91" t="str">
        <f>VLOOKUP(I37,[6]stage_hints!$A:$C,3,FALSE)</f>
        <v>ゲリラクエストは要チェック</v>
      </c>
      <c r="L37" s="92" t="str">
        <f>VLOOKUP(I37,[6]stage_hints!$A:$D,4,FALSE)</f>
        <v>時間限定の「アヒル捕獲作戦」では_x000D_経験値素材ユニットが多く手に入ります</v>
      </c>
      <c r="M37" s="56" t="s">
        <v>210</v>
      </c>
    </row>
    <row r="38" spans="1:13" x14ac:dyDescent="0.15">
      <c r="A38" s="79" t="s">
        <v>200</v>
      </c>
      <c r="B38" s="80">
        <f>floors!$C$2</f>
        <v>30036</v>
      </c>
      <c r="C38" s="81" t="str">
        <f ca="1">VLOOKUP($B38,OFFSET([2]quests!$A$1,0,0,COUNTA([2]quests!$A:$A),MATCH(C$1,[2]quests!$1:$1,0)-MATCH($B$1,[2]quests!$1:$1,0)+1),MATCH(C$1,[2]quests!$1:$1,0)-MATCH($B$1,[2]quests!$1:$1,0)+1,FALSE)</f>
        <v>猛然たる炎獣使い</v>
      </c>
      <c r="D38" s="81" t="str">
        <f ca="1">VLOOKUP($B38,OFFSET([2]quests!$A$1,0,0,COUNTA([2]quests!$A:$A),MATCH(D$1,[2]quests!$1:$1,0)-MATCH($B$1,[2]quests!$1:$1,0)+1),MATCH(D$1,[2]quests!$1:$1,0)-MATCH($B$1,[2]quests!$1:$1,0)+1,FALSE)</f>
        <v>ギリシャ神話シリーズ超級</v>
      </c>
      <c r="E38" s="85">
        <v>2</v>
      </c>
      <c r="F38" s="81" t="str">
        <f ca="1">VLOOKUP($B38&amp;"_"&amp;$E38,OFFSET([2]stages!$A$1,0,0,COUNTA([2]stages!$A:$A),MATCH(F$1,[2]stages!$2:$2,0)-MATCH("temp_stage",[2]stages!$2:$2,0)+1),MATCH(F$1,[2]stages!$2:$2,0)-MATCH("temp_stage",[2]stages!$2:$2,0)+1,FALSE)</f>
        <v>【上級】猛然たる炎獣使い</v>
      </c>
      <c r="G38" s="81" t="str">
        <f ca="1">VLOOKUP($B38&amp;"_"&amp;$E38,OFFSET([2]stages!$A$1,0,0,COUNTA([2]stages!$A:$A),MATCH(G$1,[2]stages!$2:$2,0)-MATCH("temp_stage",[2]stages!$2:$2,0)+1),MATCH(G$1,[2]stages!$2:$2,0)-MATCH("temp_stage",[2]stages!$2:$2,0)+1,FALSE)</f>
        <v>ギリシャ神話シリーズ超級</v>
      </c>
      <c r="H38" s="83">
        <v>0</v>
      </c>
      <c r="I38" s="95">
        <v>9</v>
      </c>
      <c r="J38" s="82" t="s">
        <v>197</v>
      </c>
      <c r="K38" s="91" t="str">
        <f>VLOOKUP(I38,[6]stage_hints!$A:$C,3,FALSE)</f>
        <v>ゴールドダックでビットを獲得</v>
      </c>
      <c r="L38" s="92" t="str">
        <f>VLOOKUP(I38,[6]stage_hints!$A:$D,4,FALSE)</f>
        <v>「ゴールドなアヒル」を売却すると_x000D_大量のビットがもらえます</v>
      </c>
      <c r="M38" s="56" t="s">
        <v>210</v>
      </c>
    </row>
    <row r="39" spans="1:13" x14ac:dyDescent="0.15">
      <c r="A39" s="79" t="s">
        <v>200</v>
      </c>
      <c r="B39" s="80">
        <f>floors!$C$2</f>
        <v>30036</v>
      </c>
      <c r="C39" s="81" t="str">
        <f ca="1">VLOOKUP($B39,OFFSET([2]quests!$A$1,0,0,COUNTA([2]quests!$A:$A),MATCH(C$1,[2]quests!$1:$1,0)-MATCH($B$1,[2]quests!$1:$1,0)+1),MATCH(C$1,[2]quests!$1:$1,0)-MATCH($B$1,[2]quests!$1:$1,0)+1,FALSE)</f>
        <v>猛然たる炎獣使い</v>
      </c>
      <c r="D39" s="81" t="str">
        <f ca="1">VLOOKUP($B39,OFFSET([2]quests!$A$1,0,0,COUNTA([2]quests!$A:$A),MATCH(D$1,[2]quests!$1:$1,0)-MATCH($B$1,[2]quests!$1:$1,0)+1),MATCH(D$1,[2]quests!$1:$1,0)-MATCH($B$1,[2]quests!$1:$1,0)+1,FALSE)</f>
        <v>ギリシャ神話シリーズ超級</v>
      </c>
      <c r="E39" s="85">
        <v>2</v>
      </c>
      <c r="F39" s="81" t="str">
        <f ca="1">VLOOKUP($B39&amp;"_"&amp;$E39,OFFSET([2]stages!$A$1,0,0,COUNTA([2]stages!$A:$A),MATCH(F$1,[2]stages!$2:$2,0)-MATCH("temp_stage",[2]stages!$2:$2,0)+1),MATCH(F$1,[2]stages!$2:$2,0)-MATCH("temp_stage",[2]stages!$2:$2,0)+1,FALSE)</f>
        <v>【上級】猛然たる炎獣使い</v>
      </c>
      <c r="G39" s="81" t="str">
        <f ca="1">VLOOKUP($B39&amp;"_"&amp;$E39,OFFSET([2]stages!$A$1,0,0,COUNTA([2]stages!$A:$A),MATCH(G$1,[2]stages!$2:$2,0)-MATCH("temp_stage",[2]stages!$2:$2,0)+1),MATCH(G$1,[2]stages!$2:$2,0)-MATCH("temp_stage",[2]stages!$2:$2,0)+1,FALSE)</f>
        <v>ギリシャ神話シリーズ超級</v>
      </c>
      <c r="H39" s="83">
        <v>0</v>
      </c>
      <c r="I39" s="95">
        <v>10</v>
      </c>
      <c r="J39" s="82" t="s">
        <v>197</v>
      </c>
      <c r="K39" s="91" t="str">
        <f>VLOOKUP(I39,[6]stage_hints!$A:$C,3,FALSE)</f>
        <v>土日に大量のビットを獲得</v>
      </c>
      <c r="L39" s="92" t="str">
        <f>VLOOKUP(I39,[6]stage_hints!$A:$D,4,FALSE)</f>
        <v>土日限定の「ゴールドカジノ」では_x000D_売却素材ユニットが多く手に入ります</v>
      </c>
      <c r="M39" s="56" t="s">
        <v>210</v>
      </c>
    </row>
    <row r="40" spans="1:13" x14ac:dyDescent="0.15">
      <c r="A40" s="79" t="s">
        <v>200</v>
      </c>
      <c r="B40" s="80">
        <f>floors!$C$2</f>
        <v>30036</v>
      </c>
      <c r="C40" s="81" t="str">
        <f ca="1">VLOOKUP($B40,OFFSET([2]quests!$A$1,0,0,COUNTA([2]quests!$A:$A),MATCH(C$1,[2]quests!$1:$1,0)-MATCH($B$1,[2]quests!$1:$1,0)+1),MATCH(C$1,[2]quests!$1:$1,0)-MATCH($B$1,[2]quests!$1:$1,0)+1,FALSE)</f>
        <v>猛然たる炎獣使い</v>
      </c>
      <c r="D40" s="81" t="str">
        <f ca="1">VLOOKUP($B40,OFFSET([2]quests!$A$1,0,0,COUNTA([2]quests!$A:$A),MATCH(D$1,[2]quests!$1:$1,0)-MATCH($B$1,[2]quests!$1:$1,0)+1),MATCH(D$1,[2]quests!$1:$1,0)-MATCH($B$1,[2]quests!$1:$1,0)+1,FALSE)</f>
        <v>ギリシャ神話シリーズ超級</v>
      </c>
      <c r="E40" s="85">
        <v>2</v>
      </c>
      <c r="F40" s="81" t="str">
        <f ca="1">VLOOKUP($B40&amp;"_"&amp;$E40,OFFSET([2]stages!$A$1,0,0,COUNTA([2]stages!$A:$A),MATCH(F$1,[2]stages!$2:$2,0)-MATCH("temp_stage",[2]stages!$2:$2,0)+1),MATCH(F$1,[2]stages!$2:$2,0)-MATCH("temp_stage",[2]stages!$2:$2,0)+1,FALSE)</f>
        <v>【上級】猛然たる炎獣使い</v>
      </c>
      <c r="G40" s="81" t="str">
        <f ca="1">VLOOKUP($B40&amp;"_"&amp;$E40,OFFSET([2]stages!$A$1,0,0,COUNTA([2]stages!$A:$A),MATCH(G$1,[2]stages!$2:$2,0)-MATCH("temp_stage",[2]stages!$2:$2,0)+1),MATCH(G$1,[2]stages!$2:$2,0)-MATCH("temp_stage",[2]stages!$2:$2,0)+1,FALSE)</f>
        <v>ギリシャ神話シリーズ超級</v>
      </c>
      <c r="H40" s="83">
        <v>0</v>
      </c>
      <c r="I40" s="95">
        <v>11</v>
      </c>
      <c r="J40" s="82" t="s">
        <v>197</v>
      </c>
      <c r="K40" s="91" t="str">
        <f>VLOOKUP(I40,[6]stage_hints!$A:$C,3,FALSE)</f>
        <v>ランク解放クエスト</v>
      </c>
      <c r="L40" s="92" t="str">
        <f>VLOOKUP(I40,[6]stage_hints!$A:$D,4,FALSE)</f>
        <v>一定ランクに到達すると_x000D_報酬付きのランク開放クエストが現れます</v>
      </c>
      <c r="M40" s="56" t="s">
        <v>210</v>
      </c>
    </row>
    <row r="41" spans="1:13" x14ac:dyDescent="0.15">
      <c r="A41" s="79" t="s">
        <v>200</v>
      </c>
      <c r="B41" s="80">
        <f>floors!$C$2</f>
        <v>30036</v>
      </c>
      <c r="C41" s="81" t="str">
        <f ca="1">VLOOKUP($B41,OFFSET([2]quests!$A$1,0,0,COUNTA([2]quests!$A:$A),MATCH(C$1,[2]quests!$1:$1,0)-MATCH($B$1,[2]quests!$1:$1,0)+1),MATCH(C$1,[2]quests!$1:$1,0)-MATCH($B$1,[2]quests!$1:$1,0)+1,FALSE)</f>
        <v>猛然たる炎獣使い</v>
      </c>
      <c r="D41" s="81" t="str">
        <f ca="1">VLOOKUP($B41,OFFSET([2]quests!$A$1,0,0,COUNTA([2]quests!$A:$A),MATCH(D$1,[2]quests!$1:$1,0)-MATCH($B$1,[2]quests!$1:$1,0)+1),MATCH(D$1,[2]quests!$1:$1,0)-MATCH($B$1,[2]quests!$1:$1,0)+1,FALSE)</f>
        <v>ギリシャ神話シリーズ超級</v>
      </c>
      <c r="E41" s="85">
        <v>2</v>
      </c>
      <c r="F41" s="81" t="str">
        <f ca="1">VLOOKUP($B41&amp;"_"&amp;$E41,OFFSET([2]stages!$A$1,0,0,COUNTA([2]stages!$A:$A),MATCH(F$1,[2]stages!$2:$2,0)-MATCH("temp_stage",[2]stages!$2:$2,0)+1),MATCH(F$1,[2]stages!$2:$2,0)-MATCH("temp_stage",[2]stages!$2:$2,0)+1,FALSE)</f>
        <v>【上級】猛然たる炎獣使い</v>
      </c>
      <c r="G41" s="81" t="str">
        <f ca="1">VLOOKUP($B41&amp;"_"&amp;$E41,OFFSET([2]stages!$A$1,0,0,COUNTA([2]stages!$A:$A),MATCH(G$1,[2]stages!$2:$2,0)-MATCH("temp_stage",[2]stages!$2:$2,0)+1),MATCH(G$1,[2]stages!$2:$2,0)-MATCH("temp_stage",[2]stages!$2:$2,0)+1,FALSE)</f>
        <v>ギリシャ神話シリーズ超級</v>
      </c>
      <c r="H41" s="83">
        <v>0</v>
      </c>
      <c r="I41" s="95">
        <v>12</v>
      </c>
      <c r="J41" s="82" t="s">
        <v>197</v>
      </c>
      <c r="K41" s="91" t="str">
        <f>VLOOKUP(I41,[6]stage_hints!$A:$C,3,FALSE)</f>
        <v>ユニットのお気に入り登録</v>
      </c>
      <c r="L41" s="92" t="str">
        <f>VLOOKUP(I41,[6]stage_hints!$A:$D,4,FALSE)</f>
        <v>大事なユニットを誤って消さないように_x000D_フォルダから「お気に入り登録」しましょう</v>
      </c>
      <c r="M41" s="56" t="s">
        <v>210</v>
      </c>
    </row>
    <row r="42" spans="1:13" x14ac:dyDescent="0.15">
      <c r="A42" s="79" t="s">
        <v>200</v>
      </c>
      <c r="B42" s="80">
        <f>floors!$C$2</f>
        <v>30036</v>
      </c>
      <c r="C42" s="81" t="str">
        <f ca="1">VLOOKUP($B42,OFFSET([2]quests!$A$1,0,0,COUNTA([2]quests!$A:$A),MATCH(C$1,[2]quests!$1:$1,0)-MATCH($B$1,[2]quests!$1:$1,0)+1),MATCH(C$1,[2]quests!$1:$1,0)-MATCH($B$1,[2]quests!$1:$1,0)+1,FALSE)</f>
        <v>猛然たる炎獣使い</v>
      </c>
      <c r="D42" s="81" t="str">
        <f ca="1">VLOOKUP($B42,OFFSET([2]quests!$A$1,0,0,COUNTA([2]quests!$A:$A),MATCH(D$1,[2]quests!$1:$1,0)-MATCH($B$1,[2]quests!$1:$1,0)+1),MATCH(D$1,[2]quests!$1:$1,0)-MATCH($B$1,[2]quests!$1:$1,0)+1,FALSE)</f>
        <v>ギリシャ神話シリーズ超級</v>
      </c>
      <c r="E42" s="85">
        <v>2</v>
      </c>
      <c r="F42" s="81" t="str">
        <f ca="1">VLOOKUP($B42&amp;"_"&amp;$E42,OFFSET([2]stages!$A$1,0,0,COUNTA([2]stages!$A:$A),MATCH(F$1,[2]stages!$2:$2,0)-MATCH("temp_stage",[2]stages!$2:$2,0)+1),MATCH(F$1,[2]stages!$2:$2,0)-MATCH("temp_stage",[2]stages!$2:$2,0)+1,FALSE)</f>
        <v>【上級】猛然たる炎獣使い</v>
      </c>
      <c r="G42" s="81" t="str">
        <f ca="1">VLOOKUP($B42&amp;"_"&amp;$E42,OFFSET([2]stages!$A$1,0,0,COUNTA([2]stages!$A:$A),MATCH(G$1,[2]stages!$2:$2,0)-MATCH("temp_stage",[2]stages!$2:$2,0)+1),MATCH(G$1,[2]stages!$2:$2,0)-MATCH("temp_stage",[2]stages!$2:$2,0)+1,FALSE)</f>
        <v>ギリシャ神話シリーズ超級</v>
      </c>
      <c r="H42" s="83">
        <v>0</v>
      </c>
      <c r="I42" s="95">
        <v>13</v>
      </c>
      <c r="J42" s="82" t="s">
        <v>197</v>
      </c>
      <c r="K42" s="91" t="str">
        <f>VLOOKUP(I42,[6]stage_hints!$A:$C,3,FALSE)</f>
        <v>ユニットの覚醒</v>
      </c>
      <c r="L42" s="92" t="str">
        <f>VLOOKUP(I42,[6]stage_hints!$A:$D,4,FALSE)</f>
        <v>ユニットを覚醒させると_x000D_比べものにならない強さが手に入ります</v>
      </c>
      <c r="M42" s="56" t="s">
        <v>210</v>
      </c>
    </row>
    <row r="43" spans="1:13" x14ac:dyDescent="0.15">
      <c r="A43" s="79" t="s">
        <v>200</v>
      </c>
      <c r="B43" s="80">
        <f>floors!$C$2</f>
        <v>30036</v>
      </c>
      <c r="C43" s="81" t="str">
        <f ca="1">VLOOKUP($B43,OFFSET([2]quests!$A$1,0,0,COUNTA([2]quests!$A:$A),MATCH(C$1,[2]quests!$1:$1,0)-MATCH($B$1,[2]quests!$1:$1,0)+1),MATCH(C$1,[2]quests!$1:$1,0)-MATCH($B$1,[2]quests!$1:$1,0)+1,FALSE)</f>
        <v>猛然たる炎獣使い</v>
      </c>
      <c r="D43" s="81" t="str">
        <f ca="1">VLOOKUP($B43,OFFSET([2]quests!$A$1,0,0,COUNTA([2]quests!$A:$A),MATCH(D$1,[2]quests!$1:$1,0)-MATCH($B$1,[2]quests!$1:$1,0)+1),MATCH(D$1,[2]quests!$1:$1,0)-MATCH($B$1,[2]quests!$1:$1,0)+1,FALSE)</f>
        <v>ギリシャ神話シリーズ超級</v>
      </c>
      <c r="E43" s="85">
        <v>2</v>
      </c>
      <c r="F43" s="81" t="str">
        <f ca="1">VLOOKUP($B43&amp;"_"&amp;$E43,OFFSET([2]stages!$A$1,0,0,COUNTA([2]stages!$A:$A),MATCH(F$1,[2]stages!$2:$2,0)-MATCH("temp_stage",[2]stages!$2:$2,0)+1),MATCH(F$1,[2]stages!$2:$2,0)-MATCH("temp_stage",[2]stages!$2:$2,0)+1,FALSE)</f>
        <v>【上級】猛然たる炎獣使い</v>
      </c>
      <c r="G43" s="81" t="str">
        <f ca="1">VLOOKUP($B43&amp;"_"&amp;$E43,OFFSET([2]stages!$A$1,0,0,COUNTA([2]stages!$A:$A),MATCH(G$1,[2]stages!$2:$2,0)-MATCH("temp_stage",[2]stages!$2:$2,0)+1),MATCH(G$1,[2]stages!$2:$2,0)-MATCH("temp_stage",[2]stages!$2:$2,0)+1,FALSE)</f>
        <v>ギリシャ神話シリーズ超級</v>
      </c>
      <c r="H43" s="83">
        <v>0</v>
      </c>
      <c r="I43" s="95">
        <v>14</v>
      </c>
      <c r="J43" s="82" t="s">
        <v>197</v>
      </c>
      <c r="K43" s="91" t="str">
        <f>VLOOKUP(I43,[6]stage_hints!$A:$C,3,FALSE)</f>
        <v>覚醒するにはレベルを最大に</v>
      </c>
      <c r="L43" s="92" t="str">
        <f>VLOOKUP(I43,[6]stage_hints!$A:$D,4,FALSE)</f>
        <v>覚醒するにはユニットのレベルを_x000D_最大まで上げる必要があります</v>
      </c>
      <c r="M43" s="56" t="s">
        <v>210</v>
      </c>
    </row>
    <row r="44" spans="1:13" x14ac:dyDescent="0.15">
      <c r="A44" s="79" t="s">
        <v>200</v>
      </c>
      <c r="B44" s="80">
        <f>floors!$C$2</f>
        <v>30036</v>
      </c>
      <c r="C44" s="81" t="str">
        <f ca="1">VLOOKUP($B44,OFFSET([2]quests!$A$1,0,0,COUNTA([2]quests!$A:$A),MATCH(C$1,[2]quests!$1:$1,0)-MATCH($B$1,[2]quests!$1:$1,0)+1),MATCH(C$1,[2]quests!$1:$1,0)-MATCH($B$1,[2]quests!$1:$1,0)+1,FALSE)</f>
        <v>猛然たる炎獣使い</v>
      </c>
      <c r="D44" s="81" t="str">
        <f ca="1">VLOOKUP($B44,OFFSET([2]quests!$A$1,0,0,COUNTA([2]quests!$A:$A),MATCH(D$1,[2]quests!$1:$1,0)-MATCH($B$1,[2]quests!$1:$1,0)+1),MATCH(D$1,[2]quests!$1:$1,0)-MATCH($B$1,[2]quests!$1:$1,0)+1,FALSE)</f>
        <v>ギリシャ神話シリーズ超級</v>
      </c>
      <c r="E44" s="85">
        <v>2</v>
      </c>
      <c r="F44" s="81" t="str">
        <f ca="1">VLOOKUP($B44&amp;"_"&amp;$E44,OFFSET([2]stages!$A$1,0,0,COUNTA([2]stages!$A:$A),MATCH(F$1,[2]stages!$2:$2,0)-MATCH("temp_stage",[2]stages!$2:$2,0)+1),MATCH(F$1,[2]stages!$2:$2,0)-MATCH("temp_stage",[2]stages!$2:$2,0)+1,FALSE)</f>
        <v>【上級】猛然たる炎獣使い</v>
      </c>
      <c r="G44" s="81" t="str">
        <f ca="1">VLOOKUP($B44&amp;"_"&amp;$E44,OFFSET([2]stages!$A$1,0,0,COUNTA([2]stages!$A:$A),MATCH(G$1,[2]stages!$2:$2,0)-MATCH("temp_stage",[2]stages!$2:$2,0)+1),MATCH(G$1,[2]stages!$2:$2,0)-MATCH("temp_stage",[2]stages!$2:$2,0)+1,FALSE)</f>
        <v>ギリシャ神話シリーズ超級</v>
      </c>
      <c r="H44" s="83">
        <v>0</v>
      </c>
      <c r="I44" s="95">
        <v>15</v>
      </c>
      <c r="J44" s="82" t="s">
        <v>197</v>
      </c>
      <c r="K44" s="91" t="str">
        <f>VLOOKUP(I44,[6]stage_hints!$A:$C,3,FALSE)</f>
        <v>覚醒素材を獲得</v>
      </c>
      <c r="L44" s="92" t="str">
        <f>VLOOKUP(I44,[6]stage_hints!$A:$D,4,FALSE)</f>
        <v>「曜日クエスト」では_x000D_ユニットの覚醒に必要な素材が手に入ります</v>
      </c>
      <c r="M44" s="56" t="s">
        <v>210</v>
      </c>
    </row>
    <row r="45" spans="1:13" x14ac:dyDescent="0.15">
      <c r="A45" s="79" t="s">
        <v>200</v>
      </c>
      <c r="B45" s="80">
        <f>floors!$C$2</f>
        <v>30036</v>
      </c>
      <c r="C45" s="81" t="str">
        <f ca="1">VLOOKUP($B45,OFFSET([2]quests!$A$1,0,0,COUNTA([2]quests!$A:$A),MATCH(C$1,[2]quests!$1:$1,0)-MATCH($B$1,[2]quests!$1:$1,0)+1),MATCH(C$1,[2]quests!$1:$1,0)-MATCH($B$1,[2]quests!$1:$1,0)+1,FALSE)</f>
        <v>猛然たる炎獣使い</v>
      </c>
      <c r="D45" s="81" t="str">
        <f ca="1">VLOOKUP($B45,OFFSET([2]quests!$A$1,0,0,COUNTA([2]quests!$A:$A),MATCH(D$1,[2]quests!$1:$1,0)-MATCH($B$1,[2]quests!$1:$1,0)+1),MATCH(D$1,[2]quests!$1:$1,0)-MATCH($B$1,[2]quests!$1:$1,0)+1,FALSE)</f>
        <v>ギリシャ神話シリーズ超級</v>
      </c>
      <c r="E45" s="85">
        <v>2</v>
      </c>
      <c r="F45" s="81" t="str">
        <f ca="1">VLOOKUP($B45&amp;"_"&amp;$E45,OFFSET([2]stages!$A$1,0,0,COUNTA([2]stages!$A:$A),MATCH(F$1,[2]stages!$2:$2,0)-MATCH("temp_stage",[2]stages!$2:$2,0)+1),MATCH(F$1,[2]stages!$2:$2,0)-MATCH("temp_stage",[2]stages!$2:$2,0)+1,FALSE)</f>
        <v>【上級】猛然たる炎獣使い</v>
      </c>
      <c r="G45" s="81" t="str">
        <f ca="1">VLOOKUP($B45&amp;"_"&amp;$E45,OFFSET([2]stages!$A$1,0,0,COUNTA([2]stages!$A:$A),MATCH(G$1,[2]stages!$2:$2,0)-MATCH("temp_stage",[2]stages!$2:$2,0)+1),MATCH(G$1,[2]stages!$2:$2,0)-MATCH("temp_stage",[2]stages!$2:$2,0)+1,FALSE)</f>
        <v>ギリシャ神話シリーズ超級</v>
      </c>
      <c r="H45" s="83">
        <v>0</v>
      </c>
      <c r="I45" s="95">
        <v>16</v>
      </c>
      <c r="J45" s="82" t="s">
        <v>197</v>
      </c>
      <c r="K45" s="91" t="str">
        <f>VLOOKUP(I45,[6]stage_hints!$A:$C,3,FALSE)</f>
        <v>マルチプレイのメリット（その1）</v>
      </c>
      <c r="L45" s="92" t="str">
        <f>VLOOKUP(I45,[6]stage_hints!$A:$D,4,FALSE)</f>
        <v>他のプレイヤーとマルチプレイで遊ぶと_x000D_ポリゴンがもらえます（100人まで）</v>
      </c>
      <c r="M45" s="56" t="s">
        <v>210</v>
      </c>
    </row>
    <row r="46" spans="1:13" x14ac:dyDescent="0.15">
      <c r="A46" s="79" t="s">
        <v>200</v>
      </c>
      <c r="B46" s="80">
        <f>floors!$C$2</f>
        <v>30036</v>
      </c>
      <c r="C46" s="81" t="str">
        <f ca="1">VLOOKUP($B46,OFFSET([2]quests!$A$1,0,0,COUNTA([2]quests!$A:$A),MATCH(C$1,[2]quests!$1:$1,0)-MATCH($B$1,[2]quests!$1:$1,0)+1),MATCH(C$1,[2]quests!$1:$1,0)-MATCH($B$1,[2]quests!$1:$1,0)+1,FALSE)</f>
        <v>猛然たる炎獣使い</v>
      </c>
      <c r="D46" s="81" t="str">
        <f ca="1">VLOOKUP($B46,OFFSET([2]quests!$A$1,0,0,COUNTA([2]quests!$A:$A),MATCH(D$1,[2]quests!$1:$1,0)-MATCH($B$1,[2]quests!$1:$1,0)+1),MATCH(D$1,[2]quests!$1:$1,0)-MATCH($B$1,[2]quests!$1:$1,0)+1,FALSE)</f>
        <v>ギリシャ神話シリーズ超級</v>
      </c>
      <c r="E46" s="85">
        <v>2</v>
      </c>
      <c r="F46" s="81" t="str">
        <f ca="1">VLOOKUP($B46&amp;"_"&amp;$E46,OFFSET([2]stages!$A$1,0,0,COUNTA([2]stages!$A:$A),MATCH(F$1,[2]stages!$2:$2,0)-MATCH("temp_stage",[2]stages!$2:$2,0)+1),MATCH(F$1,[2]stages!$2:$2,0)-MATCH("temp_stage",[2]stages!$2:$2,0)+1,FALSE)</f>
        <v>【上級】猛然たる炎獣使い</v>
      </c>
      <c r="G46" s="81" t="str">
        <f ca="1">VLOOKUP($B46&amp;"_"&amp;$E46,OFFSET([2]stages!$A$1,0,0,COUNTA([2]stages!$A:$A),MATCH(G$1,[2]stages!$2:$2,0)-MATCH("temp_stage",[2]stages!$2:$2,0)+1),MATCH(G$1,[2]stages!$2:$2,0)-MATCH("temp_stage",[2]stages!$2:$2,0)+1,FALSE)</f>
        <v>ギリシャ神話シリーズ超級</v>
      </c>
      <c r="H46" s="83">
        <v>0</v>
      </c>
      <c r="I46" s="95">
        <v>17</v>
      </c>
      <c r="J46" s="82" t="s">
        <v>197</v>
      </c>
      <c r="K46" s="91" t="str">
        <f>VLOOKUP(I46,[6]stage_hints!$A:$C,3,FALSE)</f>
        <v>リンクガチャ</v>
      </c>
      <c r="L46" s="92" t="str">
        <f>VLOOKUP(I46,[6]stage_hints!$A:$D,4,FALSE)</f>
        <v>無料のリンクガチャを回して_x000D_経験値素材や売却素材を獲得しましょう</v>
      </c>
      <c r="M46" s="56" t="s">
        <v>210</v>
      </c>
    </row>
    <row r="47" spans="1:13" x14ac:dyDescent="0.15">
      <c r="A47" s="79" t="s">
        <v>200</v>
      </c>
      <c r="B47" s="80">
        <f>floors!$C$2</f>
        <v>30036</v>
      </c>
      <c r="C47" s="81" t="str">
        <f ca="1">VLOOKUP($B47,OFFSET([2]quests!$A$1,0,0,COUNTA([2]quests!$A:$A),MATCH(C$1,[2]quests!$1:$1,0)-MATCH($B$1,[2]quests!$1:$1,0)+1),MATCH(C$1,[2]quests!$1:$1,0)-MATCH($B$1,[2]quests!$1:$1,0)+1,FALSE)</f>
        <v>猛然たる炎獣使い</v>
      </c>
      <c r="D47" s="81" t="str">
        <f ca="1">VLOOKUP($B47,OFFSET([2]quests!$A$1,0,0,COUNTA([2]quests!$A:$A),MATCH(D$1,[2]quests!$1:$1,0)-MATCH($B$1,[2]quests!$1:$1,0)+1),MATCH(D$1,[2]quests!$1:$1,0)-MATCH($B$1,[2]quests!$1:$1,0)+1,FALSE)</f>
        <v>ギリシャ神話シリーズ超級</v>
      </c>
      <c r="E47" s="85">
        <v>2</v>
      </c>
      <c r="F47" s="81" t="str">
        <f ca="1">VLOOKUP($B47&amp;"_"&amp;$E47,OFFSET([2]stages!$A$1,0,0,COUNTA([2]stages!$A:$A),MATCH(F$1,[2]stages!$2:$2,0)-MATCH("temp_stage",[2]stages!$2:$2,0)+1),MATCH(F$1,[2]stages!$2:$2,0)-MATCH("temp_stage",[2]stages!$2:$2,0)+1,FALSE)</f>
        <v>【上級】猛然たる炎獣使い</v>
      </c>
      <c r="G47" s="81" t="str">
        <f ca="1">VLOOKUP($B47&amp;"_"&amp;$E47,OFFSET([2]stages!$A$1,0,0,COUNTA([2]stages!$A:$A),MATCH(G$1,[2]stages!$2:$2,0)-MATCH("temp_stage",[2]stages!$2:$2,0)+1),MATCH(G$1,[2]stages!$2:$2,0)-MATCH("temp_stage",[2]stages!$2:$2,0)+1,FALSE)</f>
        <v>ギリシャ神話シリーズ超級</v>
      </c>
      <c r="H47" s="83">
        <v>0</v>
      </c>
      <c r="I47" s="95">
        <v>18</v>
      </c>
      <c r="J47" s="82" t="s">
        <v>197</v>
      </c>
      <c r="K47" s="91" t="str">
        <f>VLOOKUP(I47,[6]stage_hints!$A:$C,3,FALSE)</f>
        <v>マルチプレイのメリット（その2）</v>
      </c>
      <c r="L47" s="92" t="str">
        <f>VLOOKUP(I47,[6]stage_hints!$A:$D,4,FALSE)</f>
        <v>マルチプレイならリンクが2倍もらえます_x000D_リンクガチャをたくさん回しましょう</v>
      </c>
      <c r="M47" s="56" t="s">
        <v>210</v>
      </c>
    </row>
    <row r="48" spans="1:13" x14ac:dyDescent="0.15">
      <c r="A48" s="79" t="s">
        <v>200</v>
      </c>
      <c r="B48" s="80">
        <f>floors!$C$2</f>
        <v>30036</v>
      </c>
      <c r="C48" s="81" t="str">
        <f ca="1">VLOOKUP($B48,OFFSET([2]quests!$A$1,0,0,COUNTA([2]quests!$A:$A),MATCH(C$1,[2]quests!$1:$1,0)-MATCH($B$1,[2]quests!$1:$1,0)+1),MATCH(C$1,[2]quests!$1:$1,0)-MATCH($B$1,[2]quests!$1:$1,0)+1,FALSE)</f>
        <v>猛然たる炎獣使い</v>
      </c>
      <c r="D48" s="81" t="str">
        <f ca="1">VLOOKUP($B48,OFFSET([2]quests!$A$1,0,0,COUNTA([2]quests!$A:$A),MATCH(D$1,[2]quests!$1:$1,0)-MATCH($B$1,[2]quests!$1:$1,0)+1),MATCH(D$1,[2]quests!$1:$1,0)-MATCH($B$1,[2]quests!$1:$1,0)+1,FALSE)</f>
        <v>ギリシャ神話シリーズ超級</v>
      </c>
      <c r="E48" s="85">
        <v>2</v>
      </c>
      <c r="F48" s="81" t="str">
        <f ca="1">VLOOKUP($B48&amp;"_"&amp;$E48,OFFSET([2]stages!$A$1,0,0,COUNTA([2]stages!$A:$A),MATCH(F$1,[2]stages!$2:$2,0)-MATCH("temp_stage",[2]stages!$2:$2,0)+1),MATCH(F$1,[2]stages!$2:$2,0)-MATCH("temp_stage",[2]stages!$2:$2,0)+1,FALSE)</f>
        <v>【上級】猛然たる炎獣使い</v>
      </c>
      <c r="G48" s="81" t="str">
        <f ca="1">VLOOKUP($B48&amp;"_"&amp;$E48,OFFSET([2]stages!$A$1,0,0,COUNTA([2]stages!$A:$A),MATCH(G$1,[2]stages!$2:$2,0)-MATCH("temp_stage",[2]stages!$2:$2,0)+1),MATCH(G$1,[2]stages!$2:$2,0)-MATCH("temp_stage",[2]stages!$2:$2,0)+1,FALSE)</f>
        <v>ギリシャ神話シリーズ超級</v>
      </c>
      <c r="H48" s="83">
        <v>0</v>
      </c>
      <c r="I48" s="95">
        <v>19</v>
      </c>
      <c r="J48" s="82" t="s">
        <v>197</v>
      </c>
      <c r="K48" s="91" t="str">
        <f>VLOOKUP(I48,[6]stage_hints!$A:$C,3,FALSE)</f>
        <v>ソロ専用タワーオブザクイーン</v>
      </c>
      <c r="L48" s="92" t="str">
        <f>VLOOKUP(I48,[6]stage_hints!$A:$D,4,FALSE)</f>
        <v>ソロ専用の「タワーオブザクイーン」は_x000D_期間限定で定期的に開催されます_x000D_ここでしか獲得できない報酬もあるようです</v>
      </c>
      <c r="M48" s="56" t="s">
        <v>210</v>
      </c>
    </row>
    <row r="49" spans="1:13" x14ac:dyDescent="0.15">
      <c r="A49" s="79" t="s">
        <v>200</v>
      </c>
      <c r="B49" s="80">
        <f>floors!$C$2</f>
        <v>30036</v>
      </c>
      <c r="C49" s="81" t="str">
        <f ca="1">VLOOKUP($B49,OFFSET([2]quests!$A$1,0,0,COUNTA([2]quests!$A:$A),MATCH(C$1,[2]quests!$1:$1,0)-MATCH($B$1,[2]quests!$1:$1,0)+1),MATCH(C$1,[2]quests!$1:$1,0)-MATCH($B$1,[2]quests!$1:$1,0)+1,FALSE)</f>
        <v>猛然たる炎獣使い</v>
      </c>
      <c r="D49" s="81" t="str">
        <f ca="1">VLOOKUP($B49,OFFSET([2]quests!$A$1,0,0,COUNTA([2]quests!$A:$A),MATCH(D$1,[2]quests!$1:$1,0)-MATCH($B$1,[2]quests!$1:$1,0)+1),MATCH(D$1,[2]quests!$1:$1,0)-MATCH($B$1,[2]quests!$1:$1,0)+1,FALSE)</f>
        <v>ギリシャ神話シリーズ超級</v>
      </c>
      <c r="E49" s="85">
        <v>2</v>
      </c>
      <c r="F49" s="81" t="str">
        <f ca="1">VLOOKUP($B49&amp;"_"&amp;$E49,OFFSET([2]stages!$A$1,0,0,COUNTA([2]stages!$A:$A),MATCH(F$1,[2]stages!$2:$2,0)-MATCH("temp_stage",[2]stages!$2:$2,0)+1),MATCH(F$1,[2]stages!$2:$2,0)-MATCH("temp_stage",[2]stages!$2:$2,0)+1,FALSE)</f>
        <v>【上級】猛然たる炎獣使い</v>
      </c>
      <c r="G49" s="81" t="str">
        <f ca="1">VLOOKUP($B49&amp;"_"&amp;$E49,OFFSET([2]stages!$A$1,0,0,COUNTA([2]stages!$A:$A),MATCH(G$1,[2]stages!$2:$2,0)-MATCH("temp_stage",[2]stages!$2:$2,0)+1),MATCH(G$1,[2]stages!$2:$2,0)-MATCH("temp_stage",[2]stages!$2:$2,0)+1,FALSE)</f>
        <v>ギリシャ神話シリーズ超級</v>
      </c>
      <c r="H49" s="83">
        <v>0</v>
      </c>
      <c r="I49" s="95">
        <v>20</v>
      </c>
      <c r="J49" s="82" t="s">
        <v>197</v>
      </c>
      <c r="K49" s="91" t="str">
        <f>VLOOKUP(I49,[6]stage_hints!$A:$C,3,FALSE)</f>
        <v>マルチプレイのメリット（その3）</v>
      </c>
      <c r="L49" s="92" t="str">
        <f>VLOOKUP(I49,[6]stage_hints!$A:$D,4,FALSE)</f>
        <v>マルチプレイへの参加はエナジー消費ゼロ_x000D_いつでも好きなだけ遊ぶことができます</v>
      </c>
      <c r="M49" s="56" t="s">
        <v>210</v>
      </c>
    </row>
    <row r="50" spans="1:13" x14ac:dyDescent="0.15">
      <c r="A50" s="79" t="s">
        <v>200</v>
      </c>
      <c r="B50" s="80">
        <f>floors!$C$2</f>
        <v>30036</v>
      </c>
      <c r="C50" s="81" t="str">
        <f ca="1">VLOOKUP($B50,OFFSET([2]quests!$A$1,0,0,COUNTA([2]quests!$A:$A),MATCH(C$1,[2]quests!$1:$1,0)-MATCH($B$1,[2]quests!$1:$1,0)+1),MATCH(C$1,[2]quests!$1:$1,0)-MATCH($B$1,[2]quests!$1:$1,0)+1,FALSE)</f>
        <v>猛然たる炎獣使い</v>
      </c>
      <c r="D50" s="81" t="str">
        <f ca="1">VLOOKUP($B50,OFFSET([2]quests!$A$1,0,0,COUNTA([2]quests!$A:$A),MATCH(D$1,[2]quests!$1:$1,0)-MATCH($B$1,[2]quests!$1:$1,0)+1),MATCH(D$1,[2]quests!$1:$1,0)-MATCH($B$1,[2]quests!$1:$1,0)+1,FALSE)</f>
        <v>ギリシャ神話シリーズ超級</v>
      </c>
      <c r="E50" s="85">
        <v>2</v>
      </c>
      <c r="F50" s="81" t="str">
        <f ca="1">VLOOKUP($B50&amp;"_"&amp;$E50,OFFSET([2]stages!$A$1,0,0,COUNTA([2]stages!$A:$A),MATCH(F$1,[2]stages!$2:$2,0)-MATCH("temp_stage",[2]stages!$2:$2,0)+1),MATCH(F$1,[2]stages!$2:$2,0)-MATCH("temp_stage",[2]stages!$2:$2,0)+1,FALSE)</f>
        <v>【上級】猛然たる炎獣使い</v>
      </c>
      <c r="G50" s="81" t="str">
        <f ca="1">VLOOKUP($B50&amp;"_"&amp;$E50,OFFSET([2]stages!$A$1,0,0,COUNTA([2]stages!$A:$A),MATCH(G$1,[2]stages!$2:$2,0)-MATCH("temp_stage",[2]stages!$2:$2,0)+1),MATCH(G$1,[2]stages!$2:$2,0)-MATCH("temp_stage",[2]stages!$2:$2,0)+1,FALSE)</f>
        <v>ギリシャ神話シリーズ超級</v>
      </c>
      <c r="H50" s="83">
        <v>0</v>
      </c>
      <c r="I50" s="95">
        <v>21</v>
      </c>
      <c r="J50" s="82" t="s">
        <v>197</v>
      </c>
      <c r="K50" s="91" t="str">
        <f>VLOOKUP(I50,[6]stage_hints!$A:$C,3,FALSE)</f>
        <v>スキルを有効に</v>
      </c>
      <c r="L50" s="92" t="str">
        <f>VLOOKUP(I50,[6]stage_hints!$A:$D,4,FALSE)</f>
        <v>ターン経過でユニットのスキルが使えます_x000D_強力スキルでバトルを有利に進めましょう</v>
      </c>
      <c r="M50" s="56" t="s">
        <v>210</v>
      </c>
    </row>
    <row r="51" spans="1:13" x14ac:dyDescent="0.15">
      <c r="A51" s="79" t="s">
        <v>200</v>
      </c>
      <c r="B51" s="80">
        <f>floors!$C$2</f>
        <v>30036</v>
      </c>
      <c r="C51" s="81" t="str">
        <f ca="1">VLOOKUP($B51,OFFSET([2]quests!$A$1,0,0,COUNTA([2]quests!$A:$A),MATCH(C$1,[2]quests!$1:$1,0)-MATCH($B$1,[2]quests!$1:$1,0)+1),MATCH(C$1,[2]quests!$1:$1,0)-MATCH($B$1,[2]quests!$1:$1,0)+1,FALSE)</f>
        <v>猛然たる炎獣使い</v>
      </c>
      <c r="D51" s="81" t="str">
        <f ca="1">VLOOKUP($B51,OFFSET([2]quests!$A$1,0,0,COUNTA([2]quests!$A:$A),MATCH(D$1,[2]quests!$1:$1,0)-MATCH($B$1,[2]quests!$1:$1,0)+1),MATCH(D$1,[2]quests!$1:$1,0)-MATCH($B$1,[2]quests!$1:$1,0)+1,FALSE)</f>
        <v>ギリシャ神話シリーズ超級</v>
      </c>
      <c r="E51" s="85">
        <v>2</v>
      </c>
      <c r="F51" s="81" t="str">
        <f ca="1">VLOOKUP($B51&amp;"_"&amp;$E51,OFFSET([2]stages!$A$1,0,0,COUNTA([2]stages!$A:$A),MATCH(F$1,[2]stages!$2:$2,0)-MATCH("temp_stage",[2]stages!$2:$2,0)+1),MATCH(F$1,[2]stages!$2:$2,0)-MATCH("temp_stage",[2]stages!$2:$2,0)+1,FALSE)</f>
        <v>【上級】猛然たる炎獣使い</v>
      </c>
      <c r="G51" s="81" t="str">
        <f ca="1">VLOOKUP($B51&amp;"_"&amp;$E51,OFFSET([2]stages!$A$1,0,0,COUNTA([2]stages!$A:$A),MATCH(G$1,[2]stages!$2:$2,0)-MATCH("temp_stage",[2]stages!$2:$2,0)+1),MATCH(G$1,[2]stages!$2:$2,0)-MATCH("temp_stage",[2]stages!$2:$2,0)+1,FALSE)</f>
        <v>ギリシャ神話シリーズ超級</v>
      </c>
      <c r="H51" s="83">
        <v>0</v>
      </c>
      <c r="I51" s="95">
        <v>22</v>
      </c>
      <c r="J51" s="82" t="s">
        <v>197</v>
      </c>
      <c r="K51" s="91" t="str">
        <f>VLOOKUP(I51,[6]stage_hints!$A:$C,3,FALSE)</f>
        <v>フィーバーで一発逆転（その1）</v>
      </c>
      <c r="L51" s="92" t="str">
        <f>VLOOKUP(I51,[6]stage_hints!$A:$D,4,FALSE)</f>
        <v>フィーバーは攻撃と回復を兼ね備えます_x000D_ピンチからの一発逆転を狙いましょう</v>
      </c>
      <c r="M51" s="56" t="s">
        <v>210</v>
      </c>
    </row>
    <row r="52" spans="1:13" x14ac:dyDescent="0.15">
      <c r="A52" s="79" t="s">
        <v>200</v>
      </c>
      <c r="B52" s="80">
        <f>floors!$C$2</f>
        <v>30036</v>
      </c>
      <c r="C52" s="81" t="str">
        <f ca="1">VLOOKUP($B52,OFFSET([2]quests!$A$1,0,0,COUNTA([2]quests!$A:$A),MATCH(C$1,[2]quests!$1:$1,0)-MATCH($B$1,[2]quests!$1:$1,0)+1),MATCH(C$1,[2]quests!$1:$1,0)-MATCH($B$1,[2]quests!$1:$1,0)+1,FALSE)</f>
        <v>猛然たる炎獣使い</v>
      </c>
      <c r="D52" s="81" t="str">
        <f ca="1">VLOOKUP($B52,OFFSET([2]quests!$A$1,0,0,COUNTA([2]quests!$A:$A),MATCH(D$1,[2]quests!$1:$1,0)-MATCH($B$1,[2]quests!$1:$1,0)+1),MATCH(D$1,[2]quests!$1:$1,0)-MATCH($B$1,[2]quests!$1:$1,0)+1,FALSE)</f>
        <v>ギリシャ神話シリーズ超級</v>
      </c>
      <c r="E52" s="85">
        <v>2</v>
      </c>
      <c r="F52" s="81" t="str">
        <f ca="1">VLOOKUP($B52&amp;"_"&amp;$E52,OFFSET([2]stages!$A$1,0,0,COUNTA([2]stages!$A:$A),MATCH(F$1,[2]stages!$2:$2,0)-MATCH("temp_stage",[2]stages!$2:$2,0)+1),MATCH(F$1,[2]stages!$2:$2,0)-MATCH("temp_stage",[2]stages!$2:$2,0)+1,FALSE)</f>
        <v>【上級】猛然たる炎獣使い</v>
      </c>
      <c r="G52" s="81" t="str">
        <f ca="1">VLOOKUP($B52&amp;"_"&amp;$E52,OFFSET([2]stages!$A$1,0,0,COUNTA([2]stages!$A:$A),MATCH(G$1,[2]stages!$2:$2,0)-MATCH("temp_stage",[2]stages!$2:$2,0)+1),MATCH(G$1,[2]stages!$2:$2,0)-MATCH("temp_stage",[2]stages!$2:$2,0)+1,FALSE)</f>
        <v>ギリシャ神話シリーズ超級</v>
      </c>
      <c r="H52" s="83">
        <v>0</v>
      </c>
      <c r="I52" s="95">
        <v>23</v>
      </c>
      <c r="J52" s="82" t="s">
        <v>197</v>
      </c>
      <c r="K52" s="91" t="str">
        <f>VLOOKUP(I52,[6]stage_hints!$A:$C,3,FALSE)</f>
        <v>フィーバーで一発逆転（その2）</v>
      </c>
      <c r="L52" s="92" t="str">
        <f>VLOOKUP(I52,[6]stage_hints!$A:$D,4,FALSE)</f>
        <v>フィーバー中は虹色のボムパネルを狙って_x000D_画面上のパネルを一気に破壊しましょう</v>
      </c>
      <c r="M52" s="56" t="s">
        <v>210</v>
      </c>
    </row>
    <row r="53" spans="1:13" x14ac:dyDescent="0.15">
      <c r="A53" s="79" t="s">
        <v>200</v>
      </c>
      <c r="B53" s="80">
        <f>floors!$C$2</f>
        <v>30036</v>
      </c>
      <c r="C53" s="81" t="str">
        <f ca="1">VLOOKUP($B53,OFFSET([2]quests!$A$1,0,0,COUNTA([2]quests!$A:$A),MATCH(C$1,[2]quests!$1:$1,0)-MATCH($B$1,[2]quests!$1:$1,0)+1),MATCH(C$1,[2]quests!$1:$1,0)-MATCH($B$1,[2]quests!$1:$1,0)+1,FALSE)</f>
        <v>猛然たる炎獣使い</v>
      </c>
      <c r="D53" s="81" t="str">
        <f ca="1">VLOOKUP($B53,OFFSET([2]quests!$A$1,0,0,COUNTA([2]quests!$A:$A),MATCH(D$1,[2]quests!$1:$1,0)-MATCH($B$1,[2]quests!$1:$1,0)+1),MATCH(D$1,[2]quests!$1:$1,0)-MATCH($B$1,[2]quests!$1:$1,0)+1,FALSE)</f>
        <v>ギリシャ神話シリーズ超級</v>
      </c>
      <c r="E53" s="85">
        <v>2</v>
      </c>
      <c r="F53" s="81" t="str">
        <f ca="1">VLOOKUP($B53&amp;"_"&amp;$E53,OFFSET([2]stages!$A$1,0,0,COUNTA([2]stages!$A:$A),MATCH(F$1,[2]stages!$2:$2,0)-MATCH("temp_stage",[2]stages!$2:$2,0)+1),MATCH(F$1,[2]stages!$2:$2,0)-MATCH("temp_stage",[2]stages!$2:$2,0)+1,FALSE)</f>
        <v>【上級】猛然たる炎獣使い</v>
      </c>
      <c r="G53" s="81" t="str">
        <f ca="1">VLOOKUP($B53&amp;"_"&amp;$E53,OFFSET([2]stages!$A$1,0,0,COUNTA([2]stages!$A:$A),MATCH(G$1,[2]stages!$2:$2,0)-MATCH("temp_stage",[2]stages!$2:$2,0)+1),MATCH(G$1,[2]stages!$2:$2,0)-MATCH("temp_stage",[2]stages!$2:$2,0)+1,FALSE)</f>
        <v>ギリシャ神話シリーズ超級</v>
      </c>
      <c r="H53" s="83">
        <v>0</v>
      </c>
      <c r="I53" s="95">
        <v>24</v>
      </c>
      <c r="J53" s="82" t="s">
        <v>197</v>
      </c>
      <c r="K53" s="91" t="str">
        <f>VLOOKUP(I53,[6]stage_hints!$A:$C,3,FALSE)</f>
        <v>果実を使って限界突破</v>
      </c>
      <c r="L53" s="92" t="str">
        <f>VLOOKUP(I53,[6]stage_hints!$A:$D,4,FALSE)</f>
        <v>攻めの果実 癒しの果実_x000D_生命の果実をユニット強化に使うと_x000D_ステータスが限界突破します（計99個迄）</v>
      </c>
      <c r="M53" s="56" t="s">
        <v>210</v>
      </c>
    </row>
    <row r="54" spans="1:13" x14ac:dyDescent="0.15">
      <c r="A54" s="79" t="s">
        <v>200</v>
      </c>
      <c r="B54" s="80">
        <f>floors!$C$2</f>
        <v>30036</v>
      </c>
      <c r="C54" s="81" t="str">
        <f ca="1">VLOOKUP($B54,OFFSET([2]quests!$A$1,0,0,COUNTA([2]quests!$A:$A),MATCH(C$1,[2]quests!$1:$1,0)-MATCH($B$1,[2]quests!$1:$1,0)+1),MATCH(C$1,[2]quests!$1:$1,0)-MATCH($B$1,[2]quests!$1:$1,0)+1,FALSE)</f>
        <v>猛然たる炎獣使い</v>
      </c>
      <c r="D54" s="81" t="str">
        <f ca="1">VLOOKUP($B54,OFFSET([2]quests!$A$1,0,0,COUNTA([2]quests!$A:$A),MATCH(D$1,[2]quests!$1:$1,0)-MATCH($B$1,[2]quests!$1:$1,0)+1),MATCH(D$1,[2]quests!$1:$1,0)-MATCH($B$1,[2]quests!$1:$1,0)+1,FALSE)</f>
        <v>ギリシャ神話シリーズ超級</v>
      </c>
      <c r="E54" s="85">
        <v>2</v>
      </c>
      <c r="F54" s="81" t="str">
        <f ca="1">VLOOKUP($B54&amp;"_"&amp;$E54,OFFSET([2]stages!$A$1,0,0,COUNTA([2]stages!$A:$A),MATCH(F$1,[2]stages!$2:$2,0)-MATCH("temp_stage",[2]stages!$2:$2,0)+1),MATCH(F$1,[2]stages!$2:$2,0)-MATCH("temp_stage",[2]stages!$2:$2,0)+1,FALSE)</f>
        <v>【上級】猛然たる炎獣使い</v>
      </c>
      <c r="G54" s="81" t="str">
        <f ca="1">VLOOKUP($B54&amp;"_"&amp;$E54,OFFSET([2]stages!$A$1,0,0,COUNTA([2]stages!$A:$A),MATCH(G$1,[2]stages!$2:$2,0)-MATCH("temp_stage",[2]stages!$2:$2,0)+1),MATCH(G$1,[2]stages!$2:$2,0)-MATCH("temp_stage",[2]stages!$2:$2,0)+1,FALSE)</f>
        <v>ギリシャ神話シリーズ超級</v>
      </c>
      <c r="H54" s="83">
        <v>0</v>
      </c>
      <c r="I54" s="95">
        <v>25</v>
      </c>
      <c r="J54" s="82" t="s">
        <v>197</v>
      </c>
      <c r="K54" s="91" t="str">
        <f>VLOOKUP(I54,[6]stage_hints!$A:$C,3,FALSE)</f>
        <v>スキルレベルアップ</v>
      </c>
      <c r="L54" s="92" t="str">
        <f>VLOOKUP(I54,[6]stage_hints!$A:$D,4,FALSE)</f>
        <v>「秘術の果実」を強化に使うと_x000D_スキルレベルを上げることができます</v>
      </c>
      <c r="M54" s="56" t="s">
        <v>210</v>
      </c>
    </row>
    <row r="55" spans="1:13" x14ac:dyDescent="0.15">
      <c r="A55" s="79" t="s">
        <v>200</v>
      </c>
      <c r="B55" s="80">
        <f>floors!$C$2</f>
        <v>30036</v>
      </c>
      <c r="C55" s="81" t="str">
        <f ca="1">VLOOKUP($B55,OFFSET([2]quests!$A$1,0,0,COUNTA([2]quests!$A:$A),MATCH(C$1,[2]quests!$1:$1,0)-MATCH($B$1,[2]quests!$1:$1,0)+1),MATCH(C$1,[2]quests!$1:$1,0)-MATCH($B$1,[2]quests!$1:$1,0)+1,FALSE)</f>
        <v>猛然たる炎獣使い</v>
      </c>
      <c r="D55" s="81" t="str">
        <f ca="1">VLOOKUP($B55,OFFSET([2]quests!$A$1,0,0,COUNTA([2]quests!$A:$A),MATCH(D$1,[2]quests!$1:$1,0)-MATCH($B$1,[2]quests!$1:$1,0)+1),MATCH(D$1,[2]quests!$1:$1,0)-MATCH($B$1,[2]quests!$1:$1,0)+1,FALSE)</f>
        <v>ギリシャ神話シリーズ超級</v>
      </c>
      <c r="E55" s="85">
        <v>2</v>
      </c>
      <c r="F55" s="81" t="str">
        <f ca="1">VLOOKUP($B55&amp;"_"&amp;$E55,OFFSET([2]stages!$A$1,0,0,COUNTA([2]stages!$A:$A),MATCH(F$1,[2]stages!$2:$2,0)-MATCH("temp_stage",[2]stages!$2:$2,0)+1),MATCH(F$1,[2]stages!$2:$2,0)-MATCH("temp_stage",[2]stages!$2:$2,0)+1,FALSE)</f>
        <v>【上級】猛然たる炎獣使い</v>
      </c>
      <c r="G55" s="81" t="str">
        <f ca="1">VLOOKUP($B55&amp;"_"&amp;$E55,OFFSET([2]stages!$A$1,0,0,COUNTA([2]stages!$A:$A),MATCH(G$1,[2]stages!$2:$2,0)-MATCH("temp_stage",[2]stages!$2:$2,0)+1),MATCH(G$1,[2]stages!$2:$2,0)-MATCH("temp_stage",[2]stages!$2:$2,0)+1,FALSE)</f>
        <v>ギリシャ神話シリーズ超級</v>
      </c>
      <c r="H55" s="83">
        <v>0</v>
      </c>
      <c r="I55" s="95">
        <v>26</v>
      </c>
      <c r="J55" s="82" t="s">
        <v>197</v>
      </c>
      <c r="K55" s="91" t="str">
        <f>VLOOKUP(I55,[6]stage_hints!$A:$C,3,FALSE)</f>
        <v>スキルレベルの効果</v>
      </c>
      <c r="L55" s="92" t="str">
        <f>VLOOKUP(I55,[6]stage_hints!$A:$D,4,FALSE)</f>
        <v>スキルレベルが上がると_x000D_短いターンでスキルを使うことができます</v>
      </c>
      <c r="M55" s="56" t="s">
        <v>210</v>
      </c>
    </row>
    <row r="56" spans="1:13" x14ac:dyDescent="0.15">
      <c r="A56" s="79" t="s">
        <v>200</v>
      </c>
      <c r="B56" s="80">
        <f>floors!$C$2</f>
        <v>30036</v>
      </c>
      <c r="C56" s="81" t="str">
        <f ca="1">VLOOKUP($B56,OFFSET([2]quests!$A$1,0,0,COUNTA([2]quests!$A:$A),MATCH(C$1,[2]quests!$1:$1,0)-MATCH($B$1,[2]quests!$1:$1,0)+1),MATCH(C$1,[2]quests!$1:$1,0)-MATCH($B$1,[2]quests!$1:$1,0)+1,FALSE)</f>
        <v>猛然たる炎獣使い</v>
      </c>
      <c r="D56" s="81" t="str">
        <f ca="1">VLOOKUP($B56,OFFSET([2]quests!$A$1,0,0,COUNTA([2]quests!$A:$A),MATCH(D$1,[2]quests!$1:$1,0)-MATCH($B$1,[2]quests!$1:$1,0)+1),MATCH(D$1,[2]quests!$1:$1,0)-MATCH($B$1,[2]quests!$1:$1,0)+1,FALSE)</f>
        <v>ギリシャ神話シリーズ超級</v>
      </c>
      <c r="E56" s="85">
        <v>2</v>
      </c>
      <c r="F56" s="81" t="str">
        <f ca="1">VLOOKUP($B56&amp;"_"&amp;$E56,OFFSET([2]stages!$A$1,0,0,COUNTA([2]stages!$A:$A),MATCH(F$1,[2]stages!$2:$2,0)-MATCH("temp_stage",[2]stages!$2:$2,0)+1),MATCH(F$1,[2]stages!$2:$2,0)-MATCH("temp_stage",[2]stages!$2:$2,0)+1,FALSE)</f>
        <v>【上級】猛然たる炎獣使い</v>
      </c>
      <c r="G56" s="81" t="str">
        <f ca="1">VLOOKUP($B56&amp;"_"&amp;$E56,OFFSET([2]stages!$A$1,0,0,COUNTA([2]stages!$A:$A),MATCH(G$1,[2]stages!$2:$2,0)-MATCH("temp_stage",[2]stages!$2:$2,0)+1),MATCH(G$1,[2]stages!$2:$2,0)-MATCH("temp_stage",[2]stages!$2:$2,0)+1,FALSE)</f>
        <v>ギリシャ神話シリーズ超級</v>
      </c>
      <c r="H56" s="83">
        <v>0</v>
      </c>
      <c r="I56" s="95">
        <v>27</v>
      </c>
      <c r="J56" s="82" t="s">
        <v>197</v>
      </c>
      <c r="K56" s="91" t="str">
        <f>VLOOKUP(I56,[6]stage_hints!$A:$C,3,FALSE)</f>
        <v>ホーム画面からデッキを編成</v>
      </c>
      <c r="L56" s="92" t="str">
        <f>VLOOKUP(I56,[6]stage_hints!$A:$D,4,FALSE)</f>
        <v>ホーム画面でユニットを長押しすると_x000D_すぐにパーティ編成に移動できます</v>
      </c>
      <c r="M56" s="56" t="s">
        <v>210</v>
      </c>
    </row>
    <row r="57" spans="1:13" x14ac:dyDescent="0.15">
      <c r="A57" s="79" t="s">
        <v>200</v>
      </c>
      <c r="B57" s="80">
        <f>floors!$C$2</f>
        <v>30036</v>
      </c>
      <c r="C57" s="81" t="str">
        <f ca="1">VLOOKUP($B57,OFFSET([2]quests!$A$1,0,0,COUNTA([2]quests!$A:$A),MATCH(C$1,[2]quests!$1:$1,0)-MATCH($B$1,[2]quests!$1:$1,0)+1),MATCH(C$1,[2]quests!$1:$1,0)-MATCH($B$1,[2]quests!$1:$1,0)+1,FALSE)</f>
        <v>猛然たる炎獣使い</v>
      </c>
      <c r="D57" s="81" t="str">
        <f ca="1">VLOOKUP($B57,OFFSET([2]quests!$A$1,0,0,COUNTA([2]quests!$A:$A),MATCH(D$1,[2]quests!$1:$1,0)-MATCH($B$1,[2]quests!$1:$1,0)+1),MATCH(D$1,[2]quests!$1:$1,0)-MATCH($B$1,[2]quests!$1:$1,0)+1,FALSE)</f>
        <v>ギリシャ神話シリーズ超級</v>
      </c>
      <c r="E57" s="85">
        <v>2</v>
      </c>
      <c r="F57" s="81" t="str">
        <f ca="1">VLOOKUP($B57&amp;"_"&amp;$E57,OFFSET([2]stages!$A$1,0,0,COUNTA([2]stages!$A:$A),MATCH(F$1,[2]stages!$2:$2,0)-MATCH("temp_stage",[2]stages!$2:$2,0)+1),MATCH(F$1,[2]stages!$2:$2,0)-MATCH("temp_stage",[2]stages!$2:$2,0)+1,FALSE)</f>
        <v>【上級】猛然たる炎獣使い</v>
      </c>
      <c r="G57" s="81" t="str">
        <f ca="1">VLOOKUP($B57&amp;"_"&amp;$E57,OFFSET([2]stages!$A$1,0,0,COUNTA([2]stages!$A:$A),MATCH(G$1,[2]stages!$2:$2,0)-MATCH("temp_stage",[2]stages!$2:$2,0)+1),MATCH(G$1,[2]stages!$2:$2,0)-MATCH("temp_stage",[2]stages!$2:$2,0)+1,FALSE)</f>
        <v>ギリシャ神話シリーズ超級</v>
      </c>
      <c r="H57" s="83">
        <v>0</v>
      </c>
      <c r="I57" s="95">
        <v>28</v>
      </c>
      <c r="J57" s="82" t="s">
        <v>197</v>
      </c>
      <c r="K57" s="91" t="str">
        <f>VLOOKUP(I57,[6]stage_hints!$A:$C,3,FALSE)</f>
        <v>ステータス情報は長押しで</v>
      </c>
      <c r="L57" s="92" t="str">
        <f>VLOOKUP(I57,[6]stage_hints!$A:$D,4,FALSE)</f>
        <v>ユニットのアイコンを長押しすると_x000D_ステータス情報を確認することができます</v>
      </c>
      <c r="M57" s="56" t="s">
        <v>210</v>
      </c>
    </row>
    <row r="58" spans="1:13" x14ac:dyDescent="0.15">
      <c r="A58" s="79" t="s">
        <v>200</v>
      </c>
      <c r="B58" s="80">
        <f>floors!$C$2</f>
        <v>30036</v>
      </c>
      <c r="C58" s="81" t="str">
        <f ca="1">VLOOKUP($B58,OFFSET([2]quests!$A$1,0,0,COUNTA([2]quests!$A:$A),MATCH(C$1,[2]quests!$1:$1,0)-MATCH($B$1,[2]quests!$1:$1,0)+1),MATCH(C$1,[2]quests!$1:$1,0)-MATCH($B$1,[2]quests!$1:$1,0)+1,FALSE)</f>
        <v>猛然たる炎獣使い</v>
      </c>
      <c r="D58" s="81" t="str">
        <f ca="1">VLOOKUP($B58,OFFSET([2]quests!$A$1,0,0,COUNTA([2]quests!$A:$A),MATCH(D$1,[2]quests!$1:$1,0)-MATCH($B$1,[2]quests!$1:$1,0)+1),MATCH(D$1,[2]quests!$1:$1,0)-MATCH($B$1,[2]quests!$1:$1,0)+1,FALSE)</f>
        <v>ギリシャ神話シリーズ超級</v>
      </c>
      <c r="E58" s="85">
        <v>2</v>
      </c>
      <c r="F58" s="81" t="str">
        <f ca="1">VLOOKUP($B58&amp;"_"&amp;$E58,OFFSET([2]stages!$A$1,0,0,COUNTA([2]stages!$A:$A),MATCH(F$1,[2]stages!$2:$2,0)-MATCH("temp_stage",[2]stages!$2:$2,0)+1),MATCH(F$1,[2]stages!$2:$2,0)-MATCH("temp_stage",[2]stages!$2:$2,0)+1,FALSE)</f>
        <v>【上級】猛然たる炎獣使い</v>
      </c>
      <c r="G58" s="81" t="str">
        <f ca="1">VLOOKUP($B58&amp;"_"&amp;$E58,OFFSET([2]stages!$A$1,0,0,COUNTA([2]stages!$A:$A),MATCH(G$1,[2]stages!$2:$2,0)-MATCH("temp_stage",[2]stages!$2:$2,0)+1),MATCH(G$1,[2]stages!$2:$2,0)-MATCH("temp_stage",[2]stages!$2:$2,0)+1,FALSE)</f>
        <v>ギリシャ神話シリーズ超級</v>
      </c>
      <c r="H58" s="83">
        <v>0</v>
      </c>
      <c r="I58" s="95">
        <v>29</v>
      </c>
      <c r="J58" s="82" t="s">
        <v>197</v>
      </c>
      <c r="K58" s="91" t="str">
        <f>VLOOKUP(I58,[6]stage_hints!$A:$C,3,FALSE)</f>
        <v>「バグ」のメリット</v>
      </c>
      <c r="L58" s="92" t="str">
        <f>VLOOKUP(I58,[6]stage_hints!$A:$D,4,FALSE)</f>
        <v>ユニットの「バグ」を増やすと_x000D_報酬をもらえる確率がアップします</v>
      </c>
      <c r="M58" s="56" t="s">
        <v>210</v>
      </c>
    </row>
    <row r="59" spans="1:13" x14ac:dyDescent="0.15">
      <c r="A59" s="79" t="s">
        <v>200</v>
      </c>
      <c r="B59" s="80">
        <f>floors!$C$2</f>
        <v>30036</v>
      </c>
      <c r="C59" s="81" t="str">
        <f ca="1">VLOOKUP($B59,OFFSET([2]quests!$A$1,0,0,COUNTA([2]quests!$A:$A),MATCH(C$1,[2]quests!$1:$1,0)-MATCH($B$1,[2]quests!$1:$1,0)+1),MATCH(C$1,[2]quests!$1:$1,0)-MATCH($B$1,[2]quests!$1:$1,0)+1,FALSE)</f>
        <v>猛然たる炎獣使い</v>
      </c>
      <c r="D59" s="81" t="str">
        <f ca="1">VLOOKUP($B59,OFFSET([2]quests!$A$1,0,0,COUNTA([2]quests!$A:$A),MATCH(D$1,[2]quests!$1:$1,0)-MATCH($B$1,[2]quests!$1:$1,0)+1),MATCH(D$1,[2]quests!$1:$1,0)-MATCH($B$1,[2]quests!$1:$1,0)+1,FALSE)</f>
        <v>ギリシャ神話シリーズ超級</v>
      </c>
      <c r="E59" s="85">
        <v>2</v>
      </c>
      <c r="F59" s="81" t="str">
        <f ca="1">VLOOKUP($B59&amp;"_"&amp;$E59,OFFSET([2]stages!$A$1,0,0,COUNTA([2]stages!$A:$A),MATCH(F$1,[2]stages!$2:$2,0)-MATCH("temp_stage",[2]stages!$2:$2,0)+1),MATCH(F$1,[2]stages!$2:$2,0)-MATCH("temp_stage",[2]stages!$2:$2,0)+1,FALSE)</f>
        <v>【上級】猛然たる炎獣使い</v>
      </c>
      <c r="G59" s="81" t="str">
        <f ca="1">VLOOKUP($B59&amp;"_"&amp;$E59,OFFSET([2]stages!$A$1,0,0,COUNTA([2]stages!$A:$A),MATCH(G$1,[2]stages!$2:$2,0)-MATCH("temp_stage",[2]stages!$2:$2,0)+1),MATCH(G$1,[2]stages!$2:$2,0)-MATCH("temp_stage",[2]stages!$2:$2,0)+1,FALSE)</f>
        <v>ギリシャ神話シリーズ超級</v>
      </c>
      <c r="H59" s="83">
        <v>0</v>
      </c>
      <c r="I59" s="95">
        <v>30</v>
      </c>
      <c r="J59" s="82" t="s">
        <v>197</v>
      </c>
      <c r="K59" s="91" t="str">
        <f>VLOOKUP(I59,[6]stage_hints!$A:$C,3,FALSE)</f>
        <v>「バグ」の増やし方</v>
      </c>
      <c r="L59" s="92" t="str">
        <f>VLOOKUP(I59,[6]stage_hints!$A:$D,4,FALSE)</f>
        <v>同じユニット同士を強化で合成すると_x000D_「バグ」を増やすことができます</v>
      </c>
      <c r="M59" s="56" t="s">
        <v>210</v>
      </c>
    </row>
    <row r="60" spans="1:13" x14ac:dyDescent="0.15">
      <c r="A60" s="79" t="s">
        <v>200</v>
      </c>
      <c r="B60" s="80">
        <f>floors!$C$2</f>
        <v>30036</v>
      </c>
      <c r="C60" s="81" t="str">
        <f ca="1">VLOOKUP($B60,OFFSET([2]quests!$A$1,0,0,COUNTA([2]quests!$A:$A),MATCH(C$1,[2]quests!$1:$1,0)-MATCH($B$1,[2]quests!$1:$1,0)+1),MATCH(C$1,[2]quests!$1:$1,0)-MATCH($B$1,[2]quests!$1:$1,0)+1,FALSE)</f>
        <v>猛然たる炎獣使い</v>
      </c>
      <c r="D60" s="81" t="str">
        <f ca="1">VLOOKUP($B60,OFFSET([2]quests!$A$1,0,0,COUNTA([2]quests!$A:$A),MATCH(D$1,[2]quests!$1:$1,0)-MATCH($B$1,[2]quests!$1:$1,0)+1),MATCH(D$1,[2]quests!$1:$1,0)-MATCH($B$1,[2]quests!$1:$1,0)+1,FALSE)</f>
        <v>ギリシャ神話シリーズ超級</v>
      </c>
      <c r="E60" s="85">
        <v>2</v>
      </c>
      <c r="F60" s="81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【上級】猛然たる炎獣使い</v>
      </c>
      <c r="G60" s="81" t="str">
        <f ca="1">VLOOKUP($B60&amp;"_"&amp;$E60,OFFSET([2]stages!$A$1,0,0,COUNTA([2]stages!$A:$A),MATCH(G$1,[2]stages!$2:$2,0)-MATCH("temp_stage",[2]stages!$2:$2,0)+1),MATCH(G$1,[2]stages!$2:$2,0)-MATCH("temp_stage",[2]stages!$2:$2,0)+1,FALSE)</f>
        <v>ギリシャ神話シリーズ超級</v>
      </c>
      <c r="H60" s="83">
        <v>0</v>
      </c>
      <c r="I60" s="95">
        <v>31</v>
      </c>
      <c r="J60" s="82" t="s">
        <v>197</v>
      </c>
      <c r="K60" s="91" t="str">
        <f>VLOOKUP(I60,[6]stage_hints!$A:$C,3,FALSE)</f>
        <v>イベントはお知らせでチェック</v>
      </c>
      <c r="L60" s="92" t="str">
        <f>VLOOKUP(I60,[6]stage_hints!$A:$D,4,FALSE)</f>
        <v>イベント限定ユニットを取り忘れないように_x000D_お知らせをこまめにチェックしましょう</v>
      </c>
      <c r="M60" s="56" t="s">
        <v>210</v>
      </c>
    </row>
    <row r="61" spans="1:13" x14ac:dyDescent="0.15">
      <c r="A61" s="79" t="s">
        <v>200</v>
      </c>
      <c r="B61" s="80">
        <f>floors!$C$2</f>
        <v>30036</v>
      </c>
      <c r="C61" s="81" t="str">
        <f ca="1">VLOOKUP($B61,OFFSET([2]quests!$A$1,0,0,COUNTA([2]quests!$A:$A),MATCH(C$1,[2]quests!$1:$1,0)-MATCH($B$1,[2]quests!$1:$1,0)+1),MATCH(C$1,[2]quests!$1:$1,0)-MATCH($B$1,[2]quests!$1:$1,0)+1,FALSE)</f>
        <v>猛然たる炎獣使い</v>
      </c>
      <c r="D61" s="81" t="str">
        <f ca="1">VLOOKUP($B61,OFFSET([2]quests!$A$1,0,0,COUNTA([2]quests!$A:$A),MATCH(D$1,[2]quests!$1:$1,0)-MATCH($B$1,[2]quests!$1:$1,0)+1),MATCH(D$1,[2]quests!$1:$1,0)-MATCH($B$1,[2]quests!$1:$1,0)+1,FALSE)</f>
        <v>ギリシャ神話シリーズ超級</v>
      </c>
      <c r="E61" s="85">
        <v>2</v>
      </c>
      <c r="F61" s="81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【上級】猛然たる炎獣使い</v>
      </c>
      <c r="G61" s="81" t="str">
        <f ca="1">VLOOKUP($B61&amp;"_"&amp;$E61,OFFSET([2]stages!$A$1,0,0,COUNTA([2]stages!$A:$A),MATCH(G$1,[2]stages!$2:$2,0)-MATCH("temp_stage",[2]stages!$2:$2,0)+1),MATCH(G$1,[2]stages!$2:$2,0)-MATCH("temp_stage",[2]stages!$2:$2,0)+1,FALSE)</f>
        <v>ギリシャ神話シリーズ超級</v>
      </c>
      <c r="H61" s="83">
        <v>0</v>
      </c>
      <c r="I61" s="95">
        <v>32</v>
      </c>
      <c r="J61" s="82" t="s">
        <v>197</v>
      </c>
      <c r="K61" s="91" t="str">
        <f>VLOOKUP(I61,[6]stage_hints!$A:$C,3,FALSE)</f>
        <v>敵の連続攻撃には</v>
      </c>
      <c r="L61" s="92" t="str">
        <f>VLOOKUP(I61,[6]stage_hints!$A:$D,4,FALSE)</f>
        <v>カウンタースキルを持つユニットがいれば_x000D_ダメージ回数分の反撃ができます</v>
      </c>
      <c r="M61" s="56" t="s">
        <v>210</v>
      </c>
    </row>
    <row r="62" spans="1:13" x14ac:dyDescent="0.15">
      <c r="A62" s="79" t="s">
        <v>200</v>
      </c>
      <c r="B62" s="80">
        <f>floors!$C$2</f>
        <v>30036</v>
      </c>
      <c r="C62" s="81" t="str">
        <f ca="1">VLOOKUP($B62,OFFSET([2]quests!$A$1,0,0,COUNTA([2]quests!$A:$A),MATCH(C$1,[2]quests!$1:$1,0)-MATCH($B$1,[2]quests!$1:$1,0)+1),MATCH(C$1,[2]quests!$1:$1,0)-MATCH($B$1,[2]quests!$1:$1,0)+1,FALSE)</f>
        <v>猛然たる炎獣使い</v>
      </c>
      <c r="D62" s="81" t="str">
        <f ca="1">VLOOKUP($B62,OFFSET([2]quests!$A$1,0,0,COUNTA([2]quests!$A:$A),MATCH(D$1,[2]quests!$1:$1,0)-MATCH($B$1,[2]quests!$1:$1,0)+1),MATCH(D$1,[2]quests!$1:$1,0)-MATCH($B$1,[2]quests!$1:$1,0)+1,FALSE)</f>
        <v>ギリシャ神話シリーズ超級</v>
      </c>
      <c r="E62" s="85">
        <v>2</v>
      </c>
      <c r="F62" s="81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【上級】猛然たる炎獣使い</v>
      </c>
      <c r="G62" s="81" t="str">
        <f ca="1">VLOOKUP($B62&amp;"_"&amp;$E62,OFFSET([2]stages!$A$1,0,0,COUNTA([2]stages!$A:$A),MATCH(G$1,[2]stages!$2:$2,0)-MATCH("temp_stage",[2]stages!$2:$2,0)+1),MATCH(G$1,[2]stages!$2:$2,0)-MATCH("temp_stage",[2]stages!$2:$2,0)+1,FALSE)</f>
        <v>ギリシャ神話シリーズ超級</v>
      </c>
      <c r="H62" s="83">
        <v>0</v>
      </c>
      <c r="I62" s="95">
        <v>33</v>
      </c>
      <c r="J62" s="82" t="s">
        <v>197</v>
      </c>
      <c r="K62" s="91" t="str">
        <f>VLOOKUP(I62,[6]stage_hints!$A:$C,3,FALSE)</f>
        <v>敵のカウンター攻撃には</v>
      </c>
      <c r="L62" s="92" t="str">
        <f>VLOOKUP(I62,[6]stage_hints!$A:$D,4,FALSE)</f>
        <v>カウンターブレイクスキルを持っていれば_x000D_敵のカウンターを解除して攻撃ができます</v>
      </c>
      <c r="M62" s="56" t="s">
        <v>210</v>
      </c>
    </row>
    <row r="63" spans="1:13" x14ac:dyDescent="0.15">
      <c r="A63" s="79" t="s">
        <v>200</v>
      </c>
      <c r="B63" s="80">
        <f>floors!$C$2</f>
        <v>30036</v>
      </c>
      <c r="C63" s="81" t="str">
        <f ca="1">VLOOKUP($B63,OFFSET([2]quests!$A$1,0,0,COUNTA([2]quests!$A:$A),MATCH(C$1,[2]quests!$1:$1,0)-MATCH($B$1,[2]quests!$1:$1,0)+1),MATCH(C$1,[2]quests!$1:$1,0)-MATCH($B$1,[2]quests!$1:$1,0)+1,FALSE)</f>
        <v>猛然たる炎獣使い</v>
      </c>
      <c r="D63" s="81" t="str">
        <f ca="1">VLOOKUP($B63,OFFSET([2]quests!$A$1,0,0,COUNTA([2]quests!$A:$A),MATCH(D$1,[2]quests!$1:$1,0)-MATCH($B$1,[2]quests!$1:$1,0)+1),MATCH(D$1,[2]quests!$1:$1,0)-MATCH($B$1,[2]quests!$1:$1,0)+1,FALSE)</f>
        <v>ギリシャ神話シリーズ超級</v>
      </c>
      <c r="E63" s="85">
        <v>2</v>
      </c>
      <c r="F63" s="81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【上級】猛然たる炎獣使い</v>
      </c>
      <c r="G63" s="81" t="str">
        <f ca="1">VLOOKUP($B63&amp;"_"&amp;$E63,OFFSET([2]stages!$A$1,0,0,COUNTA([2]stages!$A:$A),MATCH(G$1,[2]stages!$2:$2,0)-MATCH("temp_stage",[2]stages!$2:$2,0)+1),MATCH(G$1,[2]stages!$2:$2,0)-MATCH("temp_stage",[2]stages!$2:$2,0)+1,FALSE)</f>
        <v>ギリシャ神話シリーズ超級</v>
      </c>
      <c r="H63" s="83">
        <v>0</v>
      </c>
      <c r="I63" s="95">
        <v>34</v>
      </c>
      <c r="J63" s="82" t="s">
        <v>197</v>
      </c>
      <c r="K63" s="91" t="str">
        <f>VLOOKUP(I63,[6]stage_hints!$A:$C,3,FALSE)</f>
        <v>ステータスをスキルで下げられたら</v>
      </c>
      <c r="L63" s="92" t="str">
        <f>VLOOKUP(I63,[6]stage_hints!$A:$D,4,FALSE)</f>
        <v>ステータスダウンのスキルを受けたら_x000D_ステータスアップスキルで上書きしましょう</v>
      </c>
      <c r="M63" s="56" t="s">
        <v>210</v>
      </c>
    </row>
    <row r="64" spans="1:13" x14ac:dyDescent="0.15">
      <c r="A64" s="79" t="s">
        <v>200</v>
      </c>
      <c r="B64" s="80">
        <f>floors!$C$2</f>
        <v>30036</v>
      </c>
      <c r="C64" s="81" t="str">
        <f ca="1">VLOOKUP($B64,OFFSET([2]quests!$A$1,0,0,COUNTA([2]quests!$A:$A),MATCH(C$1,[2]quests!$1:$1,0)-MATCH($B$1,[2]quests!$1:$1,0)+1),MATCH(C$1,[2]quests!$1:$1,0)-MATCH($B$1,[2]quests!$1:$1,0)+1,FALSE)</f>
        <v>猛然たる炎獣使い</v>
      </c>
      <c r="D64" s="81" t="str">
        <f ca="1">VLOOKUP($B64,OFFSET([2]quests!$A$1,0,0,COUNTA([2]quests!$A:$A),MATCH(D$1,[2]quests!$1:$1,0)-MATCH($B$1,[2]quests!$1:$1,0)+1),MATCH(D$1,[2]quests!$1:$1,0)-MATCH($B$1,[2]quests!$1:$1,0)+1,FALSE)</f>
        <v>ギリシャ神話シリーズ超級</v>
      </c>
      <c r="E64" s="85">
        <v>2</v>
      </c>
      <c r="F64" s="81" t="str">
        <f ca="1">VLOOKUP($B64&amp;"_"&amp;$E64,OFFSET([2]stages!$A$1,0,0,COUNTA([2]stages!$A:$A),MATCH(F$1,[2]stages!$2:$2,0)-MATCH("temp_stage",[2]stages!$2:$2,0)+1),MATCH(F$1,[2]stages!$2:$2,0)-MATCH("temp_stage",[2]stages!$2:$2,0)+1,FALSE)</f>
        <v>【上級】猛然たる炎獣使い</v>
      </c>
      <c r="G64" s="81" t="str">
        <f ca="1">VLOOKUP($B64&amp;"_"&amp;$E64,OFFSET([2]stages!$A$1,0,0,COUNTA([2]stages!$A:$A),MATCH(G$1,[2]stages!$2:$2,0)-MATCH("temp_stage",[2]stages!$2:$2,0)+1),MATCH(G$1,[2]stages!$2:$2,0)-MATCH("temp_stage",[2]stages!$2:$2,0)+1,FALSE)</f>
        <v>ギリシャ神話シリーズ超級</v>
      </c>
      <c r="H64" s="83">
        <v>0</v>
      </c>
      <c r="I64" s="95">
        <v>35</v>
      </c>
      <c r="J64" s="82" t="s">
        <v>197</v>
      </c>
      <c r="K64" s="91" t="str">
        <f>VLOOKUP(I64,[6]stage_hints!$A:$C,3,FALSE)</f>
        <v>敵のステータスがスキルで上がったら</v>
      </c>
      <c r="L64" s="92" t="str">
        <f>VLOOKUP(I64,[6]stage_hints!$A:$D,4,FALSE)</f>
        <v>敵のステータスがスキルでアップしたときは_x000D_ステータスダウンスキルで上書きしましょう</v>
      </c>
      <c r="M64" s="56" t="s">
        <v>210</v>
      </c>
    </row>
    <row r="65" spans="1:13" x14ac:dyDescent="0.15">
      <c r="A65" s="79" t="s">
        <v>200</v>
      </c>
      <c r="B65" s="80">
        <f>floors!$C$2</f>
        <v>30036</v>
      </c>
      <c r="C65" s="81" t="str">
        <f ca="1">VLOOKUP($B65,OFFSET([2]quests!$A$1,0,0,COUNTA([2]quests!$A:$A),MATCH(C$1,[2]quests!$1:$1,0)-MATCH($B$1,[2]quests!$1:$1,0)+1),MATCH(C$1,[2]quests!$1:$1,0)-MATCH($B$1,[2]quests!$1:$1,0)+1,FALSE)</f>
        <v>猛然たる炎獣使い</v>
      </c>
      <c r="D65" s="81" t="str">
        <f ca="1">VLOOKUP($B65,OFFSET([2]quests!$A$1,0,0,COUNTA([2]quests!$A:$A),MATCH(D$1,[2]quests!$1:$1,0)-MATCH($B$1,[2]quests!$1:$1,0)+1),MATCH(D$1,[2]quests!$1:$1,0)-MATCH($B$1,[2]quests!$1:$1,0)+1,FALSE)</f>
        <v>ギリシャ神話シリーズ超級</v>
      </c>
      <c r="E65" s="85">
        <v>2</v>
      </c>
      <c r="F65" s="81" t="str">
        <f ca="1">VLOOKUP($B65&amp;"_"&amp;$E65,OFFSET([2]stages!$A$1,0,0,COUNTA([2]stages!$A:$A),MATCH(F$1,[2]stages!$2:$2,0)-MATCH("temp_stage",[2]stages!$2:$2,0)+1),MATCH(F$1,[2]stages!$2:$2,0)-MATCH("temp_stage",[2]stages!$2:$2,0)+1,FALSE)</f>
        <v>【上級】猛然たる炎獣使い</v>
      </c>
      <c r="G65" s="81" t="str">
        <f ca="1">VLOOKUP($B65&amp;"_"&amp;$E65,OFFSET([2]stages!$A$1,0,0,COUNTA([2]stages!$A:$A),MATCH(G$1,[2]stages!$2:$2,0)-MATCH("temp_stage",[2]stages!$2:$2,0)+1),MATCH(G$1,[2]stages!$2:$2,0)-MATCH("temp_stage",[2]stages!$2:$2,0)+1,FALSE)</f>
        <v>ギリシャ神話シリーズ超級</v>
      </c>
      <c r="H65" s="83">
        <v>0</v>
      </c>
      <c r="I65" s="95">
        <v>36</v>
      </c>
      <c r="J65" s="82" t="s">
        <v>197</v>
      </c>
      <c r="K65" s="91" t="str">
        <f>VLOOKUP(I65,[6]stage_hints!$A:$C,3,FALSE)</f>
        <v>タワーオブザクイーンのボス</v>
      </c>
      <c r="L65" s="92" t="str">
        <f>VLOOKUP(I65,[6]stage_hints!$A:$D,4,FALSE)</f>
        <v>「タワーオブザクイーン」最上階のボスは_x000D_15階の初回クリア報酬で獲得できるほか_x000D_その階にて低確率でドロップもします</v>
      </c>
      <c r="M65" s="56" t="s">
        <v>210</v>
      </c>
    </row>
    <row r="66" spans="1:13" x14ac:dyDescent="0.15">
      <c r="A66" s="79" t="s">
        <v>200</v>
      </c>
      <c r="B66" s="80">
        <f>floors!$C$2</f>
        <v>30036</v>
      </c>
      <c r="C66" s="81" t="str">
        <f ca="1">VLOOKUP($B66,OFFSET([2]quests!$A$1,0,0,COUNTA([2]quests!$A:$A),MATCH(C$1,[2]quests!$1:$1,0)-MATCH($B$1,[2]quests!$1:$1,0)+1),MATCH(C$1,[2]quests!$1:$1,0)-MATCH($B$1,[2]quests!$1:$1,0)+1,FALSE)</f>
        <v>猛然たる炎獣使い</v>
      </c>
      <c r="D66" s="81" t="str">
        <f ca="1">VLOOKUP($B66,OFFSET([2]quests!$A$1,0,0,COUNTA([2]quests!$A:$A),MATCH(D$1,[2]quests!$1:$1,0)-MATCH($B$1,[2]quests!$1:$1,0)+1),MATCH(D$1,[2]quests!$1:$1,0)-MATCH($B$1,[2]quests!$1:$1,0)+1,FALSE)</f>
        <v>ギリシャ神話シリーズ超級</v>
      </c>
      <c r="E66" s="85">
        <v>2</v>
      </c>
      <c r="F66" s="81" t="str">
        <f ca="1">VLOOKUP($B66&amp;"_"&amp;$E66,OFFSET([2]stages!$A$1,0,0,COUNTA([2]stages!$A:$A),MATCH(F$1,[2]stages!$2:$2,0)-MATCH("temp_stage",[2]stages!$2:$2,0)+1),MATCH(F$1,[2]stages!$2:$2,0)-MATCH("temp_stage",[2]stages!$2:$2,0)+1,FALSE)</f>
        <v>【上級】猛然たる炎獣使い</v>
      </c>
      <c r="G66" s="81" t="str">
        <f ca="1">VLOOKUP($B66&amp;"_"&amp;$E66,OFFSET([2]stages!$A$1,0,0,COUNTA([2]stages!$A:$A),MATCH(G$1,[2]stages!$2:$2,0)-MATCH("temp_stage",[2]stages!$2:$2,0)+1),MATCH(G$1,[2]stages!$2:$2,0)-MATCH("temp_stage",[2]stages!$2:$2,0)+1,FALSE)</f>
        <v>ギリシャ神話シリーズ超級</v>
      </c>
      <c r="H66" s="83">
        <v>0</v>
      </c>
      <c r="I66" s="95">
        <v>37</v>
      </c>
      <c r="J66" s="82" t="s">
        <v>197</v>
      </c>
      <c r="K66" s="91" t="str">
        <f>VLOOKUP(I66,[6]stage_hints!$A:$C,3,FALSE)</f>
        <v>限界突破値の引き継ぎ</v>
      </c>
      <c r="L66" s="92" t="str">
        <f>VLOOKUP(I66,[6]stage_hints!$A:$D,4,FALSE)</f>
        <v>同じユニットを強化で合成すると_x000D_限界突破値を引き継げます（覚醒前後も可）</v>
      </c>
      <c r="M66" s="56" t="s">
        <v>210</v>
      </c>
    </row>
    <row r="67" spans="1:13" x14ac:dyDescent="0.15">
      <c r="A67" s="79" t="s">
        <v>200</v>
      </c>
      <c r="B67" s="80">
        <f>floors!$C$2</f>
        <v>30036</v>
      </c>
      <c r="C67" s="81" t="str">
        <f ca="1">VLOOKUP($B67,OFFSET([2]quests!$A$1,0,0,COUNTA([2]quests!$A:$A),MATCH(C$1,[2]quests!$1:$1,0)-MATCH($B$1,[2]quests!$1:$1,0)+1),MATCH(C$1,[2]quests!$1:$1,0)-MATCH($B$1,[2]quests!$1:$1,0)+1,FALSE)</f>
        <v>猛然たる炎獣使い</v>
      </c>
      <c r="D67" s="81" t="str">
        <f ca="1">VLOOKUP($B67,OFFSET([2]quests!$A$1,0,0,COUNTA([2]quests!$A:$A),MATCH(D$1,[2]quests!$1:$1,0)-MATCH($B$1,[2]quests!$1:$1,0)+1),MATCH(D$1,[2]quests!$1:$1,0)-MATCH($B$1,[2]quests!$1:$1,0)+1,FALSE)</f>
        <v>ギリシャ神話シリーズ超級</v>
      </c>
      <c r="E67" s="85">
        <v>2</v>
      </c>
      <c r="F67" s="81" t="str">
        <f ca="1">VLOOKUP($B67&amp;"_"&amp;$E67,OFFSET([2]stages!$A$1,0,0,COUNTA([2]stages!$A:$A),MATCH(F$1,[2]stages!$2:$2,0)-MATCH("temp_stage",[2]stages!$2:$2,0)+1),MATCH(F$1,[2]stages!$2:$2,0)-MATCH("temp_stage",[2]stages!$2:$2,0)+1,FALSE)</f>
        <v>【上級】猛然たる炎獣使い</v>
      </c>
      <c r="G67" s="81" t="str">
        <f ca="1">VLOOKUP($B67&amp;"_"&amp;$E67,OFFSET([2]stages!$A$1,0,0,COUNTA([2]stages!$A:$A),MATCH(G$1,[2]stages!$2:$2,0)-MATCH("temp_stage",[2]stages!$2:$2,0)+1),MATCH(G$1,[2]stages!$2:$2,0)-MATCH("temp_stage",[2]stages!$2:$2,0)+1,FALSE)</f>
        <v>ギリシャ神話シリーズ超級</v>
      </c>
      <c r="H67" s="83">
        <v>0</v>
      </c>
      <c r="I67" s="95">
        <v>39</v>
      </c>
      <c r="J67" s="82" t="s">
        <v>197</v>
      </c>
      <c r="K67" s="91" t="str">
        <f>VLOOKUP(I67,[6]stage_hints!$A:$C,3,FALSE)</f>
        <v>システム適合者を確認</v>
      </c>
      <c r="L67" s="92" t="str">
        <f>VLOOKUP(I67,[6]stage_hints!$A:$D,4,FALSE)</f>
        <v>ALICEが 「アナタ」を呼んでいます</v>
      </c>
      <c r="M67" s="56" t="s">
        <v>210</v>
      </c>
    </row>
    <row r="68" spans="1:13" x14ac:dyDescent="0.15">
      <c r="A68" s="79" t="s">
        <v>200</v>
      </c>
      <c r="B68" s="80">
        <f>floors!$C$2</f>
        <v>30036</v>
      </c>
      <c r="C68" s="81" t="str">
        <f ca="1">VLOOKUP($B68,OFFSET([2]quests!$A$1,0,0,COUNTA([2]quests!$A:$A),MATCH(C$1,[2]quests!$1:$1,0)-MATCH($B$1,[2]quests!$1:$1,0)+1),MATCH(C$1,[2]quests!$1:$1,0)-MATCH($B$1,[2]quests!$1:$1,0)+1,FALSE)</f>
        <v>猛然たる炎獣使い</v>
      </c>
      <c r="D68" s="81" t="str">
        <f ca="1">VLOOKUP($B68,OFFSET([2]quests!$A$1,0,0,COUNTA([2]quests!$A:$A),MATCH(D$1,[2]quests!$1:$1,0)-MATCH($B$1,[2]quests!$1:$1,0)+1),MATCH(D$1,[2]quests!$1:$1,0)-MATCH($B$1,[2]quests!$1:$1,0)+1,FALSE)</f>
        <v>ギリシャ神話シリーズ超級</v>
      </c>
      <c r="E68" s="85">
        <v>3</v>
      </c>
      <c r="F68" s="81" t="str">
        <f ca="1">VLOOKUP($B68&amp;"_"&amp;$E68,OFFSET([2]stages!$A$1,0,0,COUNTA([2]stages!$A:$A),MATCH(F$1,[2]stages!$2:$2,0)-MATCH("temp_stage",[2]stages!$2:$2,0)+1),MATCH(F$1,[2]stages!$2:$2,0)-MATCH("temp_stage",[2]stages!$2:$2,0)+1,FALSE)</f>
        <v>【超級】猛然たる炎獣使い</v>
      </c>
      <c r="G68" s="81" t="str">
        <f ca="1">VLOOKUP($B68&amp;"_"&amp;$E68,OFFSET([2]stages!$A$1,0,0,COUNTA([2]stages!$A:$A),MATCH(G$1,[2]stages!$2:$2,0)-MATCH("temp_stage",[2]stages!$2:$2,0)+1),MATCH(G$1,[2]stages!$2:$2,0)-MATCH("temp_stage",[2]stages!$2:$2,0)+1,FALSE)</f>
        <v>ギリシャ神話シリーズ超級</v>
      </c>
      <c r="H68" s="83">
        <v>0</v>
      </c>
      <c r="I68">
        <v>12</v>
      </c>
      <c r="J68" s="82" t="s">
        <v>197</v>
      </c>
      <c r="K68" s="91" t="str">
        <f>VLOOKUP(I68,[6]stage_hints!$A:$C,3,FALSE)</f>
        <v>ユニットのお気に入り登録</v>
      </c>
      <c r="L68" s="92" t="str">
        <f>VLOOKUP(I68,[6]stage_hints!$A:$D,4,FALSE)</f>
        <v>大事なユニットを誤って消さないように_x000D_フォルダから「お気に入り登録」しましょう</v>
      </c>
      <c r="M68" s="56" t="s">
        <v>210</v>
      </c>
    </row>
    <row r="69" spans="1:13" x14ac:dyDescent="0.15">
      <c r="A69" s="79" t="s">
        <v>200</v>
      </c>
      <c r="B69" s="80">
        <f>floors!$C$2</f>
        <v>30036</v>
      </c>
      <c r="C69" s="81" t="str">
        <f ca="1">VLOOKUP($B69,OFFSET([2]quests!$A$1,0,0,COUNTA([2]quests!$A:$A),MATCH(C$1,[2]quests!$1:$1,0)-MATCH($B$1,[2]quests!$1:$1,0)+1),MATCH(C$1,[2]quests!$1:$1,0)-MATCH($B$1,[2]quests!$1:$1,0)+1,FALSE)</f>
        <v>猛然たる炎獣使い</v>
      </c>
      <c r="D69" s="81" t="str">
        <f ca="1">VLOOKUP($B69,OFFSET([2]quests!$A$1,0,0,COUNTA([2]quests!$A:$A),MATCH(D$1,[2]quests!$1:$1,0)-MATCH($B$1,[2]quests!$1:$1,0)+1),MATCH(D$1,[2]quests!$1:$1,0)-MATCH($B$1,[2]quests!$1:$1,0)+1,FALSE)</f>
        <v>ギリシャ神話シリーズ超級</v>
      </c>
      <c r="E69" s="85">
        <v>3</v>
      </c>
      <c r="F69" s="81" t="str">
        <f ca="1">VLOOKUP($B69&amp;"_"&amp;$E69,OFFSET([2]stages!$A$1,0,0,COUNTA([2]stages!$A:$A),MATCH(F$1,[2]stages!$2:$2,0)-MATCH("temp_stage",[2]stages!$2:$2,0)+1),MATCH(F$1,[2]stages!$2:$2,0)-MATCH("temp_stage",[2]stages!$2:$2,0)+1,FALSE)</f>
        <v>【超級】猛然たる炎獣使い</v>
      </c>
      <c r="G69" s="81" t="str">
        <f ca="1">VLOOKUP($B69&amp;"_"&amp;$E69,OFFSET([2]stages!$A$1,0,0,COUNTA([2]stages!$A:$A),MATCH(G$1,[2]stages!$2:$2,0)-MATCH("temp_stage",[2]stages!$2:$2,0)+1),MATCH(G$1,[2]stages!$2:$2,0)-MATCH("temp_stage",[2]stages!$2:$2,0)+1,FALSE)</f>
        <v>ギリシャ神話シリーズ超級</v>
      </c>
      <c r="H69" s="83">
        <v>0</v>
      </c>
      <c r="I69">
        <v>17</v>
      </c>
      <c r="J69" s="82" t="s">
        <v>197</v>
      </c>
      <c r="K69" s="91" t="str">
        <f>VLOOKUP(I69,[6]stage_hints!$A:$C,3,FALSE)</f>
        <v>リンクガチャ</v>
      </c>
      <c r="L69" s="92" t="str">
        <f>VLOOKUP(I69,[6]stage_hints!$A:$D,4,FALSE)</f>
        <v>無料のリンクガチャを回して_x000D_経験値素材や売却素材を獲得しましょう</v>
      </c>
      <c r="M69" s="56" t="s">
        <v>210</v>
      </c>
    </row>
    <row r="70" spans="1:13" x14ac:dyDescent="0.15">
      <c r="A70" s="79" t="s">
        <v>200</v>
      </c>
      <c r="B70" s="80">
        <f>floors!$C$2</f>
        <v>30036</v>
      </c>
      <c r="C70" s="81" t="str">
        <f ca="1">VLOOKUP($B70,OFFSET([2]quests!$A$1,0,0,COUNTA([2]quests!$A:$A),MATCH(C$1,[2]quests!$1:$1,0)-MATCH($B$1,[2]quests!$1:$1,0)+1),MATCH(C$1,[2]quests!$1:$1,0)-MATCH($B$1,[2]quests!$1:$1,0)+1,FALSE)</f>
        <v>猛然たる炎獣使い</v>
      </c>
      <c r="D70" s="81" t="str">
        <f ca="1">VLOOKUP($B70,OFFSET([2]quests!$A$1,0,0,COUNTA([2]quests!$A:$A),MATCH(D$1,[2]quests!$1:$1,0)-MATCH($B$1,[2]quests!$1:$1,0)+1),MATCH(D$1,[2]quests!$1:$1,0)-MATCH($B$1,[2]quests!$1:$1,0)+1,FALSE)</f>
        <v>ギリシャ神話シリーズ超級</v>
      </c>
      <c r="E70" s="85">
        <v>3</v>
      </c>
      <c r="F70" s="81" t="str">
        <f ca="1">VLOOKUP($B70&amp;"_"&amp;$E70,OFFSET([2]stages!$A$1,0,0,COUNTA([2]stages!$A:$A),MATCH(F$1,[2]stages!$2:$2,0)-MATCH("temp_stage",[2]stages!$2:$2,0)+1),MATCH(F$1,[2]stages!$2:$2,0)-MATCH("temp_stage",[2]stages!$2:$2,0)+1,FALSE)</f>
        <v>【超級】猛然たる炎獣使い</v>
      </c>
      <c r="G70" s="81" t="str">
        <f ca="1">VLOOKUP($B70&amp;"_"&amp;$E70,OFFSET([2]stages!$A$1,0,0,COUNTA([2]stages!$A:$A),MATCH(G$1,[2]stages!$2:$2,0)-MATCH("temp_stage",[2]stages!$2:$2,0)+1),MATCH(G$1,[2]stages!$2:$2,0)-MATCH("temp_stage",[2]stages!$2:$2,0)+1,FALSE)</f>
        <v>ギリシャ神話シリーズ超級</v>
      </c>
      <c r="H70" s="83">
        <v>0</v>
      </c>
      <c r="I70">
        <v>19</v>
      </c>
      <c r="J70" s="82" t="s">
        <v>197</v>
      </c>
      <c r="K70" s="91" t="str">
        <f>VLOOKUP(I70,[6]stage_hints!$A:$C,3,FALSE)</f>
        <v>ソロ専用タワーオブザクイーン</v>
      </c>
      <c r="L70" s="92" t="str">
        <f>VLOOKUP(I70,[6]stage_hints!$A:$D,4,FALSE)</f>
        <v>ソロ専用の「タワーオブザクイーン」は_x000D_期間限定で定期的に開催されます_x000D_ここでしか獲得できない報酬もあるようです</v>
      </c>
      <c r="M70" s="56" t="s">
        <v>210</v>
      </c>
    </row>
    <row r="71" spans="1:13" x14ac:dyDescent="0.15">
      <c r="A71" s="79" t="s">
        <v>200</v>
      </c>
      <c r="B71" s="80">
        <f>floors!$C$2</f>
        <v>30036</v>
      </c>
      <c r="C71" s="81" t="str">
        <f ca="1">VLOOKUP($B71,OFFSET([2]quests!$A$1,0,0,COUNTA([2]quests!$A:$A),MATCH(C$1,[2]quests!$1:$1,0)-MATCH($B$1,[2]quests!$1:$1,0)+1),MATCH(C$1,[2]quests!$1:$1,0)-MATCH($B$1,[2]quests!$1:$1,0)+1,FALSE)</f>
        <v>猛然たる炎獣使い</v>
      </c>
      <c r="D71" s="81" t="str">
        <f ca="1">VLOOKUP($B71,OFFSET([2]quests!$A$1,0,0,COUNTA([2]quests!$A:$A),MATCH(D$1,[2]quests!$1:$1,0)-MATCH($B$1,[2]quests!$1:$1,0)+1),MATCH(D$1,[2]quests!$1:$1,0)-MATCH($B$1,[2]quests!$1:$1,0)+1,FALSE)</f>
        <v>ギリシャ神話シリーズ超級</v>
      </c>
      <c r="E71" s="85">
        <v>3</v>
      </c>
      <c r="F71" s="81" t="str">
        <f ca="1">VLOOKUP($B71&amp;"_"&amp;$E71,OFFSET([2]stages!$A$1,0,0,COUNTA([2]stages!$A:$A),MATCH(F$1,[2]stages!$2:$2,0)-MATCH("temp_stage",[2]stages!$2:$2,0)+1),MATCH(F$1,[2]stages!$2:$2,0)-MATCH("temp_stage",[2]stages!$2:$2,0)+1,FALSE)</f>
        <v>【超級】猛然たる炎獣使い</v>
      </c>
      <c r="G71" s="81" t="str">
        <f ca="1">VLOOKUP($B71&amp;"_"&amp;$E71,OFFSET([2]stages!$A$1,0,0,COUNTA([2]stages!$A:$A),MATCH(G$1,[2]stages!$2:$2,0)-MATCH("temp_stage",[2]stages!$2:$2,0)+1),MATCH(G$1,[2]stages!$2:$2,0)-MATCH("temp_stage",[2]stages!$2:$2,0)+1,FALSE)</f>
        <v>ギリシャ神話シリーズ超級</v>
      </c>
      <c r="H71" s="83">
        <v>0</v>
      </c>
      <c r="I71">
        <v>21</v>
      </c>
      <c r="J71" s="82" t="s">
        <v>197</v>
      </c>
      <c r="K71" s="91" t="str">
        <f>VLOOKUP(I71,[6]stage_hints!$A:$C,3,FALSE)</f>
        <v>スキルを有効に</v>
      </c>
      <c r="L71" s="92" t="str">
        <f>VLOOKUP(I71,[6]stage_hints!$A:$D,4,FALSE)</f>
        <v>ターン経過でユニットのスキルが使えます_x000D_強力スキルでバトルを有利に進めましょう</v>
      </c>
      <c r="M71" s="56" t="s">
        <v>210</v>
      </c>
    </row>
    <row r="72" spans="1:13" x14ac:dyDescent="0.15">
      <c r="A72" s="79" t="s">
        <v>200</v>
      </c>
      <c r="B72" s="80">
        <f>floors!$C$2</f>
        <v>30036</v>
      </c>
      <c r="C72" s="81" t="str">
        <f ca="1">VLOOKUP($B72,OFFSET([2]quests!$A$1,0,0,COUNTA([2]quests!$A:$A),MATCH(C$1,[2]quests!$1:$1,0)-MATCH($B$1,[2]quests!$1:$1,0)+1),MATCH(C$1,[2]quests!$1:$1,0)-MATCH($B$1,[2]quests!$1:$1,0)+1,FALSE)</f>
        <v>猛然たる炎獣使い</v>
      </c>
      <c r="D72" s="81" t="str">
        <f ca="1">VLOOKUP($B72,OFFSET([2]quests!$A$1,0,0,COUNTA([2]quests!$A:$A),MATCH(D$1,[2]quests!$1:$1,0)-MATCH($B$1,[2]quests!$1:$1,0)+1),MATCH(D$1,[2]quests!$1:$1,0)-MATCH($B$1,[2]quests!$1:$1,0)+1,FALSE)</f>
        <v>ギリシャ神話シリーズ超級</v>
      </c>
      <c r="E72" s="85">
        <v>3</v>
      </c>
      <c r="F72" s="81" t="str">
        <f ca="1">VLOOKUP($B72&amp;"_"&amp;$E72,OFFSET([2]stages!$A$1,0,0,COUNTA([2]stages!$A:$A),MATCH(F$1,[2]stages!$2:$2,0)-MATCH("temp_stage",[2]stages!$2:$2,0)+1),MATCH(F$1,[2]stages!$2:$2,0)-MATCH("temp_stage",[2]stages!$2:$2,0)+1,FALSE)</f>
        <v>【超級】猛然たる炎獣使い</v>
      </c>
      <c r="G72" s="81" t="str">
        <f ca="1">VLOOKUP($B72&amp;"_"&amp;$E72,OFFSET([2]stages!$A$1,0,0,COUNTA([2]stages!$A:$A),MATCH(G$1,[2]stages!$2:$2,0)-MATCH("temp_stage",[2]stages!$2:$2,0)+1),MATCH(G$1,[2]stages!$2:$2,0)-MATCH("temp_stage",[2]stages!$2:$2,0)+1,FALSE)</f>
        <v>ギリシャ神話シリーズ超級</v>
      </c>
      <c r="H72" s="83">
        <v>0</v>
      </c>
      <c r="I72">
        <v>27</v>
      </c>
      <c r="J72" s="82" t="s">
        <v>197</v>
      </c>
      <c r="K72" s="91" t="str">
        <f>VLOOKUP(I72,[6]stage_hints!$A:$C,3,FALSE)</f>
        <v>ホーム画面からデッキを編成</v>
      </c>
      <c r="L72" s="92" t="str">
        <f>VLOOKUP(I72,[6]stage_hints!$A:$D,4,FALSE)</f>
        <v>ホーム画面でユニットを長押しすると_x000D_すぐにパーティ編成に移動できます</v>
      </c>
      <c r="M72" s="56" t="s">
        <v>210</v>
      </c>
    </row>
    <row r="73" spans="1:13" x14ac:dyDescent="0.15">
      <c r="A73" s="79" t="s">
        <v>200</v>
      </c>
      <c r="B73" s="80">
        <f>floors!$C$2</f>
        <v>30036</v>
      </c>
      <c r="C73" s="81" t="str">
        <f ca="1">VLOOKUP($B73,OFFSET([2]quests!$A$1,0,0,COUNTA([2]quests!$A:$A),MATCH(C$1,[2]quests!$1:$1,0)-MATCH($B$1,[2]quests!$1:$1,0)+1),MATCH(C$1,[2]quests!$1:$1,0)-MATCH($B$1,[2]quests!$1:$1,0)+1,FALSE)</f>
        <v>猛然たる炎獣使い</v>
      </c>
      <c r="D73" s="81" t="str">
        <f ca="1">VLOOKUP($B73,OFFSET([2]quests!$A$1,0,0,COUNTA([2]quests!$A:$A),MATCH(D$1,[2]quests!$1:$1,0)-MATCH($B$1,[2]quests!$1:$1,0)+1),MATCH(D$1,[2]quests!$1:$1,0)-MATCH($B$1,[2]quests!$1:$1,0)+1,FALSE)</f>
        <v>ギリシャ神話シリーズ超級</v>
      </c>
      <c r="E73" s="85">
        <v>3</v>
      </c>
      <c r="F73" s="81" t="str">
        <f ca="1">VLOOKUP($B73&amp;"_"&amp;$E73,OFFSET([2]stages!$A$1,0,0,COUNTA([2]stages!$A:$A),MATCH(F$1,[2]stages!$2:$2,0)-MATCH("temp_stage",[2]stages!$2:$2,0)+1),MATCH(F$1,[2]stages!$2:$2,0)-MATCH("temp_stage",[2]stages!$2:$2,0)+1,FALSE)</f>
        <v>【超級】猛然たる炎獣使い</v>
      </c>
      <c r="G73" s="81" t="str">
        <f ca="1">VLOOKUP($B73&amp;"_"&amp;$E73,OFFSET([2]stages!$A$1,0,0,COUNTA([2]stages!$A:$A),MATCH(G$1,[2]stages!$2:$2,0)-MATCH("temp_stage",[2]stages!$2:$2,0)+1),MATCH(G$1,[2]stages!$2:$2,0)-MATCH("temp_stage",[2]stages!$2:$2,0)+1,FALSE)</f>
        <v>ギリシャ神話シリーズ超級</v>
      </c>
      <c r="H73" s="83">
        <v>0</v>
      </c>
      <c r="I73">
        <v>28</v>
      </c>
      <c r="J73" s="82" t="s">
        <v>197</v>
      </c>
      <c r="K73" s="91" t="str">
        <f>VLOOKUP(I73,[6]stage_hints!$A:$C,3,FALSE)</f>
        <v>ステータス情報は長押しで</v>
      </c>
      <c r="L73" s="92" t="str">
        <f>VLOOKUP(I73,[6]stage_hints!$A:$D,4,FALSE)</f>
        <v>ユニットのアイコンを長押しすると_x000D_ステータス情報を確認することができます</v>
      </c>
      <c r="M73" s="56" t="s">
        <v>210</v>
      </c>
    </row>
    <row r="74" spans="1:13" x14ac:dyDescent="0.15">
      <c r="A74" s="79" t="s">
        <v>200</v>
      </c>
      <c r="B74" s="80">
        <f>floors!$C$2</f>
        <v>30036</v>
      </c>
      <c r="C74" s="81" t="str">
        <f ca="1">VLOOKUP($B74,OFFSET([2]quests!$A$1,0,0,COUNTA([2]quests!$A:$A),MATCH(C$1,[2]quests!$1:$1,0)-MATCH($B$1,[2]quests!$1:$1,0)+1),MATCH(C$1,[2]quests!$1:$1,0)-MATCH($B$1,[2]quests!$1:$1,0)+1,FALSE)</f>
        <v>猛然たる炎獣使い</v>
      </c>
      <c r="D74" s="81" t="str">
        <f ca="1">VLOOKUP($B74,OFFSET([2]quests!$A$1,0,0,COUNTA([2]quests!$A:$A),MATCH(D$1,[2]quests!$1:$1,0)-MATCH($B$1,[2]quests!$1:$1,0)+1),MATCH(D$1,[2]quests!$1:$1,0)-MATCH($B$1,[2]quests!$1:$1,0)+1,FALSE)</f>
        <v>ギリシャ神話シリーズ超級</v>
      </c>
      <c r="E74" s="85">
        <v>3</v>
      </c>
      <c r="F74" s="81" t="str">
        <f ca="1">VLOOKUP($B74&amp;"_"&amp;$E74,OFFSET([2]stages!$A$1,0,0,COUNTA([2]stages!$A:$A),MATCH(F$1,[2]stages!$2:$2,0)-MATCH("temp_stage",[2]stages!$2:$2,0)+1),MATCH(F$1,[2]stages!$2:$2,0)-MATCH("temp_stage",[2]stages!$2:$2,0)+1,FALSE)</f>
        <v>【超級】猛然たる炎獣使い</v>
      </c>
      <c r="G74" s="81" t="str">
        <f ca="1">VLOOKUP($B74&amp;"_"&amp;$E74,OFFSET([2]stages!$A$1,0,0,COUNTA([2]stages!$A:$A),MATCH(G$1,[2]stages!$2:$2,0)-MATCH("temp_stage",[2]stages!$2:$2,0)+1),MATCH(G$1,[2]stages!$2:$2,0)-MATCH("temp_stage",[2]stages!$2:$2,0)+1,FALSE)</f>
        <v>ギリシャ神話シリーズ超級</v>
      </c>
      <c r="H74" s="83">
        <v>0</v>
      </c>
      <c r="I74">
        <v>29</v>
      </c>
      <c r="J74" s="82" t="s">
        <v>197</v>
      </c>
      <c r="K74" s="91" t="str">
        <f>VLOOKUP(I74,[6]stage_hints!$A:$C,3,FALSE)</f>
        <v>「バグ」のメリット</v>
      </c>
      <c r="L74" s="92" t="str">
        <f>VLOOKUP(I74,[6]stage_hints!$A:$D,4,FALSE)</f>
        <v>ユニットの「バグ」を増やすと_x000D_報酬をもらえる確率がアップします</v>
      </c>
      <c r="M74" s="56" t="s">
        <v>210</v>
      </c>
    </row>
    <row r="75" spans="1:13" x14ac:dyDescent="0.15">
      <c r="A75" s="79" t="s">
        <v>200</v>
      </c>
      <c r="B75" s="80">
        <f>floors!$C$2</f>
        <v>30036</v>
      </c>
      <c r="C75" s="81" t="str">
        <f ca="1">VLOOKUP($B75,OFFSET([2]quests!$A$1,0,0,COUNTA([2]quests!$A:$A),MATCH(C$1,[2]quests!$1:$1,0)-MATCH($B$1,[2]quests!$1:$1,0)+1),MATCH(C$1,[2]quests!$1:$1,0)-MATCH($B$1,[2]quests!$1:$1,0)+1,FALSE)</f>
        <v>猛然たる炎獣使い</v>
      </c>
      <c r="D75" s="81" t="str">
        <f ca="1">VLOOKUP($B75,OFFSET([2]quests!$A$1,0,0,COUNTA([2]quests!$A:$A),MATCH(D$1,[2]quests!$1:$1,0)-MATCH($B$1,[2]quests!$1:$1,0)+1),MATCH(D$1,[2]quests!$1:$1,0)-MATCH($B$1,[2]quests!$1:$1,0)+1,FALSE)</f>
        <v>ギリシャ神話シリーズ超級</v>
      </c>
      <c r="E75" s="85">
        <v>3</v>
      </c>
      <c r="F75" s="81" t="str">
        <f ca="1">VLOOKUP($B75&amp;"_"&amp;$E75,OFFSET([2]stages!$A$1,0,0,COUNTA([2]stages!$A:$A),MATCH(F$1,[2]stages!$2:$2,0)-MATCH("temp_stage",[2]stages!$2:$2,0)+1),MATCH(F$1,[2]stages!$2:$2,0)-MATCH("temp_stage",[2]stages!$2:$2,0)+1,FALSE)</f>
        <v>【超級】猛然たる炎獣使い</v>
      </c>
      <c r="G75" s="81" t="str">
        <f ca="1">VLOOKUP($B75&amp;"_"&amp;$E75,OFFSET([2]stages!$A$1,0,0,COUNTA([2]stages!$A:$A),MATCH(G$1,[2]stages!$2:$2,0)-MATCH("temp_stage",[2]stages!$2:$2,0)+1),MATCH(G$1,[2]stages!$2:$2,0)-MATCH("temp_stage",[2]stages!$2:$2,0)+1,FALSE)</f>
        <v>ギリシャ神話シリーズ超級</v>
      </c>
      <c r="H75" s="83">
        <v>0</v>
      </c>
      <c r="I75">
        <v>30</v>
      </c>
      <c r="J75" s="82" t="s">
        <v>197</v>
      </c>
      <c r="K75" s="91" t="str">
        <f>VLOOKUP(I75,[6]stage_hints!$A:$C,3,FALSE)</f>
        <v>「バグ」の増やし方</v>
      </c>
      <c r="L75" s="92" t="str">
        <f>VLOOKUP(I75,[6]stage_hints!$A:$D,4,FALSE)</f>
        <v>同じユニット同士を強化で合成すると_x000D_「バグ」を増やすことができます</v>
      </c>
      <c r="M75" s="56" t="s">
        <v>210</v>
      </c>
    </row>
    <row r="76" spans="1:13" x14ac:dyDescent="0.15">
      <c r="A76" s="79" t="s">
        <v>200</v>
      </c>
      <c r="B76" s="80">
        <f>floors!$C$2</f>
        <v>30036</v>
      </c>
      <c r="C76" s="81" t="str">
        <f ca="1">VLOOKUP($B76,OFFSET([2]quests!$A$1,0,0,COUNTA([2]quests!$A:$A),MATCH(C$1,[2]quests!$1:$1,0)-MATCH($B$1,[2]quests!$1:$1,0)+1),MATCH(C$1,[2]quests!$1:$1,0)-MATCH($B$1,[2]quests!$1:$1,0)+1,FALSE)</f>
        <v>猛然たる炎獣使い</v>
      </c>
      <c r="D76" s="81" t="str">
        <f ca="1">VLOOKUP($B76,OFFSET([2]quests!$A$1,0,0,COUNTA([2]quests!$A:$A),MATCH(D$1,[2]quests!$1:$1,0)-MATCH($B$1,[2]quests!$1:$1,0)+1),MATCH(D$1,[2]quests!$1:$1,0)-MATCH($B$1,[2]quests!$1:$1,0)+1,FALSE)</f>
        <v>ギリシャ神話シリーズ超級</v>
      </c>
      <c r="E76" s="85">
        <v>3</v>
      </c>
      <c r="F76" s="81" t="str">
        <f ca="1">VLOOKUP($B76&amp;"_"&amp;$E76,OFFSET([2]stages!$A$1,0,0,COUNTA([2]stages!$A:$A),MATCH(F$1,[2]stages!$2:$2,0)-MATCH("temp_stage",[2]stages!$2:$2,0)+1),MATCH(F$1,[2]stages!$2:$2,0)-MATCH("temp_stage",[2]stages!$2:$2,0)+1,FALSE)</f>
        <v>【超級】猛然たる炎獣使い</v>
      </c>
      <c r="G76" s="81" t="str">
        <f ca="1">VLOOKUP($B76&amp;"_"&amp;$E76,OFFSET([2]stages!$A$1,0,0,COUNTA([2]stages!$A:$A),MATCH(G$1,[2]stages!$2:$2,0)-MATCH("temp_stage",[2]stages!$2:$2,0)+1),MATCH(G$1,[2]stages!$2:$2,0)-MATCH("temp_stage",[2]stages!$2:$2,0)+1,FALSE)</f>
        <v>ギリシャ神話シリーズ超級</v>
      </c>
      <c r="H76" s="83">
        <v>0</v>
      </c>
      <c r="I76">
        <v>32</v>
      </c>
      <c r="J76" s="82" t="s">
        <v>197</v>
      </c>
      <c r="K76" s="91" t="str">
        <f>VLOOKUP(I76,[6]stage_hints!$A:$C,3,FALSE)</f>
        <v>敵の連続攻撃には</v>
      </c>
      <c r="L76" s="92" t="str">
        <f>VLOOKUP(I76,[6]stage_hints!$A:$D,4,FALSE)</f>
        <v>カウンタースキルを持つユニットがいれば_x000D_ダメージ回数分の反撃ができます</v>
      </c>
      <c r="M76" s="56" t="s">
        <v>210</v>
      </c>
    </row>
    <row r="77" spans="1:13" x14ac:dyDescent="0.15">
      <c r="A77" s="79" t="s">
        <v>200</v>
      </c>
      <c r="B77" s="80">
        <f>floors!$C$2</f>
        <v>30036</v>
      </c>
      <c r="C77" s="81" t="str">
        <f ca="1">VLOOKUP($B77,OFFSET([2]quests!$A$1,0,0,COUNTA([2]quests!$A:$A),MATCH(C$1,[2]quests!$1:$1,0)-MATCH($B$1,[2]quests!$1:$1,0)+1),MATCH(C$1,[2]quests!$1:$1,0)-MATCH($B$1,[2]quests!$1:$1,0)+1,FALSE)</f>
        <v>猛然たる炎獣使い</v>
      </c>
      <c r="D77" s="81" t="str">
        <f ca="1">VLOOKUP($B77,OFFSET([2]quests!$A$1,0,0,COUNTA([2]quests!$A:$A),MATCH(D$1,[2]quests!$1:$1,0)-MATCH($B$1,[2]quests!$1:$1,0)+1),MATCH(D$1,[2]quests!$1:$1,0)-MATCH($B$1,[2]quests!$1:$1,0)+1,FALSE)</f>
        <v>ギリシャ神話シリーズ超級</v>
      </c>
      <c r="E77" s="85">
        <v>3</v>
      </c>
      <c r="F77" s="81" t="str">
        <f ca="1">VLOOKUP($B77&amp;"_"&amp;$E77,OFFSET([2]stages!$A$1,0,0,COUNTA([2]stages!$A:$A),MATCH(F$1,[2]stages!$2:$2,0)-MATCH("temp_stage",[2]stages!$2:$2,0)+1),MATCH(F$1,[2]stages!$2:$2,0)-MATCH("temp_stage",[2]stages!$2:$2,0)+1,FALSE)</f>
        <v>【超級】猛然たる炎獣使い</v>
      </c>
      <c r="G77" s="81" t="str">
        <f ca="1">VLOOKUP($B77&amp;"_"&amp;$E77,OFFSET([2]stages!$A$1,0,0,COUNTA([2]stages!$A:$A),MATCH(G$1,[2]stages!$2:$2,0)-MATCH("temp_stage",[2]stages!$2:$2,0)+1),MATCH(G$1,[2]stages!$2:$2,0)-MATCH("temp_stage",[2]stages!$2:$2,0)+1,FALSE)</f>
        <v>ギリシャ神話シリーズ超級</v>
      </c>
      <c r="H77" s="83">
        <v>0</v>
      </c>
      <c r="I77">
        <v>33</v>
      </c>
      <c r="J77" s="82" t="s">
        <v>197</v>
      </c>
      <c r="K77" s="91" t="str">
        <f>VLOOKUP(I77,[6]stage_hints!$A:$C,3,FALSE)</f>
        <v>敵のカウンター攻撃には</v>
      </c>
      <c r="L77" s="92" t="str">
        <f>VLOOKUP(I77,[6]stage_hints!$A:$D,4,FALSE)</f>
        <v>カウンターブレイクスキルを持っていれば_x000D_敵のカウンターを解除して攻撃ができます</v>
      </c>
      <c r="M77" s="56" t="s">
        <v>210</v>
      </c>
    </row>
    <row r="78" spans="1:13" x14ac:dyDescent="0.15">
      <c r="A78" s="79" t="s">
        <v>200</v>
      </c>
      <c r="B78" s="80">
        <f>floors!$C$2</f>
        <v>30036</v>
      </c>
      <c r="C78" s="81" t="str">
        <f ca="1">VLOOKUP($B78,OFFSET([2]quests!$A$1,0,0,COUNTA([2]quests!$A:$A),MATCH(C$1,[2]quests!$1:$1,0)-MATCH($B$1,[2]quests!$1:$1,0)+1),MATCH(C$1,[2]quests!$1:$1,0)-MATCH($B$1,[2]quests!$1:$1,0)+1,FALSE)</f>
        <v>猛然たる炎獣使い</v>
      </c>
      <c r="D78" s="81" t="str">
        <f ca="1">VLOOKUP($B78,OFFSET([2]quests!$A$1,0,0,COUNTA([2]quests!$A:$A),MATCH(D$1,[2]quests!$1:$1,0)-MATCH($B$1,[2]quests!$1:$1,0)+1),MATCH(D$1,[2]quests!$1:$1,0)-MATCH($B$1,[2]quests!$1:$1,0)+1,FALSE)</f>
        <v>ギリシャ神話シリーズ超級</v>
      </c>
      <c r="E78" s="85">
        <v>3</v>
      </c>
      <c r="F78" s="81" t="str">
        <f ca="1">VLOOKUP($B78&amp;"_"&amp;$E78,OFFSET([2]stages!$A$1,0,0,COUNTA([2]stages!$A:$A),MATCH(F$1,[2]stages!$2:$2,0)-MATCH("temp_stage",[2]stages!$2:$2,0)+1),MATCH(F$1,[2]stages!$2:$2,0)-MATCH("temp_stage",[2]stages!$2:$2,0)+1,FALSE)</f>
        <v>【超級】猛然たる炎獣使い</v>
      </c>
      <c r="G78" s="81" t="str">
        <f ca="1">VLOOKUP($B78&amp;"_"&amp;$E78,OFFSET([2]stages!$A$1,0,0,COUNTA([2]stages!$A:$A),MATCH(G$1,[2]stages!$2:$2,0)-MATCH("temp_stage",[2]stages!$2:$2,0)+1),MATCH(G$1,[2]stages!$2:$2,0)-MATCH("temp_stage",[2]stages!$2:$2,0)+1,FALSE)</f>
        <v>ギリシャ神話シリーズ超級</v>
      </c>
      <c r="H78" s="83">
        <v>0</v>
      </c>
      <c r="I78">
        <v>34</v>
      </c>
      <c r="J78" s="82" t="s">
        <v>197</v>
      </c>
      <c r="K78" s="91" t="str">
        <f>VLOOKUP(I78,[6]stage_hints!$A:$C,3,FALSE)</f>
        <v>ステータスをスキルで下げられたら</v>
      </c>
      <c r="L78" s="92" t="str">
        <f>VLOOKUP(I78,[6]stage_hints!$A:$D,4,FALSE)</f>
        <v>ステータスダウンのスキルを受けたら_x000D_ステータスアップスキルで上書きしましょう</v>
      </c>
      <c r="M78" s="56" t="s">
        <v>210</v>
      </c>
    </row>
    <row r="79" spans="1:13" x14ac:dyDescent="0.15">
      <c r="A79" s="79" t="s">
        <v>200</v>
      </c>
      <c r="B79" s="80">
        <f>floors!$C$2</f>
        <v>30036</v>
      </c>
      <c r="C79" s="81" t="str">
        <f ca="1">VLOOKUP($B79,OFFSET([2]quests!$A$1,0,0,COUNTA([2]quests!$A:$A),MATCH(C$1,[2]quests!$1:$1,0)-MATCH($B$1,[2]quests!$1:$1,0)+1),MATCH(C$1,[2]quests!$1:$1,0)-MATCH($B$1,[2]quests!$1:$1,0)+1,FALSE)</f>
        <v>猛然たる炎獣使い</v>
      </c>
      <c r="D79" s="81" t="str">
        <f ca="1">VLOOKUP($B79,OFFSET([2]quests!$A$1,0,0,COUNTA([2]quests!$A:$A),MATCH(D$1,[2]quests!$1:$1,0)-MATCH($B$1,[2]quests!$1:$1,0)+1),MATCH(D$1,[2]quests!$1:$1,0)-MATCH($B$1,[2]quests!$1:$1,0)+1,FALSE)</f>
        <v>ギリシャ神話シリーズ超級</v>
      </c>
      <c r="E79" s="85">
        <v>3</v>
      </c>
      <c r="F79" s="81" t="str">
        <f ca="1">VLOOKUP($B79&amp;"_"&amp;$E79,OFFSET([2]stages!$A$1,0,0,COUNTA([2]stages!$A:$A),MATCH(F$1,[2]stages!$2:$2,0)-MATCH("temp_stage",[2]stages!$2:$2,0)+1),MATCH(F$1,[2]stages!$2:$2,0)-MATCH("temp_stage",[2]stages!$2:$2,0)+1,FALSE)</f>
        <v>【超級】猛然たる炎獣使い</v>
      </c>
      <c r="G79" s="81" t="str">
        <f ca="1">VLOOKUP($B79&amp;"_"&amp;$E79,OFFSET([2]stages!$A$1,0,0,COUNTA([2]stages!$A:$A),MATCH(G$1,[2]stages!$2:$2,0)-MATCH("temp_stage",[2]stages!$2:$2,0)+1),MATCH(G$1,[2]stages!$2:$2,0)-MATCH("temp_stage",[2]stages!$2:$2,0)+1,FALSE)</f>
        <v>ギリシャ神話シリーズ超級</v>
      </c>
      <c r="H79" s="83">
        <v>0</v>
      </c>
      <c r="I79">
        <v>35</v>
      </c>
      <c r="J79" s="82" t="s">
        <v>197</v>
      </c>
      <c r="K79" s="91" t="str">
        <f>VLOOKUP(I79,[6]stage_hints!$A:$C,3,FALSE)</f>
        <v>敵のステータスがスキルで上がったら</v>
      </c>
      <c r="L79" s="92" t="str">
        <f>VLOOKUP(I79,[6]stage_hints!$A:$D,4,FALSE)</f>
        <v>敵のステータスがスキルでアップしたときは_x000D_ステータスダウンスキルで上書きしましょう</v>
      </c>
      <c r="M79" s="56" t="s">
        <v>210</v>
      </c>
    </row>
    <row r="80" spans="1:13" x14ac:dyDescent="0.15">
      <c r="A80" s="79" t="s">
        <v>200</v>
      </c>
      <c r="B80" s="80">
        <f>floors!$C$2</f>
        <v>30036</v>
      </c>
      <c r="C80" s="81" t="str">
        <f ca="1">VLOOKUP($B80,OFFSET([2]quests!$A$1,0,0,COUNTA([2]quests!$A:$A),MATCH(C$1,[2]quests!$1:$1,0)-MATCH($B$1,[2]quests!$1:$1,0)+1),MATCH(C$1,[2]quests!$1:$1,0)-MATCH($B$1,[2]quests!$1:$1,0)+1,FALSE)</f>
        <v>猛然たる炎獣使い</v>
      </c>
      <c r="D80" s="81" t="str">
        <f ca="1">VLOOKUP($B80,OFFSET([2]quests!$A$1,0,0,COUNTA([2]quests!$A:$A),MATCH(D$1,[2]quests!$1:$1,0)-MATCH($B$1,[2]quests!$1:$1,0)+1),MATCH(D$1,[2]quests!$1:$1,0)-MATCH($B$1,[2]quests!$1:$1,0)+1,FALSE)</f>
        <v>ギリシャ神話シリーズ超級</v>
      </c>
      <c r="E80" s="85">
        <v>3</v>
      </c>
      <c r="F80" s="81" t="str">
        <f ca="1">VLOOKUP($B80&amp;"_"&amp;$E80,OFFSET([2]stages!$A$1,0,0,COUNTA([2]stages!$A:$A),MATCH(F$1,[2]stages!$2:$2,0)-MATCH("temp_stage",[2]stages!$2:$2,0)+1),MATCH(F$1,[2]stages!$2:$2,0)-MATCH("temp_stage",[2]stages!$2:$2,0)+1,FALSE)</f>
        <v>【超級】猛然たる炎獣使い</v>
      </c>
      <c r="G80" s="81" t="str">
        <f ca="1">VLOOKUP($B80&amp;"_"&amp;$E80,OFFSET([2]stages!$A$1,0,0,COUNTA([2]stages!$A:$A),MATCH(G$1,[2]stages!$2:$2,0)-MATCH("temp_stage",[2]stages!$2:$2,0)+1),MATCH(G$1,[2]stages!$2:$2,0)-MATCH("temp_stage",[2]stages!$2:$2,0)+1,FALSE)</f>
        <v>ギリシャ神話シリーズ超級</v>
      </c>
      <c r="H80" s="83">
        <v>0</v>
      </c>
      <c r="I80">
        <v>36</v>
      </c>
      <c r="J80" s="82" t="s">
        <v>197</v>
      </c>
      <c r="K80" s="91" t="str">
        <f>VLOOKUP(I80,[6]stage_hints!$A:$C,3,FALSE)</f>
        <v>タワーオブザクイーンのボス</v>
      </c>
      <c r="L80" s="92" t="str">
        <f>VLOOKUP(I80,[6]stage_hints!$A:$D,4,FALSE)</f>
        <v>「タワーオブザクイーン」最上階のボスは_x000D_15階の初回クリア報酬で獲得できるほか_x000D_その階にて低確率でドロップもします</v>
      </c>
      <c r="M80" s="56" t="s">
        <v>210</v>
      </c>
    </row>
    <row r="81" spans="1:13" x14ac:dyDescent="0.15">
      <c r="A81" s="79" t="s">
        <v>200</v>
      </c>
      <c r="B81" s="80">
        <f>floors!$C$2</f>
        <v>30036</v>
      </c>
      <c r="C81" s="81" t="str">
        <f ca="1">VLOOKUP($B81,OFFSET([2]quests!$A$1,0,0,COUNTA([2]quests!$A:$A),MATCH(C$1,[2]quests!$1:$1,0)-MATCH($B$1,[2]quests!$1:$1,0)+1),MATCH(C$1,[2]quests!$1:$1,0)-MATCH($B$1,[2]quests!$1:$1,0)+1,FALSE)</f>
        <v>猛然たる炎獣使い</v>
      </c>
      <c r="D81" s="81" t="str">
        <f ca="1">VLOOKUP($B81,OFFSET([2]quests!$A$1,0,0,COUNTA([2]quests!$A:$A),MATCH(D$1,[2]quests!$1:$1,0)-MATCH($B$1,[2]quests!$1:$1,0)+1),MATCH(D$1,[2]quests!$1:$1,0)-MATCH($B$1,[2]quests!$1:$1,0)+1,FALSE)</f>
        <v>ギリシャ神話シリーズ超級</v>
      </c>
      <c r="E81" s="85">
        <v>3</v>
      </c>
      <c r="F81" s="81" t="str">
        <f ca="1">VLOOKUP($B81&amp;"_"&amp;$E81,OFFSET([2]stages!$A$1,0,0,COUNTA([2]stages!$A:$A),MATCH(F$1,[2]stages!$2:$2,0)-MATCH("temp_stage",[2]stages!$2:$2,0)+1),MATCH(F$1,[2]stages!$2:$2,0)-MATCH("temp_stage",[2]stages!$2:$2,0)+1,FALSE)</f>
        <v>【超級】猛然たる炎獣使い</v>
      </c>
      <c r="G81" s="81" t="str">
        <f ca="1">VLOOKUP($B81&amp;"_"&amp;$E81,OFFSET([2]stages!$A$1,0,0,COUNTA([2]stages!$A:$A),MATCH(G$1,[2]stages!$2:$2,0)-MATCH("temp_stage",[2]stages!$2:$2,0)+1),MATCH(G$1,[2]stages!$2:$2,0)-MATCH("temp_stage",[2]stages!$2:$2,0)+1,FALSE)</f>
        <v>ギリシャ神話シリーズ超級</v>
      </c>
      <c r="H81" s="83">
        <v>0</v>
      </c>
      <c r="I81">
        <v>37</v>
      </c>
      <c r="J81" s="82" t="s">
        <v>197</v>
      </c>
      <c r="K81" s="91" t="str">
        <f>VLOOKUP(I81,[6]stage_hints!$A:$C,3,FALSE)</f>
        <v>限界突破値の引き継ぎ</v>
      </c>
      <c r="L81" s="92" t="str">
        <f>VLOOKUP(I81,[6]stage_hints!$A:$D,4,FALSE)</f>
        <v>同じユニットを強化で合成すると_x000D_限界突破値を引き継げます（覚醒前後も可）</v>
      </c>
      <c r="M81" s="56" t="s">
        <v>210</v>
      </c>
    </row>
    <row r="82" spans="1:13" x14ac:dyDescent="0.15">
      <c r="A82" s="79" t="s">
        <v>200</v>
      </c>
      <c r="B82" s="80">
        <f>floors!$C$2</f>
        <v>30036</v>
      </c>
      <c r="C82" s="81" t="str">
        <f ca="1">VLOOKUP($B82,OFFSET([2]quests!$A$1,0,0,COUNTA([2]quests!$A:$A),MATCH(C$1,[2]quests!$1:$1,0)-MATCH($B$1,[2]quests!$1:$1,0)+1),MATCH(C$1,[2]quests!$1:$1,0)-MATCH($B$1,[2]quests!$1:$1,0)+1,FALSE)</f>
        <v>猛然たる炎獣使い</v>
      </c>
      <c r="D82" s="81" t="str">
        <f ca="1">VLOOKUP($B82,OFFSET([2]quests!$A$1,0,0,COUNTA([2]quests!$A:$A),MATCH(D$1,[2]quests!$1:$1,0)-MATCH($B$1,[2]quests!$1:$1,0)+1),MATCH(D$1,[2]quests!$1:$1,0)-MATCH($B$1,[2]quests!$1:$1,0)+1,FALSE)</f>
        <v>ギリシャ神話シリーズ超級</v>
      </c>
      <c r="E82" s="85">
        <v>3</v>
      </c>
      <c r="F82" s="81" t="str">
        <f ca="1">VLOOKUP($B82&amp;"_"&amp;$E82,OFFSET([2]stages!$A$1,0,0,COUNTA([2]stages!$A:$A),MATCH(F$1,[2]stages!$2:$2,0)-MATCH("temp_stage",[2]stages!$2:$2,0)+1),MATCH(F$1,[2]stages!$2:$2,0)-MATCH("temp_stage",[2]stages!$2:$2,0)+1,FALSE)</f>
        <v>【超級】猛然たる炎獣使い</v>
      </c>
      <c r="G82" s="81" t="str">
        <f ca="1">VLOOKUP($B82&amp;"_"&amp;$E82,OFFSET([2]stages!$A$1,0,0,COUNTA([2]stages!$A:$A),MATCH(G$1,[2]stages!$2:$2,0)-MATCH("temp_stage",[2]stages!$2:$2,0)+1),MATCH(G$1,[2]stages!$2:$2,0)-MATCH("temp_stage",[2]stages!$2:$2,0)+1,FALSE)</f>
        <v>ギリシャ神話シリーズ超級</v>
      </c>
      <c r="H82" s="83">
        <v>0</v>
      </c>
      <c r="I82">
        <v>39</v>
      </c>
      <c r="J82" s="82" t="s">
        <v>197</v>
      </c>
      <c r="K82" s="91" t="str">
        <f>VLOOKUP(I82,[6]stage_hints!$A:$C,3,FALSE)</f>
        <v>システム適合者を確認</v>
      </c>
      <c r="L82" s="92" t="str">
        <f>VLOOKUP(I82,[6]stage_hints!$A:$D,4,FALSE)</f>
        <v>ALICEが 「アナタ」を呼んでいます</v>
      </c>
      <c r="M82" s="56" t="s">
        <v>210</v>
      </c>
    </row>
  </sheetData>
  <phoneticPr fontId="5"/>
  <dataValidations count="1">
    <dataValidation type="list" allowBlank="1" showInputMessage="1" showErrorMessage="1" sqref="A2:A82">
      <formula1>"complete,failure"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16"/>
  <sheetViews>
    <sheetView showGridLines="0" topLeftCell="G1" workbookViewId="0">
      <pane ySplit="1" topLeftCell="A2" activePane="bottomLeft" state="frozen"/>
      <selection pane="bottomLeft" activeCell="M2" sqref="M2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6" max="6" width="22.5" customWidth="1" outlineLevel="1"/>
    <col min="7" max="7" width="22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4" t="s">
        <v>187</v>
      </c>
      <c r="B1" s="70" t="s">
        <v>150</v>
      </c>
      <c r="C1" s="75" t="s">
        <v>189</v>
      </c>
      <c r="D1" s="75" t="s">
        <v>33</v>
      </c>
      <c r="E1" s="70" t="s">
        <v>190</v>
      </c>
      <c r="F1" s="75" t="s">
        <v>18</v>
      </c>
      <c r="G1" s="75" t="s">
        <v>33</v>
      </c>
      <c r="H1" s="70" t="s">
        <v>192</v>
      </c>
      <c r="I1" s="87" t="s">
        <v>193</v>
      </c>
      <c r="J1" s="89" t="s">
        <v>194</v>
      </c>
      <c r="K1" s="77" t="s">
        <v>126</v>
      </c>
      <c r="L1" s="76" t="s">
        <v>186</v>
      </c>
      <c r="M1" s="90" t="s">
        <v>185</v>
      </c>
      <c r="N1" s="78" t="s">
        <v>195</v>
      </c>
    </row>
    <row r="2" spans="1:15" ht="42" x14ac:dyDescent="0.15">
      <c r="A2" s="79" t="s">
        <v>196</v>
      </c>
      <c r="B2" s="80">
        <v>30036</v>
      </c>
      <c r="C2" s="81" t="str">
        <f ca="1">VLOOKUP($B2,OFFSET([2]quests!$A$1,0,0,COUNTA([2]quests!$A:$A),MATCH(C$1,[2]quests!$1:$1,0)-MATCH($B$1,[2]quests!$1:$1,0)+1),MATCH(C$1,[2]quests!$1:$1,0)-MATCH($B$1,[2]quests!$1:$1,0)+1,FALSE)</f>
        <v>猛然たる炎獣使い</v>
      </c>
      <c r="D2" s="81" t="str">
        <f ca="1">VLOOKUP($B2,OFFSET([2]quests!$A$1,0,0,COUNTA([2]quests!$A:$A),MATCH(D$1,[2]quests!$1:$1,0)-MATCH($B$1,[2]quests!$1:$1,0)+1),MATCH(D$1,[2]quests!$1:$1,0)-MATCH($B$1,[2]quests!$1:$1,0)+1,FALSE)</f>
        <v>ギリシャ神話シリーズ超級</v>
      </c>
      <c r="E2" s="82">
        <v>3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【超級】猛然たる炎獣使い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ギリシャ神話シリーズ超級</v>
      </c>
      <c r="H2" s="83">
        <v>2</v>
      </c>
      <c r="I2" s="88">
        <f t="shared" ref="I2:I16" si="0">ROW()-1</f>
        <v>1</v>
      </c>
      <c r="J2" s="84" t="str">
        <f t="shared" ref="J2:J6" si="1">B2&amp;TEXT(I2,"00")</f>
        <v>3003601</v>
      </c>
      <c r="K2" s="82" t="s">
        <v>127</v>
      </c>
      <c r="L2" s="85" t="s">
        <v>198</v>
      </c>
      <c r="M2" s="98" t="s">
        <v>279</v>
      </c>
      <c r="N2" s="56" t="s">
        <v>199</v>
      </c>
      <c r="O2">
        <f t="shared" ref="O2:O6" si="2">LEN(M2)</f>
        <v>40</v>
      </c>
    </row>
    <row r="3" spans="1:15" ht="28" x14ac:dyDescent="0.15">
      <c r="A3" s="79" t="s">
        <v>196</v>
      </c>
      <c r="B3" s="80">
        <v>30036</v>
      </c>
      <c r="C3" s="81" t="str">
        <f ca="1">VLOOKUP($B3,OFFSET([2]quests!$A$1,0,0,COUNTA([2]quests!$A:$A),MATCH(C$1,[2]quests!$1:$1,0)-MATCH($B$1,[2]quests!$1:$1,0)+1),MATCH(C$1,[2]quests!$1:$1,0)-MATCH($B$1,[2]quests!$1:$1,0)+1,FALSE)</f>
        <v>猛然たる炎獣使い</v>
      </c>
      <c r="D3" s="81" t="str">
        <f ca="1">VLOOKUP($B3,OFFSET([2]quests!$A$1,0,0,COUNTA([2]quests!$A:$A),MATCH(D$1,[2]quests!$1:$1,0)-MATCH($B$1,[2]quests!$1:$1,0)+1),MATCH(D$1,[2]quests!$1:$1,0)-MATCH($B$1,[2]quests!$1:$1,0)+1,FALSE)</f>
        <v>ギリシャ神話シリーズ超級</v>
      </c>
      <c r="E3" s="82">
        <v>3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【超級】猛然たる炎獣使い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ギリシャ神話シリーズ超級</v>
      </c>
      <c r="H3" s="83">
        <v>2</v>
      </c>
      <c r="I3" s="88">
        <f t="shared" si="0"/>
        <v>2</v>
      </c>
      <c r="J3" s="84" t="str">
        <f t="shared" si="1"/>
        <v>3003602</v>
      </c>
      <c r="K3" s="82" t="s">
        <v>127</v>
      </c>
      <c r="L3" s="85" t="s">
        <v>198</v>
      </c>
      <c r="M3" s="98" t="s">
        <v>288</v>
      </c>
      <c r="N3" s="56" t="s">
        <v>199</v>
      </c>
      <c r="O3">
        <f t="shared" si="2"/>
        <v>27</v>
      </c>
    </row>
    <row r="4" spans="1:15" ht="28" x14ac:dyDescent="0.15">
      <c r="A4" s="79" t="s">
        <v>196</v>
      </c>
      <c r="B4" s="80">
        <v>30036</v>
      </c>
      <c r="C4" s="81" t="str">
        <f ca="1">VLOOKUP($B4,OFFSET([2]quests!$A$1,0,0,COUNTA([2]quests!$A:$A),MATCH(C$1,[2]quests!$1:$1,0)-MATCH($B$1,[2]quests!$1:$1,0)+1),MATCH(C$1,[2]quests!$1:$1,0)-MATCH($B$1,[2]quests!$1:$1,0)+1,FALSE)</f>
        <v>猛然たる炎獣使い</v>
      </c>
      <c r="D4" s="81" t="str">
        <f ca="1">VLOOKUP($B4,OFFSET([2]quests!$A$1,0,0,COUNTA([2]quests!$A:$A),MATCH(D$1,[2]quests!$1:$1,0)-MATCH($B$1,[2]quests!$1:$1,0)+1),MATCH(D$1,[2]quests!$1:$1,0)-MATCH($B$1,[2]quests!$1:$1,0)+1,FALSE)</f>
        <v>ギリシャ神話シリーズ超級</v>
      </c>
      <c r="E4" s="82">
        <v>3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【超級】猛然たる炎獣使い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ギリシャ神話シリーズ超級</v>
      </c>
      <c r="H4" s="83">
        <v>3</v>
      </c>
      <c r="I4" s="88">
        <f t="shared" si="0"/>
        <v>3</v>
      </c>
      <c r="J4" s="84" t="str">
        <f t="shared" si="1"/>
        <v>3003603</v>
      </c>
      <c r="K4" s="82" t="s">
        <v>127</v>
      </c>
      <c r="L4" s="85" t="s">
        <v>198</v>
      </c>
      <c r="M4" s="98" t="s">
        <v>287</v>
      </c>
      <c r="N4" s="56" t="s">
        <v>199</v>
      </c>
      <c r="O4">
        <f t="shared" si="2"/>
        <v>29</v>
      </c>
    </row>
    <row r="5" spans="1:15" ht="56" x14ac:dyDescent="0.15">
      <c r="A5" s="79" t="s">
        <v>196</v>
      </c>
      <c r="B5" s="80">
        <v>30036</v>
      </c>
      <c r="C5" s="81"/>
      <c r="D5" s="81"/>
      <c r="E5" s="82">
        <v>3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【超級】猛然たる炎獣使い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ギリシャ神話シリーズ超級</v>
      </c>
      <c r="H5" s="83">
        <v>4</v>
      </c>
      <c r="I5" s="88">
        <f t="shared" si="0"/>
        <v>4</v>
      </c>
      <c r="J5" s="84" t="str">
        <f t="shared" si="1"/>
        <v>3003604</v>
      </c>
      <c r="K5" s="82" t="s">
        <v>127</v>
      </c>
      <c r="L5" s="85" t="s">
        <v>198</v>
      </c>
      <c r="M5" s="113" t="s">
        <v>289</v>
      </c>
      <c r="N5" s="56" t="s">
        <v>199</v>
      </c>
      <c r="O5">
        <f t="shared" si="2"/>
        <v>49</v>
      </c>
    </row>
    <row r="6" spans="1:15" ht="56" x14ac:dyDescent="0.15">
      <c r="A6" s="79" t="s">
        <v>196</v>
      </c>
      <c r="B6" s="80">
        <v>30036</v>
      </c>
      <c r="C6" s="81" t="str">
        <f ca="1">VLOOKUP($B6,OFFSET([2]quests!$A$1,0,0,COUNTA([2]quests!$A:$A),MATCH(C$1,[2]quests!$1:$1,0)-MATCH($B$1,[2]quests!$1:$1,0)+1),MATCH(C$1,[2]quests!$1:$1,0)-MATCH($B$1,[2]quests!$1:$1,0)+1,FALSE)</f>
        <v>猛然たる炎獣使い</v>
      </c>
      <c r="D6" s="81" t="str">
        <f ca="1">VLOOKUP($B6,OFFSET([2]quests!$A$1,0,0,COUNTA([2]quests!$A:$A),MATCH(D$1,[2]quests!$1:$1,0)-MATCH($B$1,[2]quests!$1:$1,0)+1),MATCH(D$1,[2]quests!$1:$1,0)-MATCH($B$1,[2]quests!$1:$1,0)+1,FALSE)</f>
        <v>ギリシャ神話シリーズ超級</v>
      </c>
      <c r="E6" s="82">
        <v>3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【超級】猛然たる炎獣使い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ギリシャ神話シリーズ超級</v>
      </c>
      <c r="H6" s="83">
        <v>4</v>
      </c>
      <c r="I6" s="88">
        <f t="shared" si="0"/>
        <v>5</v>
      </c>
      <c r="J6" s="84" t="str">
        <f t="shared" si="1"/>
        <v>3003605</v>
      </c>
      <c r="K6" s="82" t="s">
        <v>127</v>
      </c>
      <c r="L6" s="85" t="s">
        <v>198</v>
      </c>
      <c r="M6" s="113" t="s">
        <v>293</v>
      </c>
      <c r="N6" s="56" t="s">
        <v>199</v>
      </c>
      <c r="O6">
        <f t="shared" si="2"/>
        <v>56</v>
      </c>
    </row>
    <row r="7" spans="1:15" ht="42" x14ac:dyDescent="0.15">
      <c r="A7" s="79" t="s">
        <v>196</v>
      </c>
      <c r="B7" s="80">
        <v>30036</v>
      </c>
      <c r="C7" s="81" t="str">
        <f ca="1">VLOOKUP($B7,OFFSET([2]quests!$A$1,0,0,COUNTA([2]quests!$A:$A),MATCH(C$1,[2]quests!$1:$1,0)-MATCH($B$1,[2]quests!$1:$1,0)+1),MATCH(C$1,[2]quests!$1:$1,0)-MATCH($B$1,[2]quests!$1:$1,0)+1,FALSE)</f>
        <v>猛然たる炎獣使い</v>
      </c>
      <c r="D7" s="81" t="str">
        <f ca="1">VLOOKUP($B7,OFFSET([2]quests!$A$1,0,0,COUNTA([2]quests!$A:$A),MATCH(D$1,[2]quests!$1:$1,0)-MATCH($B$1,[2]quests!$1:$1,0)+1),MATCH(D$1,[2]quests!$1:$1,0)-MATCH($B$1,[2]quests!$1:$1,0)+1,FALSE)</f>
        <v>ギリシャ神話シリーズ超級</v>
      </c>
      <c r="E7" s="82">
        <v>2</v>
      </c>
      <c r="F7" s="81" t="str">
        <f ca="1">VLOOKUP($B7&amp;"_"&amp;$E7,OFFSET([2]stages!$A$1,0,0,COUNTA([2]stages!$A:$A),MATCH(F$1,[2]stages!$2:$2,0)-MATCH("temp_stage",[2]stages!$2:$2,0)+1),MATCH(F$1,[2]stages!$2:$2,0)-MATCH("temp_stage",[2]stages!$2:$2,0)+1,FALSE)</f>
        <v>【上級】猛然たる炎獣使い</v>
      </c>
      <c r="G7" s="81" t="str">
        <f ca="1">VLOOKUP($B7&amp;"_"&amp;$E7,OFFSET([2]stages!$A$1,0,0,COUNTA([2]stages!$A:$A),MATCH(G$1,[2]stages!$2:$2,0)-MATCH("temp_stage",[2]stages!$2:$2,0)+1),MATCH(G$1,[2]stages!$2:$2,0)-MATCH("temp_stage",[2]stages!$2:$2,0)+1,FALSE)</f>
        <v>ギリシャ神話シリーズ超級</v>
      </c>
      <c r="H7" s="83">
        <v>2</v>
      </c>
      <c r="I7" s="88">
        <f t="shared" si="0"/>
        <v>6</v>
      </c>
      <c r="J7" s="84" t="str">
        <f t="shared" ref="J7:J15" si="3">B7&amp;TEXT(I7,"00")</f>
        <v>3003606</v>
      </c>
      <c r="K7" s="82" t="s">
        <v>127</v>
      </c>
      <c r="L7" s="85" t="s">
        <v>198</v>
      </c>
      <c r="M7" s="98" t="s">
        <v>279</v>
      </c>
      <c r="N7" s="56" t="s">
        <v>199</v>
      </c>
      <c r="O7">
        <f t="shared" ref="O7:O15" si="4">LEN(M7)</f>
        <v>40</v>
      </c>
    </row>
    <row r="8" spans="1:15" ht="28" x14ac:dyDescent="0.15">
      <c r="A8" s="79" t="s">
        <v>196</v>
      </c>
      <c r="B8" s="80">
        <v>30036</v>
      </c>
      <c r="C8" s="81" t="str">
        <f ca="1">VLOOKUP($B8,OFFSET([2]quests!$A$1,0,0,COUNTA([2]quests!$A:$A),MATCH(C$1,[2]quests!$1:$1,0)-MATCH($B$1,[2]quests!$1:$1,0)+1),MATCH(C$1,[2]quests!$1:$1,0)-MATCH($B$1,[2]quests!$1:$1,0)+1,FALSE)</f>
        <v>猛然たる炎獣使い</v>
      </c>
      <c r="D8" s="81" t="str">
        <f ca="1">VLOOKUP($B8,OFFSET([2]quests!$A$1,0,0,COUNTA([2]quests!$A:$A),MATCH(D$1,[2]quests!$1:$1,0)-MATCH($B$1,[2]quests!$1:$1,0)+1),MATCH(D$1,[2]quests!$1:$1,0)-MATCH($B$1,[2]quests!$1:$1,0)+1,FALSE)</f>
        <v>ギリシャ神話シリーズ超級</v>
      </c>
      <c r="E8" s="82">
        <v>2</v>
      </c>
      <c r="F8" s="81" t="str">
        <f ca="1">VLOOKUP($B8&amp;"_"&amp;$E8,OFFSET([2]stages!$A$1,0,0,COUNTA([2]stages!$A:$A),MATCH(F$1,[2]stages!$2:$2,0)-MATCH("temp_stage",[2]stages!$2:$2,0)+1),MATCH(F$1,[2]stages!$2:$2,0)-MATCH("temp_stage",[2]stages!$2:$2,0)+1,FALSE)</f>
        <v>【上級】猛然たる炎獣使い</v>
      </c>
      <c r="G8" s="81" t="str">
        <f ca="1">VLOOKUP($B8&amp;"_"&amp;$E8,OFFSET([2]stages!$A$1,0,0,COUNTA([2]stages!$A:$A),MATCH(G$1,[2]stages!$2:$2,0)-MATCH("temp_stage",[2]stages!$2:$2,0)+1),MATCH(G$1,[2]stages!$2:$2,0)-MATCH("temp_stage",[2]stages!$2:$2,0)+1,FALSE)</f>
        <v>ギリシャ神話シリーズ超級</v>
      </c>
      <c r="H8" s="83">
        <v>2</v>
      </c>
      <c r="I8" s="88">
        <f t="shared" si="0"/>
        <v>7</v>
      </c>
      <c r="J8" s="84" t="str">
        <f t="shared" si="3"/>
        <v>3003607</v>
      </c>
      <c r="K8" s="82" t="s">
        <v>127</v>
      </c>
      <c r="L8" s="85" t="s">
        <v>198</v>
      </c>
      <c r="M8" s="98" t="s">
        <v>288</v>
      </c>
      <c r="N8" s="56" t="s">
        <v>199</v>
      </c>
      <c r="O8">
        <f t="shared" si="4"/>
        <v>27</v>
      </c>
    </row>
    <row r="9" spans="1:15" ht="28" x14ac:dyDescent="0.15">
      <c r="A9" s="79" t="s">
        <v>196</v>
      </c>
      <c r="B9" s="80">
        <v>30036</v>
      </c>
      <c r="C9" s="81" t="str">
        <f ca="1">VLOOKUP($B9,OFFSET([2]quests!$A$1,0,0,COUNTA([2]quests!$A:$A),MATCH(C$1,[2]quests!$1:$1,0)-MATCH($B$1,[2]quests!$1:$1,0)+1),MATCH(C$1,[2]quests!$1:$1,0)-MATCH($B$1,[2]quests!$1:$1,0)+1,FALSE)</f>
        <v>猛然たる炎獣使い</v>
      </c>
      <c r="D9" s="81" t="str">
        <f ca="1">VLOOKUP($B9,OFFSET([2]quests!$A$1,0,0,COUNTA([2]quests!$A:$A),MATCH(D$1,[2]quests!$1:$1,0)-MATCH($B$1,[2]quests!$1:$1,0)+1),MATCH(D$1,[2]quests!$1:$1,0)-MATCH($B$1,[2]quests!$1:$1,0)+1,FALSE)</f>
        <v>ギリシャ神話シリーズ超級</v>
      </c>
      <c r="E9" s="82">
        <v>2</v>
      </c>
      <c r="F9" s="81" t="str">
        <f ca="1">VLOOKUP($B9&amp;"_"&amp;$E9,OFFSET([2]stages!$A$1,0,0,COUNTA([2]stages!$A:$A),MATCH(F$1,[2]stages!$2:$2,0)-MATCH("temp_stage",[2]stages!$2:$2,0)+1),MATCH(F$1,[2]stages!$2:$2,0)-MATCH("temp_stage",[2]stages!$2:$2,0)+1,FALSE)</f>
        <v>【上級】猛然たる炎獣使い</v>
      </c>
      <c r="G9" s="81" t="str">
        <f ca="1">VLOOKUP($B9&amp;"_"&amp;$E9,OFFSET([2]stages!$A$1,0,0,COUNTA([2]stages!$A:$A),MATCH(G$1,[2]stages!$2:$2,0)-MATCH("temp_stage",[2]stages!$2:$2,0)+1),MATCH(G$1,[2]stages!$2:$2,0)-MATCH("temp_stage",[2]stages!$2:$2,0)+1,FALSE)</f>
        <v>ギリシャ神話シリーズ超級</v>
      </c>
      <c r="H9" s="83">
        <v>3</v>
      </c>
      <c r="I9" s="88">
        <f t="shared" si="0"/>
        <v>8</v>
      </c>
      <c r="J9" s="84" t="str">
        <f t="shared" si="3"/>
        <v>3003608</v>
      </c>
      <c r="K9" s="82" t="s">
        <v>127</v>
      </c>
      <c r="L9" s="85" t="s">
        <v>198</v>
      </c>
      <c r="M9" s="98" t="s">
        <v>287</v>
      </c>
      <c r="N9" s="56" t="s">
        <v>199</v>
      </c>
      <c r="O9">
        <f t="shared" si="4"/>
        <v>29</v>
      </c>
    </row>
    <row r="10" spans="1:15" ht="56" x14ac:dyDescent="0.15">
      <c r="A10" s="79" t="s">
        <v>196</v>
      </c>
      <c r="B10" s="80">
        <v>30036</v>
      </c>
      <c r="C10" s="81" t="str">
        <f ca="1">VLOOKUP($B10,OFFSET([2]quests!$A$1,0,0,COUNTA([2]quests!$A:$A),MATCH(C$1,[2]quests!$1:$1,0)-MATCH($B$1,[2]quests!$1:$1,0)+1),MATCH(C$1,[2]quests!$1:$1,0)-MATCH($B$1,[2]quests!$1:$1,0)+1,FALSE)</f>
        <v>猛然たる炎獣使い</v>
      </c>
      <c r="D10" s="81" t="str">
        <f ca="1">VLOOKUP($B10,OFFSET([2]quests!$A$1,0,0,COUNTA([2]quests!$A:$A),MATCH(D$1,[2]quests!$1:$1,0)-MATCH($B$1,[2]quests!$1:$1,0)+1),MATCH(D$1,[2]quests!$1:$1,0)-MATCH($B$1,[2]quests!$1:$1,0)+1,FALSE)</f>
        <v>ギリシャ神話シリーズ超級</v>
      </c>
      <c r="E10" s="82">
        <v>2</v>
      </c>
      <c r="F10" s="81" t="str">
        <f ca="1">VLOOKUP($B10&amp;"_"&amp;$E10,OFFSET([2]stages!$A$1,0,0,COUNTA([2]stages!$A:$A),MATCH(F$1,[2]stages!$2:$2,0)-MATCH("temp_stage",[2]stages!$2:$2,0)+1),MATCH(F$1,[2]stages!$2:$2,0)-MATCH("temp_stage",[2]stages!$2:$2,0)+1,FALSE)</f>
        <v>【上級】猛然たる炎獣使い</v>
      </c>
      <c r="G10" s="81" t="str">
        <f ca="1">VLOOKUP($B10&amp;"_"&amp;$E10,OFFSET([2]stages!$A$1,0,0,COUNTA([2]stages!$A:$A),MATCH(G$1,[2]stages!$2:$2,0)-MATCH("temp_stage",[2]stages!$2:$2,0)+1),MATCH(G$1,[2]stages!$2:$2,0)-MATCH("temp_stage",[2]stages!$2:$2,0)+1,FALSE)</f>
        <v>ギリシャ神話シリーズ超級</v>
      </c>
      <c r="H10" s="83">
        <v>4</v>
      </c>
      <c r="I10" s="88">
        <f t="shared" si="0"/>
        <v>9</v>
      </c>
      <c r="J10" s="84" t="str">
        <f t="shared" ref="J10" si="5">B10&amp;TEXT(I10,"00")</f>
        <v>3003609</v>
      </c>
      <c r="K10" s="82" t="s">
        <v>127</v>
      </c>
      <c r="L10" s="85" t="s">
        <v>198</v>
      </c>
      <c r="M10" s="113" t="s">
        <v>290</v>
      </c>
      <c r="N10" s="56" t="s">
        <v>199</v>
      </c>
      <c r="O10">
        <f t="shared" ref="O10" si="6">LEN(M10)</f>
        <v>49</v>
      </c>
    </row>
    <row r="11" spans="1:15" ht="56" x14ac:dyDescent="0.15">
      <c r="A11" s="79" t="s">
        <v>196</v>
      </c>
      <c r="B11" s="80">
        <v>30036</v>
      </c>
      <c r="C11" s="81" t="str">
        <f ca="1">VLOOKUP($B11,OFFSET([2]quests!$A$1,0,0,COUNTA([2]quests!$A:$A),MATCH(C$1,[2]quests!$1:$1,0)-MATCH($B$1,[2]quests!$1:$1,0)+1),MATCH(C$1,[2]quests!$1:$1,0)-MATCH($B$1,[2]quests!$1:$1,0)+1,FALSE)</f>
        <v>猛然たる炎獣使い</v>
      </c>
      <c r="D11" s="81" t="str">
        <f ca="1">VLOOKUP($B11,OFFSET([2]quests!$A$1,0,0,COUNTA([2]quests!$A:$A),MATCH(D$1,[2]quests!$1:$1,0)-MATCH($B$1,[2]quests!$1:$1,0)+1),MATCH(D$1,[2]quests!$1:$1,0)-MATCH($B$1,[2]quests!$1:$1,0)+1,FALSE)</f>
        <v>ギリシャ神話シリーズ超級</v>
      </c>
      <c r="E11" s="82">
        <v>2</v>
      </c>
      <c r="F11" s="81" t="str">
        <f ca="1">VLOOKUP($B11&amp;"_"&amp;$E11,OFFSET([2]stages!$A$1,0,0,COUNTA([2]stages!$A:$A),MATCH(F$1,[2]stages!$2:$2,0)-MATCH("temp_stage",[2]stages!$2:$2,0)+1),MATCH(F$1,[2]stages!$2:$2,0)-MATCH("temp_stage",[2]stages!$2:$2,0)+1,FALSE)</f>
        <v>【上級】猛然たる炎獣使い</v>
      </c>
      <c r="G11" s="81" t="str">
        <f ca="1">VLOOKUP($B11&amp;"_"&amp;$E11,OFFSET([2]stages!$A$1,0,0,COUNTA([2]stages!$A:$A),MATCH(G$1,[2]stages!$2:$2,0)-MATCH("temp_stage",[2]stages!$2:$2,0)+1),MATCH(G$1,[2]stages!$2:$2,0)-MATCH("temp_stage",[2]stages!$2:$2,0)+1,FALSE)</f>
        <v>ギリシャ神話シリーズ超級</v>
      </c>
      <c r="H11" s="83">
        <v>4</v>
      </c>
      <c r="I11" s="88">
        <f t="shared" si="0"/>
        <v>10</v>
      </c>
      <c r="J11" s="84" t="str">
        <f t="shared" si="3"/>
        <v>3003610</v>
      </c>
      <c r="K11" s="82" t="s">
        <v>127</v>
      </c>
      <c r="L11" s="85" t="s">
        <v>198</v>
      </c>
      <c r="M11" s="113" t="s">
        <v>292</v>
      </c>
      <c r="N11" s="56" t="s">
        <v>199</v>
      </c>
      <c r="O11">
        <f t="shared" si="4"/>
        <v>56</v>
      </c>
    </row>
    <row r="12" spans="1:15" ht="42" x14ac:dyDescent="0.15">
      <c r="A12" s="79" t="s">
        <v>196</v>
      </c>
      <c r="B12" s="80">
        <v>30036</v>
      </c>
      <c r="C12" s="81" t="str">
        <f ca="1">VLOOKUP($B12,OFFSET([2]quests!$A$1,0,0,COUNTA([2]quests!$A:$A),MATCH(C$1,[2]quests!$1:$1,0)-MATCH($B$1,[2]quests!$1:$1,0)+1),MATCH(C$1,[2]quests!$1:$1,0)-MATCH($B$1,[2]quests!$1:$1,0)+1,FALSE)</f>
        <v>猛然たる炎獣使い</v>
      </c>
      <c r="D12" s="81" t="str">
        <f ca="1">VLOOKUP($B12,OFFSET([2]quests!$A$1,0,0,COUNTA([2]quests!$A:$A),MATCH(D$1,[2]quests!$1:$1,0)-MATCH($B$1,[2]quests!$1:$1,0)+1),MATCH(D$1,[2]quests!$1:$1,0)-MATCH($B$1,[2]quests!$1:$1,0)+1,FALSE)</f>
        <v>ギリシャ神話シリーズ超級</v>
      </c>
      <c r="E12" s="82">
        <v>1</v>
      </c>
      <c r="F12" s="81" t="str">
        <f ca="1">VLOOKUP($B12&amp;"_"&amp;$E12,OFFSET([2]stages!$A$1,0,0,COUNTA([2]stages!$A:$A),MATCH(F$1,[2]stages!$2:$2,0)-MATCH("temp_stage",[2]stages!$2:$2,0)+1),MATCH(F$1,[2]stages!$2:$2,0)-MATCH("temp_stage",[2]stages!$2:$2,0)+1,FALSE)</f>
        <v>【中級】猛然たる炎獣使い</v>
      </c>
      <c r="G12" s="81" t="str">
        <f ca="1">VLOOKUP($B12&amp;"_"&amp;$E12,OFFSET([2]stages!$A$1,0,0,COUNTA([2]stages!$A:$A),MATCH(G$1,[2]stages!$2:$2,0)-MATCH("temp_stage",[2]stages!$2:$2,0)+1),MATCH(G$1,[2]stages!$2:$2,0)-MATCH("temp_stage",[2]stages!$2:$2,0)+1,FALSE)</f>
        <v>ギリシャ神話シリーズ超級</v>
      </c>
      <c r="H12" s="83">
        <v>2</v>
      </c>
      <c r="I12" s="88">
        <f t="shared" si="0"/>
        <v>11</v>
      </c>
      <c r="J12" s="84" t="str">
        <f t="shared" si="3"/>
        <v>3003611</v>
      </c>
      <c r="K12" s="82" t="s">
        <v>127</v>
      </c>
      <c r="L12" s="85" t="s">
        <v>198</v>
      </c>
      <c r="M12" s="98" t="s">
        <v>279</v>
      </c>
      <c r="N12" s="56" t="s">
        <v>199</v>
      </c>
      <c r="O12">
        <f t="shared" si="4"/>
        <v>40</v>
      </c>
    </row>
    <row r="13" spans="1:15" ht="28" x14ac:dyDescent="0.15">
      <c r="A13" s="79" t="s">
        <v>196</v>
      </c>
      <c r="B13" s="80">
        <v>30036</v>
      </c>
      <c r="C13" s="81" t="str">
        <f ca="1">VLOOKUP($B13,OFFSET([2]quests!$A$1,0,0,COUNTA([2]quests!$A:$A),MATCH(C$1,[2]quests!$1:$1,0)-MATCH($B$1,[2]quests!$1:$1,0)+1),MATCH(C$1,[2]quests!$1:$1,0)-MATCH($B$1,[2]quests!$1:$1,0)+1,FALSE)</f>
        <v>猛然たる炎獣使い</v>
      </c>
      <c r="D13" s="81" t="str">
        <f ca="1">VLOOKUP($B13,OFFSET([2]quests!$A$1,0,0,COUNTA([2]quests!$A:$A),MATCH(D$1,[2]quests!$1:$1,0)-MATCH($B$1,[2]quests!$1:$1,0)+1),MATCH(D$1,[2]quests!$1:$1,0)-MATCH($B$1,[2]quests!$1:$1,0)+1,FALSE)</f>
        <v>ギリシャ神話シリーズ超級</v>
      </c>
      <c r="E13" s="82">
        <v>1</v>
      </c>
      <c r="F13" s="81" t="str">
        <f ca="1">VLOOKUP($B13&amp;"_"&amp;$E13,OFFSET([2]stages!$A$1,0,0,COUNTA([2]stages!$A:$A),MATCH(F$1,[2]stages!$2:$2,0)-MATCH("temp_stage",[2]stages!$2:$2,0)+1),MATCH(F$1,[2]stages!$2:$2,0)-MATCH("temp_stage",[2]stages!$2:$2,0)+1,FALSE)</f>
        <v>【中級】猛然たる炎獣使い</v>
      </c>
      <c r="G13" s="81" t="str">
        <f ca="1">VLOOKUP($B13&amp;"_"&amp;$E13,OFFSET([2]stages!$A$1,0,0,COUNTA([2]stages!$A:$A),MATCH(G$1,[2]stages!$2:$2,0)-MATCH("temp_stage",[2]stages!$2:$2,0)+1),MATCH(G$1,[2]stages!$2:$2,0)-MATCH("temp_stage",[2]stages!$2:$2,0)+1,FALSE)</f>
        <v>ギリシャ神話シリーズ超級</v>
      </c>
      <c r="H13" s="83">
        <v>2</v>
      </c>
      <c r="I13" s="88">
        <f t="shared" si="0"/>
        <v>12</v>
      </c>
      <c r="J13" s="84" t="str">
        <f t="shared" si="3"/>
        <v>3003612</v>
      </c>
      <c r="K13" s="82" t="s">
        <v>127</v>
      </c>
      <c r="L13" s="85" t="s">
        <v>198</v>
      </c>
      <c r="M13" s="98" t="s">
        <v>288</v>
      </c>
      <c r="N13" s="56" t="s">
        <v>199</v>
      </c>
      <c r="O13">
        <f t="shared" si="4"/>
        <v>27</v>
      </c>
    </row>
    <row r="14" spans="1:15" ht="28" x14ac:dyDescent="0.15">
      <c r="A14" s="79" t="s">
        <v>196</v>
      </c>
      <c r="B14" s="80">
        <v>30036</v>
      </c>
      <c r="C14" s="81" t="str">
        <f ca="1">VLOOKUP($B14,OFFSET([2]quests!$A$1,0,0,COUNTA([2]quests!$A:$A),MATCH(C$1,[2]quests!$1:$1,0)-MATCH($B$1,[2]quests!$1:$1,0)+1),MATCH(C$1,[2]quests!$1:$1,0)-MATCH($B$1,[2]quests!$1:$1,0)+1,FALSE)</f>
        <v>猛然たる炎獣使い</v>
      </c>
      <c r="D14" s="81" t="str">
        <f ca="1">VLOOKUP($B14,OFFSET([2]quests!$A$1,0,0,COUNTA([2]quests!$A:$A),MATCH(D$1,[2]quests!$1:$1,0)-MATCH($B$1,[2]quests!$1:$1,0)+1),MATCH(D$1,[2]quests!$1:$1,0)-MATCH($B$1,[2]quests!$1:$1,0)+1,FALSE)</f>
        <v>ギリシャ神話シリーズ超級</v>
      </c>
      <c r="E14" s="82">
        <v>1</v>
      </c>
      <c r="F14" s="81" t="str">
        <f ca="1">VLOOKUP($B14&amp;"_"&amp;$E14,OFFSET([2]stages!$A$1,0,0,COUNTA([2]stages!$A:$A),MATCH(F$1,[2]stages!$2:$2,0)-MATCH("temp_stage",[2]stages!$2:$2,0)+1),MATCH(F$1,[2]stages!$2:$2,0)-MATCH("temp_stage",[2]stages!$2:$2,0)+1,FALSE)</f>
        <v>【中級】猛然たる炎獣使い</v>
      </c>
      <c r="G14" s="81" t="str">
        <f ca="1">VLOOKUP($B14&amp;"_"&amp;$E14,OFFSET([2]stages!$A$1,0,0,COUNTA([2]stages!$A:$A),MATCH(G$1,[2]stages!$2:$2,0)-MATCH("temp_stage",[2]stages!$2:$2,0)+1),MATCH(G$1,[2]stages!$2:$2,0)-MATCH("temp_stage",[2]stages!$2:$2,0)+1,FALSE)</f>
        <v>ギリシャ神話シリーズ超級</v>
      </c>
      <c r="H14" s="83">
        <v>3</v>
      </c>
      <c r="I14" s="88">
        <f t="shared" si="0"/>
        <v>13</v>
      </c>
      <c r="J14" s="84" t="str">
        <f t="shared" si="3"/>
        <v>3003613</v>
      </c>
      <c r="K14" s="82" t="s">
        <v>127</v>
      </c>
      <c r="L14" s="85" t="s">
        <v>198</v>
      </c>
      <c r="M14" s="98" t="s">
        <v>287</v>
      </c>
      <c r="N14" s="56" t="s">
        <v>199</v>
      </c>
      <c r="O14">
        <f t="shared" si="4"/>
        <v>29</v>
      </c>
    </row>
    <row r="15" spans="1:15" ht="56" x14ac:dyDescent="0.15">
      <c r="A15" s="79" t="s">
        <v>196</v>
      </c>
      <c r="B15" s="80">
        <v>30036</v>
      </c>
      <c r="C15" s="81" t="str">
        <f ca="1">VLOOKUP($B15,OFFSET([2]quests!$A$1,0,0,COUNTA([2]quests!$A:$A),MATCH(C$1,[2]quests!$1:$1,0)-MATCH($B$1,[2]quests!$1:$1,0)+1),MATCH(C$1,[2]quests!$1:$1,0)-MATCH($B$1,[2]quests!$1:$1,0)+1,FALSE)</f>
        <v>猛然たる炎獣使い</v>
      </c>
      <c r="D15" s="81" t="str">
        <f ca="1">VLOOKUP($B15,OFFSET([2]quests!$A$1,0,0,COUNTA([2]quests!$A:$A),MATCH(D$1,[2]quests!$1:$1,0)-MATCH($B$1,[2]quests!$1:$1,0)+1),MATCH(D$1,[2]quests!$1:$1,0)-MATCH($B$1,[2]quests!$1:$1,0)+1,FALSE)</f>
        <v>ギリシャ神話シリーズ超級</v>
      </c>
      <c r="E15" s="82">
        <v>1</v>
      </c>
      <c r="F15" s="81" t="str">
        <f ca="1">VLOOKUP($B15&amp;"_"&amp;$E15,OFFSET([2]stages!$A$1,0,0,COUNTA([2]stages!$A:$A),MATCH(F$1,[2]stages!$2:$2,0)-MATCH("temp_stage",[2]stages!$2:$2,0)+1),MATCH(F$1,[2]stages!$2:$2,0)-MATCH("temp_stage",[2]stages!$2:$2,0)+1,FALSE)</f>
        <v>【中級】猛然たる炎獣使い</v>
      </c>
      <c r="G15" s="81" t="str">
        <f ca="1">VLOOKUP($B15&amp;"_"&amp;$E15,OFFSET([2]stages!$A$1,0,0,COUNTA([2]stages!$A:$A),MATCH(G$1,[2]stages!$2:$2,0)-MATCH("temp_stage",[2]stages!$2:$2,0)+1),MATCH(G$1,[2]stages!$2:$2,0)-MATCH("temp_stage",[2]stages!$2:$2,0)+1,FALSE)</f>
        <v>ギリシャ神話シリーズ超級</v>
      </c>
      <c r="H15" s="83">
        <v>4</v>
      </c>
      <c r="I15" s="88">
        <f t="shared" si="0"/>
        <v>14</v>
      </c>
      <c r="J15" s="84" t="str">
        <f t="shared" si="3"/>
        <v>3003614</v>
      </c>
      <c r="K15" s="82" t="s">
        <v>127</v>
      </c>
      <c r="L15" s="85" t="s">
        <v>198</v>
      </c>
      <c r="M15" s="113" t="s">
        <v>289</v>
      </c>
      <c r="N15" s="56" t="s">
        <v>199</v>
      </c>
      <c r="O15">
        <f t="shared" si="4"/>
        <v>49</v>
      </c>
    </row>
    <row r="16" spans="1:15" ht="56" x14ac:dyDescent="0.15">
      <c r="A16" s="79" t="s">
        <v>196</v>
      </c>
      <c r="B16" s="80">
        <v>30036</v>
      </c>
      <c r="C16" s="81" t="str">
        <f ca="1">VLOOKUP($B16,OFFSET([2]quests!$A$1,0,0,COUNTA([2]quests!$A:$A),MATCH(C$1,[2]quests!$1:$1,0)-MATCH($B$1,[2]quests!$1:$1,0)+1),MATCH(C$1,[2]quests!$1:$1,0)-MATCH($B$1,[2]quests!$1:$1,0)+1,FALSE)</f>
        <v>猛然たる炎獣使い</v>
      </c>
      <c r="D16" s="81" t="str">
        <f ca="1">VLOOKUP($B16,OFFSET([2]quests!$A$1,0,0,COUNTA([2]quests!$A:$A),MATCH(D$1,[2]quests!$1:$1,0)-MATCH($B$1,[2]quests!$1:$1,0)+1),MATCH(D$1,[2]quests!$1:$1,0)-MATCH($B$1,[2]quests!$1:$1,0)+1,FALSE)</f>
        <v>ギリシャ神話シリーズ超級</v>
      </c>
      <c r="E16" s="82">
        <v>1</v>
      </c>
      <c r="F16" s="81" t="str">
        <f ca="1">VLOOKUP($B16&amp;"_"&amp;$E16,OFFSET([2]stages!$A$1,0,0,COUNTA([2]stages!$A:$A),MATCH(F$1,[2]stages!$2:$2,0)-MATCH("temp_stage",[2]stages!$2:$2,0)+1),MATCH(F$1,[2]stages!$2:$2,0)-MATCH("temp_stage",[2]stages!$2:$2,0)+1,FALSE)</f>
        <v>【中級】猛然たる炎獣使い</v>
      </c>
      <c r="G16" s="81" t="str">
        <f ca="1">VLOOKUP($B16&amp;"_"&amp;$E16,OFFSET([2]stages!$A$1,0,0,COUNTA([2]stages!$A:$A),MATCH(G$1,[2]stages!$2:$2,0)-MATCH("temp_stage",[2]stages!$2:$2,0)+1),MATCH(G$1,[2]stages!$2:$2,0)-MATCH("temp_stage",[2]stages!$2:$2,0)+1,FALSE)</f>
        <v>ギリシャ神話シリーズ超級</v>
      </c>
      <c r="H16" s="83">
        <v>4</v>
      </c>
      <c r="I16" s="88">
        <f t="shared" si="0"/>
        <v>15</v>
      </c>
      <c r="J16" s="84" t="str">
        <f t="shared" ref="J16" si="7">B16&amp;TEXT(I16,"00")</f>
        <v>3003615</v>
      </c>
      <c r="K16" s="82" t="s">
        <v>127</v>
      </c>
      <c r="L16" s="85" t="s">
        <v>198</v>
      </c>
      <c r="M16" s="113" t="s">
        <v>291</v>
      </c>
      <c r="N16" s="56" t="s">
        <v>199</v>
      </c>
      <c r="O16">
        <f t="shared" ref="O16" si="8">LEN(M16)</f>
        <v>56</v>
      </c>
    </row>
  </sheetData>
  <phoneticPr fontId="5"/>
  <dataValidations count="1">
    <dataValidation type="list" allowBlank="1" showInputMessage="1" showErrorMessage="1" sqref="A2:A1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2017-03-08T06:40:07Z</dcterms:modified>
</cp:coreProperties>
</file>