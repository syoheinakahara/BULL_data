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431100" sheetId="157" r:id="rId4"/>
    <sheet name="tables_431100" sheetId="158" r:id="rId5"/>
    <sheet name="tables_settle_431105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tables_431100!$A$1:$V$294</definedName>
    <definedName name="_xlnm._FilterDatabase" localSheetId="5" hidden="1">tables_settle_431105!$A$1:$V$1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7" l="1"/>
  <c r="B18" i="157"/>
  <c r="G18" i="157"/>
  <c r="H18" i="157"/>
  <c r="O3" i="158"/>
  <c r="O5" i="158"/>
  <c r="O7" i="158"/>
  <c r="O9" i="158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8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F41" i="157"/>
  <c r="G41" i="157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8" i="157"/>
  <c r="E19" i="157"/>
  <c r="B19" i="157"/>
  <c r="E24" i="157"/>
  <c r="B24" i="157"/>
  <c r="B17" i="157"/>
  <c r="F5" i="157"/>
  <c r="A36" i="157"/>
  <c r="G17" i="157"/>
  <c r="E17" i="157"/>
  <c r="H17" i="157"/>
  <c r="G24" i="157"/>
  <c r="H24" i="157"/>
  <c r="E25" i="157"/>
  <c r="B25" i="157"/>
  <c r="G25" i="157"/>
  <c r="H25" i="157"/>
  <c r="E26" i="157"/>
  <c r="B26" i="157"/>
  <c r="G26" i="157"/>
  <c r="H26" i="157"/>
  <c r="G19" i="157"/>
  <c r="H19" i="157"/>
  <c r="E20" i="157"/>
  <c r="B20" i="157"/>
  <c r="G20" i="157"/>
  <c r="H20" i="157"/>
  <c r="E23" i="157"/>
  <c r="B23" i="157"/>
  <c r="E5" i="157"/>
  <c r="E28" i="157"/>
  <c r="B28" i="157"/>
  <c r="E29" i="157"/>
  <c r="B29" i="157"/>
  <c r="B21" i="157"/>
  <c r="G21" i="157"/>
  <c r="E21" i="157"/>
  <c r="H21" i="157"/>
  <c r="E27" i="157"/>
  <c r="B27" i="157"/>
  <c r="G27" i="157"/>
  <c r="H27" i="157"/>
  <c r="G28" i="157"/>
  <c r="H28" i="157"/>
  <c r="E22" i="157"/>
  <c r="B22" i="157"/>
  <c r="G22" i="157"/>
  <c r="H22" i="157"/>
  <c r="G23" i="157"/>
  <c r="H23" i="157"/>
  <c r="G29" i="157"/>
  <c r="H29" i="157"/>
  <c r="R3" i="157"/>
  <c r="R4" i="157"/>
  <c r="R5" i="157"/>
  <c r="R6" i="157"/>
  <c r="R7" i="157"/>
  <c r="F320" i="158"/>
  <c r="H320" i="158"/>
  <c r="K320" i="158"/>
  <c r="L320" i="158"/>
  <c r="M320" i="158"/>
  <c r="N320" i="158"/>
  <c r="F321" i="158"/>
  <c r="F322" i="158"/>
  <c r="F323" i="158"/>
  <c r="F324" i="158"/>
  <c r="P320" i="158"/>
  <c r="H321" i="158"/>
  <c r="K321" i="158"/>
  <c r="L321" i="158"/>
  <c r="M321" i="158"/>
  <c r="N321" i="158"/>
  <c r="P321" i="158"/>
  <c r="H322" i="158"/>
  <c r="K322" i="158"/>
  <c r="L322" i="158"/>
  <c r="M322" i="158"/>
  <c r="N322" i="158"/>
  <c r="P322" i="158"/>
  <c r="H323" i="158"/>
  <c r="K323" i="158"/>
  <c r="L323" i="158"/>
  <c r="M323" i="158"/>
  <c r="N323" i="158"/>
  <c r="P323" i="158"/>
  <c r="H324" i="158"/>
  <c r="K324" i="158"/>
  <c r="L324" i="158"/>
  <c r="M324" i="158"/>
  <c r="N324" i="158"/>
  <c r="P324" i="158"/>
  <c r="A320" i="158"/>
  <c r="A321" i="158"/>
  <c r="A322" i="158"/>
  <c r="A323" i="158"/>
  <c r="A324" i="158"/>
  <c r="B6" i="157"/>
  <c r="B32" i="157"/>
  <c r="C3" i="103"/>
  <c r="E3" i="103"/>
  <c r="F42" i="157"/>
  <c r="G42" i="157"/>
  <c r="F315" i="158"/>
  <c r="H315" i="158"/>
  <c r="K315" i="158"/>
  <c r="L315" i="158"/>
  <c r="M315" i="158"/>
  <c r="N315" i="158"/>
  <c r="F316" i="158"/>
  <c r="F317" i="158"/>
  <c r="F318" i="158"/>
  <c r="F319" i="158"/>
  <c r="P315" i="158"/>
  <c r="H316" i="158"/>
  <c r="K316" i="158"/>
  <c r="L316" i="158"/>
  <c r="M316" i="158"/>
  <c r="N316" i="158"/>
  <c r="P316" i="158"/>
  <c r="H317" i="158"/>
  <c r="K317" i="158"/>
  <c r="L317" i="158"/>
  <c r="M317" i="158"/>
  <c r="N317" i="158"/>
  <c r="P317" i="158"/>
  <c r="H318" i="158"/>
  <c r="K318" i="158"/>
  <c r="L318" i="158"/>
  <c r="M318" i="158"/>
  <c r="N318" i="158"/>
  <c r="P318" i="158"/>
  <c r="H319" i="158"/>
  <c r="K319" i="158"/>
  <c r="L319" i="158"/>
  <c r="M319" i="158"/>
  <c r="N319" i="158"/>
  <c r="P319" i="158"/>
  <c r="A315" i="158"/>
  <c r="A316" i="158"/>
  <c r="A317" i="158"/>
  <c r="A318" i="158"/>
  <c r="A319" i="158"/>
  <c r="F310" i="158"/>
  <c r="H310" i="158"/>
  <c r="K310" i="158"/>
  <c r="L310" i="158"/>
  <c r="M310" i="158"/>
  <c r="N310" i="158"/>
  <c r="F311" i="158"/>
  <c r="F312" i="158"/>
  <c r="F313" i="158"/>
  <c r="F314" i="158"/>
  <c r="P310" i="158"/>
  <c r="H311" i="158"/>
  <c r="K311" i="158"/>
  <c r="L311" i="158"/>
  <c r="M311" i="158"/>
  <c r="N311" i="158"/>
  <c r="P311" i="158"/>
  <c r="H312" i="158"/>
  <c r="K312" i="158"/>
  <c r="L312" i="158"/>
  <c r="M312" i="158"/>
  <c r="N312" i="158"/>
  <c r="P312" i="158"/>
  <c r="H313" i="158"/>
  <c r="K313" i="158"/>
  <c r="L313" i="158"/>
  <c r="M313" i="158"/>
  <c r="N313" i="158"/>
  <c r="P313" i="158"/>
  <c r="H314" i="158"/>
  <c r="K314" i="158"/>
  <c r="L314" i="158"/>
  <c r="M314" i="158"/>
  <c r="N314" i="158"/>
  <c r="P314" i="158"/>
  <c r="A310" i="158"/>
  <c r="A311" i="158"/>
  <c r="A312" i="158"/>
  <c r="A313" i="158"/>
  <c r="A314" i="158"/>
  <c r="I2" i="159"/>
  <c r="D2" i="159"/>
  <c r="E2" i="159"/>
  <c r="I3" i="159"/>
  <c r="D3" i="159"/>
  <c r="E3" i="159"/>
  <c r="I4" i="159"/>
  <c r="D4" i="159"/>
  <c r="E4" i="159"/>
  <c r="A305" i="158"/>
  <c r="F305" i="158"/>
  <c r="H305" i="158"/>
  <c r="K305" i="158"/>
  <c r="L305" i="158"/>
  <c r="M305" i="158"/>
  <c r="N305" i="158"/>
  <c r="F306" i="158"/>
  <c r="F307" i="158"/>
  <c r="F308" i="158"/>
  <c r="F309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C4" i="103"/>
  <c r="E4" i="103"/>
  <c r="B30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A300" i="158"/>
  <c r="F300" i="158"/>
  <c r="H300" i="158"/>
  <c r="K300" i="158"/>
  <c r="L300" i="158"/>
  <c r="M300" i="158"/>
  <c r="N300" i="158"/>
  <c r="F301" i="158"/>
  <c r="F302" i="158"/>
  <c r="F303" i="158"/>
  <c r="F304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<sst xmlns="http://schemas.openxmlformats.org/spreadsheetml/2006/main" count="470" uniqueCount="284">
  <si>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</si>
  <si>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</si>
  <si>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</si>
  <si>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</si>
  <si>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</si>
  <si>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</si>
  <si>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</si>
  <si>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</si>
  <si>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</si>
  <si>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</si>
  <si>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</si>
  <si>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</si>
  <si>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</si>
  <si>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</si>
  <si>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</si>
  <si>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</si>
  <si>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</si>
  <si>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</si>
  <si>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</si>
  <si>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</si>
  <si>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</si>
  <si>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</si>
  <si>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</si>
  <si>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</si>
  <si>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</si>
  <si>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</si>
  <si>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</si>
  <si>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</si>
  <si>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</si>
  <si>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</si>
  <si>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</si>
  <si>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</si>
  <si>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</si>
  <si>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</si>
  <si>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</si>
  <si>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</si>
  <si>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</si>
  <si>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</si>
  <si>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</si>
  <si>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</si>
  <si>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</si>
  <si>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</si>
  <si>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</si>
  <si>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</si>
  <si>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</si>
  <si>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</si>
  <si>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</si>
  <si>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</si>
  <si>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</si>
  <si>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</si>
  <si>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</si>
  <si>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</si>
  <si>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</si>
  <si>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</si>
  <si>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</si>
  <si>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</si>
  <si>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</si>
  <si>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</si>
  <si>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</si>
  <si>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</si>
  <si>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</si>
  <si>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</si>
  <si>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</si>
  <si>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</si>
  <si>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</si>
  <si>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</si>
  <si>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</si>
  <si>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</si>
  <si>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</si>
  <si>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</si>
  <si>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</si>
  <si>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</si>
  <si>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</si>
  <si>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</si>
  <si>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</si>
  <si>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</si>
  <si>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</si>
  <si>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</si>
  <si>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</si>
  <si>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</si>
  <si>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</si>
  <si>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</si>
  <si>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</si>
  <si>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</si>
  <si>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</si>
  <si>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</si>
  <si>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</si>
  <si>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</si>
  <si>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</si>
  <si>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</si>
  <si>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</si>
  <si>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</si>
  <si>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</si>
  <si>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</si>
  <si>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</si>
  <si>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</si>
  <si>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</si>
  <si>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</si>
  <si>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</si>
  <si>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</si>
  <si>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</si>
  <si>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</si>
  <si>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</si>
  <si>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</si>
  <si>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</si>
  <si>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</si>
  <si>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</si>
  <si>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</si>
  <si>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</si>
  <si>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</si>
  <si>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</si>
  <si>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</si>
  <si>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</si>
  <si>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</si>
  <si>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</si>
  <si>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</si>
  <si>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</si>
  <si>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</si>
  <si>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</si>
  <si>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</si>
  <si>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</si>
  <si>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</si>
  <si>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</si>
  <si>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</si>
  <si>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</si>
  <si>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</si>
  <si>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</si>
  <si>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</si>
  <si>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</si>
  <si>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</si>
  <si>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</si>
  <si>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</si>
  <si>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</si>
  <si>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</si>
  <si>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</si>
  <si>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</si>
  <si>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</si>
  <si>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</si>
  <si>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</si>
  <si>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</si>
  <si>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</si>
  <si>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</si>
  <si>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</si>
  <si>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</si>
  <si>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</si>
  <si>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</si>
  <si>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</si>
  <si>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</si>
  <si>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</si>
  <si>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</si>
  <si>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</si>
  <si>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</si>
  <si>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</si>
  <si>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</si>
  <si>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</si>
  <si>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</si>
  <si>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</si>
  <si>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</si>
  <si>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</si>
  <si>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</si>
  <si>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</si>
  <si>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</si>
  <si>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</si>
  <si>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</si>
  <si>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</si>
  <si>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</si>
  <si>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</si>
  <si>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</si>
  <si>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</si>
  <si>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</si>
  <si>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</si>
  <si>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</si>
  <si>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</si>
  <si>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</si>
  <si>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</si>
  <si>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</si>
  <si>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</si>
  <si>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</si>
  <si>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</si>
  <si>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</si>
  <si>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</si>
  <si>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</si>
  <si>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</si>
  <si>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</si>
  <si>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</si>
  <si>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</si>
  <si>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</si>
  <si>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</si>
  <si>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</si>
  <si>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</si>
  <si>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</si>
  <si>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</si>
  <si>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</si>
  <si>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</si>
  <si>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</si>
  <si>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</si>
  <si>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</si>
  <si>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</si>
  <si>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</si>
  <si>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</si>
  <si>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</si>
  <si>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</si>
  <si>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</si>
  <si>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</si>
  <si>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</si>
  <si>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</si>
  <si>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</si>
  <si>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</si>
  <si>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</si>
  <si>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</si>
  <si>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</si>
  <si>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</si>
  <si>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</si>
  <si>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</si>
  <si>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</si>
  <si>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</si>
  <si>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</si>
  <si>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</si>
  <si>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</si>
  <si>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</si>
  <si>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</si>
  <si>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</si>
  <si>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</si>
  <si>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</si>
  <si>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</si>
  <si>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</si>
  <si>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</si>
  <si>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</si>
  <si>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</si>
  <si>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</si>
  <si>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</si>
  <si>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</si>
  <si>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</si>
  <si>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</si>
  <si>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</si>
  <si>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</si>
  <si>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</si>
  <si>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</si>
  <si>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</si>
  <si>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</si>
  <si>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</si>
  <si>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</si>
  <si>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</si>
  <si>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</si>
  <si>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</si>
  <si>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</si>
  <si>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</si>
  <si>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gacha_select_tables_</t>
    <phoneticPr fontId="21"/>
  </si>
  <si>
    <t>tables_422011</t>
  </si>
  <si>
    <t>old</t>
    <phoneticPr fontId="21"/>
  </si>
  <si>
    <t>gacha_settle_tables_</t>
    <phoneticPr fontId="21"/>
  </si>
  <si>
    <t>.tmp</t>
    <phoneticPr fontId="54"/>
  </si>
  <si>
    <t>old</t>
    <phoneticPr fontId="21"/>
  </si>
  <si>
    <t>unit</t>
    <phoneticPr fontId="21"/>
  </si>
  <si>
    <t>unit</t>
    <phoneticPr fontId="21"/>
  </si>
  <si>
    <t>unit</t>
    <phoneticPr fontId="21"/>
  </si>
  <si>
    <t>unit</t>
    <phoneticPr fontId="21"/>
  </si>
  <si>
    <t>null</t>
    <phoneticPr fontId="21"/>
  </si>
  <si>
    <t>ja</t>
  </si>
  <si>
    <t>bit</t>
    <phoneticPr fontId="21"/>
  </si>
  <si>
    <t>1,000,000 ビット</t>
    <phoneticPr fontId="21"/>
  </si>
  <si>
    <t>リトルハンプティ × 1</t>
    <phoneticPr fontId="21"/>
  </si>
  <si>
    <t>ギガ攻めの果実 × 5</t>
    <phoneticPr fontId="21"/>
  </si>
  <si>
    <t>ギガ生命の果実 × 5</t>
    <phoneticPr fontId="21"/>
  </si>
  <si>
    <t>ギガ癒しの果実 × 5</t>
    <phoneticPr fontId="21"/>
  </si>
  <si>
    <t>ギガ秘術の果実 × 2</t>
    <phoneticPr fontId="21"/>
  </si>
  <si>
    <t>ニューフェイスガチャ特典</t>
    <phoneticPr fontId="21"/>
  </si>
  <si>
    <t>STEP2特典としてリトルハンプティ1体をプレゼント！</t>
    <phoneticPr fontId="21"/>
  </si>
  <si>
    <t>STEP3特典としてギガ攻めの果実5体をプレゼント！</t>
    <phoneticPr fontId="21"/>
  </si>
  <si>
    <t>STEP3特典としてギガ生命の果実5体をプレゼント！</t>
    <phoneticPr fontId="21"/>
  </si>
  <si>
    <t>STEP3特典としてギガ癒しの果実5体をプレゼント！</t>
    <phoneticPr fontId="21"/>
  </si>
  <si>
    <t>STEP3特典としてギガ秘術の果実2体をプレゼント！</t>
    <phoneticPr fontId="21"/>
  </si>
  <si>
    <t>STEP4特典として1,000,000 bit をプレゼント！</t>
    <phoneticPr fontId="21"/>
  </si>
  <si>
    <t>tables_431100</t>
  </si>
  <si>
    <t>tables_settle_431105</t>
  </si>
  <si>
    <t>431102</t>
  </si>
  <si>
    <t>4311021</t>
  </si>
  <si>
    <t>431103</t>
  </si>
  <si>
    <t>4311031</t>
  </si>
  <si>
    <t>4311032</t>
  </si>
  <si>
    <t>4311033</t>
  </si>
  <si>
    <t>4311034</t>
  </si>
  <si>
    <t>431104</t>
  </si>
  <si>
    <t>4311041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</si>
</sst>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101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3" fillId="4" borderId="1" xfId="2978" applyFont="1" applyFill="1" applyBorder="1"/>
    <xf numFmtId="0" fontId="2" fillId="4" borderId="1" xfId="2978" applyFont="1" applyFill="1" applyBorder="1"/>
    <xf numFmtId="0" fontId="2" fillId="0" borderId="1" xfId="3036" applyFont="1" applyBorder="1"/>
    <xf numFmtId="0" fontId="2" fillId="0" borderId="1" xfId="2978" applyFont="1" applyBorder="1"/>
    <xf numFmtId="0" fontId="26" fillId="0" borderId="1" xfId="2" applyFont="1" applyFill="1" applyBorder="1" applyAlignment="1">
      <alignment horizontal="left" vertical="center"/>
    </xf>
    <xf numFmtId="0" fontId="26" fillId="0" borderId="1" xfId="2" applyFont="1" applyFill="1" applyBorder="1" applyAlignment="1">
      <alignment vertical="center"/>
    </xf>
    <xf numFmtId="177" fontId="0" fillId="0" borderId="0" xfId="0" applyNumberFormat="1"/>
    <xf numFmtId="180" fontId="0" fillId="4" borderId="1" xfId="0" applyNumberForma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academia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</v>
          </cell>
          <cell r="K1160" t="str">
            <v>attack</v>
          </cell>
          <cell r="L1160" t="str">
            <v>攻撃タイプ</v>
          </cell>
          <cell r="M1160" t="str">
            <v>god</v>
          </cell>
        </row>
        <row r="1161">
          <cell r="A1161">
            <v>1160</v>
          </cell>
          <cell r="B1161" t="str">
            <v>ja</v>
          </cell>
          <cell r="C1161" t="str">
            <v>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</v>
          </cell>
          <cell r="K1161" t="str">
            <v>attack</v>
          </cell>
          <cell r="L1161" t="str">
            <v>攻撃タイプ</v>
          </cell>
          <cell r="M1161" t="str">
            <v>god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</v>
          </cell>
          <cell r="K1162" t="str">
            <v>attack</v>
          </cell>
          <cell r="L1162" t="str">
            <v>攻撃タイプ</v>
          </cell>
          <cell r="M1162" t="str">
            <v>god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</v>
          </cell>
          <cell r="K1163" t="str">
            <v>attack</v>
          </cell>
          <cell r="L1163" t="str">
            <v>攻撃タイプ</v>
          </cell>
          <cell r="M1163" t="str">
            <v>god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</v>
          </cell>
          <cell r="K1164" t="str">
            <v>attack</v>
          </cell>
          <cell r="L1164" t="str">
            <v>攻撃タイプ</v>
          </cell>
          <cell r="M1164" t="str">
            <v>god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PremiumSS</v>
          </cell>
          <cell r="K1178" t="str">
            <v>attack</v>
          </cell>
          <cell r="L1178" t="str">
            <v>攻撃タイプ</v>
          </cell>
          <cell r="M1178" t="str">
            <v>god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PremiumSS</v>
          </cell>
          <cell r="K1179" t="str">
            <v>attack</v>
          </cell>
          <cell r="L1179" t="str">
            <v>攻撃タイプ</v>
          </cell>
          <cell r="M1179" t="str">
            <v>god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academia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ポチ_ハロウィン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attack</v>
          </cell>
          <cell r="L1188" t="str">
            <v>攻撃タイプ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ジョー_ハロウィン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ジェリー_ハロウィン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heal</v>
          </cell>
          <cell r="L1190" t="str">
            <v>回復タイプ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エレキポッド_ハロウィン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オリジナル_ウィザード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オリジナル_ウィザード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ランスロット_ハロウィン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オリジナル_ガチャあたり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オリジナル_ガチャあたり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ラプンツェル_ハロウィン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バフォメット_ハロウィン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balance</v>
          </cell>
          <cell r="L1198" t="str">
            <v>バランスタイプ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ピノキオ_ハロウィン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attack</v>
          </cell>
          <cell r="L1199" t="str">
            <v>攻撃タイプ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ケルベロス_ハロウィン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ヘラ(旧パスツール)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ヘラ(旧パスツール)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attack</v>
          </cell>
          <cell r="L1219" t="str">
            <v>攻撃タイプ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attack</v>
          </cell>
          <cell r="L1220" t="str">
            <v>攻撃タイプ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トルストイ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attack</v>
          </cell>
          <cell r="L1221" t="str">
            <v>攻撃タイプ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トルストイ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attack</v>
          </cell>
          <cell r="L1222" t="str">
            <v>攻撃タイプ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attack</v>
          </cell>
          <cell r="L1223" t="str">
            <v>攻撃タイプ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attack</v>
          </cell>
          <cell r="L1224" t="str">
            <v>攻撃タイプ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シェイクスピア</v>
          </cell>
          <cell r="H1227" t="str">
            <v>green</v>
          </cell>
          <cell r="I1227">
            <v>5</v>
          </cell>
          <cell r="J1227" t="str">
            <v>PremiumSSw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シェイクスピア</v>
          </cell>
          <cell r="H1228" t="str">
            <v>green</v>
          </cell>
          <cell r="I1228">
            <v>6</v>
          </cell>
          <cell r="J1228" t="str">
            <v>PremiumSSw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4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attack</v>
          </cell>
          <cell r="L1231" t="str">
            <v>攻撃タイプ</v>
          </cell>
          <cell r="M1231" t="str">
            <v>human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attack</v>
          </cell>
          <cell r="L1232" t="str">
            <v>攻撃タイプ</v>
          </cell>
          <cell r="M1232" t="str">
            <v>human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6001</v>
          </cell>
          <cell r="B1296" t="str">
            <v>ja</v>
          </cell>
          <cell r="C1296" t="str">
            <v>ジェリー</v>
          </cell>
          <cell r="D1296" t="str">
            <v>ノーマルクエスト</v>
          </cell>
          <cell r="E1296" t="str">
            <v>QoH</v>
          </cell>
          <cell r="F1296" t="str">
            <v>世界観</v>
          </cell>
          <cell r="G1296" t="str">
            <v>不明</v>
          </cell>
          <cell r="H1296" t="str">
            <v>red</v>
          </cell>
          <cell r="I1296">
            <v>1</v>
          </cell>
          <cell r="J1296" t="str">
            <v>Drop1T</v>
          </cell>
          <cell r="K1296" t="str">
            <v>ra</v>
          </cell>
          <cell r="L1296" t="str">
            <v>ラグランジュチャレンジ</v>
          </cell>
          <cell r="M1296" t="str">
            <v>unknown</v>
          </cell>
        </row>
        <row r="1297">
          <cell r="A1297">
            <v>6002</v>
          </cell>
          <cell r="B1297" t="str">
            <v>ja</v>
          </cell>
          <cell r="C1297" t="str">
            <v>ヨシタカ</v>
          </cell>
          <cell r="D1297" t="str">
            <v>ノーマルクエスト</v>
          </cell>
          <cell r="E1297" t="str">
            <v>アバター</v>
          </cell>
          <cell r="F1297" t="str">
            <v>世界観</v>
          </cell>
          <cell r="G1297" t="str">
            <v>男性</v>
          </cell>
          <cell r="H1297" t="str">
            <v>red</v>
          </cell>
          <cell r="I1297">
            <v>2</v>
          </cell>
          <cell r="J1297" t="str">
            <v>Drop1N</v>
          </cell>
          <cell r="K1297" t="str">
            <v>ra</v>
          </cell>
          <cell r="L1297" t="str">
            <v>ラグランジュチャレンジ</v>
          </cell>
          <cell r="M1297" t="str">
            <v>human</v>
          </cell>
        </row>
        <row r="1298">
          <cell r="A1298">
            <v>6003</v>
          </cell>
          <cell r="B1298" t="str">
            <v>ja</v>
          </cell>
          <cell r="C1298" t="str">
            <v>朱雀</v>
          </cell>
          <cell r="D1298" t="str">
            <v>リンクガチャ:4神</v>
          </cell>
          <cell r="E1298" t="str">
            <v>守護神</v>
          </cell>
          <cell r="F1298" t="str">
            <v>格好いい</v>
          </cell>
          <cell r="G1298" t="str">
            <v>不明</v>
          </cell>
          <cell r="H1298" t="str">
            <v>red</v>
          </cell>
          <cell r="I1298">
            <v>3</v>
          </cell>
          <cell r="J1298" t="str">
            <v>Drop2N</v>
          </cell>
          <cell r="K1298" t="str">
            <v>ra</v>
          </cell>
          <cell r="L1298" t="str">
            <v>ラグランジュチャレンジ</v>
          </cell>
          <cell r="M1298" t="str">
            <v>animal</v>
          </cell>
        </row>
        <row r="1299">
          <cell r="A1299">
            <v>6004</v>
          </cell>
          <cell r="B1299" t="str">
            <v>ja</v>
          </cell>
          <cell r="C1299" t="str">
            <v>ブレット</v>
          </cell>
          <cell r="D1299" t="str">
            <v>ノーマルクエスト</v>
          </cell>
          <cell r="E1299" t="str">
            <v>アバター</v>
          </cell>
          <cell r="F1299" t="str">
            <v>世界観</v>
          </cell>
          <cell r="G1299" t="str">
            <v>不明</v>
          </cell>
          <cell r="H1299" t="str">
            <v>red</v>
          </cell>
          <cell r="I1299">
            <v>1</v>
          </cell>
          <cell r="J1299" t="str">
            <v>Drop1W</v>
          </cell>
          <cell r="K1299" t="str">
            <v>ra</v>
          </cell>
          <cell r="L1299" t="str">
            <v>ラグランジュチャレンジ</v>
          </cell>
          <cell r="M1299" t="str">
            <v>animal</v>
          </cell>
        </row>
        <row r="1300">
          <cell r="A1300">
            <v>6005</v>
          </cell>
          <cell r="B1300" t="str">
            <v>ja</v>
          </cell>
          <cell r="C1300" t="str">
            <v>孤神 テティス</v>
          </cell>
          <cell r="D1300" t="str">
            <v>初期ガチャ</v>
          </cell>
          <cell r="E1300" t="str">
            <v>管理者</v>
          </cell>
          <cell r="F1300" t="str">
            <v>美しい</v>
          </cell>
          <cell r="G1300" t="str">
            <v>女性</v>
          </cell>
          <cell r="H1300" t="str">
            <v>blue</v>
          </cell>
          <cell r="I1300">
            <v>4</v>
          </cell>
          <cell r="J1300" t="str">
            <v>PremiumN</v>
          </cell>
          <cell r="K1300" t="str">
            <v>ra</v>
          </cell>
          <cell r="L1300" t="str">
            <v>ラグランジュチャレンジ</v>
          </cell>
          <cell r="M1300" t="str">
            <v>god</v>
          </cell>
        </row>
        <row r="1301">
          <cell r="A1301">
            <v>6006</v>
          </cell>
          <cell r="B1301" t="str">
            <v>ja</v>
          </cell>
          <cell r="C1301" t="str">
            <v>海底の孤高神 テティス</v>
          </cell>
          <cell r="D1301" t="str">
            <v>初期ガチャ</v>
          </cell>
          <cell r="E1301" t="str">
            <v>管理者</v>
          </cell>
          <cell r="F1301" t="str">
            <v>美しい</v>
          </cell>
          <cell r="G1301" t="str">
            <v>女性</v>
          </cell>
          <cell r="H1301" t="str">
            <v>blue</v>
          </cell>
          <cell r="I1301">
            <v>5</v>
          </cell>
          <cell r="J1301" t="str">
            <v>PremiumN</v>
          </cell>
          <cell r="K1301" t="str">
            <v>ra</v>
          </cell>
          <cell r="L1301" t="str">
            <v>ラグランジュチャレンジ</v>
          </cell>
          <cell r="M1301" t="str">
            <v>god</v>
          </cell>
        </row>
        <row r="1302">
          <cell r="A1302">
            <v>6007</v>
          </cell>
          <cell r="B1302" t="str">
            <v>ja</v>
          </cell>
          <cell r="C1302" t="str">
            <v>番犬 ケルベロス</v>
          </cell>
          <cell r="D1302" t="str">
            <v>初期ガチャ</v>
          </cell>
          <cell r="E1302" t="str">
            <v>破界者</v>
          </cell>
          <cell r="F1302" t="str">
            <v>可愛い</v>
          </cell>
          <cell r="G1302" t="str">
            <v>女性</v>
          </cell>
          <cell r="H1302" t="str">
            <v>red</v>
          </cell>
          <cell r="I1302">
            <v>4</v>
          </cell>
          <cell r="J1302" t="str">
            <v>PremiumN</v>
          </cell>
          <cell r="K1302" t="str">
            <v>ra</v>
          </cell>
          <cell r="L1302" t="str">
            <v>ラグランジュチャレンジ</v>
          </cell>
          <cell r="M1302" t="str">
            <v>animal</v>
          </cell>
        </row>
        <row r="1303">
          <cell r="A1303">
            <v>6008</v>
          </cell>
          <cell r="B1303" t="str">
            <v>ja</v>
          </cell>
          <cell r="C1303" t="str">
            <v>焔神 プロメテウス</v>
          </cell>
          <cell r="D1303" t="str">
            <v>初期ガチャ</v>
          </cell>
          <cell r="E1303" t="str">
            <v>管理者</v>
          </cell>
          <cell r="F1303" t="str">
            <v>格好いい</v>
          </cell>
          <cell r="G1303" t="str">
            <v>男性</v>
          </cell>
          <cell r="H1303" t="str">
            <v>red</v>
          </cell>
          <cell r="I1303">
            <v>4</v>
          </cell>
          <cell r="J1303" t="str">
            <v>PremiumN</v>
          </cell>
          <cell r="K1303" t="str">
            <v>ra</v>
          </cell>
          <cell r="L1303" t="str">
            <v>ラグランジュチャレンジ</v>
          </cell>
          <cell r="M1303" t="str">
            <v>god</v>
          </cell>
        </row>
        <row r="1304">
          <cell r="A1304">
            <v>6009</v>
          </cell>
          <cell r="B1304" t="str">
            <v>ja</v>
          </cell>
          <cell r="C1304" t="str">
            <v>超越自我 ラグランジュ</v>
          </cell>
          <cell r="D1304" t="str">
            <v>ガチャ:フィーバーフェス02</v>
          </cell>
          <cell r="E1304" t="str">
            <v>執行者</v>
          </cell>
          <cell r="F1304" t="str">
            <v>格好いい</v>
          </cell>
          <cell r="G1304" t="str">
            <v>女性</v>
          </cell>
          <cell r="H1304" t="str">
            <v>red</v>
          </cell>
          <cell r="I1304">
            <v>5</v>
          </cell>
          <cell r="J1304" t="str">
            <v>PremiumSSS</v>
          </cell>
          <cell r="K1304" t="str">
            <v>ra</v>
          </cell>
          <cell r="L1304" t="str">
            <v>ラグランジュチャレンジ</v>
          </cell>
          <cell r="M1304" t="str">
            <v>human</v>
          </cell>
        </row>
        <row r="1305">
          <cell r="A1305">
            <v>6010</v>
          </cell>
          <cell r="B1305" t="str">
            <v>ja</v>
          </cell>
          <cell r="C1305" t="str">
            <v>超越凌駕 ラグランジュ</v>
          </cell>
          <cell r="D1305" t="str">
            <v>ガチャ:フィーバーフェス02</v>
          </cell>
          <cell r="E1305" t="str">
            <v>執行者</v>
          </cell>
          <cell r="F1305" t="str">
            <v>格好いい</v>
          </cell>
          <cell r="G1305" t="str">
            <v>女性</v>
          </cell>
          <cell r="H1305" t="str">
            <v>red</v>
          </cell>
          <cell r="I1305">
            <v>6</v>
          </cell>
          <cell r="J1305" t="str">
            <v>PremiumSSS</v>
          </cell>
          <cell r="K1305" t="str">
            <v>ra</v>
          </cell>
          <cell r="L1305" t="str">
            <v>ラグランジュチャレンジ</v>
          </cell>
          <cell r="M1305" t="str">
            <v>human</v>
          </cell>
        </row>
        <row r="1306">
          <cell r="A1306">
            <v>6011</v>
          </cell>
          <cell r="B1306" t="str">
            <v>ja</v>
          </cell>
          <cell r="C1306" t="str">
            <v>パトドッグリーダー ポチ</v>
          </cell>
          <cell r="D1306" t="str">
            <v>ガチャ:フィーバーフェス02</v>
          </cell>
          <cell r="E1306" t="str">
            <v>執行者</v>
          </cell>
          <cell r="F1306" t="str">
            <v>格好いい</v>
          </cell>
          <cell r="G1306" t="str">
            <v>男性</v>
          </cell>
          <cell r="H1306" t="str">
            <v>blue</v>
          </cell>
          <cell r="I1306">
            <v>2</v>
          </cell>
          <cell r="J1306" t="str">
            <v>Drop1T</v>
          </cell>
          <cell r="K1306" t="str">
            <v>ra002</v>
          </cell>
          <cell r="L1306" t="str">
            <v>ユークリッドチャレンジ</v>
          </cell>
          <cell r="M1306" t="str">
            <v>unknown</v>
          </cell>
        </row>
        <row r="1307">
          <cell r="A1307">
            <v>6012</v>
          </cell>
          <cell r="B1307" t="str">
            <v>ja</v>
          </cell>
          <cell r="C1307" t="str">
            <v>ミミ</v>
          </cell>
          <cell r="D1307" t="str">
            <v>ガチャ:フィーバーフェス02</v>
          </cell>
          <cell r="E1307" t="str">
            <v>執行者</v>
          </cell>
          <cell r="F1307" t="str">
            <v>格好いい</v>
          </cell>
          <cell r="G1307" t="str">
            <v>男性</v>
          </cell>
          <cell r="H1307" t="str">
            <v>yellow</v>
          </cell>
          <cell r="I1307">
            <v>1</v>
          </cell>
          <cell r="J1307" t="str">
            <v>Drop1W</v>
          </cell>
          <cell r="K1307" t="str">
            <v>ra002</v>
          </cell>
          <cell r="L1307" t="str">
            <v>ユークリッドチャレンジ</v>
          </cell>
          <cell r="M1307" t="str">
            <v>animal</v>
          </cell>
        </row>
        <row r="1308">
          <cell r="A1308">
            <v>6013</v>
          </cell>
          <cell r="B1308" t="str">
            <v>ja</v>
          </cell>
          <cell r="C1308" t="str">
            <v>護衛機人 スケアクロウ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男性</v>
          </cell>
          <cell r="H1308" t="str">
            <v>blue</v>
          </cell>
          <cell r="I1308">
            <v>2</v>
          </cell>
          <cell r="J1308" t="str">
            <v>Drop1N</v>
          </cell>
          <cell r="K1308" t="str">
            <v>ra002</v>
          </cell>
          <cell r="L1308" t="str">
            <v>ユークリッドチャレンジ</v>
          </cell>
          <cell r="M1308" t="str">
            <v>machine</v>
          </cell>
        </row>
        <row r="1309">
          <cell r="A1309">
            <v>6014</v>
          </cell>
          <cell r="B1309" t="str">
            <v>ja</v>
          </cell>
          <cell r="C1309" t="str">
            <v>月下の人狼 ローレンス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男性</v>
          </cell>
          <cell r="H1309" t="str">
            <v>blue</v>
          </cell>
          <cell r="I1309">
            <v>4</v>
          </cell>
          <cell r="J1309" t="str">
            <v>PremiumW</v>
          </cell>
          <cell r="K1309" t="str">
            <v>ra002</v>
          </cell>
          <cell r="L1309" t="str">
            <v>ユークリッドチャレンジ</v>
          </cell>
          <cell r="M1309" t="str">
            <v>animal</v>
          </cell>
        </row>
        <row r="1310">
          <cell r="A1310">
            <v>6015</v>
          </cell>
          <cell r="B1310" t="str">
            <v>ja</v>
          </cell>
          <cell r="C1310" t="str">
            <v>フレイヤ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4</v>
          </cell>
          <cell r="J1310" t="str">
            <v>PremiumSS</v>
          </cell>
          <cell r="K1310" t="str">
            <v>ra002</v>
          </cell>
          <cell r="L1310" t="str">
            <v>ユークリッドチャレンジ</v>
          </cell>
          <cell r="M1310" t="str">
            <v>animal</v>
          </cell>
        </row>
        <row r="1311">
          <cell r="A1311">
            <v>6016</v>
          </cell>
          <cell r="B1311" t="str">
            <v>ja</v>
          </cell>
          <cell r="C1311" t="str">
            <v>根原論理 ユークリッド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blue</v>
          </cell>
          <cell r="I1311">
            <v>5</v>
          </cell>
          <cell r="J1311" t="str">
            <v>PremiumSSS</v>
          </cell>
          <cell r="K1311" t="str">
            <v>ra002</v>
          </cell>
          <cell r="L1311" t="str">
            <v>ユークリッドチャレンジ</v>
          </cell>
          <cell r="M1311" t="str">
            <v>human</v>
          </cell>
        </row>
        <row r="1312">
          <cell r="A1312">
            <v>6017</v>
          </cell>
          <cell r="B1312" t="str">
            <v>ja</v>
          </cell>
          <cell r="C1312" t="str">
            <v>不朽の極論 ユークリッド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6</v>
          </cell>
          <cell r="J1312" t="str">
            <v>PremiumSSS</v>
          </cell>
          <cell r="K1312" t="str">
            <v>ra002</v>
          </cell>
          <cell r="L1312" t="str">
            <v>ユークリッドチャレンジ</v>
          </cell>
          <cell r="M1312" t="str">
            <v>human</v>
          </cell>
        </row>
        <row r="1313">
          <cell r="A1313">
            <v>6018</v>
          </cell>
          <cell r="B1313" t="str">
            <v>ja</v>
          </cell>
          <cell r="C1313" t="str">
            <v>ハヅル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red</v>
          </cell>
          <cell r="I1313">
            <v>4</v>
          </cell>
          <cell r="J1313" t="str">
            <v>PremiumSS</v>
          </cell>
          <cell r="K1313" t="str">
            <v>ra002</v>
          </cell>
          <cell r="L1313" t="str">
            <v>ユークリッドチャレンジ</v>
          </cell>
          <cell r="M1313" t="str">
            <v>animal</v>
          </cell>
        </row>
        <row r="1314">
          <cell r="A1314">
            <v>6019</v>
          </cell>
          <cell r="B1314" t="str">
            <v>ja</v>
          </cell>
          <cell r="C1314" t="str">
            <v>天織羽鶴 ハヅル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red</v>
          </cell>
          <cell r="I1314">
            <v>5</v>
          </cell>
          <cell r="J1314" t="str">
            <v>PremiumSS</v>
          </cell>
          <cell r="K1314" t="str">
            <v>ra002</v>
          </cell>
          <cell r="L1314" t="str">
            <v>ユークリッドチャレンジ</v>
          </cell>
          <cell r="M1314" t="str">
            <v>animal</v>
          </cell>
        </row>
        <row r="1315">
          <cell r="A1315">
            <v>6020</v>
          </cell>
          <cell r="B1315" t="str">
            <v>ja</v>
          </cell>
          <cell r="C1315" t="str">
            <v>ミズチ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blue</v>
          </cell>
          <cell r="I1315">
            <v>4</v>
          </cell>
          <cell r="J1315" t="str">
            <v>PremiumS</v>
          </cell>
          <cell r="K1315" t="str">
            <v>ra002</v>
          </cell>
          <cell r="L1315" t="str">
            <v>ユークリッドチャレンジ</v>
          </cell>
          <cell r="M1315" t="str">
            <v>dragon</v>
          </cell>
        </row>
        <row r="1316">
          <cell r="A1316">
            <v>8001</v>
          </cell>
          <cell r="B1316" t="str">
            <v>ja</v>
          </cell>
          <cell r="C1316" t="str">
            <v>媽祖</v>
          </cell>
          <cell r="D1316" t="str">
            <v>イベント:ミクコラボ01</v>
          </cell>
          <cell r="E1316" t="str">
            <v>執行者</v>
          </cell>
          <cell r="F1316" t="str">
            <v>格好いい</v>
          </cell>
          <cell r="G1316" t="str">
            <v>女性</v>
          </cell>
          <cell r="H1316" t="str">
            <v>yellow</v>
          </cell>
          <cell r="I1316">
            <v>5</v>
          </cell>
          <cell r="J1316" t="str">
            <v>PremiumSS</v>
          </cell>
          <cell r="K1316" t="str">
            <v>attack</v>
          </cell>
          <cell r="L1316" t="str">
            <v>攻撃タイプ</v>
          </cell>
          <cell r="M1316" t="str">
            <v>god</v>
          </cell>
        </row>
        <row r="1317">
          <cell r="A1317">
            <v>8002</v>
          </cell>
          <cell r="B1317" t="str">
            <v>ja</v>
          </cell>
          <cell r="C1317" t="str">
            <v>天后 媽祖</v>
          </cell>
          <cell r="D1317" t="str">
            <v>イベント:ミクコラボ01</v>
          </cell>
          <cell r="E1317" t="str">
            <v>執行者</v>
          </cell>
          <cell r="F1317" t="str">
            <v>格好いい</v>
          </cell>
          <cell r="G1317" t="str">
            <v>女性</v>
          </cell>
          <cell r="H1317" t="str">
            <v>yellow</v>
          </cell>
          <cell r="I1317">
            <v>6</v>
          </cell>
          <cell r="J1317" t="str">
            <v>PremiumSS</v>
          </cell>
          <cell r="K1317" t="str">
            <v>attack</v>
          </cell>
          <cell r="L1317" t="str">
            <v>攻撃タイプ</v>
          </cell>
          <cell r="M1317" t="str">
            <v>god</v>
          </cell>
        </row>
        <row r="1318">
          <cell r="A1318">
            <v>8003</v>
          </cell>
          <cell r="B1318" t="str">
            <v>ja</v>
          </cell>
          <cell r="C1318" t="str">
            <v>蛟龍</v>
          </cell>
          <cell r="D1318" t="str">
            <v>イベント:ミクコラボ01</v>
          </cell>
          <cell r="E1318" t="str">
            <v>執行者</v>
          </cell>
          <cell r="F1318" t="str">
            <v>格好いい</v>
          </cell>
          <cell r="G1318" t="str">
            <v>不明</v>
          </cell>
          <cell r="H1318" t="str">
            <v>blue</v>
          </cell>
          <cell r="I1318">
            <v>5</v>
          </cell>
          <cell r="J1318" t="str">
            <v>DropWizS</v>
          </cell>
          <cell r="K1318" t="str">
            <v>hp</v>
          </cell>
          <cell r="L1318" t="str">
            <v>体力タイプ</v>
          </cell>
          <cell r="M1318" t="str">
            <v>dragon</v>
          </cell>
        </row>
        <row r="1319">
          <cell r="A1319">
            <v>8004</v>
          </cell>
          <cell r="B1319" t="str">
            <v>ja</v>
          </cell>
          <cell r="C1319" t="str">
            <v>深海蛟龍怪‧晏公</v>
          </cell>
          <cell r="D1319" t="str">
            <v>イベント:ミクコラボ01</v>
          </cell>
          <cell r="E1319" t="str">
            <v>執行者</v>
          </cell>
          <cell r="F1319" t="str">
            <v>格好いい</v>
          </cell>
          <cell r="G1319" t="str">
            <v>不明</v>
          </cell>
          <cell r="H1319" t="str">
            <v>blue</v>
          </cell>
          <cell r="I1319">
            <v>6</v>
          </cell>
          <cell r="J1319" t="str">
            <v>DropWizS</v>
          </cell>
          <cell r="K1319" t="str">
            <v>hp</v>
          </cell>
          <cell r="L1319" t="str">
            <v>体力タイプ</v>
          </cell>
          <cell r="M1319" t="str">
            <v>dragon</v>
          </cell>
        </row>
        <row r="1320">
          <cell r="A1320">
            <v>8005</v>
          </cell>
          <cell r="B1320" t="str">
            <v>ja</v>
          </cell>
          <cell r="C1320" t="str">
            <v>三蔵法師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不明</v>
          </cell>
          <cell r="H1320" t="str">
            <v>blue</v>
          </cell>
          <cell r="I1320">
            <v>5</v>
          </cell>
          <cell r="J1320" t="str">
            <v>PremiumSS</v>
          </cell>
          <cell r="K1320" t="str">
            <v>balance</v>
          </cell>
          <cell r="L1320" t="str">
            <v>バランスタイプ</v>
          </cell>
          <cell r="M1320" t="str">
            <v>human</v>
          </cell>
        </row>
        <row r="1321">
          <cell r="A1321">
            <v>8006</v>
          </cell>
          <cell r="B1321" t="str">
            <v>ja</v>
          </cell>
          <cell r="C1321" t="str">
            <v>三蔵法師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不明</v>
          </cell>
          <cell r="H1321" t="str">
            <v>blue</v>
          </cell>
          <cell r="I1321">
            <v>6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human</v>
          </cell>
        </row>
        <row r="1322">
          <cell r="A1322">
            <v>8007</v>
          </cell>
          <cell r="B1322" t="str">
            <v>ja</v>
          </cell>
          <cell r="C1322" t="str">
            <v>孫悟空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red</v>
          </cell>
          <cell r="I1322">
            <v>5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animal</v>
          </cell>
        </row>
        <row r="1323">
          <cell r="A1323">
            <v>8008</v>
          </cell>
          <cell r="B1323" t="str">
            <v>ja</v>
          </cell>
          <cell r="C1323" t="str">
            <v>孫悟空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red</v>
          </cell>
          <cell r="I1323">
            <v>6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animal</v>
          </cell>
        </row>
        <row r="1324">
          <cell r="A1324">
            <v>8009</v>
          </cell>
          <cell r="B1324" t="str">
            <v>ja</v>
          </cell>
          <cell r="C1324" t="str">
            <v>西王娘娘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green</v>
          </cell>
          <cell r="I1324">
            <v>5</v>
          </cell>
          <cell r="J1324" t="str">
            <v>PremiumSS</v>
          </cell>
          <cell r="K1324" t="str">
            <v>attack</v>
          </cell>
          <cell r="L1324" t="str">
            <v>攻撃タイプ</v>
          </cell>
          <cell r="M1324" t="str">
            <v>god</v>
          </cell>
        </row>
        <row r="1325">
          <cell r="A1325">
            <v>8010</v>
          </cell>
          <cell r="B1325" t="str">
            <v>ja</v>
          </cell>
          <cell r="C1325" t="str">
            <v>西王娘娘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green</v>
          </cell>
          <cell r="I1325">
            <v>6</v>
          </cell>
          <cell r="J1325" t="str">
            <v>PremiumSS</v>
          </cell>
          <cell r="K1325" t="str">
            <v>attack</v>
          </cell>
          <cell r="L1325" t="str">
            <v>攻撃タイプ</v>
          </cell>
          <cell r="M1325" t="str">
            <v>god</v>
          </cell>
        </row>
        <row r="1326">
          <cell r="A1326">
            <v>8011</v>
          </cell>
          <cell r="B1326" t="str">
            <v>ja</v>
          </cell>
          <cell r="C1326" t="str">
            <v>月下老人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女性</v>
          </cell>
          <cell r="H1326" t="str">
            <v>yellow</v>
          </cell>
          <cell r="I1326">
            <v>5</v>
          </cell>
          <cell r="J1326" t="str">
            <v>DropWizS</v>
          </cell>
          <cell r="K1326" t="str">
            <v>balance</v>
          </cell>
          <cell r="L1326" t="str">
            <v>バランスタイプ</v>
          </cell>
          <cell r="M1326" t="str">
            <v>god</v>
          </cell>
        </row>
        <row r="1327">
          <cell r="A1327">
            <v>8012</v>
          </cell>
          <cell r="B1327" t="str">
            <v>ja</v>
          </cell>
          <cell r="C1327" t="str">
            <v>良緣祈福 月下老人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女性</v>
          </cell>
          <cell r="H1327" t="str">
            <v>yellow</v>
          </cell>
          <cell r="I1327">
            <v>6</v>
          </cell>
          <cell r="J1327" t="str">
            <v>DropWizS</v>
          </cell>
          <cell r="K1327" t="str">
            <v>balance</v>
          </cell>
          <cell r="L1327" t="str">
            <v>バランスタイプ</v>
          </cell>
          <cell r="M1327" t="str">
            <v>god</v>
          </cell>
        </row>
        <row r="1328">
          <cell r="A1328">
            <v>8013</v>
          </cell>
          <cell r="B1328" t="str">
            <v>ja</v>
          </cell>
          <cell r="C1328" t="str">
            <v>初音ミクV3</v>
          </cell>
          <cell r="D1328" t="str">
            <v>初音ミクV3</v>
          </cell>
          <cell r="E1328" t="str">
            <v>執行者</v>
          </cell>
          <cell r="F1328" t="str">
            <v>格好いい</v>
          </cell>
          <cell r="G1328" t="str">
            <v>女性</v>
          </cell>
          <cell r="H1328" t="str">
            <v>yellow</v>
          </cell>
          <cell r="I1328">
            <v>4</v>
          </cell>
          <cell r="J1328" t="str">
            <v>DropWizS</v>
          </cell>
          <cell r="K1328" t="str">
            <v>balance</v>
          </cell>
          <cell r="L1328" t="str">
            <v>バランスタイプ</v>
          </cell>
          <cell r="M1328" t="str">
            <v>unknown</v>
          </cell>
        </row>
        <row r="1329">
          <cell r="A1329">
            <v>8014</v>
          </cell>
          <cell r="B1329" t="str">
            <v>ja</v>
          </cell>
          <cell r="C1329" t="str">
            <v>初音ミクV3</v>
          </cell>
          <cell r="D1329" t="str">
            <v>初音ミクV3</v>
          </cell>
          <cell r="E1329" t="str">
            <v>執行者</v>
          </cell>
          <cell r="F1329" t="str">
            <v>格好いい</v>
          </cell>
          <cell r="G1329" t="str">
            <v>女性</v>
          </cell>
          <cell r="H1329" t="str">
            <v>yellow</v>
          </cell>
          <cell r="I1329">
            <v>5</v>
          </cell>
          <cell r="J1329" t="str">
            <v>DropWizS</v>
          </cell>
          <cell r="K1329" t="str">
            <v>balance</v>
          </cell>
          <cell r="L1329" t="str">
            <v>バランスタイプ</v>
          </cell>
          <cell r="M1329" t="str">
            <v>unknown</v>
          </cell>
        </row>
        <row r="1330">
          <cell r="A1330">
            <v>8015</v>
          </cell>
          <cell r="B1330" t="str">
            <v>ja</v>
          </cell>
          <cell r="C1330" t="str">
            <v>初音ミク・アペンド</v>
          </cell>
          <cell r="D1330" t="str">
            <v>初音ミク・アペンド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green</v>
          </cell>
          <cell r="I1330">
            <v>4</v>
          </cell>
          <cell r="J1330" t="str">
            <v>PremiumSSS</v>
          </cell>
          <cell r="K1330" t="str">
            <v>technical</v>
          </cell>
          <cell r="L1330" t="str">
            <v>テクニカルタイプ</v>
          </cell>
          <cell r="M1330" t="str">
            <v>unknown</v>
          </cell>
        </row>
        <row r="1331">
          <cell r="A1331">
            <v>8016</v>
          </cell>
          <cell r="B1331" t="str">
            <v>ja</v>
          </cell>
          <cell r="C1331" t="str">
            <v>初音ミク・アペンド</v>
          </cell>
          <cell r="D1331" t="str">
            <v>初音ミク・アペンド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green</v>
          </cell>
          <cell r="I1331">
            <v>5</v>
          </cell>
          <cell r="J1331" t="str">
            <v>PremiumSSS</v>
          </cell>
          <cell r="K1331" t="str">
            <v>technical</v>
          </cell>
          <cell r="L1331" t="str">
            <v>テクニカルタイプ</v>
          </cell>
          <cell r="M1331" t="str">
            <v>unknown</v>
          </cell>
        </row>
        <row r="1332">
          <cell r="A1332">
            <v>8017</v>
          </cell>
          <cell r="B1332" t="str">
            <v>ja</v>
          </cell>
          <cell r="C1332" t="str">
            <v>初音ミク</v>
          </cell>
          <cell r="D1332" t="str">
            <v>初音ミク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green</v>
          </cell>
          <cell r="I1332">
            <v>4</v>
          </cell>
          <cell r="J1332" t="str">
            <v>PremiumSSS</v>
          </cell>
          <cell r="K1332" t="str">
            <v>balance</v>
          </cell>
          <cell r="L1332" t="str">
            <v>バランスタイプ</v>
          </cell>
          <cell r="M1332" t="str">
            <v>unknown</v>
          </cell>
        </row>
        <row r="1333">
          <cell r="A1333">
            <v>8018</v>
          </cell>
          <cell r="B1333" t="str">
            <v>ja</v>
          </cell>
          <cell r="C1333" t="str">
            <v>初音ミク</v>
          </cell>
          <cell r="D1333" t="str">
            <v>初音ミク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green</v>
          </cell>
          <cell r="I1333">
            <v>5</v>
          </cell>
          <cell r="J1333" t="str">
            <v>PremiumSSS</v>
          </cell>
          <cell r="K1333" t="str">
            <v>balance</v>
          </cell>
          <cell r="L1333" t="str">
            <v>バランスタイプ</v>
          </cell>
          <cell r="M1333" t="str">
            <v>unknown</v>
          </cell>
        </row>
        <row r="1334">
          <cell r="A1334">
            <v>8019</v>
          </cell>
          <cell r="B1334" t="str">
            <v>ja</v>
          </cell>
          <cell r="C1334" t="str">
            <v>鏡音リン</v>
          </cell>
          <cell r="D1334" t="str">
            <v>鏡音リン</v>
          </cell>
          <cell r="E1334" t="str">
            <v>執行者</v>
          </cell>
          <cell r="F1334" t="str">
            <v>格好いい</v>
          </cell>
          <cell r="G1334" t="str">
            <v>男性</v>
          </cell>
          <cell r="H1334" t="str">
            <v>yellow</v>
          </cell>
          <cell r="I1334">
            <v>4</v>
          </cell>
          <cell r="J1334" t="str">
            <v>PremiumSS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8020</v>
          </cell>
          <cell r="B1335" t="str">
            <v>ja</v>
          </cell>
          <cell r="C1335" t="str">
            <v>鏡音リン</v>
          </cell>
          <cell r="D1335" t="str">
            <v>鏡音リン</v>
          </cell>
          <cell r="E1335" t="str">
            <v>執行者</v>
          </cell>
          <cell r="F1335" t="str">
            <v>格好いい</v>
          </cell>
          <cell r="G1335" t="str">
            <v>男性</v>
          </cell>
          <cell r="H1335" t="str">
            <v>yellow</v>
          </cell>
          <cell r="I1335">
            <v>5</v>
          </cell>
          <cell r="J1335" t="str">
            <v>PremiumSS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8021</v>
          </cell>
          <cell r="B1336" t="str">
            <v>ja</v>
          </cell>
          <cell r="C1336" t="str">
            <v>鏡音レン</v>
          </cell>
          <cell r="D1336" t="str">
            <v>鏡音レン</v>
          </cell>
          <cell r="E1336" t="str">
            <v>執行者</v>
          </cell>
          <cell r="F1336" t="str">
            <v>格好いい</v>
          </cell>
          <cell r="G1336" t="str">
            <v>女性</v>
          </cell>
          <cell r="H1336" t="str">
            <v>yellow</v>
          </cell>
          <cell r="I1336">
            <v>4</v>
          </cell>
          <cell r="J1336" t="str">
            <v>PremiumSS</v>
          </cell>
          <cell r="K1336" t="str">
            <v>heal</v>
          </cell>
          <cell r="L1336" t="str">
            <v>回復タイプ</v>
          </cell>
          <cell r="M1336" t="str">
            <v>unknown</v>
          </cell>
        </row>
        <row r="1337">
          <cell r="A1337">
            <v>8022</v>
          </cell>
          <cell r="B1337" t="str">
            <v>ja</v>
          </cell>
          <cell r="C1337" t="str">
            <v>鏡音レン</v>
          </cell>
          <cell r="D1337" t="str">
            <v>鏡音レン</v>
          </cell>
          <cell r="E1337" t="str">
            <v>執行者</v>
          </cell>
          <cell r="F1337" t="str">
            <v>格好いい</v>
          </cell>
          <cell r="G1337" t="str">
            <v>女性</v>
          </cell>
          <cell r="H1337" t="str">
            <v>yellow</v>
          </cell>
          <cell r="I1337">
            <v>5</v>
          </cell>
          <cell r="J1337" t="str">
            <v>PremiumSS</v>
          </cell>
          <cell r="K1337" t="str">
            <v>heal</v>
          </cell>
          <cell r="L1337" t="str">
            <v>回復タイプ</v>
          </cell>
          <cell r="M1337" t="str">
            <v>unknown</v>
          </cell>
        </row>
        <row r="1338">
          <cell r="A1338">
            <v>8023</v>
          </cell>
          <cell r="B1338" t="str">
            <v>ja</v>
          </cell>
          <cell r="C1338" t="str">
            <v>巡音ルカ</v>
          </cell>
          <cell r="D1338" t="str">
            <v>巡音ルカ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red</v>
          </cell>
          <cell r="I1338">
            <v>3</v>
          </cell>
          <cell r="J1338" t="str">
            <v>PremiumS</v>
          </cell>
          <cell r="K1338" t="str">
            <v>attack</v>
          </cell>
          <cell r="L1338" t="str">
            <v>攻撃タイプ</v>
          </cell>
          <cell r="M1338" t="str">
            <v>unknown</v>
          </cell>
        </row>
        <row r="1339">
          <cell r="A1339">
            <v>8024</v>
          </cell>
          <cell r="B1339" t="str">
            <v>ja</v>
          </cell>
          <cell r="C1339" t="str">
            <v>巡音ルカ</v>
          </cell>
          <cell r="D1339" t="str">
            <v>巡音ルカ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red</v>
          </cell>
          <cell r="I1339">
            <v>4</v>
          </cell>
          <cell r="J1339" t="str">
            <v>PremiumS</v>
          </cell>
          <cell r="K1339" t="str">
            <v>attack</v>
          </cell>
          <cell r="L1339" t="str">
            <v>攻撃タイプ</v>
          </cell>
          <cell r="M1339" t="str">
            <v>unknown</v>
          </cell>
        </row>
        <row r="1340">
          <cell r="A1340">
            <v>8025</v>
          </cell>
          <cell r="B1340" t="str">
            <v>ja</v>
          </cell>
          <cell r="C1340" t="str">
            <v>MEIKO</v>
          </cell>
          <cell r="D1340" t="str">
            <v>MEIKO</v>
          </cell>
          <cell r="E1340" t="str">
            <v>執行者</v>
          </cell>
          <cell r="F1340" t="str">
            <v>格好いい</v>
          </cell>
          <cell r="G1340" t="str">
            <v>男性</v>
          </cell>
          <cell r="H1340" t="str">
            <v>red</v>
          </cell>
          <cell r="I1340">
            <v>3</v>
          </cell>
          <cell r="J1340" t="str">
            <v>PremiumS</v>
          </cell>
          <cell r="K1340" t="str">
            <v>hp</v>
          </cell>
          <cell r="L1340" t="str">
            <v>体力タイプ</v>
          </cell>
          <cell r="M1340" t="str">
            <v>unknown</v>
          </cell>
        </row>
        <row r="1341">
          <cell r="A1341">
            <v>8026</v>
          </cell>
          <cell r="B1341" t="str">
            <v>ja</v>
          </cell>
          <cell r="C1341" t="str">
            <v>MEIKO</v>
          </cell>
          <cell r="D1341" t="str">
            <v>MEIKO</v>
          </cell>
          <cell r="E1341" t="str">
            <v>執行者</v>
          </cell>
          <cell r="F1341" t="str">
            <v>格好いい</v>
          </cell>
          <cell r="G1341" t="str">
            <v>男性</v>
          </cell>
          <cell r="H1341" t="str">
            <v>red</v>
          </cell>
          <cell r="I1341">
            <v>4</v>
          </cell>
          <cell r="J1341" t="str">
            <v>PremiumS</v>
          </cell>
          <cell r="K1341" t="str">
            <v>hp</v>
          </cell>
          <cell r="L1341" t="str">
            <v>体力タイプ</v>
          </cell>
          <cell r="M1341" t="str">
            <v>unknown</v>
          </cell>
        </row>
        <row r="1342">
          <cell r="A1342">
            <v>8027</v>
          </cell>
          <cell r="B1342" t="str">
            <v>ja</v>
          </cell>
          <cell r="C1342" t="str">
            <v>KAITO</v>
          </cell>
          <cell r="D1342" t="str">
            <v>KAITO</v>
          </cell>
          <cell r="E1342" t="str">
            <v>執行者</v>
          </cell>
          <cell r="F1342" t="str">
            <v>格好いい</v>
          </cell>
          <cell r="G1342" t="str">
            <v>女性</v>
          </cell>
          <cell r="H1342" t="str">
            <v>blue</v>
          </cell>
          <cell r="I1342">
            <v>3</v>
          </cell>
          <cell r="J1342" t="str">
            <v>PremiumS</v>
          </cell>
          <cell r="K1342" t="str">
            <v>technical</v>
          </cell>
          <cell r="L1342" t="str">
            <v>テクニカルタイプ</v>
          </cell>
          <cell r="M1342" t="str">
            <v>unknown</v>
          </cell>
        </row>
        <row r="1343">
          <cell r="A1343">
            <v>8028</v>
          </cell>
          <cell r="B1343" t="str">
            <v>ja</v>
          </cell>
          <cell r="C1343" t="str">
            <v>KAITO</v>
          </cell>
          <cell r="D1343" t="str">
            <v>KAITO</v>
          </cell>
          <cell r="E1343" t="str">
            <v>執行者</v>
          </cell>
          <cell r="F1343" t="str">
            <v>格好いい</v>
          </cell>
          <cell r="G1343" t="str">
            <v>女性</v>
          </cell>
          <cell r="H1343" t="str">
            <v>blue</v>
          </cell>
          <cell r="I1343">
            <v>4</v>
          </cell>
          <cell r="J1343" t="str">
            <v>PremiumS</v>
          </cell>
          <cell r="K1343" t="str">
            <v>technical</v>
          </cell>
          <cell r="L1343" t="str">
            <v>テクニカルタイプ</v>
          </cell>
          <cell r="M1343" t="str">
            <v>unknown</v>
          </cell>
        </row>
        <row r="1344">
          <cell r="A1344">
            <v>8029</v>
          </cell>
          <cell r="B1344" t="str">
            <v>ja</v>
          </cell>
          <cell r="C1344" t="str">
            <v>Expoミク</v>
          </cell>
          <cell r="D1344" t="str">
            <v>Expoミク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blue</v>
          </cell>
          <cell r="I1344">
            <v>4</v>
          </cell>
          <cell r="J1344" t="str">
            <v>Drop2N</v>
          </cell>
          <cell r="K1344" t="str">
            <v>heal</v>
          </cell>
          <cell r="L1344" t="str">
            <v>回復タイプ</v>
          </cell>
          <cell r="M1344" t="str">
            <v>unknown</v>
          </cell>
        </row>
        <row r="1345">
          <cell r="A1345">
            <v>8030</v>
          </cell>
          <cell r="B1345" t="str">
            <v>ja</v>
          </cell>
          <cell r="C1345" t="str">
            <v>Expoミク</v>
          </cell>
          <cell r="D1345" t="str">
            <v>Expoミク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blue</v>
          </cell>
          <cell r="I1345">
            <v>4</v>
          </cell>
          <cell r="J1345" t="str">
            <v>Drop2N</v>
          </cell>
          <cell r="K1345" t="str">
            <v>heal</v>
          </cell>
          <cell r="L1345" t="str">
            <v>回復タイプ</v>
          </cell>
          <cell r="M1345" t="str">
            <v>unknown</v>
          </cell>
        </row>
        <row r="1346">
          <cell r="A1346">
            <v>8031</v>
          </cell>
          <cell r="B1346" t="str">
            <v>ja</v>
          </cell>
          <cell r="C1346" t="str">
            <v>閻羅王</v>
          </cell>
          <cell r="D1346" t="str">
            <v>Expoミク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red</v>
          </cell>
          <cell r="I1346">
            <v>5</v>
          </cell>
          <cell r="J1346" t="str">
            <v>PremiumSS</v>
          </cell>
          <cell r="K1346" t="str">
            <v>balance</v>
          </cell>
          <cell r="L1346" t="str">
            <v>バランスタイプ</v>
          </cell>
          <cell r="M1346" t="str">
            <v>god</v>
          </cell>
        </row>
        <row r="1347">
          <cell r="A1347">
            <v>8032</v>
          </cell>
          <cell r="B1347" t="str">
            <v>ja</v>
          </cell>
          <cell r="C1347" t="str">
            <v>十殿閻羅王</v>
          </cell>
          <cell r="D1347" t="str">
            <v>Expoミク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red</v>
          </cell>
          <cell r="I1347">
            <v>6</v>
          </cell>
          <cell r="J1347" t="str">
            <v>PremiumSS</v>
          </cell>
          <cell r="K1347" t="str">
            <v>balance</v>
          </cell>
          <cell r="L1347" t="str">
            <v>バランスタイプ</v>
          </cell>
          <cell r="M1347" t="str">
            <v>god</v>
          </cell>
        </row>
        <row r="1348">
          <cell r="A1348">
            <v>8033</v>
          </cell>
          <cell r="B1348" t="str">
            <v>ja</v>
          </cell>
          <cell r="C1348" t="str">
            <v>牛頭馬面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green</v>
          </cell>
          <cell r="I1348">
            <v>5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god</v>
          </cell>
        </row>
        <row r="1349">
          <cell r="A1349">
            <v>8034</v>
          </cell>
          <cell r="B1349" t="str">
            <v>ja</v>
          </cell>
          <cell r="C1349" t="str">
            <v>牛頭馬面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green</v>
          </cell>
          <cell r="I1349">
            <v>6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god</v>
          </cell>
        </row>
        <row r="1350">
          <cell r="A1350">
            <v>8035</v>
          </cell>
          <cell r="B1350" t="str">
            <v>ja</v>
          </cell>
          <cell r="C1350" t="str">
            <v>嫦娥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blue</v>
          </cell>
          <cell r="I1350">
            <v>4</v>
          </cell>
          <cell r="J1350" t="str">
            <v>Drop2N</v>
          </cell>
          <cell r="K1350" t="str">
            <v>heal</v>
          </cell>
          <cell r="L1350" t="str">
            <v>回復タイプ</v>
          </cell>
          <cell r="M1350" t="str">
            <v>unknown</v>
          </cell>
        </row>
        <row r="1351">
          <cell r="A1351">
            <v>8036</v>
          </cell>
          <cell r="B1351" t="str">
            <v>ja</v>
          </cell>
          <cell r="C1351" t="str">
            <v>嫦娥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blue</v>
          </cell>
          <cell r="I1351">
            <v>4</v>
          </cell>
          <cell r="J1351" t="str">
            <v>Drop2N</v>
          </cell>
          <cell r="K1351" t="str">
            <v>heal</v>
          </cell>
          <cell r="L1351" t="str">
            <v>回復タイプ</v>
          </cell>
          <cell r="M1351" t="str">
            <v>unknown</v>
          </cell>
        </row>
        <row r="1352">
          <cell r="A1352">
            <v>8037</v>
          </cell>
          <cell r="B1352" t="str">
            <v>ja</v>
          </cell>
          <cell r="C1352" t="str">
            <v>后羿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blue</v>
          </cell>
          <cell r="I1352">
            <v>4</v>
          </cell>
          <cell r="J1352" t="str">
            <v>Drop2N</v>
          </cell>
          <cell r="K1352" t="str">
            <v>heal</v>
          </cell>
          <cell r="L1352" t="str">
            <v>回復タイプ</v>
          </cell>
          <cell r="M1352" t="str">
            <v>unknown</v>
          </cell>
        </row>
        <row r="1353">
          <cell r="A1353">
            <v>8038</v>
          </cell>
          <cell r="B1353" t="str">
            <v>ja</v>
          </cell>
          <cell r="C1353" t="str">
            <v>后羿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blue</v>
          </cell>
          <cell r="I1353">
            <v>4</v>
          </cell>
          <cell r="J1353" t="str">
            <v>Drop2N</v>
          </cell>
          <cell r="K1353" t="str">
            <v>heal</v>
          </cell>
          <cell r="L1353" t="str">
            <v>回復タイプ</v>
          </cell>
          <cell r="M1353" t="str">
            <v>unknown</v>
          </cell>
        </row>
        <row r="1354">
          <cell r="A1354">
            <v>8039</v>
          </cell>
          <cell r="B1354" t="str">
            <v>ja</v>
          </cell>
          <cell r="C1354" t="str">
            <v>何仙姑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8040</v>
          </cell>
          <cell r="B1355" t="str">
            <v>ja</v>
          </cell>
          <cell r="C1355" t="str">
            <v>何仙姑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8041</v>
          </cell>
          <cell r="B1356" t="str">
            <v>ja</v>
          </cell>
          <cell r="C1356" t="str">
            <v>藍采和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8042</v>
          </cell>
          <cell r="B1357" t="str">
            <v>ja</v>
          </cell>
          <cell r="C1357" t="str">
            <v>藍采和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8043</v>
          </cell>
          <cell r="B1358" t="str">
            <v>ja</v>
          </cell>
          <cell r="C1358" t="str">
            <v>サンリオキャラ大集合+アザゼル</v>
          </cell>
          <cell r="D1358" t="str">
            <v>サンリオキャラ大集合+アザゼル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green</v>
          </cell>
          <cell r="I1358">
            <v>5</v>
          </cell>
          <cell r="J1358" t="str">
            <v>DropWizS</v>
          </cell>
          <cell r="K1358" t="str">
            <v>technical</v>
          </cell>
          <cell r="L1358" t="str">
            <v>テクニカルタイプ</v>
          </cell>
          <cell r="M1358" t="str">
            <v>ss</v>
          </cell>
        </row>
        <row r="1359">
          <cell r="A1359">
            <v>8044</v>
          </cell>
          <cell r="B1359" t="str">
            <v>ja</v>
          </cell>
          <cell r="C1359" t="str">
            <v>サンリオキャラ大集合+アザゼル</v>
          </cell>
          <cell r="D1359" t="str">
            <v>サンリオキャラ大集合+アザゼル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green</v>
          </cell>
          <cell r="I1359">
            <v>6</v>
          </cell>
          <cell r="J1359" t="str">
            <v>DropWizS</v>
          </cell>
          <cell r="K1359" t="str">
            <v>technical</v>
          </cell>
          <cell r="L1359" t="str">
            <v>テクニカルタイプ</v>
          </cell>
          <cell r="M1359" t="str">
            <v>ss</v>
          </cell>
        </row>
        <row r="1360">
          <cell r="A1360">
            <v>8045</v>
          </cell>
          <cell r="B1360" t="str">
            <v>ja</v>
          </cell>
          <cell r="C1360" t="str">
            <v>ニムダ_サンリオキャラ混じり</v>
          </cell>
          <cell r="D1360" t="str">
            <v>ニムダ_サンリオキャラ混じり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yellow</v>
          </cell>
          <cell r="I1360">
            <v>4</v>
          </cell>
          <cell r="J1360" t="str">
            <v>Drop2N</v>
          </cell>
          <cell r="K1360" t="str">
            <v>technical</v>
          </cell>
          <cell r="L1360" t="str">
            <v>テクニカルタイプ</v>
          </cell>
          <cell r="M1360" t="str">
            <v>ss</v>
          </cell>
        </row>
        <row r="1361">
          <cell r="A1361">
            <v>8046</v>
          </cell>
          <cell r="B1361" t="str">
            <v>ja</v>
          </cell>
          <cell r="C1361" t="str">
            <v>ニムダ_サンリオキャラ混じり</v>
          </cell>
          <cell r="D1361" t="str">
            <v>ニムダ_サンリオキャラ混じり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yellow</v>
          </cell>
          <cell r="I1361">
            <v>5</v>
          </cell>
          <cell r="J1361" t="str">
            <v>Drop2N</v>
          </cell>
          <cell r="K1361" t="str">
            <v>technical</v>
          </cell>
          <cell r="L1361" t="str">
            <v>テクニカルタイプ</v>
          </cell>
          <cell r="M1361" t="str">
            <v>ss</v>
          </cell>
        </row>
        <row r="1362">
          <cell r="A1362">
            <v>8047</v>
          </cell>
          <cell r="B1362" t="str">
            <v>ja</v>
          </cell>
          <cell r="C1362" t="str">
            <v>ハローキティ</v>
          </cell>
          <cell r="D1362" t="str">
            <v>ハローキティ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red</v>
          </cell>
          <cell r="I1362">
            <v>4</v>
          </cell>
          <cell r="J1362" t="str">
            <v>Drop2N</v>
          </cell>
          <cell r="K1362" t="str">
            <v>balance</v>
          </cell>
          <cell r="L1362" t="str">
            <v>バランスタイプ</v>
          </cell>
          <cell r="M1362" t="str">
            <v>ss</v>
          </cell>
        </row>
        <row r="1363">
          <cell r="A1363">
            <v>8048</v>
          </cell>
          <cell r="B1363" t="str">
            <v>ja</v>
          </cell>
          <cell r="C1363" t="str">
            <v>ハローキティ</v>
          </cell>
          <cell r="D1363" t="str">
            <v>ハローキティ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red</v>
          </cell>
          <cell r="I1363">
            <v>5</v>
          </cell>
          <cell r="J1363" t="str">
            <v>Drop2N</v>
          </cell>
          <cell r="K1363" t="str">
            <v>balance</v>
          </cell>
          <cell r="L1363" t="str">
            <v>バランスタイプ</v>
          </cell>
          <cell r="M1363" t="str">
            <v>ss</v>
          </cell>
        </row>
        <row r="1364">
          <cell r="A1364">
            <v>8049</v>
          </cell>
          <cell r="B1364" t="str">
            <v>ja</v>
          </cell>
          <cell r="C1364" t="str">
            <v>KIRIMIちゃん</v>
          </cell>
          <cell r="D1364" t="str">
            <v>KIRIMIちゃん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red</v>
          </cell>
          <cell r="I1364">
            <v>4</v>
          </cell>
          <cell r="J1364" t="str">
            <v>Drop2N</v>
          </cell>
          <cell r="K1364" t="str">
            <v>hp</v>
          </cell>
          <cell r="L1364" t="str">
            <v>体力タイプ</v>
          </cell>
          <cell r="M1364" t="str">
            <v>ss</v>
          </cell>
        </row>
        <row r="1365">
          <cell r="A1365">
            <v>8050</v>
          </cell>
          <cell r="B1365" t="str">
            <v>ja</v>
          </cell>
          <cell r="C1365" t="str">
            <v>KIRIMIちゃん</v>
          </cell>
          <cell r="D1365" t="str">
            <v>KIRIMIちゃん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red</v>
          </cell>
          <cell r="I1365">
            <v>5</v>
          </cell>
          <cell r="J1365" t="str">
            <v>Drop2N</v>
          </cell>
          <cell r="K1365" t="str">
            <v>hp</v>
          </cell>
          <cell r="L1365" t="str">
            <v>体力タイプ</v>
          </cell>
          <cell r="M1365" t="str">
            <v>ss</v>
          </cell>
        </row>
        <row r="1366">
          <cell r="A1366">
            <v>8051</v>
          </cell>
          <cell r="B1366" t="str">
            <v>ja</v>
          </cell>
          <cell r="C1366" t="str">
            <v>ハローキティのリボン</v>
          </cell>
          <cell r="D1366" t="str">
            <v>ハローキティのリボン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5</v>
          </cell>
          <cell r="J1366" t="str">
            <v>Drop2N</v>
          </cell>
          <cell r="K1366" t="str">
            <v>evolution</v>
          </cell>
          <cell r="L1366" t="str">
            <v>覚醒素材タイプ</v>
          </cell>
          <cell r="M1366" t="str">
            <v>ss</v>
          </cell>
        </row>
        <row r="1367">
          <cell r="A1367">
            <v>8052</v>
          </cell>
          <cell r="B1367" t="str">
            <v>ja</v>
          </cell>
          <cell r="C1367" t="str">
            <v>ママの作ったアップルパイ</v>
          </cell>
          <cell r="D1367" t="str">
            <v>ママの作ったアップルパイ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4</v>
          </cell>
          <cell r="J1367" t="str">
            <v>Drop2N</v>
          </cell>
          <cell r="K1367" t="str">
            <v>evolution</v>
          </cell>
          <cell r="L1367" t="str">
            <v>覚醒素材タイプ</v>
          </cell>
          <cell r="M1367" t="str">
            <v>ss</v>
          </cell>
        </row>
        <row r="1368">
          <cell r="A1368">
            <v>8053</v>
          </cell>
          <cell r="B1368" t="str">
            <v>ja</v>
          </cell>
          <cell r="C1368" t="str">
            <v>D.R.T.H__キティコスプレ</v>
          </cell>
          <cell r="D1368" t="str">
            <v>D.R.T.H__キティコスプレ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5</v>
          </cell>
          <cell r="J1368" t="str">
            <v>PremiumSS</v>
          </cell>
          <cell r="K1368" t="str">
            <v>balance</v>
          </cell>
          <cell r="L1368" t="str">
            <v>バランスタイプ</v>
          </cell>
          <cell r="M1368" t="str">
            <v>ss</v>
          </cell>
        </row>
        <row r="1369">
          <cell r="A1369">
            <v>8054</v>
          </cell>
          <cell r="B1369" t="str">
            <v>ja</v>
          </cell>
          <cell r="C1369" t="str">
            <v>D.R.T.H__キティコスプレ</v>
          </cell>
          <cell r="D1369" t="str">
            <v>D.R.T.H__キティコスプレ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6</v>
          </cell>
          <cell r="J1369" t="str">
            <v>PremiumSS</v>
          </cell>
          <cell r="K1369" t="str">
            <v>balance</v>
          </cell>
          <cell r="L1369" t="str">
            <v>バランスタイプ</v>
          </cell>
          <cell r="M1369" t="str">
            <v>ss</v>
          </cell>
        </row>
        <row r="1370">
          <cell r="A1370">
            <v>8055</v>
          </cell>
          <cell r="B1370" t="str">
            <v>ja</v>
          </cell>
          <cell r="C1370" t="str">
            <v>マイメロディ</v>
          </cell>
          <cell r="D1370" t="str">
            <v>マイメロディ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4</v>
          </cell>
          <cell r="J1370" t="str">
            <v>PremiumS</v>
          </cell>
          <cell r="K1370" t="str">
            <v>attack</v>
          </cell>
          <cell r="L1370" t="str">
            <v>攻撃タイプ</v>
          </cell>
          <cell r="M1370" t="str">
            <v>ss</v>
          </cell>
        </row>
        <row r="1371">
          <cell r="A1371">
            <v>8056</v>
          </cell>
          <cell r="B1371" t="str">
            <v>ja</v>
          </cell>
          <cell r="C1371" t="str">
            <v>マイメロディ</v>
          </cell>
          <cell r="D1371" t="str">
            <v>マイメロディ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5</v>
          </cell>
          <cell r="J1371" t="str">
            <v>PremiumS</v>
          </cell>
          <cell r="K1371" t="str">
            <v>attack</v>
          </cell>
          <cell r="L1371" t="str">
            <v>攻撃タイプ</v>
          </cell>
          <cell r="M1371" t="str">
            <v>ss</v>
          </cell>
        </row>
        <row r="1372">
          <cell r="A1372">
            <v>8057</v>
          </cell>
          <cell r="B1372" t="str">
            <v>ja</v>
          </cell>
          <cell r="C1372" t="str">
            <v>ニーベルゲン_シナモロールコスプレ</v>
          </cell>
          <cell r="D1372" t="str">
            <v>ニーベルゲン_シナモロールコスプレ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green</v>
          </cell>
          <cell r="I1372">
            <v>4</v>
          </cell>
          <cell r="J1372" t="str">
            <v>PremiumS</v>
          </cell>
          <cell r="K1372" t="str">
            <v>balance</v>
          </cell>
          <cell r="L1372" t="str">
            <v>バランスタイプ</v>
          </cell>
          <cell r="M1372" t="str">
            <v>ss</v>
          </cell>
        </row>
        <row r="1373">
          <cell r="A1373">
            <v>8058</v>
          </cell>
          <cell r="B1373" t="str">
            <v>ja</v>
          </cell>
          <cell r="C1373" t="str">
            <v>ニーベルゲン_シナモロールコスプレ</v>
          </cell>
          <cell r="D1373" t="str">
            <v>ニーベルゲン_シナモロールコスプレ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green</v>
          </cell>
          <cell r="I1373">
            <v>5</v>
          </cell>
          <cell r="J1373" t="str">
            <v>PremiumS</v>
          </cell>
          <cell r="K1373" t="str">
            <v>balance</v>
          </cell>
          <cell r="L1373" t="str">
            <v>バランスタイプ</v>
          </cell>
          <cell r="M1373" t="str">
            <v>ss</v>
          </cell>
        </row>
        <row r="1374">
          <cell r="A1374">
            <v>8059</v>
          </cell>
          <cell r="B1374" t="str">
            <v>ja</v>
          </cell>
          <cell r="C1374" t="str">
            <v>カカシ_マイメロディコスプレ</v>
          </cell>
          <cell r="D1374" t="str">
            <v>カカシ_マイメロディコスプレ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green</v>
          </cell>
          <cell r="I1374">
            <v>4</v>
          </cell>
          <cell r="J1374" t="str">
            <v>PremiumS</v>
          </cell>
          <cell r="K1374" t="str">
            <v>technical</v>
          </cell>
          <cell r="L1374" t="str">
            <v>テクニカルタイプ</v>
          </cell>
          <cell r="M1374" t="str">
            <v>ss</v>
          </cell>
        </row>
        <row r="1375">
          <cell r="A1375">
            <v>8060</v>
          </cell>
          <cell r="B1375" t="str">
            <v>ja</v>
          </cell>
          <cell r="C1375" t="str">
            <v>カカシ_マイメロディコスプレ</v>
          </cell>
          <cell r="D1375" t="str">
            <v>カカシ_マイメロディコスプレ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green</v>
          </cell>
          <cell r="I1375">
            <v>5</v>
          </cell>
          <cell r="J1375" t="str">
            <v>PremiumS</v>
          </cell>
          <cell r="K1375" t="str">
            <v>technical</v>
          </cell>
          <cell r="L1375" t="str">
            <v>テクニカルタイプ</v>
          </cell>
          <cell r="M1375" t="str">
            <v>ss</v>
          </cell>
        </row>
        <row r="1376">
          <cell r="A1376">
            <v>8061</v>
          </cell>
          <cell r="B1376" t="str">
            <v>ja</v>
          </cell>
          <cell r="C1376" t="str">
            <v>ケロケロけろっぴ</v>
          </cell>
          <cell r="D1376" t="str">
            <v>ケロケロけろっぴ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3</v>
          </cell>
          <cell r="J1376" t="str">
            <v>PremiumS</v>
          </cell>
          <cell r="K1376" t="str">
            <v>balance</v>
          </cell>
          <cell r="L1376" t="str">
            <v>バランスタイプ</v>
          </cell>
          <cell r="M1376" t="str">
            <v>ss</v>
          </cell>
        </row>
        <row r="1377">
          <cell r="A1377">
            <v>8062</v>
          </cell>
          <cell r="B1377" t="str">
            <v>ja</v>
          </cell>
          <cell r="C1377" t="str">
            <v>ケロケロけろっぴ</v>
          </cell>
          <cell r="D1377" t="str">
            <v>ケロケロけろっぴ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4</v>
          </cell>
          <cell r="J1377" t="str">
            <v>PremiumS</v>
          </cell>
          <cell r="K1377" t="str">
            <v>balance</v>
          </cell>
          <cell r="L1377" t="str">
            <v>バランスタイプ</v>
          </cell>
          <cell r="M1377" t="str">
            <v>ss</v>
          </cell>
        </row>
        <row r="1378">
          <cell r="A1378">
            <v>8063</v>
          </cell>
          <cell r="B1378" t="str">
            <v>ja</v>
          </cell>
          <cell r="C1378" t="str">
            <v>モルドレッド_ポムポムプリンコスプレ</v>
          </cell>
          <cell r="D1378" t="str">
            <v>モルドレッド_ポムポムプリンコスプレ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blue</v>
          </cell>
          <cell r="I1378">
            <v>5</v>
          </cell>
          <cell r="J1378" t="str">
            <v>PremiumSS</v>
          </cell>
          <cell r="K1378" t="str">
            <v>heal</v>
          </cell>
          <cell r="L1378" t="str">
            <v>回復タイプ</v>
          </cell>
          <cell r="M1378" t="str">
            <v>ss</v>
          </cell>
        </row>
        <row r="1379">
          <cell r="A1379">
            <v>8064</v>
          </cell>
          <cell r="B1379" t="str">
            <v>ja</v>
          </cell>
          <cell r="C1379" t="str">
            <v>モルドレッド_ポムポムプリンコスプレ</v>
          </cell>
          <cell r="D1379" t="str">
            <v>モルドレッド_ポムポムプリンコスプレ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blue</v>
          </cell>
          <cell r="I1379">
            <v>6</v>
          </cell>
          <cell r="J1379" t="str">
            <v>PremiumSS</v>
          </cell>
          <cell r="K1379" t="str">
            <v>heal</v>
          </cell>
          <cell r="L1379" t="str">
            <v>回復タイプ</v>
          </cell>
          <cell r="M1379" t="str">
            <v>ss</v>
          </cell>
        </row>
        <row r="1380">
          <cell r="A1380">
            <v>8065</v>
          </cell>
          <cell r="B1380" t="str">
            <v>ja</v>
          </cell>
          <cell r="C1380" t="str">
            <v>クロミ</v>
          </cell>
          <cell r="D1380" t="str">
            <v>クロミ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blue</v>
          </cell>
          <cell r="I1380">
            <v>3</v>
          </cell>
          <cell r="J1380" t="str">
            <v>PremiumS</v>
          </cell>
          <cell r="K1380" t="str">
            <v>technical</v>
          </cell>
          <cell r="L1380" t="str">
            <v>テクニカルタイプ</v>
          </cell>
          <cell r="M1380" t="str">
            <v>ss</v>
          </cell>
        </row>
        <row r="1381">
          <cell r="A1381">
            <v>8066</v>
          </cell>
          <cell r="B1381" t="str">
            <v>ja</v>
          </cell>
          <cell r="C1381" t="str">
            <v>クロミ</v>
          </cell>
          <cell r="D1381" t="str">
            <v>クロミ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blue</v>
          </cell>
          <cell r="I1381">
            <v>4</v>
          </cell>
          <cell r="J1381" t="str">
            <v>PremiumS</v>
          </cell>
          <cell r="K1381" t="str">
            <v>technical</v>
          </cell>
          <cell r="L1381" t="str">
            <v>テクニカルタイプ</v>
          </cell>
          <cell r="M1381" t="str">
            <v>ss</v>
          </cell>
        </row>
        <row r="1382">
          <cell r="A1382">
            <v>8067</v>
          </cell>
          <cell r="B1382" t="str">
            <v>ja</v>
          </cell>
          <cell r="C1382" t="str">
            <v>バッドばつ丸</v>
          </cell>
          <cell r="D1382" t="str">
            <v>バッドばつ丸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3</v>
          </cell>
          <cell r="J1382" t="str">
            <v>PremiumS</v>
          </cell>
          <cell r="K1382" t="str">
            <v>attack</v>
          </cell>
          <cell r="L1382" t="str">
            <v>攻撃タイプ</v>
          </cell>
          <cell r="M1382" t="str">
            <v>ss</v>
          </cell>
        </row>
        <row r="1383">
          <cell r="A1383">
            <v>8068</v>
          </cell>
          <cell r="B1383" t="str">
            <v>ja</v>
          </cell>
          <cell r="C1383" t="str">
            <v>バッドばつ丸</v>
          </cell>
          <cell r="D1383" t="str">
            <v>バッドばつ丸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4</v>
          </cell>
          <cell r="J1383" t="str">
            <v>PremiumS</v>
          </cell>
          <cell r="K1383" t="str">
            <v>attack</v>
          </cell>
          <cell r="L1383" t="str">
            <v>攻撃タイプ</v>
          </cell>
          <cell r="M1383" t="str">
            <v>ss</v>
          </cell>
        </row>
        <row r="1384">
          <cell r="A1384">
            <v>8069</v>
          </cell>
          <cell r="B1384" t="str">
            <v>ja</v>
          </cell>
          <cell r="C1384" t="str">
            <v>シナモロール</v>
          </cell>
          <cell r="D1384" t="str">
            <v>シナモロール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yellow</v>
          </cell>
          <cell r="I1384">
            <v>4</v>
          </cell>
          <cell r="J1384" t="str">
            <v>PremiumS</v>
          </cell>
          <cell r="K1384" t="str">
            <v>heal</v>
          </cell>
          <cell r="L1384" t="str">
            <v>回復タイプ</v>
          </cell>
          <cell r="M1384" t="str">
            <v>ss</v>
          </cell>
        </row>
        <row r="1385">
          <cell r="A1385">
            <v>8070</v>
          </cell>
          <cell r="B1385" t="str">
            <v>ja</v>
          </cell>
          <cell r="C1385" t="str">
            <v>シナモロール</v>
          </cell>
          <cell r="D1385" t="str">
            <v>シナモロール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yellow</v>
          </cell>
          <cell r="I1385">
            <v>5</v>
          </cell>
          <cell r="J1385" t="str">
            <v>PremiumS</v>
          </cell>
          <cell r="K1385" t="str">
            <v>heal</v>
          </cell>
          <cell r="L1385" t="str">
            <v>回復タイプ</v>
          </cell>
          <cell r="M1385" t="str">
            <v>ss</v>
          </cell>
        </row>
        <row r="1386">
          <cell r="A1386">
            <v>8071</v>
          </cell>
          <cell r="B1386" t="str">
            <v>ja</v>
          </cell>
          <cell r="C1386" t="str">
            <v>ポムポムプリン</v>
          </cell>
          <cell r="D1386" t="str">
            <v>ポムポムプリン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yellow</v>
          </cell>
          <cell r="I1386">
            <v>3</v>
          </cell>
          <cell r="J1386" t="str">
            <v>PremiumS</v>
          </cell>
          <cell r="K1386" t="str">
            <v>hp</v>
          </cell>
          <cell r="L1386" t="str">
            <v>体力タイプ</v>
          </cell>
          <cell r="M1386" t="str">
            <v>ss</v>
          </cell>
        </row>
        <row r="1387">
          <cell r="A1387">
            <v>8072</v>
          </cell>
          <cell r="B1387" t="str">
            <v>ja</v>
          </cell>
          <cell r="C1387" t="str">
            <v>ポムポムプリン</v>
          </cell>
          <cell r="D1387" t="str">
            <v>ポムポムプリン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yellow</v>
          </cell>
          <cell r="I1387">
            <v>4</v>
          </cell>
          <cell r="J1387" t="str">
            <v>PremiumS</v>
          </cell>
          <cell r="K1387" t="str">
            <v>hp</v>
          </cell>
          <cell r="L1387" t="str">
            <v>体力タイプ</v>
          </cell>
          <cell r="M1387" t="str">
            <v>ss</v>
          </cell>
        </row>
        <row r="1388">
          <cell r="A1388">
            <v>8077</v>
          </cell>
          <cell r="B1388" t="str">
            <v>ja</v>
          </cell>
          <cell r="C1388" t="str">
            <v>鄭成功</v>
          </cell>
          <cell r="D1388" t="str">
            <v>ポムポムプリン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blue</v>
          </cell>
          <cell r="I1388">
            <v>5</v>
          </cell>
          <cell r="J1388" t="str">
            <v>PremiumSS</v>
          </cell>
          <cell r="K1388" t="str">
            <v>attack</v>
          </cell>
          <cell r="L1388" t="str">
            <v>攻撃タイプ</v>
          </cell>
          <cell r="M1388" t="str">
            <v>human</v>
          </cell>
        </row>
        <row r="1389">
          <cell r="A1389">
            <v>8078</v>
          </cell>
          <cell r="B1389" t="str">
            <v>ja</v>
          </cell>
          <cell r="C1389" t="str">
            <v>レア６鄭成功</v>
          </cell>
          <cell r="D1389" t="str">
            <v>ポムポムプリン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blue</v>
          </cell>
          <cell r="I1389">
            <v>6</v>
          </cell>
          <cell r="J1389" t="str">
            <v>PremiumSS</v>
          </cell>
          <cell r="K1389" t="str">
            <v>attack</v>
          </cell>
          <cell r="L1389" t="str">
            <v>攻撃タイプ</v>
          </cell>
          <cell r="M1389" t="str">
            <v>human</v>
          </cell>
        </row>
        <row r="1390">
          <cell r="A1390">
            <v>8079</v>
          </cell>
          <cell r="B1390" t="str">
            <v>ja</v>
          </cell>
          <cell r="C1390" t="str">
            <v>赤鬼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5</v>
          </cell>
          <cell r="J1390" t="str">
            <v>DropWizS</v>
          </cell>
          <cell r="K1390" t="str">
            <v>hp</v>
          </cell>
          <cell r="L1390" t="str">
            <v>体力タイプ</v>
          </cell>
          <cell r="M1390" t="str">
            <v>dragon</v>
          </cell>
        </row>
        <row r="1391">
          <cell r="A1391">
            <v>8080</v>
          </cell>
          <cell r="B1391" t="str">
            <v>ja</v>
          </cell>
          <cell r="C1391" t="str">
            <v>レア６赤鬼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red</v>
          </cell>
          <cell r="I1391">
            <v>6</v>
          </cell>
          <cell r="J1391" t="str">
            <v>DropWizS</v>
          </cell>
          <cell r="K1391" t="str">
            <v>hp</v>
          </cell>
          <cell r="L1391" t="str">
            <v>体力タイプ</v>
          </cell>
          <cell r="M139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22" sqref="F2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252</v>
      </c>
      <c r="B2" s="61" t="s">
        <v>110</v>
      </c>
      <c r="C2" s="50" t="str">
        <f t="shared" ref="C2:C3" si="0">RIGHT(F2,6)</f>
        <v>431100</v>
      </c>
      <c r="D2" s="19" t="s">
        <v>45</v>
      </c>
      <c r="E2" s="17" t="str">
        <f t="shared" ref="E2:E3" si="1">B2&amp;C2&amp;D2</f>
        <v>gacha_select_tables_431100.tmp</v>
      </c>
      <c r="F2" s="94" t="s">
        <v>273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5" t="s">
        <v>249</v>
      </c>
      <c r="B3" s="96" t="s">
        <v>250</v>
      </c>
      <c r="C3" s="94" t="str">
        <f t="shared" si="0"/>
        <v>431105</v>
      </c>
      <c r="D3" s="19" t="s">
        <v>251</v>
      </c>
      <c r="E3" s="17" t="str">
        <f t="shared" si="1"/>
        <v>gacha_settle_tables_431105.tmp</v>
      </c>
      <c r="F3" s="94" t="s">
        <v>274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6" t="s">
        <v>241</v>
      </c>
      <c r="B4" s="92" t="s">
        <v>247</v>
      </c>
      <c r="C4" s="50" t="str">
        <f>RIGHT(F4,6)</f>
        <v>422011</v>
      </c>
      <c r="D4" s="19" t="s">
        <v>45</v>
      </c>
      <c r="E4" s="17" t="str">
        <f>B4&amp;C4&amp;D4</f>
        <v>gacha_select_tables_422011.tmp</v>
      </c>
      <c r="F4" s="93" t="s">
        <v>248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ref="C5:C7" si="2">RIGHT(F5,6)</f>
        <v>363104</v>
      </c>
      <c r="D5" s="19" t="s">
        <v>45</v>
      </c>
      <c r="E5" s="17" t="str">
        <f t="shared" ref="E5:E7" si="3">B5&amp;C5&amp;D5</f>
        <v>gacha_select_tables_363104.tmp</v>
      </c>
      <c r="F5" s="89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89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3"/>
        <v>gacha_select_tables_363100.tmp</v>
      </c>
      <c r="F7" s="89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5" t="s">
        <v>252</v>
      </c>
      <c r="B8" s="27" t="s">
        <v>50</v>
      </c>
      <c r="C8" s="32">
        <v>431</v>
      </c>
      <c r="D8" s="19" t="s">
        <v>46</v>
      </c>
      <c r="E8" s="17" t="str">
        <f t="shared" ref="E8:E10" si="6">B8&amp;C8&amp;D8</f>
        <v>gacha_bonus_tables_431.tmp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5" t="s">
        <v>246</v>
      </c>
      <c r="B9" s="19" t="s">
        <v>48</v>
      </c>
      <c r="C9" s="32">
        <v>431</v>
      </c>
      <c r="D9" s="19" t="s">
        <v>46</v>
      </c>
      <c r="E9" s="17" t="str">
        <f t="shared" si="6"/>
        <v>gifts_tmp_431.tmp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5" t="s">
        <v>252</v>
      </c>
      <c r="B10" s="19" t="s">
        <v>49</v>
      </c>
      <c r="C10" s="32">
        <v>431</v>
      </c>
      <c r="D10" s="19" t="s">
        <v>46</v>
      </c>
      <c r="E10" s="17" t="str">
        <f t="shared" si="6"/>
        <v>gifts_i18n_431.tmp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abSelected="1" workbookViewId="0">
      <selection activeCell="F36" sqref="F36"/>
    </sheetView>
  </sheetViews>
  <sheetFormatPr baseColWidth="12" defaultRowHeight="14" x14ac:dyDescent="0.15"/>
  <cols>
    <col min="1" max="2" width="24.19921875" bestFit="1" customWidth="1"/>
    <col min="3" max="3" width="21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431100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1153</v>
      </c>
      <c r="M3" s="37" t="str">
        <f>VLOOKUP(L3,[1]characters!$A:$C,3,FALSE)</f>
        <v>ラクシュミー</v>
      </c>
      <c r="N3" s="63">
        <v>7.0000000000000001E-3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VLOOKUP(L3,tables_431100!B:C,2,FALSE)</f>
        <v>PremiumSS5R5only</v>
      </c>
      <c r="R3" s="62">
        <f t="shared" ref="R3:R20" si="1">N3*A$36</f>
        <v>726180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1155</v>
      </c>
      <c r="M4" s="37" t="str">
        <f>VLOOKUP(L4,[1]characters!$A:$C,3,FALSE)</f>
        <v>ドゥルガー</v>
      </c>
      <c r="N4" s="63">
        <v>1.2E-2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VLOOKUP(L4,tables_431100!B:C,2,FALSE)</f>
        <v>PremiumSS5R5only</v>
      </c>
      <c r="R4" s="62">
        <f t="shared" si="1"/>
        <v>1244880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3.3333333333333338E-4</v>
      </c>
      <c r="F5">
        <f>(COUNTIF(tables_431100!C:C,input_431100!A28)+COUNTIF(tables_431100!C:C,input_431100!A29))</f>
        <v>57</v>
      </c>
      <c r="H5" s="84">
        <v>3.1E-2</v>
      </c>
      <c r="I5" s="31">
        <v>0</v>
      </c>
      <c r="L5" s="60">
        <v>1157</v>
      </c>
      <c r="M5" s="37" t="str">
        <f>VLOOKUP(L5,[1]characters!$A:$C,3,FALSE)</f>
        <v>インドラ</v>
      </c>
      <c r="N5" s="63">
        <v>1.2E-2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VLOOKUP(L5,tables_431100!B:C,2,FALSE)</f>
        <v>PremiumSS5R5only</v>
      </c>
      <c r="R5" s="62">
        <f t="shared" si="1"/>
        <v>1244880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0.95</v>
      </c>
      <c r="D6" t="s">
        <v>202</v>
      </c>
      <c r="E6" s="76">
        <f>(B10-H6)/(F6-I6)</f>
        <v>9.6703296703296686E-3</v>
      </c>
      <c r="F6">
        <f>(COUNTIF(tables_431100!C:C,input_431100!A25)+COUNTIF(tables_431100!C:C,input_431100!A18)+COUNTIF(tables_431100!C:C,input_431100!A20)+COUNTIF(tables_431100!C:C,input_431100!A22))</f>
        <v>91</v>
      </c>
      <c r="H6" s="88">
        <v>7.0000000000000007E-2</v>
      </c>
      <c r="I6" s="31">
        <v>0</v>
      </c>
      <c r="L6" s="90">
        <v>1151</v>
      </c>
      <c r="M6" s="37" t="str">
        <f>VLOOKUP(L6,[1]characters!$A:$C,3,FALSE)</f>
        <v>ガネーシャ</v>
      </c>
      <c r="N6" s="63">
        <v>6.3E-2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VLOOKUP(L6,tables_431100!B:C,2,FALSE)</f>
        <v>Premium4R3less</v>
      </c>
      <c r="R6" s="62">
        <f t="shared" si="1"/>
        <v>6535620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1152</v>
      </c>
      <c r="M7" s="37" t="str">
        <f>VLOOKUP(L7,[1]characters!$A:$C,3,FALSE)</f>
        <v>衆知の富益神 ガネーシャ</v>
      </c>
      <c r="N7" s="63">
        <v>7.0000000000000001E-3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VLOOKUP(L7,tables_431100!B:C,2,FALSE)</f>
        <v>Premium5R3less</v>
      </c>
      <c r="R7" s="62">
        <f t="shared" si="1"/>
        <v>726180</v>
      </c>
      <c r="S7">
        <v>597</v>
      </c>
      <c r="U7" s="33" t="s">
        <v>196</v>
      </c>
      <c r="V7" s="54">
        <f t="shared" si="0"/>
        <v>6.3E-2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VLOOKUP(L8,tables_431100!B:C,2,FALSE)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7.0000000000000001E-3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VLOOKUP(L9,tables_431100!B:C,2,FALSE)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VLOOKUP(L10,tables_431100!B:C,2,FALSE)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VLOOKUP(L11,tables_431100!B:C,2,FALSE)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VLOOKUP(L12,tables_431100!B:C,2,FALSE)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3.1E-2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COUNTIF(tables_431100!C:C,input_431100!A17)-COUNTIF(Q:Q,A17)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E$6*E18-B17+E34+0.0388+E35</f>
        <v>0.2678564102558359</v>
      </c>
      <c r="C18" s="85">
        <f t="shared" si="2"/>
        <v>0</v>
      </c>
      <c r="D18" s="74">
        <f t="shared" si="3"/>
        <v>0.2678564102558359</v>
      </c>
      <c r="E18">
        <f>COUNTIF(tables_431100!C:C,input_431100!A18)-COUNTIF(Q:Q,A18)</f>
        <v>20</v>
      </c>
      <c r="F18" s="43">
        <f>IFERROR(B18/E18,0)</f>
        <v>1.3392820512791795E-2</v>
      </c>
      <c r="G18">
        <f t="shared" si="4"/>
        <v>27787423.999940418</v>
      </c>
      <c r="H18">
        <f t="shared" si="5"/>
        <v>1389371.2</v>
      </c>
      <c r="I18">
        <f t="shared" si="6"/>
        <v>0.19999999995343387</v>
      </c>
      <c r="J18">
        <f t="shared" si="7"/>
        <v>5.0000000011641532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COUNTIF(tables_431100!C:C,input_431100!A19)-COUNTIF(Q:Q,A19)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E$6*E20*B$6-0.0438</f>
        <v>0.43391428571428559</v>
      </c>
      <c r="C20" s="85">
        <f t="shared" si="2"/>
        <v>0</v>
      </c>
      <c r="D20" s="74">
        <f t="shared" si="3"/>
        <v>0.43391428571428559</v>
      </c>
      <c r="E20">
        <f>COUNTIF(tables_431100!C:C,input_431100!A20)-COUNTIF(Q:Q,A20)</f>
        <v>52</v>
      </c>
      <c r="F20" s="43">
        <f t="shared" si="8"/>
        <v>8.3445054945054924E-3</v>
      </c>
      <c r="G20">
        <f t="shared" si="4"/>
        <v>45014267.999999985</v>
      </c>
      <c r="H20">
        <f t="shared" si="5"/>
        <v>865659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B7-B23-B26-B28-B29-0.038</f>
        <v>4.1633699633699742E-3</v>
      </c>
      <c r="C21" s="85">
        <f t="shared" si="2"/>
        <v>0</v>
      </c>
      <c r="D21" s="74">
        <f t="shared" si="3"/>
        <v>4.1633699633699742E-3</v>
      </c>
      <c r="E21">
        <f>COUNTIF(tables_431100!C:C,input_431100!A21)-COUNTIF(Q:Q,A21)</f>
        <v>52</v>
      </c>
      <c r="F21" s="43">
        <f t="shared" si="8"/>
        <v>8.0064806987884121E-5</v>
      </c>
      <c r="G21">
        <f t="shared" si="4"/>
        <v>431908.00000000111</v>
      </c>
      <c r="H21">
        <f t="shared" si="5"/>
        <v>8305.9230800000005</v>
      </c>
      <c r="I21">
        <f t="shared" si="6"/>
        <v>0.92308000000048196</v>
      </c>
      <c r="J21">
        <f t="shared" si="7"/>
        <v>1.0833297222336935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0.13361538461538458</v>
      </c>
      <c r="C22" s="85">
        <f t="shared" si="2"/>
        <v>6.3E-2</v>
      </c>
      <c r="D22" s="74">
        <f t="shared" si="3"/>
        <v>7.061538461538458E-2</v>
      </c>
      <c r="E22">
        <f>COUNTIF(tables_431100!C:C,input_431100!A22)-COUNTIF(Q:Q,A22)</f>
        <v>14</v>
      </c>
      <c r="F22" s="43">
        <f t="shared" si="8"/>
        <v>9.5439560439560412E-3</v>
      </c>
      <c r="G22">
        <f t="shared" si="4"/>
        <v>13861259.999999996</v>
      </c>
      <c r="H22">
        <f t="shared" si="5"/>
        <v>990090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E23*E6*B7-0.005</f>
        <v>1.7692307692307677E-3</v>
      </c>
      <c r="C23" s="85">
        <f t="shared" si="2"/>
        <v>7.0000000000000001E-3</v>
      </c>
      <c r="D23" s="74">
        <f t="shared" si="3"/>
        <v>-5.2307692307692324E-3</v>
      </c>
      <c r="E23">
        <f>COUNTIF(tables_431100!C:C,input_431100!A23)-COUNTIF(Q:Q,A23)</f>
        <v>14</v>
      </c>
      <c r="F23" s="43">
        <f t="shared" si="8"/>
        <v>1.2637362637362627E-4</v>
      </c>
      <c r="G23">
        <f t="shared" si="4"/>
        <v>183539.99999999985</v>
      </c>
      <c r="H23">
        <f t="shared" si="5"/>
        <v>13110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COUNTIF(tables_431100!C:C,input_431100!A24)-COUNTIF(Q:Q,A24)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3.674725274725274E-2</v>
      </c>
      <c r="C25" s="85">
        <f t="shared" si="2"/>
        <v>0</v>
      </c>
      <c r="D25" s="74">
        <f t="shared" si="3"/>
        <v>3.674725274725274E-2</v>
      </c>
      <c r="E25">
        <f>COUNTIF(tables_431100!C:C,input_431100!A25)-COUNTIF(Q:Q,A25)</f>
        <v>4</v>
      </c>
      <c r="F25" s="43">
        <f t="shared" si="8"/>
        <v>9.186813186813185E-3</v>
      </c>
      <c r="G25">
        <f t="shared" si="4"/>
        <v>3812159.9999999991</v>
      </c>
      <c r="H25">
        <f t="shared" si="5"/>
        <v>953040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1.9340659340659338E-3</v>
      </c>
      <c r="C26" s="85">
        <f t="shared" si="2"/>
        <v>0</v>
      </c>
      <c r="D26" s="74">
        <f t="shared" si="3"/>
        <v>1.9340659340659338E-3</v>
      </c>
      <c r="E26">
        <f>COUNTIF(tables_431100!C:C,input_431100!A26)-COUNTIF(Q:Q,A26)</f>
        <v>4</v>
      </c>
      <c r="F26" s="43">
        <f t="shared" si="8"/>
        <v>4.8351648351648344E-4</v>
      </c>
      <c r="G26">
        <f t="shared" si="4"/>
        <v>200639.99999999997</v>
      </c>
      <c r="H26">
        <f t="shared" si="5"/>
        <v>50160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100">
        <f>E$5*E27*(B$5+B$6)+C34+0.005</f>
        <v>1.4866666666666667E-2</v>
      </c>
      <c r="C27" s="85">
        <f t="shared" si="2"/>
        <v>0</v>
      </c>
      <c r="D27" s="74">
        <f t="shared" si="3"/>
        <v>1.4866666666666667E-2</v>
      </c>
      <c r="E27">
        <f>COUNTIF(tables_431100!C:C,input_431100!A27)-COUNTIF(Q:Q,A27)</f>
        <v>28</v>
      </c>
      <c r="F27" s="43">
        <f>IFERROR(B27/E27,0)</f>
        <v>5.3095238095238098E-4</v>
      </c>
      <c r="G27">
        <f t="shared" si="4"/>
        <v>1542268</v>
      </c>
      <c r="H27">
        <f t="shared" si="5"/>
        <v>55081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4.6666666666666672E-4</v>
      </c>
      <c r="C28" s="85">
        <f t="shared" si="2"/>
        <v>0</v>
      </c>
      <c r="D28" s="74">
        <f t="shared" si="3"/>
        <v>4.6666666666666672E-4</v>
      </c>
      <c r="E28">
        <f>COUNTIF(tables_431100!C:C,input_431100!A28)-COUNTIF(Q:Q,A28)</f>
        <v>28</v>
      </c>
      <c r="F28" s="43">
        <f t="shared" si="8"/>
        <v>1.6666666666666667E-5</v>
      </c>
      <c r="G28">
        <f t="shared" si="4"/>
        <v>48412.000000000007</v>
      </c>
      <c r="H28">
        <f t="shared" si="5"/>
        <v>1729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E$5*E29-0.005</f>
        <v>3.6666666666666679E-3</v>
      </c>
      <c r="C29" s="85">
        <f t="shared" si="2"/>
        <v>3.1E-2</v>
      </c>
      <c r="D29" s="74">
        <f t="shared" si="3"/>
        <v>-2.7333333333333331E-2</v>
      </c>
      <c r="E29">
        <f>COUNTIF(tables_431100!C:C,input_431100!A29)-COUNTIF(Q:Q,A29)</f>
        <v>26</v>
      </c>
      <c r="F29" s="43">
        <f t="shared" si="8"/>
        <v>1.4102564102564107E-4</v>
      </c>
      <c r="G29">
        <f t="shared" si="4"/>
        <v>380380.00000000012</v>
      </c>
      <c r="H29">
        <f t="shared" si="5"/>
        <v>14630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COUNTIF(tables_431100!C:C,input_431100!A30)-COUNTIF(Q:Q,A30)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COUNTIF(tables_431100!C:C,input_431100!A31)-COUNTIF(Q:Q,A31)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0.89899999999942559</v>
      </c>
      <c r="C32" s="41">
        <f>SUM(C19:C31)</f>
        <v>0.10100000000000001</v>
      </c>
      <c r="D32" s="42">
        <f t="shared" si="3"/>
        <v>0.79799999999942561</v>
      </c>
      <c r="L32" s="57"/>
      <c r="M32" s="57"/>
      <c r="N32" s="57"/>
      <c r="O32" s="57"/>
      <c r="P32" s="57"/>
      <c r="Q32" s="57"/>
      <c r="R32" s="59"/>
    </row>
    <row r="34" spans="1:7" x14ac:dyDescent="0.15">
      <c r="C34" s="99">
        <v>1E-3</v>
      </c>
      <c r="E34" s="55">
        <v>3.7053723751685474E-3</v>
      </c>
    </row>
    <row r="35" spans="1:7" x14ac:dyDescent="0.15">
      <c r="A35" t="s">
        <v>73</v>
      </c>
      <c r="E35">
        <v>3.1944444474073963E-2</v>
      </c>
    </row>
    <row r="36" spans="1:7" x14ac:dyDescent="0.15">
      <c r="A36" s="31">
        <f>LCM(F5-I5,F6-I6)*1000*2*2*5</f>
        <v>103740000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SUMIF(tables_431100!C:C,input_431100!A40,tables_431100!O:O)</f>
        <v>0</v>
      </c>
      <c r="C40" s="54">
        <f t="shared" ref="C40:C46" ca="1" si="9">B40/B$47</f>
        <v>0</v>
      </c>
      <c r="E40">
        <v>3</v>
      </c>
      <c r="F40">
        <f ca="1">SUMIF(tables_431100!J:J,input_431100!E40,tables_431100!O:O)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SUMIF(tables_431100!C:C,input_431100!A41,tables_431100!O:O)</f>
        <v>45014268</v>
      </c>
      <c r="C41" s="54">
        <f t="shared" ca="1" si="9"/>
        <v>0.95699993213506618</v>
      </c>
      <c r="E41">
        <v>4</v>
      </c>
      <c r="F41">
        <f ca="1">SUMIF(tables_431100!J:J,input_431100!E41,tables_431100!O:O)</f>
        <v>98553000</v>
      </c>
      <c r="G41">
        <f ca="1">F41/A36</f>
        <v>0.95</v>
      </c>
    </row>
    <row r="42" spans="1:7" x14ac:dyDescent="0.15">
      <c r="A42" s="33" t="s">
        <v>106</v>
      </c>
      <c r="B42">
        <f ca="1">SUMIF(tables_431100!C:C,input_431100!A42,tables_431100!O:O)</f>
        <v>1542268</v>
      </c>
      <c r="C42" s="54">
        <f t="shared" ca="1" si="9"/>
        <v>3.2788501000040347E-2</v>
      </c>
      <c r="E42">
        <v>5</v>
      </c>
      <c r="F42">
        <f ca="1">SUMIF(tables_431100!J:J,input_431100!E42,tables_431100!O:O)</f>
        <v>5187000.0001599994</v>
      </c>
      <c r="G42">
        <f ca="1">F42/A36</f>
        <v>5.0000000001542311E-2</v>
      </c>
    </row>
    <row r="43" spans="1:7" x14ac:dyDescent="0.15">
      <c r="A43" s="33" t="s">
        <v>109</v>
      </c>
      <c r="B43">
        <f>SUMIF(tables_431100!C:C,input_431100!A43,tables_431100!O:O)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SUMIF(tables_431100!C:C,input_431100!A44,tables_431100!O:O)</f>
        <v>431908.00015999976</v>
      </c>
      <c r="C44" s="54">
        <f t="shared" ca="1" si="9"/>
        <v>9.1823314074931071E-3</v>
      </c>
      <c r="E44" t="s">
        <v>54</v>
      </c>
      <c r="F44" s="55"/>
    </row>
    <row r="45" spans="1:7" x14ac:dyDescent="0.15">
      <c r="A45" s="33" t="s">
        <v>107</v>
      </c>
      <c r="B45">
        <f ca="1">SUMIF(tables_431100!C:C,input_431100!A45,tables_431100!O:O)</f>
        <v>48412</v>
      </c>
      <c r="C45" s="54">
        <f t="shared" ca="1" si="9"/>
        <v>1.0292354574003696E-3</v>
      </c>
      <c r="E45" t="s">
        <v>204</v>
      </c>
      <c r="F45" s="55">
        <f ca="1">SUMIF(tables_431100!I:I,input_431100!E45,tables_431100!P:P)</f>
        <v>0.2678564102559976</v>
      </c>
    </row>
    <row r="46" spans="1:7" x14ac:dyDescent="0.15">
      <c r="A46" s="33" t="s">
        <v>108</v>
      </c>
      <c r="B46">
        <f>SUMIF(tables_431100!C:C,input_431100!A46,tables_431100!O:O)</f>
        <v>0</v>
      </c>
      <c r="C46" s="54">
        <f t="shared" ca="1" si="9"/>
        <v>0</v>
      </c>
      <c r="E46" t="s">
        <v>205</v>
      </c>
      <c r="F46" s="55">
        <f ca="1">SUMIF(tables_431100!I:I,input_431100!E46,tables_431100!P:P)</f>
        <v>0.1722286841366153</v>
      </c>
    </row>
    <row r="47" spans="1:7" x14ac:dyDescent="0.15">
      <c r="A47" s="39" t="s">
        <v>59</v>
      </c>
      <c r="B47">
        <f ca="1">SUM(B40:B46)</f>
        <v>47036856.000160001</v>
      </c>
      <c r="C47" s="55">
        <f ca="1">SUM(C40:C46)</f>
        <v>1</v>
      </c>
      <c r="E47" t="s">
        <v>206</v>
      </c>
      <c r="F47" s="55">
        <f ca="1">SUMIF(tables_431100!I:I,input_431100!E47,tables_431100!P:P)</f>
        <v>0.50991490560746522</v>
      </c>
    </row>
    <row r="48" spans="1:7" x14ac:dyDescent="0.15">
      <c r="E48" t="s">
        <v>207</v>
      </c>
      <c r="F48" s="55">
        <f ca="1">SUMIF(tables_431100!I:I,input_431100!E48,tables_431100!P:P)</f>
        <v>4.2576923076857454E-2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24"/>
  <sheetViews>
    <sheetView showGridLines="0" zoomScale="75" zoomScaleNormal="75" zoomScalePageLayoutView="75" workbookViewId="0">
      <pane ySplit="1" topLeftCell="A291" activePane="bottomLeft" state="frozen"/>
      <selection activeCell="H276" sqref="H276"/>
      <selection pane="bottomLeft" activeCell="C325" sqref="C32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input_431100!A$2</f>
        <v>431100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IFERROR(VLOOKUP(B2,input_431100!L:R,7,FALSE),VLOOKUP(tables_431100!C2,input_431100!A:H,8,FALSE))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input_431100!A$2</f>
        <v>431100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IFERROR(VLOOKUP(B3,input_431100!L:R,7,FALSE),VLOOKUP(tables_431100!C3,input_431100!A:H,8,FALSE))</f>
        <v>1389371.2</v>
      </c>
      <c r="P3" s="46">
        <f t="shared" ca="1" si="1"/>
        <v>1.3392820512799875E-2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input_431100!A$2</f>
        <v>431100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IFERROR(VLOOKUP(B4,input_431100!L:R,7,FALSE),VLOOKUP(tables_431100!C4,input_431100!A:H,8,FALSE))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input_431100!A$2</f>
        <v>431100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IFERROR(VLOOKUP(B5,input_431100!L:R,7,FALSE),VLOOKUP(tables_431100!C5,input_431100!A:H,8,FALSE))</f>
        <v>1389371.2</v>
      </c>
      <c r="P5" s="46">
        <f t="shared" ca="1" si="1"/>
        <v>1.3392820512799875E-2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input_431100!A$2</f>
        <v>431100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IFERROR(VLOOKUP(B6,input_431100!L:R,7,FALSE),VLOOKUP(tables_431100!C6,input_431100!A:H,8,FALSE))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input_431100!A$2</f>
        <v>431100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IFERROR(VLOOKUP(B7,input_431100!L:R,7,FALSE),VLOOKUP(tables_431100!C7,input_431100!A:H,8,FALSE))</f>
        <v>1389371.2</v>
      </c>
      <c r="P7" s="46">
        <f t="shared" ca="1" si="1"/>
        <v>1.3392820512799875E-2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input_431100!A$2</f>
        <v>431100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IFERROR(VLOOKUP(B8,input_431100!L:R,7,FALSE),VLOOKUP(tables_431100!C8,input_431100!A:H,8,FALSE))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input_431100!A$2</f>
        <v>431100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IFERROR(VLOOKUP(B9,input_431100!L:R,7,FALSE),VLOOKUP(tables_431100!C9,input_431100!A:H,8,FALSE))</f>
        <v>1389371.2</v>
      </c>
      <c r="P9" s="46">
        <f t="shared" ca="1" si="1"/>
        <v>1.3392820512799875E-2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input_431100!A$2</f>
        <v>431100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IFERROR(VLOOKUP(B10,input_431100!L:R,7,FALSE),VLOOKUP(tables_431100!C10,input_431100!A:H,8,FALSE))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input_431100!A$2</f>
        <v>431100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IFERROR(VLOOKUP(B11,input_431100!L:R,7,FALSE),VLOOKUP(tables_431100!C11,input_431100!A:H,8,FALSE))</f>
        <v>1389371.2</v>
      </c>
      <c r="P11" s="46">
        <f t="shared" ca="1" si="1"/>
        <v>1.3392820512799875E-2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input_431100!A$2</f>
        <v>431100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IFERROR(VLOOKUP(B12,input_431100!L:R,7,FALSE),VLOOKUP(tables_431100!C12,input_431100!A:H,8,FALSE))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input_431100!A$2</f>
        <v>431100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IFERROR(VLOOKUP(B13,input_431100!L:R,7,FALSE),VLOOKUP(tables_431100!C13,input_431100!A:H,8,FALSE))</f>
        <v>1389371.2</v>
      </c>
      <c r="P13" s="46">
        <f t="shared" ca="1" si="1"/>
        <v>1.3392820512799875E-2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input_431100!A$2</f>
        <v>431100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IFERROR(VLOOKUP(B14,input_431100!L:R,7,FALSE),VLOOKUP(tables_431100!C14,input_431100!A:H,8,FALSE))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input_431100!A$2</f>
        <v>431100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IFERROR(VLOOKUP(B15,input_431100!L:R,7,FALSE),VLOOKUP(tables_431100!C15,input_431100!A:H,8,FALSE))</f>
        <v>1389371.2</v>
      </c>
      <c r="P15" s="46">
        <f t="shared" ca="1" si="1"/>
        <v>1.3392820512799875E-2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input_431100!A$2</f>
        <v>431100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IFERROR(VLOOKUP(B16,input_431100!L:R,7,FALSE),VLOOKUP(tables_431100!C16,input_431100!A:H,8,FALSE))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input_431100!A$2</f>
        <v>431100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IFERROR(VLOOKUP(B17,input_431100!L:R,7,FALSE),VLOOKUP(tables_431100!C17,input_431100!A:H,8,FALSE))</f>
        <v>1389371.2</v>
      </c>
      <c r="P17" s="46">
        <f t="shared" ca="1" si="1"/>
        <v>1.3392820512799875E-2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input_431100!A$2</f>
        <v>431100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IFERROR(VLOOKUP(B18,input_431100!L:R,7,FALSE),VLOOKUP(tables_431100!C18,input_431100!A:H,8,FALSE))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input_431100!A$2</f>
        <v>431100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IFERROR(VLOOKUP(B19,input_431100!L:R,7,FALSE),VLOOKUP(tables_431100!C19,input_431100!A:H,8,FALSE))</f>
        <v>1389371.2</v>
      </c>
      <c r="P19" s="46">
        <f t="shared" ca="1" si="1"/>
        <v>1.3392820512799875E-2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input_431100!A$2</f>
        <v>431100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IFERROR(VLOOKUP(B20,input_431100!L:R,7,FALSE),VLOOKUP(tables_431100!C20,input_431100!A:H,8,FALSE))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input_431100!A$2</f>
        <v>431100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IFERROR(VLOOKUP(B21,input_431100!L:R,7,FALSE),VLOOKUP(tables_431100!C21,input_431100!A:H,8,FALSE))</f>
        <v>1389371.2</v>
      </c>
      <c r="P21" s="46">
        <f t="shared" ca="1" si="1"/>
        <v>1.3392820512799875E-2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input_431100!A$2</f>
        <v>431100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IFERROR(VLOOKUP(B22,input_431100!L:R,7,FALSE),VLOOKUP(tables_431100!C22,input_431100!A:H,8,FALSE))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input_431100!A$2</f>
        <v>431100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IFERROR(VLOOKUP(B23,input_431100!L:R,7,FALSE),VLOOKUP(tables_431100!C23,input_431100!A:H,8,FALSE))</f>
        <v>1389371.2</v>
      </c>
      <c r="P23" s="46">
        <f t="shared" ca="1" si="1"/>
        <v>1.3392820512799875E-2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input_431100!A$2</f>
        <v>431100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IFERROR(VLOOKUP(B24,input_431100!L:R,7,FALSE),VLOOKUP(tables_431100!C24,input_431100!A:H,8,FALSE))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input_431100!A$2</f>
        <v>431100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IFERROR(VLOOKUP(B25,input_431100!L:R,7,FALSE),VLOOKUP(tables_431100!C25,input_431100!A:H,8,FALSE))</f>
        <v>1389371.2</v>
      </c>
      <c r="P25" s="46">
        <f t="shared" ca="1" si="1"/>
        <v>1.3392820512799875E-2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input_431100!A$2</f>
        <v>431100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IFERROR(VLOOKUP(B26,input_431100!L:R,7,FALSE),VLOOKUP(tables_431100!C26,input_431100!A:H,8,FALSE))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input_431100!A$2</f>
        <v>431100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IFERROR(VLOOKUP(B27,input_431100!L:R,7,FALSE),VLOOKUP(tables_431100!C27,input_431100!A:H,8,FALSE))</f>
        <v>1389371.2</v>
      </c>
      <c r="P27" s="46">
        <f t="shared" ca="1" si="1"/>
        <v>1.3392820512799875E-2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input_431100!A$2</f>
        <v>431100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IFERROR(VLOOKUP(B28,input_431100!L:R,7,FALSE),VLOOKUP(tables_431100!C28,input_431100!A:H,8,FALSE))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input_431100!A$2</f>
        <v>431100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IFERROR(VLOOKUP(B29,input_431100!L:R,7,FALSE),VLOOKUP(tables_431100!C29,input_431100!A:H,8,FALSE))</f>
        <v>1389371.2</v>
      </c>
      <c r="P29" s="46">
        <f t="shared" ca="1" si="1"/>
        <v>1.3392820512799875E-2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input_431100!A$2</f>
        <v>431100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IFERROR(VLOOKUP(B30,input_431100!L:R,7,FALSE),VLOOKUP(tables_431100!C30,input_431100!A:H,8,FALSE))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input_431100!A$2</f>
        <v>431100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IFERROR(VLOOKUP(B31,input_431100!L:R,7,FALSE),VLOOKUP(tables_431100!C31,input_431100!A:H,8,FALSE))</f>
        <v>1389371.2</v>
      </c>
      <c r="P31" s="46">
        <f t="shared" ca="1" si="1"/>
        <v>1.3392820512799875E-2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input_431100!A$2</f>
        <v>431100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IFERROR(VLOOKUP(B32,input_431100!L:R,7,FALSE),VLOOKUP(tables_431100!C32,input_431100!A:H,8,FALSE))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input_431100!A$2</f>
        <v>431100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IFERROR(VLOOKUP(B33,input_431100!L:R,7,FALSE),VLOOKUP(tables_431100!C33,input_431100!A:H,8,FALSE))</f>
        <v>1389371.2</v>
      </c>
      <c r="P33" s="46">
        <f t="shared" ca="1" si="1"/>
        <v>1.3392820512799875E-2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input_431100!A$2</f>
        <v>431100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IFERROR(VLOOKUP(B34,input_431100!L:R,7,FALSE),VLOOKUP(tables_431100!C34,input_431100!A:H,8,FALSE))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input_431100!A$2</f>
        <v>431100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IFERROR(VLOOKUP(B35,input_431100!L:R,7,FALSE),VLOOKUP(tables_431100!C35,input_431100!A:H,8,FALSE))</f>
        <v>1389371.2</v>
      </c>
      <c r="P35" s="46">
        <f t="shared" ca="1" si="1"/>
        <v>1.3392820512799875E-2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input_431100!A$2</f>
        <v>431100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IFERROR(VLOOKUP(B36,input_431100!L:R,7,FALSE),VLOOKUP(tables_431100!C36,input_431100!A:H,8,FALSE))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input_431100!A$2</f>
        <v>431100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IFERROR(VLOOKUP(B37,input_431100!L:R,7,FALSE),VLOOKUP(tables_431100!C37,input_431100!A:H,8,FALSE))</f>
        <v>1389371.2</v>
      </c>
      <c r="P37" s="46">
        <f t="shared" ca="1" si="1"/>
        <v>1.3392820512799875E-2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input_431100!A$2</f>
        <v>431100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IFERROR(VLOOKUP(B38,input_431100!L:R,7,FALSE),VLOOKUP(tables_431100!C38,input_431100!A:H,8,FALSE))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input_431100!A$2</f>
        <v>431100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IFERROR(VLOOKUP(B39,input_431100!L:R,7,FALSE),VLOOKUP(tables_431100!C39,input_431100!A:H,8,FALSE))</f>
        <v>1389371.2</v>
      </c>
      <c r="P39" s="46">
        <f t="shared" ca="1" si="1"/>
        <v>1.3392820512799875E-2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input_431100!A$2</f>
        <v>431100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IFERROR(VLOOKUP(B40,input_431100!L:R,7,FALSE),VLOOKUP(tables_431100!C40,input_431100!A:H,8,FALSE))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input_431100!A$2</f>
        <v>431100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IFERROR(VLOOKUP(B41,input_431100!L:R,7,FALSE),VLOOKUP(tables_431100!C41,input_431100!A:H,8,FALSE))</f>
        <v>1389371.2</v>
      </c>
      <c r="P41" s="46">
        <f t="shared" ca="1" si="1"/>
        <v>1.3392820512799875E-2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input_431100!A$2</f>
        <v>431100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IFERROR(VLOOKUP(B42,input_431100!L:R,7,FALSE),VLOOKUP(tables_431100!C42,input_431100!A:H,8,FALSE))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input_431100!A$2</f>
        <v>431100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IFERROR(VLOOKUP(B43,input_431100!L:R,7,FALSE),VLOOKUP(tables_431100!C43,input_431100!A:H,8,FALSE))</f>
        <v>953040</v>
      </c>
      <c r="P43" s="46">
        <f t="shared" ca="1" si="1"/>
        <v>9.1868131867990296E-3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input_431100!A$2</f>
        <v>431100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IFERROR(VLOOKUP(B44,input_431100!L:R,7,FALSE),VLOOKUP(tables_431100!C44,input_431100!A:H,8,FALSE))</f>
        <v>50160</v>
      </c>
      <c r="P44" s="46">
        <f t="shared" ca="1" si="1"/>
        <v>4.8351648351573843E-4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input_431100!A$2</f>
        <v>431100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IFERROR(VLOOKUP(B45,input_431100!L:R,7,FALSE),VLOOKUP(tables_431100!C45,input_431100!A:H,8,FALSE))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input_431100!A$2</f>
        <v>431100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IFERROR(VLOOKUP(B46,input_431100!L:R,7,FALSE),VLOOKUP(tables_431100!C46,input_431100!A:H,8,FALSE))</f>
        <v>953040</v>
      </c>
      <c r="P46" s="46">
        <f t="shared" ca="1" si="1"/>
        <v>9.1868131867990296E-3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input_431100!A$2</f>
        <v>431100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IFERROR(VLOOKUP(B47,input_431100!L:R,7,FALSE),VLOOKUP(tables_431100!C47,input_431100!A:H,8,FALSE))</f>
        <v>50160</v>
      </c>
      <c r="P47" s="46">
        <f t="shared" ca="1" si="1"/>
        <v>4.8351648351573843E-4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input_431100!A$2</f>
        <v>431100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IFERROR(VLOOKUP(B48,input_431100!L:R,7,FALSE),VLOOKUP(tables_431100!C48,input_431100!A:H,8,FALSE))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input_431100!A$2</f>
        <v>431100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IFERROR(VLOOKUP(B49,input_431100!L:R,7,FALSE),VLOOKUP(tables_431100!C49,input_431100!A:H,8,FALSE))</f>
        <v>953040</v>
      </c>
      <c r="P49" s="46">
        <f t="shared" ca="1" si="1"/>
        <v>9.1868131867990296E-3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input_431100!A$2</f>
        <v>431100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IFERROR(VLOOKUP(B50,input_431100!L:R,7,FALSE),VLOOKUP(tables_431100!C50,input_431100!A:H,8,FALSE))</f>
        <v>50160</v>
      </c>
      <c r="P50" s="46">
        <f t="shared" ca="1" si="1"/>
        <v>4.8351648351573843E-4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input_431100!A$2</f>
        <v>431100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IFERROR(VLOOKUP(B51,input_431100!L:R,7,FALSE),VLOOKUP(tables_431100!C51,input_431100!A:H,8,FALSE))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input_431100!A$2</f>
        <v>431100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IFERROR(VLOOKUP(B52,input_431100!L:R,7,FALSE),VLOOKUP(tables_431100!C52,input_431100!A:H,8,FALSE))</f>
        <v>865659</v>
      </c>
      <c r="P52" s="46">
        <f t="shared" ca="1" si="1"/>
        <v>8.3445054944926364E-3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input_431100!A$2</f>
        <v>431100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IFERROR(VLOOKUP(B53,input_431100!L:R,7,FALSE),VLOOKUP(tables_431100!C53,input_431100!A:H,8,FALSE))</f>
        <v>8305.9230800000005</v>
      </c>
      <c r="P53" s="46">
        <f t="shared" ca="1" si="1"/>
        <v>8.0064807017420485E-5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input_431100!A$2</f>
        <v>431100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IFERROR(VLOOKUP(B54,input_431100!L:R,7,FALSE),VLOOKUP(tables_431100!C54,input_431100!A:H,8,FALSE))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input_431100!A$2</f>
        <v>431100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IFERROR(VLOOKUP(B55,input_431100!L:R,7,FALSE),VLOOKUP(tables_431100!C55,input_431100!A:H,8,FALSE))</f>
        <v>865659</v>
      </c>
      <c r="P55" s="46">
        <f t="shared" ca="1" si="1"/>
        <v>8.3445054944926364E-3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input_431100!A$2</f>
        <v>431100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IFERROR(VLOOKUP(B56,input_431100!L:R,7,FALSE),VLOOKUP(tables_431100!C56,input_431100!A:H,8,FALSE))</f>
        <v>8305.9230800000005</v>
      </c>
      <c r="P56" s="46">
        <f t="shared" ca="1" si="1"/>
        <v>8.0064807017420485E-5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input_431100!A$2</f>
        <v>431100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IFERROR(VLOOKUP(B57,input_431100!L:R,7,FALSE),VLOOKUP(tables_431100!C57,input_431100!A:H,8,FALSE))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input_431100!A$2</f>
        <v>431100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IFERROR(VLOOKUP(B58,input_431100!L:R,7,FALSE),VLOOKUP(tables_431100!C58,input_431100!A:H,8,FALSE))</f>
        <v>865659</v>
      </c>
      <c r="P58" s="46">
        <f t="shared" ca="1" si="1"/>
        <v>8.3445054944926364E-3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input_431100!A$2</f>
        <v>431100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IFERROR(VLOOKUP(B59,input_431100!L:R,7,FALSE),VLOOKUP(tables_431100!C59,input_431100!A:H,8,FALSE))</f>
        <v>8305.9230800000005</v>
      </c>
      <c r="P59" s="46">
        <f t="shared" ca="1" si="1"/>
        <v>8.0064807017420485E-5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input_431100!A$2</f>
        <v>431100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IFERROR(VLOOKUP(B60,input_431100!L:R,7,FALSE),VLOOKUP(tables_431100!C60,input_431100!A:H,8,FALSE))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input_431100!A$2</f>
        <v>431100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IFERROR(VLOOKUP(B61,input_431100!L:R,7,FALSE),VLOOKUP(tables_431100!C61,input_431100!A:H,8,FALSE))</f>
        <v>865659</v>
      </c>
      <c r="P61" s="46">
        <f t="shared" ca="1" si="1"/>
        <v>8.3445054944926364E-3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input_431100!A$2</f>
        <v>431100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IFERROR(VLOOKUP(B62,input_431100!L:R,7,FALSE),VLOOKUP(tables_431100!C62,input_431100!A:H,8,FALSE))</f>
        <v>8305.9230800000005</v>
      </c>
      <c r="P62" s="46">
        <f t="shared" ca="1" si="1"/>
        <v>8.0064807017420485E-5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input_431100!A$2</f>
        <v>431100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IFERROR(VLOOKUP(B63,input_431100!L:R,7,FALSE),VLOOKUP(tables_431100!C63,input_431100!A:H,8,FALSE))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input_431100!A$2</f>
        <v>431100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IFERROR(VLOOKUP(B64,input_431100!L:R,7,FALSE),VLOOKUP(tables_431100!C64,input_431100!A:H,8,FALSE))</f>
        <v>865659</v>
      </c>
      <c r="P64" s="46">
        <f t="shared" ca="1" si="1"/>
        <v>8.3445054944926364E-3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input_431100!A$2</f>
        <v>431100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IFERROR(VLOOKUP(B65,input_431100!L:R,7,FALSE),VLOOKUP(tables_431100!C65,input_431100!A:H,8,FALSE))</f>
        <v>8305.9230800000005</v>
      </c>
      <c r="P65" s="46">
        <f t="shared" ca="1" si="1"/>
        <v>8.0064807017420485E-5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input_431100!A$2</f>
        <v>431100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IFERROR(VLOOKUP(B66,input_431100!L:R,7,FALSE),VLOOKUP(tables_431100!C66,input_431100!A:H,8,FALSE))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input_431100!A$2</f>
        <v>431100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IFERROR(VLOOKUP(B67,input_431100!L:R,7,FALSE),VLOOKUP(tables_431100!C67,input_431100!A:H,8,FALSE))</f>
        <v>865659</v>
      </c>
      <c r="P67" s="46">
        <f t="shared" ca="1" si="4"/>
        <v>8.3445054944926364E-3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input_431100!A$2</f>
        <v>431100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IFERROR(VLOOKUP(B68,input_431100!L:R,7,FALSE),VLOOKUP(tables_431100!C68,input_431100!A:H,8,FALSE))</f>
        <v>8305.9230800000005</v>
      </c>
      <c r="P68" s="46">
        <f t="shared" ca="1" si="4"/>
        <v>8.0064807017420485E-5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input_431100!A$2</f>
        <v>431100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IFERROR(VLOOKUP(B69,input_431100!L:R,7,FALSE),VLOOKUP(tables_431100!C69,input_431100!A:H,8,FALSE))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input_431100!A$2</f>
        <v>431100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IFERROR(VLOOKUP(B70,input_431100!L:R,7,FALSE),VLOOKUP(tables_431100!C70,input_431100!A:H,8,FALSE))</f>
        <v>865659</v>
      </c>
      <c r="P70" s="46">
        <f t="shared" ca="1" si="4"/>
        <v>8.3445054944926364E-3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input_431100!A$2</f>
        <v>431100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IFERROR(VLOOKUP(B71,input_431100!L:R,7,FALSE),VLOOKUP(tables_431100!C71,input_431100!A:H,8,FALSE))</f>
        <v>8305.9230800000005</v>
      </c>
      <c r="P71" s="46">
        <f t="shared" ca="1" si="4"/>
        <v>8.0064807017420485E-5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input_431100!A$2</f>
        <v>431100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IFERROR(VLOOKUP(B72,input_431100!L:R,7,FALSE),VLOOKUP(tables_431100!C72,input_431100!A:H,8,FALSE))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input_431100!A$2</f>
        <v>431100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IFERROR(VLOOKUP(B73,input_431100!L:R,7,FALSE),VLOOKUP(tables_431100!C73,input_431100!A:H,8,FALSE))</f>
        <v>865659</v>
      </c>
      <c r="P73" s="46">
        <f t="shared" ca="1" si="4"/>
        <v>8.3445054944926364E-3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input_431100!A$2</f>
        <v>431100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IFERROR(VLOOKUP(B74,input_431100!L:R,7,FALSE),VLOOKUP(tables_431100!C74,input_431100!A:H,8,FALSE))</f>
        <v>8305.9230800000005</v>
      </c>
      <c r="P74" s="46">
        <f t="shared" ca="1" si="4"/>
        <v>8.0064807017420485E-5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input_431100!A$2</f>
        <v>431100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IFERROR(VLOOKUP(B75,input_431100!L:R,7,FALSE),VLOOKUP(tables_431100!C75,input_431100!A:H,8,FALSE))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input_431100!A$2</f>
        <v>431100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IFERROR(VLOOKUP(B76,input_431100!L:R,7,FALSE),VLOOKUP(tables_431100!C76,input_431100!A:H,8,FALSE))</f>
        <v>865659</v>
      </c>
      <c r="P76" s="46">
        <f t="shared" ca="1" si="4"/>
        <v>8.3445054944926364E-3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input_431100!A$2</f>
        <v>431100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IFERROR(VLOOKUP(B77,input_431100!L:R,7,FALSE),VLOOKUP(tables_431100!C77,input_431100!A:H,8,FALSE))</f>
        <v>8305.9230800000005</v>
      </c>
      <c r="P77" s="46">
        <f t="shared" ca="1" si="4"/>
        <v>8.0064807017420485E-5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input_431100!A$2</f>
        <v>431100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IFERROR(VLOOKUP(B78,input_431100!L:R,7,FALSE),VLOOKUP(tables_431100!C78,input_431100!A:H,8,FALSE))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input_431100!A$2</f>
        <v>431100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IFERROR(VLOOKUP(B79,input_431100!L:R,7,FALSE),VLOOKUP(tables_431100!C79,input_431100!A:H,8,FALSE))</f>
        <v>865659</v>
      </c>
      <c r="P79" s="46">
        <f t="shared" ca="1" si="4"/>
        <v>8.3445054944926364E-3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input_431100!A$2</f>
        <v>431100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IFERROR(VLOOKUP(B80,input_431100!L:R,7,FALSE),VLOOKUP(tables_431100!C80,input_431100!A:H,8,FALSE))</f>
        <v>8305.9230800000005</v>
      </c>
      <c r="P80" s="46">
        <f t="shared" ca="1" si="4"/>
        <v>8.0064807017420485E-5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input_431100!A$2</f>
        <v>431100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IFERROR(VLOOKUP(B81,input_431100!L:R,7,FALSE),VLOOKUP(tables_431100!C81,input_431100!A:H,8,FALSE))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input_431100!A$2</f>
        <v>431100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IFERROR(VLOOKUP(B82,input_431100!L:R,7,FALSE),VLOOKUP(tables_431100!C82,input_431100!A:H,8,FALSE))</f>
        <v>865659</v>
      </c>
      <c r="P82" s="46">
        <f t="shared" ca="1" si="4"/>
        <v>8.3445054944926364E-3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input_431100!A$2</f>
        <v>431100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IFERROR(VLOOKUP(B83,input_431100!L:R,7,FALSE),VLOOKUP(tables_431100!C83,input_431100!A:H,8,FALSE))</f>
        <v>8305.9230800000005</v>
      </c>
      <c r="P83" s="46">
        <f t="shared" ca="1" si="4"/>
        <v>8.0064807017420485E-5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input_431100!A$2</f>
        <v>431100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IFERROR(VLOOKUP(B84,input_431100!L:R,7,FALSE),VLOOKUP(tables_431100!C84,input_431100!A:H,8,FALSE))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input_431100!A$2</f>
        <v>431100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IFERROR(VLOOKUP(B85,input_431100!L:R,7,FALSE),VLOOKUP(tables_431100!C85,input_431100!A:H,8,FALSE))</f>
        <v>865659</v>
      </c>
      <c r="P85" s="46">
        <f t="shared" ca="1" si="4"/>
        <v>8.3445054944926364E-3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input_431100!A$2</f>
        <v>431100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IFERROR(VLOOKUP(B86,input_431100!L:R,7,FALSE),VLOOKUP(tables_431100!C86,input_431100!A:H,8,FALSE))</f>
        <v>8305.9230800000005</v>
      </c>
      <c r="P86" s="46">
        <f t="shared" ca="1" si="4"/>
        <v>8.0064807017420485E-5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input_431100!A$2</f>
        <v>431100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IFERROR(VLOOKUP(B87,input_431100!L:R,7,FALSE),VLOOKUP(tables_431100!C87,input_431100!A:H,8,FALSE))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input_431100!A$2</f>
        <v>431100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IFERROR(VLOOKUP(B88,input_431100!L:R,7,FALSE),VLOOKUP(tables_431100!C88,input_431100!A:H,8,FALSE))</f>
        <v>865659</v>
      </c>
      <c r="P88" s="46">
        <f t="shared" ca="1" si="4"/>
        <v>8.3445054944926364E-3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input_431100!A$2</f>
        <v>431100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IFERROR(VLOOKUP(B89,input_431100!L:R,7,FALSE),VLOOKUP(tables_431100!C89,input_431100!A:H,8,FALSE))</f>
        <v>8305.9230800000005</v>
      </c>
      <c r="P89" s="46">
        <f t="shared" ca="1" si="4"/>
        <v>8.0064807017420485E-5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input_431100!A$2</f>
        <v>431100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IFERROR(VLOOKUP(B90,input_431100!L:R,7,FALSE),VLOOKUP(tables_431100!C90,input_431100!A:H,8,FALSE))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input_431100!A$2</f>
        <v>431100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IFERROR(VLOOKUP(B91,input_431100!L:R,7,FALSE),VLOOKUP(tables_431100!C91,input_431100!A:H,8,FALSE))</f>
        <v>865659</v>
      </c>
      <c r="P91" s="46">
        <f t="shared" ca="1" si="4"/>
        <v>8.3445054944926364E-3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input_431100!A$2</f>
        <v>431100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IFERROR(VLOOKUP(B92,input_431100!L:R,7,FALSE),VLOOKUP(tables_431100!C92,input_431100!A:H,8,FALSE))</f>
        <v>8305.9230800000005</v>
      </c>
      <c r="P92" s="46">
        <f t="shared" ca="1" si="4"/>
        <v>8.0064807017420485E-5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input_431100!A$2</f>
        <v>431100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IFERROR(VLOOKUP(B93,input_431100!L:R,7,FALSE),VLOOKUP(tables_431100!C93,input_431100!A:H,8,FALSE))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input_431100!A$2</f>
        <v>431100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IFERROR(VLOOKUP(B94,input_431100!L:R,7,FALSE),VLOOKUP(tables_431100!C94,input_431100!A:H,8,FALSE))</f>
        <v>865659</v>
      </c>
      <c r="P94" s="46">
        <f t="shared" ca="1" si="4"/>
        <v>8.3445054944926364E-3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input_431100!A$2</f>
        <v>431100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IFERROR(VLOOKUP(B95,input_431100!L:R,7,FALSE),VLOOKUP(tables_431100!C95,input_431100!A:H,8,FALSE))</f>
        <v>8305.9230800000005</v>
      </c>
      <c r="P95" s="46">
        <f t="shared" ca="1" si="4"/>
        <v>8.0064807017420485E-5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input_431100!A$2</f>
        <v>431100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IFERROR(VLOOKUP(B96,input_431100!L:R,7,FALSE),VLOOKUP(tables_431100!C96,input_431100!A:H,8,FALSE))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input_431100!A$2</f>
        <v>431100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IFERROR(VLOOKUP(B97,input_431100!L:R,7,FALSE),VLOOKUP(tables_431100!C97,input_431100!A:H,8,FALSE))</f>
        <v>865659</v>
      </c>
      <c r="P97" s="46">
        <f t="shared" ca="1" si="4"/>
        <v>8.3445054944926364E-3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input_431100!A$2</f>
        <v>431100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IFERROR(VLOOKUP(B98,input_431100!L:R,7,FALSE),VLOOKUP(tables_431100!C98,input_431100!A:H,8,FALSE))</f>
        <v>8305.9230800000005</v>
      </c>
      <c r="P98" s="46">
        <f t="shared" ca="1" si="4"/>
        <v>8.0064807017420485E-5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input_431100!A$2</f>
        <v>431100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IFERROR(VLOOKUP(B99,input_431100!L:R,7,FALSE),VLOOKUP(tables_431100!C99,input_431100!A:H,8,FALSE))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input_431100!A$2</f>
        <v>431100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IFERROR(VLOOKUP(B100,input_431100!L:R,7,FALSE),VLOOKUP(tables_431100!C100,input_431100!A:H,8,FALSE))</f>
        <v>865659</v>
      </c>
      <c r="P100" s="46">
        <f t="shared" ca="1" si="4"/>
        <v>8.3445054944926364E-3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input_431100!A$2</f>
        <v>431100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IFERROR(VLOOKUP(B101,input_431100!L:R,7,FALSE),VLOOKUP(tables_431100!C101,input_431100!A:H,8,FALSE))</f>
        <v>8305.9230800000005</v>
      </c>
      <c r="P101" s="46">
        <f t="shared" ca="1" si="4"/>
        <v>8.0064807017420485E-5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input_431100!A$2</f>
        <v>431100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IFERROR(VLOOKUP(B102,input_431100!L:R,7,FALSE),VLOOKUP(tables_431100!C102,input_431100!A:H,8,FALSE))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input_431100!A$2</f>
        <v>431100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IFERROR(VLOOKUP(B103,input_431100!L:R,7,FALSE),VLOOKUP(tables_431100!C103,input_431100!A:H,8,FALSE))</f>
        <v>865659</v>
      </c>
      <c r="P103" s="46">
        <f t="shared" ca="1" si="4"/>
        <v>8.3445054944926364E-3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input_431100!A$2</f>
        <v>431100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IFERROR(VLOOKUP(B104,input_431100!L:R,7,FALSE),VLOOKUP(tables_431100!C104,input_431100!A:H,8,FALSE))</f>
        <v>8305.9230800000005</v>
      </c>
      <c r="P104" s="46">
        <f t="shared" ca="1" si="4"/>
        <v>8.0064807017420485E-5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input_431100!A$2</f>
        <v>431100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IFERROR(VLOOKUP(B105,input_431100!L:R,7,FALSE),VLOOKUP(tables_431100!C105,input_431100!A:H,8,FALSE))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input_431100!A$2</f>
        <v>431100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IFERROR(VLOOKUP(B106,input_431100!L:R,7,FALSE),VLOOKUP(tables_431100!C106,input_431100!A:H,8,FALSE))</f>
        <v>865659</v>
      </c>
      <c r="P106" s="46">
        <f t="shared" ca="1" si="4"/>
        <v>8.3445054944926364E-3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input_431100!A$2</f>
        <v>431100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IFERROR(VLOOKUP(B107,input_431100!L:R,7,FALSE),VLOOKUP(tables_431100!C107,input_431100!A:H,8,FALSE))</f>
        <v>8305.9230800000005</v>
      </c>
      <c r="P107" s="46">
        <f t="shared" ca="1" si="4"/>
        <v>8.0064807017420485E-5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input_431100!A$2</f>
        <v>431100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IFERROR(VLOOKUP(B108,input_431100!L:R,7,FALSE),VLOOKUP(tables_431100!C108,input_431100!A:H,8,FALSE))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input_431100!A$2</f>
        <v>431100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IFERROR(VLOOKUP(B109,input_431100!L:R,7,FALSE),VLOOKUP(tables_431100!C109,input_431100!A:H,8,FALSE))</f>
        <v>865659</v>
      </c>
      <c r="P109" s="46">
        <f t="shared" ca="1" si="4"/>
        <v>8.3445054944926364E-3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input_431100!A$2</f>
        <v>431100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IFERROR(VLOOKUP(B110,input_431100!L:R,7,FALSE),VLOOKUP(tables_431100!C110,input_431100!A:H,8,FALSE))</f>
        <v>8305.9230800000005</v>
      </c>
      <c r="P110" s="46">
        <f t="shared" ca="1" si="4"/>
        <v>8.0064807017420485E-5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input_431100!A$2</f>
        <v>431100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IFERROR(VLOOKUP(B111,input_431100!L:R,7,FALSE),VLOOKUP(tables_431100!C111,input_431100!A:H,8,FALSE))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input_431100!A$2</f>
        <v>431100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IFERROR(VLOOKUP(B112,input_431100!L:R,7,FALSE),VLOOKUP(tables_431100!C112,input_431100!A:H,8,FALSE))</f>
        <v>953040</v>
      </c>
      <c r="P112" s="46">
        <f t="shared" ca="1" si="4"/>
        <v>9.1868131867990296E-3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input_431100!A$2</f>
        <v>431100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IFERROR(VLOOKUP(B113,input_431100!L:R,7,FALSE),VLOOKUP(tables_431100!C113,input_431100!A:H,8,FALSE))</f>
        <v>50160</v>
      </c>
      <c r="P113" s="46">
        <f t="shared" ca="1" si="4"/>
        <v>4.8351648351573843E-4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input_431100!A$2</f>
        <v>431100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IFERROR(VLOOKUP(B114,input_431100!L:R,7,FALSE),VLOOKUP(tables_431100!C114,input_431100!A:H,8,FALSE))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input_431100!A$2</f>
        <v>431100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IFERROR(VLOOKUP(B115,input_431100!L:R,7,FALSE),VLOOKUP(tables_431100!C115,input_431100!A:H,8,FALSE))</f>
        <v>865659</v>
      </c>
      <c r="P115" s="46">
        <f t="shared" ca="1" si="4"/>
        <v>8.3445054944926364E-3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input_431100!A$2</f>
        <v>431100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IFERROR(VLOOKUP(B116,input_431100!L:R,7,FALSE),VLOOKUP(tables_431100!C116,input_431100!A:H,8,FALSE))</f>
        <v>8305.9230800000005</v>
      </c>
      <c r="P116" s="46">
        <f t="shared" ca="1" si="4"/>
        <v>8.0064807017420485E-5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input_431100!A$2</f>
        <v>431100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IFERROR(VLOOKUP(B117,input_431100!L:R,7,FALSE),VLOOKUP(tables_431100!C117,input_431100!A:H,8,FALSE))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input_431100!A$2</f>
        <v>431100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IFERROR(VLOOKUP(B118,input_431100!L:R,7,FALSE),VLOOKUP(tables_431100!C118,input_431100!A:H,8,FALSE))</f>
        <v>865659</v>
      </c>
      <c r="P118" s="46">
        <f t="shared" ca="1" si="4"/>
        <v>8.3445054944926364E-3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input_431100!A$2</f>
        <v>431100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IFERROR(VLOOKUP(B119,input_431100!L:R,7,FALSE),VLOOKUP(tables_431100!C119,input_431100!A:H,8,FALSE))</f>
        <v>8305.9230800000005</v>
      </c>
      <c r="P119" s="46">
        <f t="shared" ca="1" si="4"/>
        <v>8.0064807017420485E-5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input_431100!A$2</f>
        <v>431100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IFERROR(VLOOKUP(B120,input_431100!L:R,7,FALSE),VLOOKUP(tables_431100!C120,input_431100!A:H,8,FALSE))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input_431100!A$2</f>
        <v>431100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IFERROR(VLOOKUP(B121,input_431100!L:R,7,FALSE),VLOOKUP(tables_431100!C121,input_431100!A:H,8,FALSE))</f>
        <v>865659</v>
      </c>
      <c r="P121" s="46">
        <f t="shared" ca="1" si="4"/>
        <v>8.3445054944926364E-3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input_431100!A$2</f>
        <v>431100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IFERROR(VLOOKUP(B122,input_431100!L:R,7,FALSE),VLOOKUP(tables_431100!C122,input_431100!A:H,8,FALSE))</f>
        <v>8305.9230800000005</v>
      </c>
      <c r="P122" s="46">
        <f t="shared" ca="1" si="4"/>
        <v>8.0064807017420485E-5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input_431100!A$2</f>
        <v>431100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IFERROR(VLOOKUP(B123,input_431100!L:R,7,FALSE),VLOOKUP(tables_431100!C123,input_431100!A:H,8,FALSE))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input_431100!A$2</f>
        <v>431100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IFERROR(VLOOKUP(B124,input_431100!L:R,7,FALSE),VLOOKUP(tables_431100!C124,input_431100!A:H,8,FALSE))</f>
        <v>865659</v>
      </c>
      <c r="P124" s="46">
        <f t="shared" ca="1" si="4"/>
        <v>8.3445054944926364E-3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input_431100!A$2</f>
        <v>431100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IFERROR(VLOOKUP(B125,input_431100!L:R,7,FALSE),VLOOKUP(tables_431100!C125,input_431100!A:H,8,FALSE))</f>
        <v>8305.9230800000005</v>
      </c>
      <c r="P125" s="46">
        <f t="shared" ca="1" si="4"/>
        <v>8.0064807017420485E-5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input_431100!A$2</f>
        <v>431100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IFERROR(VLOOKUP(B126,input_431100!L:R,7,FALSE),VLOOKUP(tables_431100!C126,input_431100!A:H,8,FALSE))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input_431100!A$2</f>
        <v>431100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IFERROR(VLOOKUP(B127,input_431100!L:R,7,FALSE),VLOOKUP(tables_431100!C127,input_431100!A:H,8,FALSE))</f>
        <v>865659</v>
      </c>
      <c r="P127" s="46">
        <f t="shared" ca="1" si="4"/>
        <v>8.3445054944926364E-3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input_431100!A$2</f>
        <v>431100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IFERROR(VLOOKUP(B128,input_431100!L:R,7,FALSE),VLOOKUP(tables_431100!C128,input_431100!A:H,8,FALSE))</f>
        <v>8305.9230800000005</v>
      </c>
      <c r="P128" s="46">
        <f t="shared" ca="1" si="4"/>
        <v>8.0064807017420485E-5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input_431100!A$2</f>
        <v>431100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IFERROR(VLOOKUP(B129,input_431100!L:R,7,FALSE),VLOOKUP(tables_431100!C129,input_431100!A:H,8,FALSE))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input_431100!A$2</f>
        <v>431100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IFERROR(VLOOKUP(B130,input_431100!L:R,7,FALSE),VLOOKUP(tables_431100!C130,input_431100!A:H,8,FALSE))</f>
        <v>865659</v>
      </c>
      <c r="P130" s="46">
        <f t="shared" ref="P130:P193" ca="1" si="7">O130/SUM(O:O)</f>
        <v>8.3445054944926364E-3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input_431100!A$2</f>
        <v>431100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IFERROR(VLOOKUP(B131,input_431100!L:R,7,FALSE),VLOOKUP(tables_431100!C131,input_431100!A:H,8,FALSE))</f>
        <v>8305.9230800000005</v>
      </c>
      <c r="P131" s="46">
        <f t="shared" ca="1" si="7"/>
        <v>8.0064807017420485E-5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input_431100!A$2</f>
        <v>431100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IFERROR(VLOOKUP(B132,input_431100!L:R,7,FALSE),VLOOKUP(tables_431100!C132,input_431100!A:H,8,FALSE))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input_431100!A$2</f>
        <v>431100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IFERROR(VLOOKUP(B133,input_431100!L:R,7,FALSE),VLOOKUP(tables_431100!C133,input_431100!A:H,8,FALSE))</f>
        <v>865659</v>
      </c>
      <c r="P133" s="46">
        <f t="shared" ca="1" si="7"/>
        <v>8.3445054944926364E-3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input_431100!A$2</f>
        <v>431100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IFERROR(VLOOKUP(B134,input_431100!L:R,7,FALSE),VLOOKUP(tables_431100!C134,input_431100!A:H,8,FALSE))</f>
        <v>8305.9230800000005</v>
      </c>
      <c r="P134" s="46">
        <f t="shared" ca="1" si="7"/>
        <v>8.0064807017420485E-5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input_431100!A$2</f>
        <v>431100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IFERROR(VLOOKUP(B135,input_431100!L:R,7,FALSE),VLOOKUP(tables_431100!C135,input_431100!A:H,8,FALSE))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input_431100!A$2</f>
        <v>431100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IFERROR(VLOOKUP(B136,input_431100!L:R,7,FALSE),VLOOKUP(tables_431100!C136,input_431100!A:H,8,FALSE))</f>
        <v>865659</v>
      </c>
      <c r="P136" s="46">
        <f t="shared" ca="1" si="7"/>
        <v>8.3445054944926364E-3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input_431100!A$2</f>
        <v>431100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IFERROR(VLOOKUP(B137,input_431100!L:R,7,FALSE),VLOOKUP(tables_431100!C137,input_431100!A:H,8,FALSE))</f>
        <v>8305.9230800000005</v>
      </c>
      <c r="P137" s="46">
        <f t="shared" ca="1" si="7"/>
        <v>8.0064807017420485E-5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input_431100!A$2</f>
        <v>431100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IFERROR(VLOOKUP(B138,input_431100!L:R,7,FALSE),VLOOKUP(tables_431100!C138,input_431100!A:H,8,FALSE))</f>
        <v>55081</v>
      </c>
      <c r="P138" s="46">
        <f t="shared" ca="1" si="7"/>
        <v>5.3095238095156273E-4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input_431100!A$2</f>
        <v>431100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IFERROR(VLOOKUP(B139,input_431100!L:R,7,FALSE),VLOOKUP(tables_431100!C139,input_431100!A:H,8,FALSE))</f>
        <v>1729</v>
      </c>
      <c r="P139" s="46">
        <f t="shared" ca="1" si="7"/>
        <v>1.6666666666640985E-5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input_431100!A$2</f>
        <v>431100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IFERROR(VLOOKUP(B140,input_431100!L:R,7,FALSE),VLOOKUP(tables_431100!C140,input_431100!A:H,8,FALSE))</f>
        <v>55081</v>
      </c>
      <c r="P140" s="46">
        <f t="shared" ca="1" si="7"/>
        <v>5.3095238095156273E-4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input_431100!A$2</f>
        <v>431100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IFERROR(VLOOKUP(B141,input_431100!L:R,7,FALSE),VLOOKUP(tables_431100!C141,input_431100!A:H,8,FALSE))</f>
        <v>1729</v>
      </c>
      <c r="P141" s="46">
        <f t="shared" ca="1" si="7"/>
        <v>1.6666666666640985E-5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input_431100!A$2</f>
        <v>431100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IFERROR(VLOOKUP(B142,input_431100!L:R,7,FALSE),VLOOKUP(tables_431100!C142,input_431100!A:H,8,FALSE))</f>
        <v>55081</v>
      </c>
      <c r="P142" s="46">
        <f t="shared" ca="1" si="7"/>
        <v>5.3095238095156273E-4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input_431100!A$2</f>
        <v>431100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IFERROR(VLOOKUP(B143,input_431100!L:R,7,FALSE),VLOOKUP(tables_431100!C143,input_431100!A:H,8,FALSE))</f>
        <v>1729</v>
      </c>
      <c r="P143" s="46">
        <f t="shared" ca="1" si="7"/>
        <v>1.6666666666640985E-5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input_431100!A$2</f>
        <v>431100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IFERROR(VLOOKUP(B144,input_431100!L:R,7,FALSE),VLOOKUP(tables_431100!C144,input_431100!A:H,8,FALSE))</f>
        <v>55081</v>
      </c>
      <c r="P144" s="46">
        <f t="shared" ca="1" si="7"/>
        <v>5.3095238095156273E-4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input_431100!A$2</f>
        <v>431100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IFERROR(VLOOKUP(B145,input_431100!L:R,7,FALSE),VLOOKUP(tables_431100!C145,input_431100!A:H,8,FALSE))</f>
        <v>1729</v>
      </c>
      <c r="P145" s="46">
        <f t="shared" ca="1" si="7"/>
        <v>1.6666666666640985E-5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input_431100!A$2</f>
        <v>431100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IFERROR(VLOOKUP(B146,input_431100!L:R,7,FALSE),VLOOKUP(tables_431100!C146,input_431100!A:H,8,FALSE))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input_431100!A$2</f>
        <v>431100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IFERROR(VLOOKUP(B147,input_431100!L:R,7,FALSE),VLOOKUP(tables_431100!C147,input_431100!A:H,8,FALSE))</f>
        <v>865659</v>
      </c>
      <c r="P147" s="46">
        <f t="shared" ca="1" si="7"/>
        <v>8.3445054944926364E-3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input_431100!A$2</f>
        <v>431100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IFERROR(VLOOKUP(B148,input_431100!L:R,7,FALSE),VLOOKUP(tables_431100!C148,input_431100!A:H,8,FALSE))</f>
        <v>8305.9230800000005</v>
      </c>
      <c r="P148" s="46">
        <f t="shared" ca="1" si="7"/>
        <v>8.0064807017420485E-5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input_431100!A$2</f>
        <v>431100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IFERROR(VLOOKUP(B149,input_431100!L:R,7,FALSE),VLOOKUP(tables_431100!C149,input_431100!A:H,8,FALSE))</f>
        <v>55081</v>
      </c>
      <c r="P149" s="46">
        <f t="shared" ca="1" si="7"/>
        <v>5.3095238095156273E-4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input_431100!A$2</f>
        <v>431100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IFERROR(VLOOKUP(B150,input_431100!L:R,7,FALSE),VLOOKUP(tables_431100!C150,input_431100!A:H,8,FALSE))</f>
        <v>1729</v>
      </c>
      <c r="P150" s="46">
        <f t="shared" ca="1" si="7"/>
        <v>1.6666666666640985E-5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input_431100!A$2</f>
        <v>431100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IFERROR(VLOOKUP(B151,input_431100!L:R,7,FALSE),VLOOKUP(tables_431100!C151,input_431100!A:H,8,FALSE))</f>
        <v>55081</v>
      </c>
      <c r="P151" s="46">
        <f t="shared" ca="1" si="7"/>
        <v>5.3095238095156273E-4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input_431100!A$2</f>
        <v>431100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IFERROR(VLOOKUP(B152,input_431100!L:R,7,FALSE),VLOOKUP(tables_431100!C152,input_431100!A:H,8,FALSE))</f>
        <v>1729</v>
      </c>
      <c r="P152" s="46">
        <f t="shared" ca="1" si="7"/>
        <v>1.6666666666640985E-5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input_431100!A$2</f>
        <v>431100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IFERROR(VLOOKUP(B153,input_431100!L:R,7,FALSE),VLOOKUP(tables_431100!C153,input_431100!A:H,8,FALSE))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input_431100!A$2</f>
        <v>431100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IFERROR(VLOOKUP(B154,input_431100!L:R,7,FALSE),VLOOKUP(tables_431100!C154,input_431100!A:H,8,FALSE))</f>
        <v>865659</v>
      </c>
      <c r="P154" s="46">
        <f t="shared" ca="1" si="7"/>
        <v>8.3445054944926364E-3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input_431100!A$2</f>
        <v>431100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IFERROR(VLOOKUP(B155,input_431100!L:R,7,FALSE),VLOOKUP(tables_431100!C155,input_431100!A:H,8,FALSE))</f>
        <v>8305.9230800000005</v>
      </c>
      <c r="P155" s="46">
        <f t="shared" ca="1" si="7"/>
        <v>8.0064807017420485E-5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input_431100!A$2</f>
        <v>431100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IFERROR(VLOOKUP(B156,input_431100!L:R,7,FALSE),VLOOKUP(tables_431100!C156,input_431100!A:H,8,FALSE))</f>
        <v>55081</v>
      </c>
      <c r="P156" s="46">
        <f t="shared" ca="1" si="7"/>
        <v>5.3095238095156273E-4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input_431100!A$2</f>
        <v>431100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IFERROR(VLOOKUP(B157,input_431100!L:R,7,FALSE),VLOOKUP(tables_431100!C157,input_431100!A:H,8,FALSE))</f>
        <v>1729</v>
      </c>
      <c r="P157" s="46">
        <f t="shared" ca="1" si="7"/>
        <v>1.6666666666640985E-5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input_431100!A$2</f>
        <v>431100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IFERROR(VLOOKUP(B158,input_431100!L:R,7,FALSE),VLOOKUP(tables_431100!C158,input_431100!A:H,8,FALSE))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input_431100!A$2</f>
        <v>431100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IFERROR(VLOOKUP(B159,input_431100!L:R,7,FALSE),VLOOKUP(tables_431100!C159,input_431100!A:H,8,FALSE))</f>
        <v>865659</v>
      </c>
      <c r="P159" s="46">
        <f t="shared" ca="1" si="7"/>
        <v>8.3445054944926364E-3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input_431100!A$2</f>
        <v>431100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IFERROR(VLOOKUP(B160,input_431100!L:R,7,FALSE),VLOOKUP(tables_431100!C160,input_431100!A:H,8,FALSE))</f>
        <v>8305.9230800000005</v>
      </c>
      <c r="P160" s="46">
        <f t="shared" ca="1" si="7"/>
        <v>8.0064807017420485E-5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input_431100!A$2</f>
        <v>431100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IFERROR(VLOOKUP(B161,input_431100!L:R,7,FALSE),VLOOKUP(tables_431100!C161,input_431100!A:H,8,FALSE))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input_431100!A$2</f>
        <v>431100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IFERROR(VLOOKUP(B162,input_431100!L:R,7,FALSE),VLOOKUP(tables_431100!C162,input_431100!A:H,8,FALSE))</f>
        <v>865659</v>
      </c>
      <c r="P162" s="46">
        <f t="shared" ca="1" si="7"/>
        <v>8.3445054944926364E-3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input_431100!A$2</f>
        <v>431100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IFERROR(VLOOKUP(B163,input_431100!L:R,7,FALSE),VLOOKUP(tables_431100!C163,input_431100!A:H,8,FALSE))</f>
        <v>8305.9230800000005</v>
      </c>
      <c r="P163" s="46">
        <f t="shared" ca="1" si="7"/>
        <v>8.0064807017420485E-5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input_431100!A$2</f>
        <v>431100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IFERROR(VLOOKUP(B164,input_431100!L:R,7,FALSE),VLOOKUP(tables_431100!C164,input_431100!A:H,8,FALSE))</f>
        <v>55081</v>
      </c>
      <c r="P164" s="46">
        <f t="shared" ca="1" si="7"/>
        <v>5.3095238095156273E-4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input_431100!A$2</f>
        <v>431100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IFERROR(VLOOKUP(B165,input_431100!L:R,7,FALSE),VLOOKUP(tables_431100!C165,input_431100!A:H,8,FALSE))</f>
        <v>1729</v>
      </c>
      <c r="P165" s="46">
        <f t="shared" ca="1" si="7"/>
        <v>1.6666666666640985E-5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input_431100!A$2</f>
        <v>431100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IFERROR(VLOOKUP(B166,input_431100!L:R,7,FALSE),VLOOKUP(tables_431100!C166,input_431100!A:H,8,FALSE))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input_431100!A$2</f>
        <v>431100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IFERROR(VLOOKUP(B167,input_431100!L:R,7,FALSE),VLOOKUP(tables_431100!C167,input_431100!A:H,8,FALSE))</f>
        <v>865659</v>
      </c>
      <c r="P167" s="46">
        <f t="shared" ca="1" si="7"/>
        <v>8.3445054944926364E-3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input_431100!A$2</f>
        <v>431100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IFERROR(VLOOKUP(B168,input_431100!L:R,7,FALSE),VLOOKUP(tables_431100!C168,input_431100!A:H,8,FALSE))</f>
        <v>8305.9230800000005</v>
      </c>
      <c r="P168" s="46">
        <f t="shared" ca="1" si="7"/>
        <v>8.0064807017420485E-5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input_431100!A$2</f>
        <v>431100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IFERROR(VLOOKUP(B169,input_431100!L:R,7,FALSE),VLOOKUP(tables_431100!C169,input_431100!A:H,8,FALSE))</f>
        <v>55081</v>
      </c>
      <c r="P169" s="46">
        <f t="shared" ca="1" si="7"/>
        <v>5.3095238095156273E-4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input_431100!A$2</f>
        <v>431100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IFERROR(VLOOKUP(B170,input_431100!L:R,7,FALSE),VLOOKUP(tables_431100!C170,input_431100!A:H,8,FALSE))</f>
        <v>1729</v>
      </c>
      <c r="P170" s="46">
        <f t="shared" ca="1" si="7"/>
        <v>1.6666666666640985E-5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input_431100!A$2</f>
        <v>431100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IFERROR(VLOOKUP(B171,input_431100!L:R,7,FALSE),VLOOKUP(tables_431100!C171,input_431100!A:H,8,FALSE))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input_431100!A$2</f>
        <v>431100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IFERROR(VLOOKUP(B172,input_431100!L:R,7,FALSE),VLOOKUP(tables_431100!C172,input_431100!A:H,8,FALSE))</f>
        <v>865659</v>
      </c>
      <c r="P172" s="46">
        <f t="shared" ca="1" si="7"/>
        <v>8.3445054944926364E-3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input_431100!A$2</f>
        <v>431100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IFERROR(VLOOKUP(B173,input_431100!L:R,7,FALSE),VLOOKUP(tables_431100!C173,input_431100!A:H,8,FALSE))</f>
        <v>8305.9230800000005</v>
      </c>
      <c r="P173" s="46">
        <f t="shared" ca="1" si="7"/>
        <v>8.0064807017420485E-5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input_431100!A$2</f>
        <v>431100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IFERROR(VLOOKUP(B174,input_431100!L:R,7,FALSE),VLOOKUP(tables_431100!C174,input_431100!A:H,8,FALSE))</f>
        <v>55081</v>
      </c>
      <c r="P174" s="46">
        <f t="shared" ca="1" si="7"/>
        <v>5.3095238095156273E-4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input_431100!A$2</f>
        <v>431100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IFERROR(VLOOKUP(B175,input_431100!L:R,7,FALSE),VLOOKUP(tables_431100!C175,input_431100!A:H,8,FALSE))</f>
        <v>1729</v>
      </c>
      <c r="P175" s="46">
        <f t="shared" ca="1" si="7"/>
        <v>1.6666666666640985E-5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input_431100!A$2</f>
        <v>431100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IFERROR(VLOOKUP(B176,input_431100!L:R,7,FALSE),VLOOKUP(tables_431100!C176,input_431100!A:H,8,FALSE))</f>
        <v>55081</v>
      </c>
      <c r="P176" s="46">
        <f t="shared" ca="1" si="7"/>
        <v>5.3095238095156273E-4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input_431100!A$2</f>
        <v>431100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IFERROR(VLOOKUP(B177,input_431100!L:R,7,FALSE),VLOOKUP(tables_431100!C177,input_431100!A:H,8,FALSE))</f>
        <v>1729</v>
      </c>
      <c r="P177" s="46">
        <f t="shared" ca="1" si="7"/>
        <v>1.6666666666640985E-5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input_431100!A$2</f>
        <v>431100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IFERROR(VLOOKUP(B178,input_431100!L:R,7,FALSE),VLOOKUP(tables_431100!C178,input_431100!A:H,8,FALSE))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input_431100!A$2</f>
        <v>431100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IFERROR(VLOOKUP(B179,input_431100!L:R,7,FALSE),VLOOKUP(tables_431100!C179,input_431100!A:H,8,FALSE))</f>
        <v>865659</v>
      </c>
      <c r="P179" s="46">
        <f t="shared" ca="1" si="7"/>
        <v>8.3445054944926364E-3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input_431100!A$2</f>
        <v>431100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IFERROR(VLOOKUP(B180,input_431100!L:R,7,FALSE),VLOOKUP(tables_431100!C180,input_431100!A:H,8,FALSE))</f>
        <v>8305.9230800000005</v>
      </c>
      <c r="P180" s="46">
        <f t="shared" ca="1" si="7"/>
        <v>8.0064807017420485E-5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input_431100!A$2</f>
        <v>431100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IFERROR(VLOOKUP(B181,input_431100!L:R,7,FALSE),VLOOKUP(tables_431100!C181,input_431100!A:H,8,FALSE))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input_431100!A$2</f>
        <v>431100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IFERROR(VLOOKUP(B182,input_431100!L:R,7,FALSE),VLOOKUP(tables_431100!C182,input_431100!A:H,8,FALSE))</f>
        <v>865659</v>
      </c>
      <c r="P182" s="46">
        <f t="shared" ca="1" si="7"/>
        <v>8.3445054944926364E-3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input_431100!A$2</f>
        <v>431100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IFERROR(VLOOKUP(B183,input_431100!L:R,7,FALSE),VLOOKUP(tables_431100!C183,input_431100!A:H,8,FALSE))</f>
        <v>8305.9230800000005</v>
      </c>
      <c r="P183" s="46">
        <f t="shared" ca="1" si="7"/>
        <v>8.0064807017420485E-5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input_431100!A$2</f>
        <v>431100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IFERROR(VLOOKUP(B184,input_431100!L:R,7,FALSE),VLOOKUP(tables_431100!C184,input_431100!A:H,8,FALSE))</f>
        <v>55081</v>
      </c>
      <c r="P184" s="46">
        <f t="shared" ca="1" si="7"/>
        <v>5.3095238095156273E-4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input_431100!A$2</f>
        <v>431100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IFERROR(VLOOKUP(B185,input_431100!L:R,7,FALSE),VLOOKUP(tables_431100!C185,input_431100!A:H,8,FALSE))</f>
        <v>1729</v>
      </c>
      <c r="P185" s="46">
        <f t="shared" ca="1" si="7"/>
        <v>1.6666666666640985E-5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input_431100!A$2</f>
        <v>431100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IFERROR(VLOOKUP(B186,input_431100!L:R,7,FALSE),VLOOKUP(tables_431100!C186,input_431100!A:H,8,FALSE))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input_431100!A$2</f>
        <v>431100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IFERROR(VLOOKUP(B187,input_431100!L:R,7,FALSE),VLOOKUP(tables_431100!C187,input_431100!A:H,8,FALSE))</f>
        <v>865659</v>
      </c>
      <c r="P187" s="46">
        <f t="shared" ca="1" si="7"/>
        <v>8.3445054944926364E-3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input_431100!A$2</f>
        <v>431100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IFERROR(VLOOKUP(B188,input_431100!L:R,7,FALSE),VLOOKUP(tables_431100!C188,input_431100!A:H,8,FALSE))</f>
        <v>8305.9230800000005</v>
      </c>
      <c r="P188" s="46">
        <f t="shared" ca="1" si="7"/>
        <v>8.0064807017420485E-5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input_431100!A$2</f>
        <v>431100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IFERROR(VLOOKUP(B189,input_431100!L:R,7,FALSE),VLOOKUP(tables_431100!C189,input_431100!A:H,8,FALSE))</f>
        <v>55081</v>
      </c>
      <c r="P189" s="46">
        <f t="shared" ca="1" si="7"/>
        <v>5.3095238095156273E-4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input_431100!A$2</f>
        <v>431100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IFERROR(VLOOKUP(B190,input_431100!L:R,7,FALSE),VLOOKUP(tables_431100!C190,input_431100!A:H,8,FALSE))</f>
        <v>1729</v>
      </c>
      <c r="P190" s="46">
        <f t="shared" ca="1" si="7"/>
        <v>1.6666666666640985E-5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input_431100!A$2</f>
        <v>431100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IFERROR(VLOOKUP(B191,input_431100!L:R,7,FALSE),VLOOKUP(tables_431100!C191,input_431100!A:H,8,FALSE))</f>
        <v>55081</v>
      </c>
      <c r="P191" s="46">
        <f t="shared" ca="1" si="7"/>
        <v>5.3095238095156273E-4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input_431100!A$2</f>
        <v>431100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IFERROR(VLOOKUP(B192,input_431100!L:R,7,FALSE),VLOOKUP(tables_431100!C192,input_431100!A:H,8,FALSE))</f>
        <v>1729</v>
      </c>
      <c r="P192" s="46">
        <f t="shared" ca="1" si="7"/>
        <v>1.6666666666640985E-5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input_431100!A$2</f>
        <v>431100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IFERROR(VLOOKUP(B193,input_431100!L:R,7,FALSE),VLOOKUP(tables_431100!C193,input_431100!A:H,8,FALSE))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input_431100!A$2</f>
        <v>431100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IFERROR(VLOOKUP(B194,input_431100!L:R,7,FALSE),VLOOKUP(tables_431100!C194,input_431100!A:H,8,FALSE))</f>
        <v>865659</v>
      </c>
      <c r="P194" s="46">
        <f t="shared" ref="P194:P257" ca="1" si="10">O194/SUM(O:O)</f>
        <v>8.3445054944926364E-3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input_431100!A$2</f>
        <v>431100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IFERROR(VLOOKUP(B195,input_431100!L:R,7,FALSE),VLOOKUP(tables_431100!C195,input_431100!A:H,8,FALSE))</f>
        <v>8305.9230800000005</v>
      </c>
      <c r="P195" s="46">
        <f t="shared" ca="1" si="10"/>
        <v>8.0064807017420485E-5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input_431100!A$2</f>
        <v>431100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IFERROR(VLOOKUP(B196,input_431100!L:R,7,FALSE),VLOOKUP(tables_431100!C196,input_431100!A:H,8,FALSE))</f>
        <v>55081</v>
      </c>
      <c r="P196" s="46">
        <f t="shared" ca="1" si="10"/>
        <v>5.3095238095156273E-4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input_431100!A$2</f>
        <v>431100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IFERROR(VLOOKUP(B197,input_431100!L:R,7,FALSE),VLOOKUP(tables_431100!C197,input_431100!A:H,8,FALSE))</f>
        <v>1729</v>
      </c>
      <c r="P197" s="46">
        <f t="shared" ca="1" si="10"/>
        <v>1.6666666666640985E-5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input_431100!A$2</f>
        <v>431100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IFERROR(VLOOKUP(B198,input_431100!L:R,7,FALSE),VLOOKUP(tables_431100!C198,input_431100!A:H,8,FALSE))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input_431100!A$2</f>
        <v>431100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IFERROR(VLOOKUP(B199,input_431100!L:R,7,FALSE),VLOOKUP(tables_431100!C199,input_431100!A:H,8,FALSE))</f>
        <v>865659</v>
      </c>
      <c r="P199" s="46">
        <f t="shared" ca="1" si="10"/>
        <v>8.3445054944926364E-3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input_431100!A$2</f>
        <v>431100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IFERROR(VLOOKUP(B200,input_431100!L:R,7,FALSE),VLOOKUP(tables_431100!C200,input_431100!A:H,8,FALSE))</f>
        <v>8305.9230800000005</v>
      </c>
      <c r="P200" s="46">
        <f t="shared" ca="1" si="10"/>
        <v>8.0064807017420485E-5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input_431100!A$2</f>
        <v>431100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IFERROR(VLOOKUP(B201,input_431100!L:R,7,FALSE),VLOOKUP(tables_431100!C201,input_431100!A:H,8,FALSE))</f>
        <v>55081</v>
      </c>
      <c r="P201" s="46">
        <f t="shared" ca="1" si="10"/>
        <v>5.3095238095156273E-4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input_431100!A$2</f>
        <v>431100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IFERROR(VLOOKUP(B202,input_431100!L:R,7,FALSE),VLOOKUP(tables_431100!C202,input_431100!A:H,8,FALSE))</f>
        <v>1729</v>
      </c>
      <c r="P202" s="46">
        <f t="shared" ca="1" si="10"/>
        <v>1.6666666666640985E-5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input_431100!A$2</f>
        <v>431100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IFERROR(VLOOKUP(B203,input_431100!L:R,7,FALSE),VLOOKUP(tables_431100!C203,input_431100!A:H,8,FALSE))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input_431100!A$2</f>
        <v>431100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IFERROR(VLOOKUP(B204,input_431100!L:R,7,FALSE),VLOOKUP(tables_431100!C204,input_431100!A:H,8,FALSE))</f>
        <v>865659</v>
      </c>
      <c r="P204" s="46">
        <f t="shared" ca="1" si="10"/>
        <v>8.3445054944926364E-3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input_431100!A$2</f>
        <v>431100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IFERROR(VLOOKUP(B205,input_431100!L:R,7,FALSE),VLOOKUP(tables_431100!C205,input_431100!A:H,8,FALSE))</f>
        <v>8305.9230800000005</v>
      </c>
      <c r="P205" s="46">
        <f t="shared" ca="1" si="10"/>
        <v>8.0064807017420485E-5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input_431100!A$2</f>
        <v>431100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IFERROR(VLOOKUP(B206,input_431100!L:R,7,FALSE),VLOOKUP(tables_431100!C206,input_431100!A:H,8,FALSE))</f>
        <v>55081</v>
      </c>
      <c r="P206" s="46">
        <f t="shared" ca="1" si="10"/>
        <v>5.3095238095156273E-4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input_431100!A$2</f>
        <v>431100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IFERROR(VLOOKUP(B207,input_431100!L:R,7,FALSE),VLOOKUP(tables_431100!C207,input_431100!A:H,8,FALSE))</f>
        <v>1729</v>
      </c>
      <c r="P207" s="46">
        <f t="shared" ca="1" si="10"/>
        <v>1.6666666666640985E-5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input_431100!A$2</f>
        <v>431100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IFERROR(VLOOKUP(B208,input_431100!L:R,7,FALSE),VLOOKUP(tables_431100!C208,input_431100!A:H,8,FALSE))</f>
        <v>55081</v>
      </c>
      <c r="P208" s="46">
        <f t="shared" ca="1" si="10"/>
        <v>5.3095238095156273E-4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input_431100!A$2</f>
        <v>431100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IFERROR(VLOOKUP(B209,input_431100!L:R,7,FALSE),VLOOKUP(tables_431100!C209,input_431100!A:H,8,FALSE))</f>
        <v>1729</v>
      </c>
      <c r="P209" s="46">
        <f t="shared" ca="1" si="10"/>
        <v>1.6666666666640985E-5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input_431100!A$2</f>
        <v>431100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IFERROR(VLOOKUP(B210,input_431100!L:R,7,FALSE),VLOOKUP(tables_431100!C210,input_431100!A:H,8,FALSE))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input_431100!A$2</f>
        <v>431100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IFERROR(VLOOKUP(B211,input_431100!L:R,7,FALSE),VLOOKUP(tables_431100!C211,input_431100!A:H,8,FALSE))</f>
        <v>865659</v>
      </c>
      <c r="P211" s="46">
        <f t="shared" ca="1" si="10"/>
        <v>8.3445054944926364E-3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input_431100!A$2</f>
        <v>431100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IFERROR(VLOOKUP(B212,input_431100!L:R,7,FALSE),VLOOKUP(tables_431100!C212,input_431100!A:H,8,FALSE))</f>
        <v>8305.9230800000005</v>
      </c>
      <c r="P212" s="46">
        <f t="shared" ca="1" si="10"/>
        <v>8.0064807017420485E-5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input_431100!A$2</f>
        <v>431100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IFERROR(VLOOKUP(B213,input_431100!L:R,7,FALSE),VLOOKUP(tables_431100!C213,input_431100!A:H,8,FALSE))</f>
        <v>55081</v>
      </c>
      <c r="P213" s="46">
        <f t="shared" ca="1" si="10"/>
        <v>5.3095238095156273E-4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input_431100!A$2</f>
        <v>431100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IFERROR(VLOOKUP(B214,input_431100!L:R,7,FALSE),VLOOKUP(tables_431100!C214,input_431100!A:H,8,FALSE))</f>
        <v>1729</v>
      </c>
      <c r="P214" s="46">
        <f t="shared" ca="1" si="10"/>
        <v>1.6666666666640985E-5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input_431100!A$2</f>
        <v>431100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IFERROR(VLOOKUP(B215,input_431100!L:R,7,FALSE),VLOOKUP(tables_431100!C215,input_431100!A:H,8,FALSE))</f>
        <v>55081</v>
      </c>
      <c r="P215" s="46">
        <f t="shared" ca="1" si="10"/>
        <v>5.3095238095156273E-4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input_431100!A$2</f>
        <v>431100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IFERROR(VLOOKUP(B216,input_431100!L:R,7,FALSE),VLOOKUP(tables_431100!C216,input_431100!A:H,8,FALSE))</f>
        <v>1729</v>
      </c>
      <c r="P216" s="46">
        <f t="shared" ca="1" si="10"/>
        <v>1.6666666666640985E-5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input_431100!A$2</f>
        <v>431100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IFERROR(VLOOKUP(B217,input_431100!L:R,7,FALSE),VLOOKUP(tables_431100!C217,input_431100!A:H,8,FALSE))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input_431100!A$2</f>
        <v>431100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IFERROR(VLOOKUP(B218,input_431100!L:R,7,FALSE),VLOOKUP(tables_431100!C218,input_431100!A:H,8,FALSE))</f>
        <v>865659</v>
      </c>
      <c r="P218" s="46">
        <f t="shared" ca="1" si="10"/>
        <v>8.3445054944926364E-3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input_431100!A$2</f>
        <v>431100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IFERROR(VLOOKUP(B219,input_431100!L:R,7,FALSE),VLOOKUP(tables_431100!C219,input_431100!A:H,8,FALSE))</f>
        <v>8305.9230800000005</v>
      </c>
      <c r="P219" s="46">
        <f t="shared" ca="1" si="10"/>
        <v>8.0064807017420485E-5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input_431100!A$2</f>
        <v>431100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IFERROR(VLOOKUP(B220,input_431100!L:R,7,FALSE),VLOOKUP(tables_431100!C220,input_431100!A:H,8,FALSE))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input_431100!A$2</f>
        <v>431100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IFERROR(VLOOKUP(B221,input_431100!L:R,7,FALSE),VLOOKUP(tables_431100!C221,input_431100!A:H,8,FALSE))</f>
        <v>865659</v>
      </c>
      <c r="P221" s="46">
        <f t="shared" ca="1" si="10"/>
        <v>8.3445054944926364E-3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input_431100!A$2</f>
        <v>431100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IFERROR(VLOOKUP(B222,input_431100!L:R,7,FALSE),VLOOKUP(tables_431100!C222,input_431100!A:H,8,FALSE))</f>
        <v>8305.9230800000005</v>
      </c>
      <c r="P222" s="46">
        <f t="shared" ca="1" si="10"/>
        <v>8.0064807017420485E-5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input_431100!A$2</f>
        <v>431100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IFERROR(VLOOKUP(B223,input_431100!L:R,7,FALSE),VLOOKUP(tables_431100!C223,input_431100!A:H,8,FALSE))</f>
        <v>55081</v>
      </c>
      <c r="P223" s="46">
        <f t="shared" ca="1" si="10"/>
        <v>5.3095238095156273E-4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input_431100!A$2</f>
        <v>431100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IFERROR(VLOOKUP(B224,input_431100!L:R,7,FALSE),VLOOKUP(tables_431100!C224,input_431100!A:H,8,FALSE))</f>
        <v>1729</v>
      </c>
      <c r="P224" s="46">
        <f t="shared" ca="1" si="10"/>
        <v>1.6666666666640985E-5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input_431100!A$2</f>
        <v>431100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IFERROR(VLOOKUP(B225,input_431100!L:R,7,FALSE),VLOOKUP(tables_431100!C225,input_431100!A:H,8,FALSE))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input_431100!A$2</f>
        <v>431100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IFERROR(VLOOKUP(B226,input_431100!L:R,7,FALSE),VLOOKUP(tables_431100!C226,input_431100!A:H,8,FALSE))</f>
        <v>865659</v>
      </c>
      <c r="P226" s="46">
        <f t="shared" ca="1" si="10"/>
        <v>8.3445054944926364E-3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input_431100!A$2</f>
        <v>431100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IFERROR(VLOOKUP(B227,input_431100!L:R,7,FALSE),VLOOKUP(tables_431100!C227,input_431100!A:H,8,FALSE))</f>
        <v>8305.9230800000005</v>
      </c>
      <c r="P227" s="46">
        <f t="shared" ca="1" si="10"/>
        <v>8.0064807017420485E-5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input_431100!A$2</f>
        <v>431100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IFERROR(VLOOKUP(B228,input_431100!L:R,7,FALSE),VLOOKUP(tables_431100!C228,input_431100!A:H,8,FALSE))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input_431100!A$2</f>
        <v>431100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IFERROR(VLOOKUP(B229,input_431100!L:R,7,FALSE),VLOOKUP(tables_431100!C229,input_431100!A:H,8,FALSE))</f>
        <v>865659</v>
      </c>
      <c r="P229" s="46">
        <f t="shared" ca="1" si="10"/>
        <v>8.3445054944926364E-3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input_431100!A$2</f>
        <v>431100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IFERROR(VLOOKUP(B230,input_431100!L:R,7,FALSE),VLOOKUP(tables_431100!C230,input_431100!A:H,8,FALSE))</f>
        <v>8305.9230800000005</v>
      </c>
      <c r="P230" s="46">
        <f t="shared" ca="1" si="10"/>
        <v>8.0064807017420485E-5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input_431100!A$2</f>
        <v>431100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IFERROR(VLOOKUP(B231,input_431100!L:R,7,FALSE),VLOOKUP(tables_431100!C231,input_431100!A:H,8,FALSE))</f>
        <v>55081</v>
      </c>
      <c r="P231" s="46">
        <f t="shared" ca="1" si="10"/>
        <v>5.3095238095156273E-4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input_431100!A$2</f>
        <v>431100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IFERROR(VLOOKUP(B232,input_431100!L:R,7,FALSE),VLOOKUP(tables_431100!C232,input_431100!A:H,8,FALSE))</f>
        <v>1729</v>
      </c>
      <c r="P232" s="46">
        <f t="shared" ca="1" si="10"/>
        <v>1.6666666666640985E-5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input_431100!A$2</f>
        <v>431100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IFERROR(VLOOKUP(B233,input_431100!L:R,7,FALSE),VLOOKUP(tables_431100!C233,input_431100!A:H,8,FALSE))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input_431100!A$2</f>
        <v>431100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IFERROR(VLOOKUP(B234,input_431100!L:R,7,FALSE),VLOOKUP(tables_431100!C234,input_431100!A:H,8,FALSE))</f>
        <v>865659</v>
      </c>
      <c r="P234" s="46">
        <f t="shared" ca="1" si="10"/>
        <v>8.3445054944926364E-3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input_431100!A$2</f>
        <v>431100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IFERROR(VLOOKUP(B235,input_431100!L:R,7,FALSE),VLOOKUP(tables_431100!C235,input_431100!A:H,8,FALSE))</f>
        <v>8305.9230800000005</v>
      </c>
      <c r="P235" s="46">
        <f t="shared" ca="1" si="10"/>
        <v>8.0064807017420485E-5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input_431100!A$2</f>
        <v>431100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IFERROR(VLOOKUP(B236,input_431100!L:R,7,FALSE),VLOOKUP(tables_431100!C236,input_431100!A:H,8,FALSE))</f>
        <v>55081</v>
      </c>
      <c r="P236" s="46">
        <f t="shared" ca="1" si="10"/>
        <v>5.3095238095156273E-4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input_431100!A$2</f>
        <v>431100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IFERROR(VLOOKUP(B237,input_431100!L:R,7,FALSE),VLOOKUP(tables_431100!C237,input_431100!A:H,8,FALSE))</f>
        <v>1729</v>
      </c>
      <c r="P237" s="46">
        <f t="shared" ca="1" si="10"/>
        <v>1.6666666666640985E-5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input_431100!A$2</f>
        <v>431100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IFERROR(VLOOKUP(B238,input_431100!L:R,7,FALSE),VLOOKUP(tables_431100!C238,input_431100!A:H,8,FALSE))</f>
        <v>55081</v>
      </c>
      <c r="P238" s="46">
        <f t="shared" ca="1" si="10"/>
        <v>5.3095238095156273E-4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input_431100!A$2</f>
        <v>431100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IFERROR(VLOOKUP(B239,input_431100!L:R,7,FALSE),VLOOKUP(tables_431100!C239,input_431100!A:H,8,FALSE))</f>
        <v>1729</v>
      </c>
      <c r="P239" s="46">
        <f t="shared" ca="1" si="10"/>
        <v>1.6666666666640985E-5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input_431100!A$2</f>
        <v>431100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IFERROR(VLOOKUP(B240,input_431100!L:R,7,FALSE),VLOOKUP(tables_431100!C240,input_431100!A:H,8,FALSE))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input_431100!A$2</f>
        <v>431100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IFERROR(VLOOKUP(B241,input_431100!L:R,7,FALSE),VLOOKUP(tables_431100!C241,input_431100!A:H,8,FALSE))</f>
        <v>865659</v>
      </c>
      <c r="P241" s="46">
        <f t="shared" ca="1" si="10"/>
        <v>8.3445054944926364E-3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input_431100!A$2</f>
        <v>431100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IFERROR(VLOOKUP(B242,input_431100!L:R,7,FALSE),VLOOKUP(tables_431100!C242,input_431100!A:H,8,FALSE))</f>
        <v>8305.9230800000005</v>
      </c>
      <c r="P242" s="46">
        <f t="shared" ca="1" si="10"/>
        <v>8.0064807017420485E-5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input_431100!A$2</f>
        <v>431100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IFERROR(VLOOKUP(B243,input_431100!L:R,7,FALSE),VLOOKUP(tables_431100!C243,input_431100!A:H,8,FALSE))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input_431100!A$2</f>
        <v>431100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IFERROR(VLOOKUP(B244,input_431100!L:R,7,FALSE),VLOOKUP(tables_431100!C244,input_431100!A:H,8,FALSE))</f>
        <v>865659</v>
      </c>
      <c r="P244" s="46">
        <f t="shared" ca="1" si="10"/>
        <v>8.3445054944926364E-3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input_431100!A$2</f>
        <v>431100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IFERROR(VLOOKUP(B245,input_431100!L:R,7,FALSE),VLOOKUP(tables_431100!C245,input_431100!A:H,8,FALSE))</f>
        <v>8305.9230800000005</v>
      </c>
      <c r="P245" s="46">
        <f t="shared" ca="1" si="10"/>
        <v>8.0064807017420485E-5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input_431100!A$2</f>
        <v>431100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IFERROR(VLOOKUP(B246,input_431100!L:R,7,FALSE),VLOOKUP(tables_431100!C246,input_431100!A:H,8,FALSE))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input_431100!A$2</f>
        <v>431100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IFERROR(VLOOKUP(B247,input_431100!L:R,7,FALSE),VLOOKUP(tables_431100!C247,input_431100!A:H,8,FALSE))</f>
        <v>865659</v>
      </c>
      <c r="P247" s="46">
        <f t="shared" ca="1" si="10"/>
        <v>8.3445054944926364E-3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input_431100!A$2</f>
        <v>431100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IFERROR(VLOOKUP(B248,input_431100!L:R,7,FALSE),VLOOKUP(tables_431100!C248,input_431100!A:H,8,FALSE))</f>
        <v>8305.9230800000005</v>
      </c>
      <c r="P248" s="46">
        <f t="shared" ca="1" si="10"/>
        <v>8.0064807017420485E-5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input_431100!A$2</f>
        <v>431100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IFERROR(VLOOKUP(B249,input_431100!L:R,7,FALSE),VLOOKUP(tables_431100!C249,input_431100!A:H,8,FALSE))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input_431100!A$2</f>
        <v>431100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IFERROR(VLOOKUP(B250,input_431100!L:R,7,FALSE),VLOOKUP(tables_431100!C250,input_431100!A:H,8,FALSE))</f>
        <v>865659</v>
      </c>
      <c r="P250" s="46">
        <f t="shared" ca="1" si="10"/>
        <v>8.3445054944926364E-3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input_431100!A$2</f>
        <v>431100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IFERROR(VLOOKUP(B251,input_431100!L:R,7,FALSE),VLOOKUP(tables_431100!C251,input_431100!A:H,8,FALSE))</f>
        <v>8305.9230800000005</v>
      </c>
      <c r="P251" s="46">
        <f t="shared" ca="1" si="10"/>
        <v>8.0064807017420485E-5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input_431100!A$2</f>
        <v>431100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IFERROR(VLOOKUP(B252,input_431100!L:R,7,FALSE),VLOOKUP(tables_431100!C252,input_431100!A:H,8,FALSE))</f>
        <v>55081</v>
      </c>
      <c r="P252" s="46">
        <f t="shared" ca="1" si="10"/>
        <v>5.3095238095156273E-4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input_431100!A$2</f>
        <v>431100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IFERROR(VLOOKUP(B253,input_431100!L:R,7,FALSE),VLOOKUP(tables_431100!C253,input_431100!A:H,8,FALSE))</f>
        <v>1729</v>
      </c>
      <c r="P253" s="46">
        <f t="shared" ca="1" si="10"/>
        <v>1.6666666666640985E-5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input_431100!A$2</f>
        <v>431100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IFERROR(VLOOKUP(B254,input_431100!L:R,7,FALSE),VLOOKUP(tables_431100!C254,input_431100!A:H,8,FALSE))</f>
        <v>55081</v>
      </c>
      <c r="P254" s="46">
        <f t="shared" ca="1" si="10"/>
        <v>5.3095238095156273E-4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input_431100!A$2</f>
        <v>431100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IFERROR(VLOOKUP(B255,input_431100!L:R,7,FALSE),VLOOKUP(tables_431100!C255,input_431100!A:H,8,FALSE))</f>
        <v>1729</v>
      </c>
      <c r="P255" s="46">
        <f t="shared" ca="1" si="10"/>
        <v>1.6666666666640985E-5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input_431100!A$2</f>
        <v>431100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IFERROR(VLOOKUP(B256,input_431100!L:R,7,FALSE),VLOOKUP(tables_431100!C256,input_431100!A:H,8,FALSE))</f>
        <v>990090</v>
      </c>
      <c r="P256" s="46">
        <f t="shared" ca="1" si="10"/>
        <v>9.5439560439413377E-3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input_431100!A$2</f>
        <v>431100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IFERROR(VLOOKUP(B257,input_431100!L:R,7,FALSE),VLOOKUP(tables_431100!C257,input_431100!A:H,8,FALSE))</f>
        <v>13110</v>
      </c>
      <c r="P257" s="46">
        <f t="shared" ca="1" si="10"/>
        <v>1.2637362637343163E-4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input_431100!A$2</f>
        <v>431100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IFERROR(VLOOKUP(B258,input_431100!L:R,7,FALSE),VLOOKUP(tables_431100!C258,input_431100!A:H,8,FALSE))</f>
        <v>990090</v>
      </c>
      <c r="P258" s="46">
        <f t="shared" ref="P258:P294" ca="1" si="13">O258/SUM(O:O)</f>
        <v>9.5439560439413377E-3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input_431100!A$2</f>
        <v>431100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IFERROR(VLOOKUP(B259,input_431100!L:R,7,FALSE),VLOOKUP(tables_431100!C259,input_431100!A:H,8,FALSE))</f>
        <v>13110</v>
      </c>
      <c r="P259" s="46">
        <f t="shared" ca="1" si="13"/>
        <v>1.2637362637343163E-4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input_431100!A$2</f>
        <v>431100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IFERROR(VLOOKUP(B260,input_431100!L:R,7,FALSE),VLOOKUP(tables_431100!C260,input_431100!A:H,8,FALSE))</f>
        <v>14630</v>
      </c>
      <c r="P260" s="46">
        <f t="shared" ca="1" si="13"/>
        <v>1.4102564102542371E-4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input_431100!A$2</f>
        <v>431100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IFERROR(VLOOKUP(B261,input_431100!L:R,7,FALSE),VLOOKUP(tables_431100!C261,input_431100!A:H,8,FALSE))</f>
        <v>14630</v>
      </c>
      <c r="P261" s="46">
        <f t="shared" ca="1" si="13"/>
        <v>1.4102564102542371E-4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input_431100!A$2</f>
        <v>431100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IFERROR(VLOOKUP(B262,input_431100!L:R,7,FALSE),VLOOKUP(tables_431100!C262,input_431100!A:H,8,FALSE))</f>
        <v>55081</v>
      </c>
      <c r="P262" s="46">
        <f t="shared" ca="1" si="13"/>
        <v>5.3095238095156273E-4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input_431100!A$2</f>
        <v>431100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IFERROR(VLOOKUP(B263,input_431100!L:R,7,FALSE),VLOOKUP(tables_431100!C263,input_431100!A:H,8,FALSE))</f>
        <v>1729</v>
      </c>
      <c r="P263" s="46">
        <f t="shared" ca="1" si="13"/>
        <v>1.6666666666640985E-5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input_431100!A$2</f>
        <v>431100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IFERROR(VLOOKUP(B264,input_431100!L:R,7,FALSE),VLOOKUP(tables_431100!C264,input_431100!A:H,8,FALSE))</f>
        <v>55081</v>
      </c>
      <c r="P264" s="46">
        <f t="shared" ca="1" si="13"/>
        <v>5.3095238095156273E-4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input_431100!A$2</f>
        <v>431100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IFERROR(VLOOKUP(B265,input_431100!L:R,7,FALSE),VLOOKUP(tables_431100!C265,input_431100!A:H,8,FALSE))</f>
        <v>1729</v>
      </c>
      <c r="P265" s="46">
        <f t="shared" ca="1" si="13"/>
        <v>1.6666666666640985E-5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input_431100!A$2</f>
        <v>431100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IFERROR(VLOOKUP(B266,input_431100!L:R,7,FALSE),VLOOKUP(tables_431100!C266,input_431100!A:H,8,FALSE))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input_431100!A$2</f>
        <v>431100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IFERROR(VLOOKUP(B267,input_431100!L:R,7,FALSE),VLOOKUP(tables_431100!C267,input_431100!A:H,8,FALSE))</f>
        <v>865659</v>
      </c>
      <c r="P267" s="46">
        <f t="shared" ca="1" si="13"/>
        <v>8.3445054944926364E-3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input_431100!A$2</f>
        <v>431100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IFERROR(VLOOKUP(B268,input_431100!L:R,7,FALSE),VLOOKUP(tables_431100!C268,input_431100!A:H,8,FALSE))</f>
        <v>8305.9230800000005</v>
      </c>
      <c r="P268" s="46">
        <f t="shared" ca="1" si="13"/>
        <v>8.0064807017420485E-5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input_431100!A$2</f>
        <v>431100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IFERROR(VLOOKUP(B269,input_431100!L:R,7,FALSE),VLOOKUP(tables_431100!C269,input_431100!A:H,8,FALSE))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input_431100!A$2</f>
        <v>431100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IFERROR(VLOOKUP(B270,input_431100!L:R,7,FALSE),VLOOKUP(tables_431100!C270,input_431100!A:H,8,FALSE))</f>
        <v>865659</v>
      </c>
      <c r="P270" s="46">
        <f t="shared" ca="1" si="13"/>
        <v>8.3445054944926364E-3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input_431100!A$2</f>
        <v>431100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IFERROR(VLOOKUP(B271,input_431100!L:R,7,FALSE),VLOOKUP(tables_431100!C271,input_431100!A:H,8,FALSE))</f>
        <v>8305.9230800000005</v>
      </c>
      <c r="P271" s="46">
        <f t="shared" ca="1" si="13"/>
        <v>8.0064807017420485E-5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input_431100!A$2</f>
        <v>431100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IFERROR(VLOOKUP(B272,input_431100!L:R,7,FALSE),VLOOKUP(tables_431100!C272,input_431100!A:H,8,FALSE))</f>
        <v>14630</v>
      </c>
      <c r="P272" s="46">
        <f t="shared" ca="1" si="13"/>
        <v>1.4102564102542371E-4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input_431100!A$2</f>
        <v>431100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IFERROR(VLOOKUP(B273,input_431100!L:R,7,FALSE),VLOOKUP(tables_431100!C273,input_431100!A:H,8,FALSE))</f>
        <v>14630</v>
      </c>
      <c r="P273" s="46">
        <f t="shared" ca="1" si="13"/>
        <v>1.4102564102542371E-4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input_431100!A$2</f>
        <v>431100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IFERROR(VLOOKUP(B274,input_431100!L:R,7,FALSE),VLOOKUP(tables_431100!C274,input_431100!A:H,8,FALSE))</f>
        <v>990090</v>
      </c>
      <c r="P274" s="46">
        <f t="shared" ca="1" si="13"/>
        <v>9.5439560439413377E-3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input_431100!A$2</f>
        <v>431100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IFERROR(VLOOKUP(B275,input_431100!L:R,7,FALSE),VLOOKUP(tables_431100!C275,input_431100!A:H,8,FALSE))</f>
        <v>13110</v>
      </c>
      <c r="P275" s="46">
        <f t="shared" ca="1" si="13"/>
        <v>1.2637362637343163E-4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input_431100!A$2</f>
        <v>431100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IFERROR(VLOOKUP(B276,input_431100!L:R,7,FALSE),VLOOKUP(tables_431100!C276,input_431100!A:H,8,FALSE))</f>
        <v>990090</v>
      </c>
      <c r="P276" s="46">
        <f t="shared" ca="1" si="13"/>
        <v>9.5439560439413377E-3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input_431100!A$2</f>
        <v>431100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IFERROR(VLOOKUP(B277,input_431100!L:R,7,FALSE),VLOOKUP(tables_431100!C277,input_431100!A:H,8,FALSE))</f>
        <v>13110</v>
      </c>
      <c r="P277" s="46">
        <f t="shared" ca="1" si="13"/>
        <v>1.2637362637343163E-4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input_431100!A$2</f>
        <v>431100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IFERROR(VLOOKUP(B278,input_431100!L:R,7,FALSE),VLOOKUP(tables_431100!C278,input_431100!A:H,8,FALSE))</f>
        <v>990090</v>
      </c>
      <c r="P278" s="46">
        <f t="shared" ca="1" si="13"/>
        <v>9.5439560439413377E-3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input_431100!A$2</f>
        <v>431100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IFERROR(VLOOKUP(B279,input_431100!L:R,7,FALSE),VLOOKUP(tables_431100!C279,input_431100!A:H,8,FALSE))</f>
        <v>13110</v>
      </c>
      <c r="P279" s="46">
        <f t="shared" ca="1" si="13"/>
        <v>1.2637362637343163E-4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input_431100!A$2</f>
        <v>431100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IFERROR(VLOOKUP(B280,input_431100!L:R,7,FALSE),VLOOKUP(tables_431100!C280,input_431100!A:H,8,FALSE))</f>
        <v>990090</v>
      </c>
      <c r="P280" s="46">
        <f t="shared" ca="1" si="13"/>
        <v>9.5439560439413377E-3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input_431100!A$2</f>
        <v>431100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IFERROR(VLOOKUP(B281,input_431100!L:R,7,FALSE),VLOOKUP(tables_431100!C281,input_431100!A:H,8,FALSE))</f>
        <v>13110</v>
      </c>
      <c r="P281" s="46">
        <f t="shared" ca="1" si="13"/>
        <v>1.2637362637343163E-4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input_431100!A$2</f>
        <v>431100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IFERROR(VLOOKUP(B282,input_431100!L:R,7,FALSE),VLOOKUP(tables_431100!C282,input_431100!A:H,8,FALSE))</f>
        <v>14630</v>
      </c>
      <c r="P282" s="46">
        <f t="shared" ca="1" si="13"/>
        <v>1.4102564102542371E-4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input_431100!A$2</f>
        <v>431100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IFERROR(VLOOKUP(B283,input_431100!L:R,7,FALSE),VLOOKUP(tables_431100!C283,input_431100!A:H,8,FALSE))</f>
        <v>14630</v>
      </c>
      <c r="P283" s="46">
        <f t="shared" ca="1" si="13"/>
        <v>1.4102564102542371E-4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input_431100!A$2</f>
        <v>431100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IFERROR(VLOOKUP(B284,input_431100!L:R,7,FALSE),VLOOKUP(tables_431100!C284,input_431100!A:H,8,FALSE))</f>
        <v>14630</v>
      </c>
      <c r="P284" s="46">
        <f t="shared" ca="1" si="13"/>
        <v>1.4102564102542371E-4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input_431100!A$2</f>
        <v>431100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IFERROR(VLOOKUP(B285,input_431100!L:R,7,FALSE),VLOOKUP(tables_431100!C285,input_431100!A:H,8,FALSE))</f>
        <v>14630</v>
      </c>
      <c r="P285" s="46">
        <f t="shared" ca="1" si="13"/>
        <v>1.4102564102542371E-4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input_431100!A$2</f>
        <v>431100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IFERROR(VLOOKUP(B286,input_431100!L:R,7,FALSE),VLOOKUP(tables_431100!C286,input_431100!A:H,8,FALSE))</f>
        <v>990090</v>
      </c>
      <c r="P286" s="46">
        <f t="shared" ca="1" si="13"/>
        <v>9.5439560439413377E-3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input_431100!A$2</f>
        <v>431100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IFERROR(VLOOKUP(B287,input_431100!L:R,7,FALSE),VLOOKUP(tables_431100!C287,input_431100!A:H,8,FALSE))</f>
        <v>13110</v>
      </c>
      <c r="P287" s="46">
        <f t="shared" ca="1" si="13"/>
        <v>1.2637362637343163E-4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input_431100!A$2</f>
        <v>431100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IFERROR(VLOOKUP(B288,input_431100!L:R,7,FALSE),VLOOKUP(tables_431100!C288,input_431100!A:H,8,FALSE))</f>
        <v>990090</v>
      </c>
      <c r="P288" s="46">
        <f t="shared" ca="1" si="13"/>
        <v>9.5439560439413377E-3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input_431100!A$2</f>
        <v>431100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IFERROR(VLOOKUP(B289,input_431100!L:R,7,FALSE),VLOOKUP(tables_431100!C289,input_431100!A:H,8,FALSE))</f>
        <v>13110</v>
      </c>
      <c r="P289" s="46">
        <f t="shared" ca="1" si="13"/>
        <v>1.2637362637343163E-4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input_431100!A$2</f>
        <v>431100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IFERROR(VLOOKUP(B290,input_431100!L:R,7,FALSE),VLOOKUP(tables_431100!C290,input_431100!A:H,8,FALSE))</f>
        <v>14630</v>
      </c>
      <c r="P290" s="46">
        <f t="shared" ca="1" si="13"/>
        <v>1.4102564102542371E-4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input_431100!A$2</f>
        <v>431100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IFERROR(VLOOKUP(B291,input_431100!L:R,7,FALSE),VLOOKUP(tables_431100!C291,input_431100!A:H,8,FALSE))</f>
        <v>990090</v>
      </c>
      <c r="P291" s="46">
        <f t="shared" ca="1" si="13"/>
        <v>9.5439560439413377E-3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input_431100!A$2</f>
        <v>431100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IFERROR(VLOOKUP(B292,input_431100!L:R,7,FALSE),VLOOKUP(tables_431100!C292,input_431100!A:H,8,FALSE))</f>
        <v>13110</v>
      </c>
      <c r="P292" s="46">
        <f t="shared" ca="1" si="13"/>
        <v>1.2637362637343163E-4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input_431100!A$2</f>
        <v>431100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IFERROR(VLOOKUP(B293,input_431100!L:R,7,FALSE),VLOOKUP(tables_431100!C293,input_431100!A:H,8,FALSE))</f>
        <v>14630</v>
      </c>
      <c r="P293" s="46">
        <f t="shared" ca="1" si="13"/>
        <v>1.4102564102542371E-4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input_431100!A$2</f>
        <v>431100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IFERROR(VLOOKUP(B294,input_431100!L:R,7,FALSE),VLOOKUP(tables_431100!C294,input_431100!A:H,8,FALSE))</f>
        <v>14630</v>
      </c>
      <c r="P294" s="46">
        <f t="shared" ca="1" si="13"/>
        <v>1.4102564102542371E-4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input_431100!A$2</f>
        <v>431100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IFERROR(VLOOKUP(B295,input_431100!L:R,7,FALSE),VLOOKUP(tables_431100!C295,input_431100!A:H,8,FALSE))</f>
        <v>14630</v>
      </c>
      <c r="P295" s="46">
        <f t="shared" ref="P295:P299" ca="1" si="18">O295/SUM(O:O)</f>
        <v>1.4102564102542371E-4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input_431100!A$2</f>
        <v>431100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IFERROR(VLOOKUP(B296,input_431100!L:R,7,FALSE),VLOOKUP(tables_431100!C296,input_431100!A:H,8,FALSE))</f>
        <v>14630</v>
      </c>
      <c r="P296" s="46">
        <f t="shared" ca="1" si="18"/>
        <v>1.4102564102542371E-4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input_431100!A$2</f>
        <v>431100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IFERROR(VLOOKUP(B297,input_431100!L:R,7,FALSE),VLOOKUP(tables_431100!C297,input_431100!A:H,8,FALSE))</f>
        <v>990090</v>
      </c>
      <c r="P297" s="46">
        <f t="shared" ca="1" si="18"/>
        <v>9.5439560439413377E-3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input_431100!A$2</f>
        <v>431100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IFERROR(VLOOKUP(B298,input_431100!L:R,7,FALSE),VLOOKUP(tables_431100!C298,input_431100!A:H,8,FALSE))</f>
        <v>13110</v>
      </c>
      <c r="P298" s="46">
        <f t="shared" ca="1" si="18"/>
        <v>1.2637362637343163E-4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input_431100!A$2</f>
        <v>431100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IFERROR(VLOOKUP(B299,input_431100!L:R,7,FALSE),VLOOKUP(tables_431100!C299,input_431100!A:H,8,FALSE))</f>
        <v>14630</v>
      </c>
      <c r="P299" s="46">
        <f t="shared" ca="1" si="18"/>
        <v>1.4102564102542371E-4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input_431100!A$2</f>
        <v>431100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IFERROR(VLOOKUP(B300,input_431100!L:R,7,FALSE),VLOOKUP(tables_431100!C300,input_431100!A:H,8,FALSE))</f>
        <v>990090</v>
      </c>
      <c r="P300" s="46">
        <f t="shared" ref="P300:P304" ca="1" si="20">O300/SUM(O:O)</f>
        <v>9.5439560439413377E-3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input_431100!A$2</f>
        <v>431100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IFERROR(VLOOKUP(B301,input_431100!L:R,7,FALSE),VLOOKUP(tables_431100!C301,input_431100!A:H,8,FALSE))</f>
        <v>13110</v>
      </c>
      <c r="P301" s="46">
        <f t="shared" ca="1" si="20"/>
        <v>1.2637362637343163E-4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input_431100!A$2</f>
        <v>431100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IFERROR(VLOOKUP(B302,input_431100!L:R,7,FALSE),VLOOKUP(tables_431100!C302,input_431100!A:H,8,FALSE))</f>
        <v>14630</v>
      </c>
      <c r="P302" s="46">
        <f t="shared" ca="1" si="20"/>
        <v>1.4102564102542371E-4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input_431100!A$2</f>
        <v>431100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IFERROR(VLOOKUP(B303,input_431100!L:R,7,FALSE),VLOOKUP(tables_431100!C303,input_431100!A:H,8,FALSE))</f>
        <v>14630</v>
      </c>
      <c r="P303" s="46">
        <f t="shared" ca="1" si="20"/>
        <v>1.4102564102542371E-4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input_431100!A$2</f>
        <v>431100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IFERROR(VLOOKUP(B304,input_431100!L:R,7,FALSE),VLOOKUP(tables_431100!C304,input_431100!A:H,8,FALSE))</f>
        <v>14630</v>
      </c>
      <c r="P304" s="46">
        <f t="shared" ca="1" si="20"/>
        <v>1.4102564102542371E-4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input_431100!A$2</f>
        <v>431100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IFERROR(VLOOKUP(B305,input_431100!L:R,7,FALSE),VLOOKUP(tables_431100!C305,input_431100!A:H,8,FALSE))</f>
        <v>990090</v>
      </c>
      <c r="P305" s="46">
        <f t="shared" ref="P305:P309" ca="1" si="22">O305/SUM(O:O)</f>
        <v>9.5439560439413377E-3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input_431100!A$2</f>
        <v>431100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IFERROR(VLOOKUP(B306,input_431100!L:R,7,FALSE),VLOOKUP(tables_431100!C306,input_431100!A:H,8,FALSE))</f>
        <v>13110</v>
      </c>
      <c r="P306" s="46">
        <f t="shared" ca="1" si="22"/>
        <v>1.2637362637343163E-4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input_431100!A$2</f>
        <v>431100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IFERROR(VLOOKUP(B307,input_431100!L:R,7,FALSE),VLOOKUP(tables_431100!C307,input_431100!A:H,8,FALSE))</f>
        <v>14630</v>
      </c>
      <c r="P307" s="46">
        <f t="shared" ca="1" si="22"/>
        <v>1.4102564102542371E-4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input_431100!A$2</f>
        <v>431100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IFERROR(VLOOKUP(B308,input_431100!L:R,7,FALSE),VLOOKUP(tables_431100!C308,input_431100!A:H,8,FALSE))</f>
        <v>14630</v>
      </c>
      <c r="P308" s="46">
        <f t="shared" ca="1" si="22"/>
        <v>1.4102564102542371E-4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input_431100!A$2</f>
        <v>431100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IFERROR(VLOOKUP(B309,input_431100!L:R,7,FALSE),VLOOKUP(tables_431100!C309,input_431100!A:H,8,FALSE))</f>
        <v>14630</v>
      </c>
      <c r="P309" s="46">
        <f t="shared" ca="1" si="22"/>
        <v>1.4102564102542371E-4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input_431100!A$2</f>
        <v>431100</v>
      </c>
      <c r="B310" s="5">
        <v>1104</v>
      </c>
      <c r="C310" s="7" t="str">
        <f t="shared" ref="C310:C314" si="23">D310&amp;J310&amp;E310&amp;F310&amp;G310</f>
        <v>Premium4R3less</v>
      </c>
      <c r="D310" s="7" t="str">
        <f t="shared" ref="D310:D314" si="24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IFERROR(VLOOKUP(B310,input_431100!L:R,7,FALSE),VLOOKUP(tables_431100!C310,input_431100!A:H,8,FALSE))</f>
        <v>990090</v>
      </c>
      <c r="P310" s="46">
        <f t="shared" ref="P310:P314" ca="1" si="25">O310/SUM(O:O)</f>
        <v>9.5439560439413377E-3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input_431100!A$2</f>
        <v>431100</v>
      </c>
      <c r="B311" s="5">
        <v>1105</v>
      </c>
      <c r="C311" s="7" t="str">
        <f t="shared" si="23"/>
        <v>Premium5R3less</v>
      </c>
      <c r="D311" s="7" t="str">
        <f t="shared" si="2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IFERROR(VLOOKUP(B311,input_431100!L:R,7,FALSE),VLOOKUP(tables_431100!C311,input_431100!A:H,8,FALSE))</f>
        <v>13110</v>
      </c>
      <c r="P311" s="46">
        <f t="shared" ca="1" si="25"/>
        <v>1.2637362637343163E-4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input_431100!A$2</f>
        <v>431100</v>
      </c>
      <c r="B312" s="5">
        <v>1106</v>
      </c>
      <c r="C312" s="7" t="str">
        <f t="shared" si="23"/>
        <v>PremiumSS5R5only</v>
      </c>
      <c r="D312" s="7" t="str">
        <f t="shared" si="2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IFERROR(VLOOKUP(B312,input_431100!L:R,7,FALSE),VLOOKUP(tables_431100!C312,input_431100!A:H,8,FALSE))</f>
        <v>14630</v>
      </c>
      <c r="P312" s="46">
        <f t="shared" ca="1" si="25"/>
        <v>1.4102564102542371E-4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input_431100!A$2</f>
        <v>431100</v>
      </c>
      <c r="B313" s="5">
        <v>1102</v>
      </c>
      <c r="C313" s="7" t="str">
        <f t="shared" si="23"/>
        <v>PremiumSS5R5only</v>
      </c>
      <c r="D313" s="7" t="str">
        <f t="shared" si="2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IFERROR(VLOOKUP(B313,input_431100!L:R,7,FALSE),VLOOKUP(tables_431100!C313,input_431100!A:H,8,FALSE))</f>
        <v>14630</v>
      </c>
      <c r="P313" s="46">
        <f t="shared" ca="1" si="25"/>
        <v>1.4102564102542371E-4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input_431100!A$2</f>
        <v>431100</v>
      </c>
      <c r="B314" s="5">
        <v>1100</v>
      </c>
      <c r="C314" s="7" t="str">
        <f t="shared" si="23"/>
        <v>PremiumSS5R5only</v>
      </c>
      <c r="D314" s="7" t="str">
        <f t="shared" si="2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IFERROR(VLOOKUP(B314,input_431100!L:R,7,FALSE),VLOOKUP(tables_431100!C314,input_431100!A:H,8,FALSE))</f>
        <v>14630</v>
      </c>
      <c r="P314" s="46">
        <f t="shared" ca="1" si="25"/>
        <v>1.4102564102542371E-4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input_431100!A$2</f>
        <v>431100</v>
      </c>
      <c r="B315" s="5">
        <v>1137</v>
      </c>
      <c r="C315" s="7" t="str">
        <f t="shared" ref="C315:C319" si="26">D315&amp;J315&amp;E315&amp;F315&amp;G315</f>
        <v>PremiumSS5R5only</v>
      </c>
      <c r="D315" s="7" t="str">
        <f t="shared" ref="D315:D319" si="27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IFERROR(VLOOKUP(B315,input_431100!L:R,7,FALSE),VLOOKUP(tables_431100!C315,input_431100!A:H,8,FALSE))</f>
        <v>14630</v>
      </c>
      <c r="P315" s="46">
        <f t="shared" ref="P315:P319" ca="1" si="28">O315/SUM(O:O)</f>
        <v>1.4102564102542371E-4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input_431100!A$2</f>
        <v>431100</v>
      </c>
      <c r="B316" s="5">
        <v>1139</v>
      </c>
      <c r="C316" s="7" t="str">
        <f t="shared" si="26"/>
        <v>PremiumSS5R5only</v>
      </c>
      <c r="D316" s="7" t="str">
        <f t="shared" si="27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IFERROR(VLOOKUP(B316,input_431100!L:R,7,FALSE),VLOOKUP(tables_431100!C316,input_431100!A:H,8,FALSE))</f>
        <v>14630</v>
      </c>
      <c r="P316" s="46">
        <f t="shared" ca="1" si="28"/>
        <v>1.4102564102542371E-4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input_431100!A$2</f>
        <v>431100</v>
      </c>
      <c r="B317" s="5">
        <v>1141</v>
      </c>
      <c r="C317" s="7" t="str">
        <f t="shared" si="26"/>
        <v>PremiumSS5R5only</v>
      </c>
      <c r="D317" s="7" t="str">
        <f t="shared" si="27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IFERROR(VLOOKUP(B317,input_431100!L:R,7,FALSE),VLOOKUP(tables_431100!C317,input_431100!A:H,8,FALSE))</f>
        <v>14630</v>
      </c>
      <c r="P317" s="46">
        <f t="shared" ca="1" si="28"/>
        <v>1.4102564102542371E-4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input_431100!A$2</f>
        <v>431100</v>
      </c>
      <c r="B318" s="5">
        <v>1143</v>
      </c>
      <c r="C318" s="7" t="str">
        <f t="shared" si="26"/>
        <v>Premium4R3less</v>
      </c>
      <c r="D318" s="7" t="str">
        <f t="shared" si="27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IFERROR(VLOOKUP(B318,input_431100!L:R,7,FALSE),VLOOKUP(tables_431100!C318,input_431100!A:H,8,FALSE))</f>
        <v>990090</v>
      </c>
      <c r="P318" s="46">
        <f t="shared" ca="1" si="28"/>
        <v>9.5439560439413377E-3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input_431100!A$2</f>
        <v>431100</v>
      </c>
      <c r="B319" s="5">
        <v>1144</v>
      </c>
      <c r="C319" s="7" t="str">
        <f t="shared" si="26"/>
        <v>Premium5R3less</v>
      </c>
      <c r="D319" s="7" t="str">
        <f t="shared" si="27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IFERROR(VLOOKUP(B319,input_431100!L:R,7,FALSE),VLOOKUP(tables_431100!C319,input_431100!A:H,8,FALSE))</f>
        <v>13110</v>
      </c>
      <c r="P319" s="46">
        <f t="shared" ca="1" si="28"/>
        <v>1.2637362637343163E-4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input_431100!A$2</f>
        <v>431100</v>
      </c>
      <c r="B320" s="60">
        <v>1153</v>
      </c>
      <c r="C320" s="7" t="str">
        <f t="shared" ref="C320:C324" si="29">D320&amp;J320&amp;E320&amp;F320&amp;G320</f>
        <v>PremiumSS5R5only</v>
      </c>
      <c r="D320" s="7" t="str">
        <f t="shared" ref="D320:D324" si="30">IF(OR(I320="PremiumSS",I320="PremiumSSw"),"PremiumSS",IF(I320="PremiumSSS",I320,IF(I320="PremiumW",I320,"Premium")))</f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ラクシュミー</v>
      </c>
      <c r="I320" s="7" t="str">
        <f>VLOOKUP(B320,[1]characters!$A:$J,10,FALSE)</f>
        <v>PremiumSSW</v>
      </c>
      <c r="J320" s="7">
        <f>VLOOKUP(B320,[1]characters!$A:$I,9,FALSE)</f>
        <v>5</v>
      </c>
      <c r="K320" s="7" t="str">
        <f>VLOOKUP(B320,[1]characters!$A:$H,8,FALSE)</f>
        <v>green</v>
      </c>
      <c r="L320" s="7" t="str">
        <f>VLOOKUP(B320,[1]characters!$A:$K,11,FALSE)</f>
        <v>hp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f>IFERROR(VLOOKUP(B320,input_431100!L:R,7,FALSE),VLOOKUP(tables_431100!C320,input_431100!A:H,8,FALSE))</f>
        <v>726180</v>
      </c>
      <c r="P320" s="46">
        <f t="shared" ref="P320:P324" ca="1" si="31">O320/SUM(O:O)</f>
        <v>6.9999999999892136E-3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input_431100!A$2</f>
        <v>431100</v>
      </c>
      <c r="B321" s="60">
        <v>1155</v>
      </c>
      <c r="C321" s="7" t="str">
        <f t="shared" si="29"/>
        <v>PremiumSS5R5only</v>
      </c>
      <c r="D321" s="7" t="str">
        <f t="shared" si="30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ドゥルガー</v>
      </c>
      <c r="I321" s="7" t="str">
        <f>VLOOKUP(B321,[1]characters!$A:$J,10,FALSE)</f>
        <v>PremiumSS</v>
      </c>
      <c r="J321" s="7">
        <f>VLOOKUP(B321,[1]characters!$A:$I,9,FALSE)</f>
        <v>5</v>
      </c>
      <c r="K321" s="7" t="str">
        <f>VLOOKUP(B321,[1]characters!$A:$H,8,FALSE)</f>
        <v>blue</v>
      </c>
      <c r="L321" s="7" t="str">
        <f>VLOOKUP(B321,[1]characters!$A:$K,11,FALSE)</f>
        <v>balance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>IFERROR(VLOOKUP(B321,input_431100!L:R,7,FALSE),VLOOKUP(tables_431100!C321,input_431100!A:H,8,FALSE))</f>
        <v>1244880</v>
      </c>
      <c r="P321" s="46">
        <f t="shared" ca="1" si="31"/>
        <v>1.1999999999981508E-2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input_431100!A$2</f>
        <v>431100</v>
      </c>
      <c r="B322" s="60">
        <v>1157</v>
      </c>
      <c r="C322" s="7" t="str">
        <f t="shared" si="29"/>
        <v>PremiumSS5R5only</v>
      </c>
      <c r="D322" s="7" t="str">
        <f t="shared" si="30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インドラ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yellow</v>
      </c>
      <c r="L322" s="7" t="str">
        <f>VLOOKUP(B322,[1]characters!$A:$K,11,FALSE)</f>
        <v>attack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>IFERROR(VLOOKUP(B322,input_431100!L:R,7,FALSE),VLOOKUP(tables_431100!C322,input_431100!A:H,8,FALSE))</f>
        <v>1244880</v>
      </c>
      <c r="P322" s="46">
        <f t="shared" ca="1" si="31"/>
        <v>1.1999999999981508E-2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input_431100!A$2</f>
        <v>431100</v>
      </c>
      <c r="B323" s="90">
        <v>1151</v>
      </c>
      <c r="C323" s="7" t="str">
        <f t="shared" si="29"/>
        <v>Premium4R3less</v>
      </c>
      <c r="D323" s="7" t="str">
        <f t="shared" si="30"/>
        <v>Premium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/>
      <c r="H323" s="7" t="str">
        <f>VLOOKUP(B323,[1]characters!$A:$C,3,FALSE)</f>
        <v>ガネーシャ</v>
      </c>
      <c r="I323" s="7" t="str">
        <f>VLOOKUP(B323,[1]characters!$A:$J,10,FALSE)</f>
        <v>PremiumS</v>
      </c>
      <c r="J323" s="7">
        <f>VLOOKUP(B323,[1]characters!$A:$I,9,FALSE)</f>
        <v>4</v>
      </c>
      <c r="K323" s="7" t="str">
        <f>VLOOKUP(B323,[1]characters!$A:$H,8,FALSE)</f>
        <v>red</v>
      </c>
      <c r="L323" s="7" t="str">
        <f>VLOOKUP(B323,[1]characters!$A:$K,11,FALSE)</f>
        <v>heal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>IFERROR(VLOOKUP(B323,input_431100!L:R,7,FALSE),VLOOKUP(tables_431100!C323,input_431100!A:H,8,FALSE))</f>
        <v>6535620</v>
      </c>
      <c r="P323" s="46">
        <f t="shared" ca="1" si="31"/>
        <v>6.2999999999902925E-2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input_431100!A$2</f>
        <v>431100</v>
      </c>
      <c r="B324" s="60">
        <v>1152</v>
      </c>
      <c r="C324" s="7" t="str">
        <f t="shared" si="29"/>
        <v>Premium5R3less</v>
      </c>
      <c r="D324" s="7" t="str">
        <f t="shared" si="30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衆知の富益神 ガネーシャ</v>
      </c>
      <c r="I324" s="7" t="str">
        <f>VLOOKUP(B324,[1]characters!$A:$J,10,FALSE)</f>
        <v>PremiumS</v>
      </c>
      <c r="J324" s="7">
        <f>VLOOKUP(B324,[1]characters!$A:$I,9,FALSE)</f>
        <v>5</v>
      </c>
      <c r="K324" s="7" t="str">
        <f>VLOOKUP(B324,[1]characters!$A:$H,8,FALSE)</f>
        <v>red</v>
      </c>
      <c r="L324" s="7" t="str">
        <f>VLOOKUP(B324,[1]characters!$A:$K,11,FALSE)</f>
        <v>heal</v>
      </c>
      <c r="M324" s="7" t="str">
        <f>VLOOKUP(B324,[1]characters!$A:$M,13,FALSE)</f>
        <v>god</v>
      </c>
      <c r="N324" s="7" t="str">
        <f>VLOOKUP(B324,[1]characters!$A:$G,7,FALSE)</f>
        <v>不明</v>
      </c>
      <c r="O324" s="45">
        <f>IFERROR(VLOOKUP(B324,input_431100!L:R,7,FALSE),VLOOKUP(tables_431100!C324,input_431100!A:H,8,FALSE))</f>
        <v>726180</v>
      </c>
      <c r="P324" s="46">
        <f t="shared" ca="1" si="31"/>
        <v>6.9999999999892136E-3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4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A2" sqref="A2:A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431105</v>
      </c>
      <c r="B2" s="60">
        <v>1153</v>
      </c>
      <c r="C2" s="7" t="str">
        <f t="shared" ref="C2:C4" si="0">D2&amp;J2&amp;E2&amp;F2&amp;G2</f>
        <v>PremiumSS5R5only</v>
      </c>
      <c r="D2" s="7" t="str">
        <f t="shared" ref="D2:D4" si="1"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ラクシュミー</v>
      </c>
      <c r="I2" s="7" t="str">
        <f>VLOOKUP(B2,[1]characters!$A:$J,10,FALSE)</f>
        <v>PremiumSSW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hp</v>
      </c>
      <c r="M2" s="7" t="str">
        <f>VLOOKUP(B2,[1]characters!$A:$M,13,FALSE)</f>
        <v>god</v>
      </c>
      <c r="N2" s="7" t="str">
        <f>VLOOKUP(B2,[1]characters!$A:$G,7,FALSE)</f>
        <v>不明</v>
      </c>
      <c r="O2" s="45">
        <v>10</v>
      </c>
      <c r="P2" s="46">
        <f>O2/SUM(O:O)</f>
        <v>0.2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431105</v>
      </c>
      <c r="B3" s="60">
        <v>1155</v>
      </c>
      <c r="C3" s="7" t="str">
        <f t="shared" si="0"/>
        <v>PremiumSS5R5only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ドゥルガー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god</v>
      </c>
      <c r="N3" s="7" t="str">
        <f>VLOOKUP(B3,[1]characters!$A:$G,7,FALSE)</f>
        <v>不明</v>
      </c>
      <c r="O3" s="45">
        <v>20</v>
      </c>
      <c r="P3" s="46">
        <f>O3/SUM(O:O)</f>
        <v>0.4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431105</v>
      </c>
      <c r="B4" s="60">
        <v>1157</v>
      </c>
      <c r="C4" s="7" t="str">
        <f t="shared" si="0"/>
        <v>PremiumSS5R5only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インドラ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不明</v>
      </c>
      <c r="O4" s="45">
        <v>20</v>
      </c>
      <c r="P4" s="46">
        <f>O4/SUM(O:O)</f>
        <v>0.4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7"/>
  <sheetViews>
    <sheetView showGridLines="0" workbookViewId="0">
      <pane ySplit="1" topLeftCell="A2" activePane="bottomLeft" state="frozen"/>
      <selection activeCell="M24" sqref="M24"/>
      <selection pane="bottomLeft" activeCell="Q2" sqref="Q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 t="s">
        <v>275</v>
      </c>
      <c r="B2" s="78" t="s">
        <v>276</v>
      </c>
      <c r="C2" s="79" t="s">
        <v>253</v>
      </c>
      <c r="D2" s="2">
        <v>837</v>
      </c>
      <c r="E2" s="2">
        <v>1</v>
      </c>
      <c r="F2" s="97">
        <v>1</v>
      </c>
      <c r="G2" s="98">
        <v>0</v>
      </c>
      <c r="H2" s="98">
        <v>0</v>
      </c>
      <c r="I2" s="98">
        <v>0</v>
      </c>
      <c r="J2" s="98">
        <v>0</v>
      </c>
      <c r="K2" s="98">
        <v>1</v>
      </c>
      <c r="L2" s="98">
        <v>1</v>
      </c>
      <c r="M2" s="98">
        <v>1</v>
      </c>
      <c r="N2" s="79" t="s">
        <v>258</v>
      </c>
      <c r="O2" s="79" t="s">
        <v>261</v>
      </c>
      <c r="P2" s="79" t="s">
        <v>266</v>
      </c>
      <c r="Q2" s="80" t="s">
        <v>267</v>
      </c>
    </row>
    <row r="3" spans="1:17" ht="21" customHeight="1" x14ac:dyDescent="0.15">
      <c r="A3" s="78" t="s">
        <v>277</v>
      </c>
      <c r="B3" s="78" t="s">
        <v>278</v>
      </c>
      <c r="C3" s="2" t="s">
        <v>254</v>
      </c>
      <c r="D3" s="2">
        <v>611</v>
      </c>
      <c r="E3" s="2">
        <v>5</v>
      </c>
      <c r="F3" s="2">
        <v>1</v>
      </c>
      <c r="G3" s="98">
        <v>0</v>
      </c>
      <c r="H3" s="98">
        <v>0</v>
      </c>
      <c r="I3" s="98">
        <v>0</v>
      </c>
      <c r="J3" s="98">
        <v>0</v>
      </c>
      <c r="K3" s="98">
        <v>1</v>
      </c>
      <c r="L3" s="98">
        <v>1</v>
      </c>
      <c r="M3" s="98">
        <v>1</v>
      </c>
      <c r="N3" s="79" t="s">
        <v>258</v>
      </c>
      <c r="O3" s="79" t="s">
        <v>262</v>
      </c>
      <c r="P3" s="79" t="s">
        <v>266</v>
      </c>
      <c r="Q3" s="80" t="s">
        <v>268</v>
      </c>
    </row>
    <row r="4" spans="1:17" ht="21" customHeight="1" x14ac:dyDescent="0.15">
      <c r="A4" s="78" t="s">
        <v>277</v>
      </c>
      <c r="B4" s="78" t="s">
        <v>279</v>
      </c>
      <c r="C4" s="2" t="s">
        <v>255</v>
      </c>
      <c r="D4" s="2">
        <v>612</v>
      </c>
      <c r="E4" s="2">
        <v>5</v>
      </c>
      <c r="F4" s="2">
        <v>1</v>
      </c>
      <c r="G4" s="98">
        <v>0</v>
      </c>
      <c r="H4" s="98">
        <v>0</v>
      </c>
      <c r="I4" s="98">
        <v>0</v>
      </c>
      <c r="J4" s="98">
        <v>0</v>
      </c>
      <c r="K4" s="98">
        <v>1</v>
      </c>
      <c r="L4" s="98">
        <v>1</v>
      </c>
      <c r="M4" s="98">
        <v>1</v>
      </c>
      <c r="N4" s="79" t="s">
        <v>258</v>
      </c>
      <c r="O4" s="79" t="s">
        <v>263</v>
      </c>
      <c r="P4" s="79" t="s">
        <v>266</v>
      </c>
      <c r="Q4" s="80" t="s">
        <v>269</v>
      </c>
    </row>
    <row r="5" spans="1:17" ht="21" customHeight="1" x14ac:dyDescent="0.15">
      <c r="A5" s="78" t="s">
        <v>277</v>
      </c>
      <c r="B5" s="78" t="s">
        <v>280</v>
      </c>
      <c r="C5" s="2" t="s">
        <v>255</v>
      </c>
      <c r="D5" s="2">
        <v>613</v>
      </c>
      <c r="E5" s="2">
        <v>5</v>
      </c>
      <c r="F5" s="2">
        <v>1</v>
      </c>
      <c r="G5" s="98">
        <v>0</v>
      </c>
      <c r="H5" s="98">
        <v>0</v>
      </c>
      <c r="I5" s="98">
        <v>0</v>
      </c>
      <c r="J5" s="98">
        <v>0</v>
      </c>
      <c r="K5" s="98">
        <v>1</v>
      </c>
      <c r="L5" s="98">
        <v>1</v>
      </c>
      <c r="M5" s="98">
        <v>1</v>
      </c>
      <c r="N5" s="79" t="s">
        <v>258</v>
      </c>
      <c r="O5" s="79" t="s">
        <v>264</v>
      </c>
      <c r="P5" s="79" t="s">
        <v>266</v>
      </c>
      <c r="Q5" s="80" t="s">
        <v>270</v>
      </c>
    </row>
    <row r="6" spans="1:17" ht="21" customHeight="1" x14ac:dyDescent="0.15">
      <c r="A6" s="78" t="s">
        <v>277</v>
      </c>
      <c r="B6" s="78" t="s">
        <v>281</v>
      </c>
      <c r="C6" s="2" t="s">
        <v>256</v>
      </c>
      <c r="D6" s="2">
        <v>614</v>
      </c>
      <c r="E6" s="2">
        <v>2</v>
      </c>
      <c r="F6" s="2">
        <v>1</v>
      </c>
      <c r="G6" s="98">
        <v>0</v>
      </c>
      <c r="H6" s="98">
        <v>0</v>
      </c>
      <c r="I6" s="98">
        <v>0</v>
      </c>
      <c r="J6" s="98">
        <v>0</v>
      </c>
      <c r="K6" s="98">
        <v>1</v>
      </c>
      <c r="L6" s="98">
        <v>1</v>
      </c>
      <c r="M6" s="98">
        <v>1</v>
      </c>
      <c r="N6" s="79" t="s">
        <v>258</v>
      </c>
      <c r="O6" s="79" t="s">
        <v>265</v>
      </c>
      <c r="P6" s="79" t="s">
        <v>266</v>
      </c>
      <c r="Q6" s="80" t="s">
        <v>271</v>
      </c>
    </row>
    <row r="7" spans="1:17" ht="21" customHeight="1" x14ac:dyDescent="0.15">
      <c r="A7" s="78" t="s">
        <v>282</v>
      </c>
      <c r="B7" s="78" t="s">
        <v>283</v>
      </c>
      <c r="C7" s="79" t="s">
        <v>259</v>
      </c>
      <c r="D7" s="79">
        <v>1000000</v>
      </c>
      <c r="E7" s="79" t="s">
        <v>257</v>
      </c>
      <c r="F7" s="97">
        <v>1</v>
      </c>
      <c r="G7" s="79" t="s">
        <v>257</v>
      </c>
      <c r="H7" s="79" t="s">
        <v>257</v>
      </c>
      <c r="I7" s="79" t="s">
        <v>257</v>
      </c>
      <c r="J7" s="79" t="s">
        <v>257</v>
      </c>
      <c r="K7" s="79" t="s">
        <v>257</v>
      </c>
      <c r="L7" s="79" t="s">
        <v>257</v>
      </c>
      <c r="M7" s="79" t="s">
        <v>257</v>
      </c>
      <c r="N7" s="79" t="s">
        <v>258</v>
      </c>
      <c r="O7" s="79" t="s">
        <v>260</v>
      </c>
      <c r="P7" s="79" t="s">
        <v>266</v>
      </c>
      <c r="Q7" s="80" t="s">
        <v>272</v>
      </c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input_431100</vt:lpstr>
      <vt:lpstr>tables_431100</vt:lpstr>
      <vt:lpstr>tables_settle_431105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2016-10-14T11:41:12Z</dcterms:modified>
</cp:coreProperties>
</file>