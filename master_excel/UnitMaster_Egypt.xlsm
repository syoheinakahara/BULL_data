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60" yWindow="460" windowWidth="2774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fork_awake_units!$A$1:$U$9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57" l="1"/>
  <c r="E4" i="57"/>
  <c r="B4" i="57"/>
  <c r="F3" i="57"/>
  <c r="E3" i="57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2" i="23"/>
  <c r="BR2" i="23"/>
  <c r="E7" i="57"/>
  <c r="F8" i="57"/>
  <c r="E8" i="57"/>
  <c r="E5" i="57"/>
  <c r="F5" i="57"/>
  <c r="E6" i="57"/>
  <c r="F6" i="57"/>
  <c r="F7" i="57"/>
  <c r="I3" i="56"/>
  <c r="E33" i="54"/>
  <c r="B33" i="54"/>
  <c r="E32" i="54"/>
  <c r="B32" i="54"/>
  <c r="E31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B25" i="54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B8" i="57"/>
  <c r="B7" i="57"/>
  <c r="J10" i="3"/>
  <c r="J26" i="3"/>
  <c r="E24" i="54"/>
  <c r="B24" i="54"/>
  <c r="E23" i="54"/>
  <c r="B23" i="54"/>
  <c r="E22" i="54"/>
  <c r="B22" i="54"/>
  <c r="E21" i="54"/>
  <c r="B21" i="54"/>
  <c r="E20" i="54"/>
  <c r="B20" i="54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B2" i="54"/>
  <c r="E8" i="54"/>
  <c r="B8" i="54"/>
  <c r="E7" i="54"/>
  <c r="B7" i="54"/>
  <c r="E6" i="54"/>
  <c r="B6" i="54"/>
  <c r="E5" i="54"/>
  <c r="B5" i="54"/>
  <c r="E4" i="54"/>
  <c r="B4" i="54"/>
  <c r="E3" i="54"/>
  <c r="B3" i="54"/>
  <c r="E2" i="54"/>
  <c r="H29" i="3"/>
  <c r="C29" i="3"/>
  <c r="F29" i="3"/>
  <c r="D29" i="3"/>
  <c r="E29" i="3"/>
  <c r="J29" i="3"/>
  <c r="A29" i="3"/>
  <c r="J24" i="3"/>
  <c r="H24" i="3"/>
  <c r="C24" i="3"/>
  <c r="F24" i="3"/>
  <c r="E24" i="3"/>
  <c r="D24" i="3"/>
  <c r="A24" i="3"/>
  <c r="E67" i="54"/>
  <c r="B67" i="54"/>
  <c r="E66" i="54"/>
  <c r="B66" i="54"/>
  <c r="E65" i="54"/>
  <c r="B65" i="54"/>
  <c r="E64" i="54"/>
  <c r="B64" i="54"/>
  <c r="E63" i="54"/>
  <c r="B63" i="54"/>
  <c r="E62" i="54"/>
  <c r="B62" i="54"/>
  <c r="E61" i="54"/>
  <c r="B61" i="54"/>
  <c r="E60" i="54"/>
  <c r="B60" i="54"/>
  <c r="E59" i="54"/>
  <c r="B59" i="54"/>
  <c r="E58" i="54"/>
  <c r="B58" i="54"/>
  <c r="E57" i="54"/>
  <c r="B57" i="54"/>
  <c r="E56" i="54"/>
  <c r="B56" i="54"/>
  <c r="E55" i="54"/>
  <c r="B55" i="54"/>
  <c r="E54" i="54"/>
  <c r="B54" i="54"/>
  <c r="E53" i="54"/>
  <c r="B53" i="54"/>
  <c r="E52" i="54"/>
  <c r="B52" i="54"/>
  <c r="E51" i="54"/>
  <c r="B51" i="54"/>
  <c r="E50" i="54"/>
  <c r="B50" i="54"/>
  <c r="E49" i="54"/>
  <c r="B49" i="54"/>
  <c r="E48" i="54"/>
  <c r="B48" i="54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5" i="54"/>
  <c r="E36" i="54"/>
  <c r="E37" i="54"/>
  <c r="E34" i="54"/>
  <c r="B36" i="54"/>
  <c r="B37" i="54"/>
  <c r="J2" i="3"/>
  <c r="H2" i="3"/>
  <c r="C2" i="3"/>
  <c r="F2" i="3"/>
  <c r="E2" i="3"/>
  <c r="D2" i="3"/>
  <c r="A2" i="3"/>
  <c r="C7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F7" i="3"/>
  <c r="E7" i="3"/>
  <c r="D7" i="3"/>
  <c r="A7" i="3"/>
  <c r="J19" i="3"/>
  <c r="H19" i="3"/>
  <c r="C19" i="3"/>
  <c r="F19" i="3"/>
  <c r="E19" i="3"/>
  <c r="D19" i="3"/>
  <c r="A19" i="3"/>
  <c r="C26" i="3"/>
  <c r="D26" i="3"/>
  <c r="J27" i="3"/>
  <c r="H26" i="3"/>
  <c r="C27" i="3"/>
  <c r="C28" i="3"/>
  <c r="J28" i="3"/>
  <c r="H28" i="3"/>
  <c r="F28" i="3"/>
  <c r="E28" i="3"/>
  <c r="D28" i="3"/>
  <c r="A28" i="3"/>
  <c r="H27" i="3"/>
  <c r="F27" i="3"/>
  <c r="E27" i="3"/>
  <c r="D27" i="3"/>
  <c r="A27" i="3"/>
  <c r="F26" i="3"/>
  <c r="E26" i="3"/>
  <c r="A26" i="3"/>
  <c r="J21" i="3"/>
  <c r="J25" i="3"/>
  <c r="C21" i="3"/>
  <c r="D21" i="3"/>
  <c r="C22" i="3"/>
  <c r="H25" i="3"/>
  <c r="C25" i="3"/>
  <c r="F25" i="3"/>
  <c r="E25" i="3"/>
  <c r="D25" i="3"/>
  <c r="A25" i="3"/>
  <c r="J23" i="3"/>
  <c r="H23" i="3"/>
  <c r="C23" i="3"/>
  <c r="F23" i="3"/>
  <c r="E23" i="3"/>
  <c r="D23" i="3"/>
  <c r="A23" i="3"/>
  <c r="J22" i="3"/>
  <c r="H22" i="3"/>
  <c r="F22" i="3"/>
  <c r="E22" i="3"/>
  <c r="D22" i="3"/>
  <c r="A22" i="3"/>
  <c r="H21" i="3"/>
  <c r="F21" i="3"/>
  <c r="E21" i="3"/>
  <c r="A21" i="3"/>
  <c r="J33" i="3"/>
  <c r="C30" i="3"/>
  <c r="D30" i="3"/>
  <c r="H33" i="3"/>
  <c r="C33" i="3"/>
  <c r="F33" i="3"/>
  <c r="E33" i="3"/>
  <c r="D33" i="3"/>
  <c r="A33" i="3"/>
  <c r="J32" i="3"/>
  <c r="H32" i="3"/>
  <c r="C32" i="3"/>
  <c r="F32" i="3"/>
  <c r="E32" i="3"/>
  <c r="D32" i="3"/>
  <c r="A32" i="3"/>
  <c r="J31" i="3"/>
  <c r="H31" i="3"/>
  <c r="C31" i="3"/>
  <c r="F31" i="3"/>
  <c r="E31" i="3"/>
  <c r="D31" i="3"/>
  <c r="A31" i="3"/>
  <c r="J30" i="3"/>
  <c r="H30" i="3"/>
  <c r="F30" i="3"/>
  <c r="E30" i="3"/>
  <c r="A30" i="3"/>
  <c r="J17" i="3"/>
  <c r="J16" i="3"/>
  <c r="C16" i="3"/>
  <c r="E16" i="3"/>
  <c r="D16" i="3"/>
  <c r="J20" i="3"/>
  <c r="H20" i="3"/>
  <c r="C20" i="3"/>
  <c r="F20" i="3"/>
  <c r="E20" i="3"/>
  <c r="D20" i="3"/>
  <c r="A20" i="3"/>
  <c r="J18" i="3"/>
  <c r="H18" i="3"/>
  <c r="C18" i="3"/>
  <c r="F18" i="3"/>
  <c r="E18" i="3"/>
  <c r="D18" i="3"/>
  <c r="A18" i="3"/>
  <c r="H17" i="3"/>
  <c r="C17" i="3"/>
  <c r="F17" i="3"/>
  <c r="E17" i="3"/>
  <c r="D17" i="3"/>
  <c r="A17" i="3"/>
  <c r="H16" i="3"/>
  <c r="F16" i="3"/>
  <c r="A16" i="3"/>
  <c r="J6" i="3"/>
  <c r="J5" i="3"/>
  <c r="J4" i="3"/>
  <c r="A4" i="3"/>
  <c r="C4" i="3"/>
  <c r="D4" i="3"/>
  <c r="E4" i="3"/>
  <c r="F4" i="3"/>
  <c r="H4" i="3"/>
  <c r="A5" i="3"/>
  <c r="C5" i="3"/>
  <c r="D5" i="3"/>
  <c r="E5" i="3"/>
  <c r="F5" i="3"/>
  <c r="H5" i="3"/>
  <c r="A6" i="3"/>
  <c r="C6" i="3"/>
  <c r="D6" i="3"/>
  <c r="E6" i="3"/>
  <c r="F6" i="3"/>
  <c r="H6" i="3"/>
  <c r="H3" i="3"/>
  <c r="C3" i="3"/>
  <c r="E3" i="3"/>
  <c r="D3" i="3"/>
  <c r="E2" i="57"/>
  <c r="B6" i="57"/>
  <c r="E6" i="53"/>
  <c r="H8" i="52"/>
  <c r="B3" i="57"/>
  <c r="B5" i="57"/>
  <c r="I2" i="56"/>
  <c r="F2" i="57"/>
  <c r="B2" i="57"/>
  <c r="J3" i="3"/>
  <c r="F3" i="3"/>
  <c r="E5" i="49"/>
  <c r="E3" i="49"/>
  <c r="G9" i="58"/>
  <c r="U9" i="58"/>
  <c r="W9" i="58"/>
  <c r="S9" i="58"/>
  <c r="T9" i="58"/>
  <c r="R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G8" i="58"/>
  <c r="U8" i="58"/>
  <c r="W8" i="58"/>
  <c r="S8" i="58"/>
  <c r="T8" i="58"/>
  <c r="R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G7" i="58"/>
  <c r="U7" i="58"/>
  <c r="W7" i="58"/>
  <c r="S7" i="58"/>
  <c r="T7" i="58"/>
  <c r="R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W6" i="58"/>
  <c r="S6" i="58"/>
  <c r="T6" i="58"/>
  <c r="R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W5" i="58"/>
  <c r="S5" i="58"/>
  <c r="T5" i="58"/>
  <c r="R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W4" i="58"/>
  <c r="S4" i="58"/>
  <c r="T4" i="58"/>
  <c r="R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W3" i="58"/>
  <c r="S3" i="58"/>
  <c r="T3" i="58"/>
  <c r="R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2" i="58"/>
  <c r="U2" i="58"/>
  <c r="W2" i="58"/>
  <c r="S2" i="58"/>
  <c r="T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E15" i="49"/>
  <c r="E14" i="49"/>
  <c r="E13" i="49"/>
  <c r="G3" i="53"/>
  <c r="E3" i="53"/>
  <c r="G4" i="53"/>
  <c r="E4" i="53"/>
  <c r="G5" i="53"/>
  <c r="E5" i="53"/>
  <c r="G6" i="53"/>
  <c r="G7" i="53"/>
  <c r="E7" i="53"/>
  <c r="G8" i="53"/>
  <c r="E8" i="53"/>
  <c r="G9" i="53"/>
  <c r="E9" i="53"/>
  <c r="G10" i="53"/>
  <c r="E10" i="53"/>
  <c r="G11" i="53"/>
  <c r="E11" i="53"/>
  <c r="G12" i="53"/>
  <c r="E12" i="53"/>
  <c r="G13" i="53"/>
  <c r="E13" i="53"/>
  <c r="G14" i="53"/>
  <c r="E14" i="53"/>
  <c r="G15" i="53"/>
  <c r="E15" i="53"/>
  <c r="G16" i="53"/>
  <c r="E16" i="53"/>
  <c r="G17" i="53"/>
  <c r="E17" i="53"/>
  <c r="J12" i="52"/>
  <c r="E12" i="52"/>
  <c r="H12" i="52"/>
  <c r="J13" i="52"/>
  <c r="E13" i="52"/>
  <c r="H13" i="52"/>
  <c r="J14" i="52"/>
  <c r="E14" i="52"/>
  <c r="H14" i="52"/>
  <c r="J15" i="52"/>
  <c r="E15" i="52"/>
  <c r="H15" i="52"/>
  <c r="J3" i="52"/>
  <c r="E3" i="52"/>
  <c r="H3" i="52"/>
  <c r="J4" i="52"/>
  <c r="E4" i="52"/>
  <c r="H4" i="52"/>
  <c r="J5" i="52"/>
  <c r="E5" i="52"/>
  <c r="H5" i="52"/>
  <c r="J6" i="52"/>
  <c r="E6" i="52"/>
  <c r="H6" i="52"/>
  <c r="J7" i="52"/>
  <c r="E7" i="52"/>
  <c r="H7" i="52"/>
  <c r="J8" i="52"/>
  <c r="E8" i="52"/>
  <c r="J9" i="52"/>
  <c r="E9" i="52"/>
  <c r="H9" i="52"/>
  <c r="J10" i="52"/>
  <c r="E10" i="52"/>
  <c r="H10" i="52"/>
  <c r="J11" i="52"/>
  <c r="E11" i="52"/>
  <c r="H11" i="52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16" i="23"/>
  <c r="AT17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16" i="23"/>
  <c r="AP17" i="23"/>
  <c r="AP2" i="23"/>
  <c r="AE4" i="23"/>
  <c r="AE6" i="23"/>
  <c r="AE8" i="23"/>
  <c r="AE10" i="23"/>
  <c r="AE12" i="23"/>
  <c r="AE14" i="23"/>
  <c r="AE16" i="23"/>
  <c r="AE2" i="23"/>
  <c r="J2" i="52"/>
  <c r="G2" i="5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G4" i="1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I9" i="23"/>
  <c r="J9" i="23"/>
  <c r="K9" i="23"/>
  <c r="L9" i="23"/>
  <c r="M9" i="23"/>
  <c r="G3" i="1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I11" i="23"/>
  <c r="J11" i="23"/>
  <c r="K11" i="23"/>
  <c r="L11" i="23"/>
  <c r="M11" i="23"/>
  <c r="G9" i="1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G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G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B14" i="23"/>
  <c r="C14" i="23"/>
  <c r="D14" i="23"/>
  <c r="E14" i="23"/>
  <c r="F14" i="23"/>
  <c r="G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G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B16" i="23"/>
  <c r="C16" i="23"/>
  <c r="D16" i="23"/>
  <c r="E16" i="23"/>
  <c r="F16" i="23"/>
  <c r="G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G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G3" i="23"/>
  <c r="P3" i="23"/>
  <c r="G2" i="23"/>
  <c r="P2" i="23"/>
  <c r="G10" i="13"/>
  <c r="G8" i="13"/>
  <c r="G2" i="13"/>
  <c r="B2" i="2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3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35" i="54"/>
  <c r="B34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<sst xmlns="http://schemas.openxmlformats.org/spreadsheetml/2006/main" count="1243" uniqueCount="470">
  <si>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</si>
  <si>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</si>
  <si>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</si>
  <si>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</si>
  <si>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</si>
  <si>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</si>
  <si>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</si>
  <si>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</si>
  <si>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</si>
  <si>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</si>
  <si>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</si>
  <si>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</si>
  <si>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</si>
  <si>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</si>
  <si>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</si>
  <si>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</si>
  <si>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</si>
  <si>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</si>
  <si>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</si>
  <si>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</si>
  <si>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</si>
  <si>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</si>
  <si>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</si>
  <si>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</si>
  <si>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</si>
  <si>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</si>
  <si>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</si>
  <si>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</si>
  <si>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</si>
  <si>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</si>
  <si>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</si>
  <si>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</si>
  <si>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</si>
  <si>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</si>
  <si>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</si>
  <si>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</si>
  <si>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</si>
  <si>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</si>
  <si>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</si>
  <si>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</si>
  <si>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</si>
  <si>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</si>
  <si>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</si>
  <si>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</si>
  <si>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</si>
  <si>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</si>
  <si>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</si>
  <si>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</si>
  <si>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</si>
  <si>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</si>
  <si>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</si>
  <si>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</si>
  <si>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</si>
  <si>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</si>
  <si>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</si>
  <si>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</si>
  <si>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</si>
  <si>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</si>
  <si>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</si>
  <si>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</si>
  <si>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</si>
  <si>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</si>
  <si>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</si>
  <si>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</si>
  <si>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</si>
  <si>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</si>
  <si>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</si>
  <si>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</si>
  <si>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</si>
  <si>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</si>
  <si>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</si>
  <si>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</si>
  <si>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</si>
  <si>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</si>
  <si>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</si>
  <si>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</si>
  <si>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</si>
  <si>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</si>
  <si>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</si>
  <si>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</si>
  <si>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</si>
  <si>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</si>
  <si>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</si>
  <si>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</si>
  <si>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</si>
  <si>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</si>
  <si>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</si>
  <si>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</si>
  <si>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</si>
  <si>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</si>
  <si>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</si>
  <si>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</si>
  <si>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</si>
  <si>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</si>
  <si>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</si>
  <si>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</si>
  <si>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</si>
  <si>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</si>
  <si>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</si>
  <si>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</si>
  <si>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</si>
  <si>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</si>
  <si>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</si>
  <si>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</si>
  <si>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</si>
  <si>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</si>
  <si>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</si>
  <si>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</si>
  <si>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</si>
  <si>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</si>
  <si>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</si>
  <si>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</si>
  <si>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</si>
  <si>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</si>
  <si>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</si>
  <si>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</si>
  <si>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</si>
  <si>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</si>
  <si>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</si>
  <si>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</si>
  <si>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</si>
  <si>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</si>
  <si>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</si>
  <si>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</si>
  <si>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</si>
  <si>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</si>
  <si>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</si>
  <si>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</si>
  <si>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</si>
  <si>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</si>
  <si>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</si>
  <si>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</si>
  <si>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</si>
  <si>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</si>
  <si>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</si>
  <si>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</si>
  <si>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</si>
  <si>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</si>
  <si>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</si>
  <si>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</si>
  <si>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</si>
  <si>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</si>
  <si>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</si>
  <si>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</si>
  <si>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</si>
  <si>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</si>
  <si>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</si>
  <si>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</si>
  <si>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</si>
  <si>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</si>
  <si>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</si>
  <si>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</si>
  <si>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</si>
  <si>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</si>
  <si>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</si>
  <si>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</si>
  <si>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</si>
  <si>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</si>
  <si>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</si>
  <si>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</si>
  <si>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</si>
  <si>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</si>
  <si>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</si>
  <si>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</si>
  <si>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</si>
  <si>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</si>
  <si>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</si>
  <si>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</si>
  <si>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</si>
  <si>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</si>
  <si>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</si>
  <si>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</si>
  <si>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</si>
  <si>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</si>
  <si>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</si>
  <si>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</si>
  <si>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</si>
  <si>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</si>
  <si>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</si>
  <si>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</si>
  <si>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</si>
  <si>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</si>
  <si>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</si>
  <si>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</si>
  <si>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</si>
  <si>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</si>
  <si>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</si>
  <si>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</si>
  <si>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</si>
  <si>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</si>
  <si>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</si>
  <si>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</si>
  <si>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</si>
  <si>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</si>
  <si>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</si>
  <si>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</si>
  <si>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</si>
  <si>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</si>
  <si>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</si>
  <si>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</si>
  <si>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</si>
  <si>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</si>
  <si>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</si>
  <si>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</si>
  <si>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</si>
  <si>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</si>
  <si>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</si>
  <si>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</si>
  <si>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</si>
  <si>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</si>
  <si>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</si>
  <si>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</si>
  <si>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</si>
  <si>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</si>
  <si>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</si>
  <si>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</si>
  <si>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</si>
  <si>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</si>
  <si>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</si>
  <si>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</si>
  <si>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</si>
  <si>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</si>
  <si>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</si>
  <si>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</si>
  <si>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</si>
  <si>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</si>
  <si>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</si>
  <si>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</si>
  <si>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</si>
  <si>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</si>
  <si>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</si>
  <si>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</si>
  <si>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</si>
  <si>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</si>
  <si>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</si>
  <si>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</si>
  <si>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</si>
  <si>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</si>
  <si>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</si>
  <si>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</si>
  <si>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</si>
  <si>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</si>
  <si>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</si>
  <si>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</si>
  <si>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</si>
  <si>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</si>
  <si>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</si>
  <si>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</si>
  <si>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</si>
  <si>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</si>
  <si>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</si>
  <si>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</si>
  <si>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</si>
  <si>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egypt01</t>
    <phoneticPr fontId="22"/>
  </si>
  <si>
    <t>old</t>
  </si>
  <si>
    <t>old</t>
    <phoneticPr fontId="22"/>
  </si>
  <si>
    <t>ability_id</t>
    <phoneticPr fontId="22"/>
  </si>
  <si>
    <t>ability_param</t>
    <phoneticPr fontId="22"/>
  </si>
  <si>
    <t>valid_flg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</si>
  <si>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</si>
  <si>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</si>
  <si>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</si>
  <si>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</si>
  <si>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</si>
  <si>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</si>
  <si>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</si>
  <si>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</si>
  <si>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abilities_tmp_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</si>
  <si>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</si>
  <si>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</si>
  <si>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</si>
  <si>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</si>
  <si>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</si>
  <si>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</si>
  <si>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language</t>
    <phoneticPr fontId="22"/>
  </si>
  <si>
    <t>name</t>
    <phoneticPr fontId="22"/>
  </si>
  <si>
    <t>comment</t>
    <phoneticPr fontId="22"/>
  </si>
  <si>
    <t>unit_abilities_</t>
    <phoneticPr fontId="22"/>
  </si>
  <si>
    <t>unit_abilities</t>
    <phoneticPr fontId="22"/>
  </si>
  <si>
    <t>character_id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</si>
  <si>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</si>
  <si>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</si>
  <si>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</si>
  <si>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</si>
  <si>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character_id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</si>
  <si>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</si>
  <si>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</si>
  <si>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</si>
  <si>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</si>
  <si>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</si>
  <si>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</si>
  <si>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</si>
  <si>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</si>
  <si>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</si>
  <si>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name</t>
    <phoneticPr fontId="9"/>
  </si>
  <si>
    <t>base_character_id</t>
    <phoneticPr fontId="9"/>
  </si>
  <si>
    <t>name</t>
    <phoneticPr fontId="9"/>
  </si>
  <si>
    <t>awake_cost</t>
    <phoneticPr fontId="9"/>
  </si>
  <si>
    <t>normal</t>
    <phoneticPr fontId="9"/>
  </si>
  <si>
    <t>normal</t>
    <phoneticPr fontId="9"/>
  </si>
  <si>
    <t>awake_character_id</t>
    <phoneticPr fontId="9"/>
  </si>
  <si>
    <t>name</t>
    <phoneticPr fontId="9"/>
  </si>
  <si>
    <t>priority</t>
    <phoneticPr fontId="9"/>
  </si>
  <si>
    <t>fork_awake_units_</t>
    <phoneticPr fontId="22"/>
  </si>
  <si>
    <t>.tmp</t>
    <phoneticPr fontId="22"/>
  </si>
  <si>
    <t>fork_awake_units</t>
    <phoneticPr fontId="22"/>
  </si>
  <si>
    <t>character_id</t>
    <phoneticPr fontId="22"/>
  </si>
  <si>
    <t>awake_character_id</t>
    <phoneticPr fontId="22"/>
  </si>
  <si>
    <t>awake_cost</t>
    <phoneticPr fontId="22"/>
  </si>
  <si>
    <t>awake_type</t>
    <phoneticPr fontId="22"/>
  </si>
  <si>
    <t>fork_awake_materials_</t>
    <phoneticPr fontId="22"/>
  </si>
  <si>
    <t>awake_character_id</t>
    <phoneticPr fontId="22"/>
  </si>
  <si>
    <t>material_character_id</t>
    <phoneticPr fontId="22"/>
  </si>
  <si>
    <t>priority</t>
    <phoneticPr fontId="22"/>
  </si>
  <si>
    <t>egypt01</t>
    <phoneticPr fontId="22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</si>
  <si>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</si>
  <si>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</si>
  <si>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</si>
  <si>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</si>
  <si>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1.7.0</t>
    <phoneticPr fontId="22"/>
  </si>
  <si>
    <t>0</t>
    <phoneticPr fontId="22"/>
  </si>
  <si>
    <t>1体に超大ダメージ</t>
    <phoneticPr fontId="22"/>
  </si>
  <si>
    <t>1体に特大ダメージ</t>
    <phoneticPr fontId="22"/>
  </si>
  <si>
    <t>[effect:damage, target:enemy_one, color:red, val:2.25, animation:damage_one_red04]</t>
    <phoneticPr fontId="22"/>
  </si>
  <si>
    <t>[effect:damage, target:enemy_one, color:red, val:2.5, animation:damage_one_red04]</t>
    <phoneticPr fontId="22"/>
  </si>
  <si>
    <t>単体に2連続ダメージ</t>
    <phoneticPr fontId="22"/>
  </si>
  <si>
    <t>[effect:damage, target:enemy_one, color:yellow, val:0.63, animation:damage_one_yellow02],
[effect:damage, target:enemy_one, color:yellow, val:0.63, animation:damage_one_yellow02]</t>
    <phoneticPr fontId="22"/>
  </si>
  <si>
    <t>[effect:damage, target:enemy_one, color:blue, val:2.25, animation:damage_one_blue04]</t>
    <phoneticPr fontId="22"/>
  </si>
  <si>
    <t>1体に小ダメージ+
HPを大回復</t>
    <phoneticPr fontId="22"/>
  </si>
  <si>
    <t>[effect:damage, target:enemy_one, color:red, val:0.9, animation:damage_one_red02],[effect:heal_ratio, val:0.3, animation:heal_unit, animation:heal02_unit01]</t>
    <phoneticPr fontId="22"/>
  </si>
  <si>
    <t>[effect:damage, target:enemy_one, color:green, val:2.5, animation:damage_one_green04]</t>
    <phoneticPr fontId="22"/>
  </si>
  <si>
    <t>1体に特大ダメージ</t>
    <phoneticPr fontId="22"/>
  </si>
  <si>
    <t>[effect:damage, target:enemy_one, color:green, val:2.25, animation:damage_one_green04]</t>
    <phoneticPr fontId="22"/>
  </si>
  <si>
    <t>1体に大ダメージ+
2ターン回復力小UP</t>
    <phoneticPr fontId="22"/>
  </si>
  <si>
    <t>bug</t>
    <phoneticPr fontId="22"/>
  </si>
  <si>
    <t>1</t>
    <phoneticPr fontId="22"/>
  </si>
  <si>
    <t>30</t>
    <phoneticPr fontId="22"/>
  </si>
  <si>
    <t>赤・青・黄パネルを緑パネルに変換</t>
    <phoneticPr fontId="22"/>
  </si>
  <si>
    <t>赤・青・黄パネルを緑パネルに変換</t>
    <phoneticPr fontId="22"/>
  </si>
  <si>
    <t>お邪魔パネルを青パネルに変換+3ターン青属性の攻撃力を特大UP</t>
    <phoneticPr fontId="22"/>
  </si>
  <si>
    <t>[effect:damage_hp, target:enemy_one, color:green, val:1.25, animation:damage_one_green04]</t>
    <phoneticPr fontId="22"/>
  </si>
  <si>
    <t>自身のHPの最大値に比例して
単体に超大ダメージ</t>
    <phoneticPr fontId="22"/>
  </si>
  <si>
    <t>赤パネルを緑パネルに変換+3ターン緑属性の防御力を超大UPし、HP中回復する</t>
    <phoneticPr fontId="22"/>
  </si>
  <si>
    <t>HP70%以上 攻撃力UP</t>
    <phoneticPr fontId="22"/>
  </si>
  <si>
    <t>HPが70%以上の時自身の攻撃力特大UP</t>
    <phoneticPr fontId="22"/>
  </si>
  <si>
    <t>[effect:enhance_unit, target:myself, turn:1, status:attack, val:0.25, calc:mul, animation:enhance_unit_all_attack03]</t>
    <phoneticPr fontId="22"/>
  </si>
  <si>
    <t>[condition:hp_rate,lower:70]</t>
    <phoneticPr fontId="22"/>
  </si>
  <si>
    <t>にゃんだふる・ぱんち！</t>
  </si>
  <si>
    <t>ソーサライズ・ナイル</t>
  </si>
  <si>
    <t>天愛呼ぶ癒煌</t>
  </si>
  <si>
    <t>キャット･スラッシュエッジ</t>
  </si>
  <si>
    <t>キャット･スラッシュエッジ</t>
    <phoneticPr fontId="22"/>
  </si>
  <si>
    <t>碧風走る魔杖</t>
    <phoneticPr fontId="22"/>
  </si>
  <si>
    <t>硝焔・豪炎撃</t>
    <phoneticPr fontId="22"/>
  </si>
  <si>
    <t>灼熔・煉獄斬撃</t>
  </si>
  <si>
    <t>アレキサンド・メテオ</t>
  </si>
  <si>
    <t>この熱に耐えられるかい？</t>
  </si>
  <si>
    <t>俺の光は闇を裂く…！</t>
  </si>
  <si>
    <t>今でも力は健在だ</t>
  </si>
  <si>
    <t>熔かし尽くしてみせよう</t>
    <phoneticPr fontId="22"/>
  </si>
  <si>
    <t>何時でも光は消えないさ</t>
  </si>
  <si>
    <t>光陽の力…見せようか</t>
  </si>
  <si>
    <t>giza</t>
    <phoneticPr fontId="22"/>
  </si>
  <si>
    <t>魔術の力…受けてみる？</t>
  </si>
  <si>
    <t>生命の息吹は偉大なのよ！</t>
  </si>
  <si>
    <t>何度でも蘇らせる…！</t>
  </si>
  <si>
    <t>まったく悪い子ね…</t>
  </si>
  <si>
    <t>あらあら…</t>
  </si>
  <si>
    <t>おイタしちゃダメよ？</t>
  </si>
  <si>
    <t>何も怖がらなくていいんですよ</t>
  </si>
  <si>
    <t>そろそろ本気…出しましょうか</t>
  </si>
  <si>
    <t>愛で包んであげますよ…</t>
  </si>
  <si>
    <t>裏の顔…見たいですか？</t>
  </si>
  <si>
    <t>幸運を祈りましょうか…</t>
  </si>
  <si>
    <t>うちの爪は痛いよ〜？</t>
  </si>
  <si>
    <t>kumo</t>
    <phoneticPr fontId="22"/>
  </si>
  <si>
    <t>にゃにゃーんと参上ッ！</t>
  </si>
  <si>
    <t>うちの全力、見ててよねー！</t>
  </si>
  <si>
    <t>giza</t>
    <phoneticPr fontId="22"/>
  </si>
  <si>
    <t>うにゃにゃにゃにゃー！！</t>
  </si>
  <si>
    <t>ひっさつねこパーンチ！</t>
  </si>
  <si>
    <t>はーい！やっちゃうよ！</t>
  </si>
  <si>
    <t>ネザーグロウ・パニッシャー</t>
  </si>
  <si>
    <t>命吹の護祈</t>
  </si>
  <si>
    <t>クライムファング</t>
  </si>
  <si>
    <t>虐暴する豪牙</t>
    <phoneticPr fontId="22"/>
  </si>
  <si>
    <t>スコルピ・シザーズ</t>
  </si>
  <si>
    <t>冥廻する戦剣</t>
  </si>
  <si>
    <t>巡冥する戦双剣</t>
    <phoneticPr fontId="22"/>
  </si>
  <si>
    <t>ワタシが癒してあげようか</t>
  </si>
  <si>
    <t>何からでも護ってあげよう</t>
  </si>
  <si>
    <t>毒を食らうと思ったかい？</t>
  </si>
  <si>
    <t>来世に期待するんだね</t>
  </si>
  <si>
    <t>恐ろしい…？ほぅ…</t>
  </si>
  <si>
    <t>深緑で満たしてやろうか？</t>
  </si>
  <si>
    <t>審判の刻が来たようだな</t>
  </si>
  <si>
    <t>冥土への餞別だ</t>
  </si>
  <si>
    <t>…冥界に誘おうか</t>
  </si>
  <si>
    <t>冥府の力…見たいか？</t>
  </si>
  <si>
    <t>永遠へ導いてあげよう</t>
  </si>
  <si>
    <t>[effect:force_change_block, new_block:crash, target:block_all, ignore:crash, ignore02:jammer, count:2, val:12, animation:change_block]    ,[effect:enhance_unit, target:unit_red, turn:2, status:heal, val:0.45, calc:mul, animation:enhance_unit_all_heal02_unit01]</t>
    <phoneticPr fontId="22"/>
  </si>
  <si>
    <t>黄パネルをランダムで最大6つCパネルに変換+出現しているCパネルをランダムで最大4つ超大強化</t>
    <phoneticPr fontId="22"/>
  </si>
  <si>
    <t>ランダムで最大2つSCパネルに変換+2ターン赤属性の回復力を特大UP</t>
    <phoneticPr fontId="22"/>
  </si>
  <si>
    <t>[effect:force_change_block, new_block:crash, target:block_yellow, ignore:crash, count:6, val:6, animation:change_block],[effect:crash_growth,count:4, val:8, animation:change_block]</t>
    <phoneticPr fontId="22"/>
  </si>
  <si>
    <t>[effect:force_change_block, new_block:crash, target:block_all, ignore:crash, count:2, val:12, animation:change_block]    ,[effect:enhance_unit, target:unit_red, turn:2, status:heal, val:0.45, calc:mul, animation:enhance_unit_all_heal02_unit01]</t>
    <phoneticPr fontId="22"/>
  </si>
  <si>
    <t>[effect:force_change_block, new_block:block_blue, target:jammer, ignore:block_blue, count:0, val:0, animation:change_block],[effect:enhance_unit, target:unit_blue, turn:3, status:attack, val:0.255, calc:mul, animation:enhance_unit_all_attack03_unit01]</t>
    <phoneticPr fontId="22"/>
  </si>
  <si>
    <t>[effect:enhance_unit, target:unit_green, turn:3, status:defense, val:1920, calc:add, animation:enhance_unit_all_defense03_unit01],[effect:force_change_block, new_block:block_green, target:block_red, ignore:block_green,  count:0, val:0, animation:change_block],[effect:regenerate, turn:3, val:0.6, animation:heal_unit]</t>
    <phoneticPr fontId="22"/>
  </si>
  <si>
    <t>出現しているボムパネルを特大強化する+3ターン種族アニマルの回復力を特大UP</t>
    <phoneticPr fontId="22"/>
  </si>
  <si>
    <t>[effect:scale_bomb, count:-1, val:3, animation:change_block],[effect:enhance_unit, target:unit_animal, turn:3, status:heal, val:0.6, calc:mul, animation:enhance_unit_all_heal04]</t>
    <phoneticPr fontId="22"/>
  </si>
  <si>
    <t>[effect:damage, target:enemy_one, color:blue, val:1.2, animation:damage_one_blue04],
[effect:enhance_unit, target:unit_all, turn:2, status:heal, val:0.015, calc:mul,animation:enhance_unit_all_heal01_unit01]</t>
    <phoneticPr fontId="22"/>
  </si>
  <si>
    <t>[effect:damage, target:enemy_one, color:blue, val:1.2, animation:damage_one_blue04],
[effect:enhance_unit, target:unit_all, turn:2, status:heal, val:0.015, calc:mul,animation:enhance_unit_all_heal01_unit01]</t>
    <phoneticPr fontId="22"/>
  </si>
  <si>
    <t>ガアアアア！！</t>
  </si>
  <si>
    <t>グオォアアァァッ！！！</t>
  </si>
  <si>
    <t>グアァアァ！！！</t>
  </si>
  <si>
    <t>giza</t>
    <phoneticPr fontId="22"/>
  </si>
  <si>
    <t>ゴオアァァッ</t>
    <phoneticPr fontId="22"/>
  </si>
  <si>
    <t>ガルルルルルル…</t>
  </si>
  <si>
    <t>giza</t>
    <phoneticPr fontId="22"/>
  </si>
  <si>
    <t>15</t>
    <phoneticPr fontId="22"/>
  </si>
  <si>
    <t>[effect:force_change_block, new_block:block_green, target:block_red, ignore:block_green, count:0, val:0, animation:change_block],[effect:force_change_block, new_block:block_green, target:block_yellow, ignore:block_green, count:0, val:0, animation:change_block],[effect:force_change_block, new_block:block_green, target:block_blue, ignore:block_green, count:0, val:0, animation:change_block]</t>
    <phoneticPr fontId="22"/>
  </si>
  <si>
    <t>[effect:force_change_block, new_block:block_green, target:block_red, ignore:block_green, count:0, val:0, animation:change_block],[effect:force_change_block, new_block:block_green, target:block_yellow, ignore:block_green, count:0, val:0, animation:change_block],[effect:force_change_block, new_block:block_green, target:block_blue, ignore:block_green, count:0, val:0, animation:change_block]</t>
    <phoneticPr fontId="22"/>
  </si>
  <si>
    <t xml:space="preserve">[effect:special_block,val:24, count:2, animation:change_block],[effect:sp_boost, target:unit_blue, val:1, animation:sp_boost_one03]    </t>
    <phoneticPr fontId="22"/>
  </si>
  <si>
    <t>ノイジー･テンペスト</t>
  </si>
  <si>
    <t>ハハッ…力が溢れてくる…！</t>
  </si>
  <si>
    <t>giza</t>
    <phoneticPr fontId="22"/>
  </si>
  <si>
    <t>自身のCスキルの威力をUP</t>
  </si>
  <si>
    <t>[condition:always]</t>
  </si>
  <si>
    <t>[effect:damage_up, target:myself, val:1.3, turn:1, type01:crash_skill,option:killer]</t>
  </si>
  <si>
    <t>Cスキル威力UP</t>
  </si>
  <si>
    <t>誰よりも…強い力を！！</t>
  </si>
  <si>
    <t>何もかも無駄なんだよ…！</t>
  </si>
  <si>
    <t>ハイハイご苦労さん…</t>
  </si>
  <si>
    <t>所詮おれ一人じゃ…何てな</t>
  </si>
  <si>
    <t>獣撃の力に震えろ…！</t>
  </si>
  <si>
    <t>簒奪する獣轟</t>
  </si>
  <si>
    <t>1体に超大ダメージ</t>
    <phoneticPr fontId="22"/>
  </si>
  <si>
    <t>[effect:damage, target:enemy_one, color:blue, val:2.5, animation:damage_one_blue04]</t>
    <phoneticPr fontId="22"/>
  </si>
  <si>
    <t>[effect:damage, target:enemy_one, color:blue, val:2.5, animation:damage_one_blue04]</t>
    <phoneticPr fontId="22"/>
  </si>
  <si>
    <t>label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</si>
  <si>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</si>
  <si>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</si>
  <si>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</si>
  <si>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</si>
  <si>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</si>
  <si>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</si>
  <si>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</si>
  <si>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</si>
  <si>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</si>
  <si>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</si>
  <si>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</si>
  <si>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</si>
  <si>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</si>
  <si>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</si>
  <si>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</si>
  <si>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</si>
  <si>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</si>
  <si>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</si>
  <si>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</si>
  <si>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22"/>
  </si>
  <si>
    <t>sell_ghosts</t>
    <phoneticPr fontId="10"/>
  </si>
  <si>
    <t>[effect:force_change_block, new_block:block_green, target:block_red, count:0, val:0, animation:change_block],[effect:force_change_block, new_block:block_yellow, target:block_blue, count:0, val:0, animation:change_block],[effect:enhance_unit, target:unit_green, turn:3, status:defense, val:1920, calc:add, animation:enhance_unit_all_defense04],[effect:regenerate, turn:3, val:0.6, animation:heal_unit]</t>
    <phoneticPr fontId="22"/>
  </si>
  <si>
    <t>赤パネルを緑パネルに、青パネルを黄パネルに変換+3ターン緑属性の防御力を超大UPし、HP中回復する</t>
    <phoneticPr fontId="22"/>
  </si>
  <si>
    <t>単体に2回大ダメージ</t>
    <phoneticPr fontId="22"/>
  </si>
  <si>
    <t>[effect:damage, target:enemy_one, color:yellow, val:1.2, animation:damage_one_yellow03],[effect:damage, target:enemy_one, color:yellow, val:1.2, animation:damage_one_yellow03]</t>
    <phoneticPr fontId="22"/>
  </si>
  <si>
    <t>黄パネルをランダムで最大6つCパネルに変換+出現しているCパネルをランダムで最大5つ超大強化</t>
    <phoneticPr fontId="22"/>
  </si>
  <si>
    <t>[effect:force_change_block, new_block:crash, target:block_yellow, ignore:crash, count:6, val:6, animation:change_block],[effect:crash_growth,count:5, val:8, animation:change_block]</t>
    <phoneticPr fontId="22"/>
  </si>
  <si>
    <t>category</t>
    <phoneticPr fontId="22"/>
  </si>
  <si>
    <t>攻撃力UP</t>
    <phoneticPr fontId="22"/>
  </si>
  <si>
    <t>その他</t>
    <phoneticPr fontId="22"/>
  </si>
  <si>
    <t>ランダムで2つSCパネル(大)に変換+青属性ユニットのスキルターン1短縮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</si>
</sst>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0" tint="-0.14999847407452621"/>
        <bgColor indexed="55"/>
      </patternFill>
    </fill>
  </fills>
  <borders count="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458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0" fillId="0" borderId="0" xfId="0" applyFill="1"/>
    <xf numFmtId="0" fontId="16" fillId="0" borderId="1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6" fillId="0" borderId="4" xfId="0" applyFont="1" applyFill="1" applyBorder="1"/>
    <xf numFmtId="0" fontId="12" fillId="28" borderId="4" xfId="0" applyFont="1" applyFill="1" applyBorder="1" applyAlignment="1">
      <alignment horizontal="center"/>
    </xf>
    <xf numFmtId="0" fontId="16" fillId="7" borderId="28" xfId="0" applyFont="1" applyFill="1" applyBorder="1" applyAlignment="1">
      <alignment horizontal="left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3" fillId="8" borderId="4" xfId="0" applyFont="1" applyFill="1" applyBorder="1"/>
    <xf numFmtId="0" fontId="13" fillId="0" borderId="6" xfId="0" applyFont="1" applyFill="1" applyBorder="1"/>
    <xf numFmtId="0" fontId="13" fillId="0" borderId="4" xfId="0" applyFont="1" applyFill="1" applyBorder="1"/>
    <xf numFmtId="0" fontId="12" fillId="22" borderId="4" xfId="0" applyNumberFormat="1" applyFont="1" applyFill="1" applyBorder="1" applyAlignment="1">
      <alignment vertical="center"/>
    </xf>
    <xf numFmtId="0" fontId="13" fillId="0" borderId="4" xfId="0" applyFont="1" applyFill="1" applyBorder="1" applyAlignment="1">
      <alignment vertical="center" wrapText="1"/>
    </xf>
    <xf numFmtId="0" fontId="16" fillId="29" borderId="4" xfId="0" applyFont="1" applyFill="1" applyBorder="1"/>
    <xf numFmtId="0" fontId="0" fillId="25" borderId="4" xfId="0" applyFill="1" applyBorder="1" applyAlignment="1">
      <alignment horizontal="center"/>
    </xf>
    <xf numFmtId="0" fontId="16" fillId="19" borderId="4" xfId="0" applyNumberFormat="1" applyFont="1" applyFill="1" applyBorder="1" applyAlignment="1">
      <alignment vertical="center"/>
    </xf>
  </cellXfs>
  <cellStyles count="458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900000</v>
          </cell>
          <cell r="B291" t="str">
            <v>ja</v>
          </cell>
          <cell r="C291" t="str">
            <v>フィーバー100 プロテクトブレイク</v>
          </cell>
          <cell r="D291" t="str">
            <v>フィーバーゲージが100％以上の時、1ターンプロテクトブレイク</v>
          </cell>
        </row>
        <row r="292">
          <cell r="A292">
            <v>900001</v>
          </cell>
          <cell r="B292" t="str">
            <v>ja</v>
          </cell>
          <cell r="C292" t="str">
            <v>フィーバー100 お邪魔ブレイク</v>
          </cell>
          <cell r="D292" t="str">
            <v>フィーバーゲージが100％以上の時、1ターンお邪魔ブレイク</v>
          </cell>
        </row>
        <row r="293">
          <cell r="A293">
            <v>900402</v>
          </cell>
          <cell r="B293" t="str">
            <v>ja</v>
          </cell>
          <cell r="C293" t="str">
            <v>バリア3500</v>
          </cell>
          <cell r="D293" t="str">
            <v>戦闘開始時に、自身への直接ダメージを3500まで防ぐバリアを一度だけ展開(バリアは破壊されると復活しない)</v>
          </cell>
        </row>
        <row r="294">
          <cell r="A294">
            <v>810202</v>
          </cell>
          <cell r="B294" t="str">
            <v>ja</v>
          </cell>
          <cell r="C294" t="str">
            <v>パネルブレイク50 ダメージ軽減</v>
          </cell>
          <cell r="D294" t="str">
            <v>自身が先頭の時、1ターンの間に合計50個以上パネルを破壊した場合敵からのダメージを15%軽減（1ターンに1度だけ発動）</v>
          </cell>
        </row>
        <row r="295">
          <cell r="A295">
            <v>811802</v>
          </cell>
          <cell r="B295" t="str">
            <v>ja</v>
          </cell>
          <cell r="C295" t="str">
            <v>ターン攻撃力UP</v>
          </cell>
          <cell r="D295" t="str">
            <v>最初の1ターン目と、その後6ターン毎に1ターン種族ドラゴン・ファンタジー・アニマルの攻撃力1000UP</v>
          </cell>
        </row>
        <row r="296">
          <cell r="A296">
            <v>812002</v>
          </cell>
          <cell r="B296" t="str">
            <v>ja</v>
          </cell>
          <cell r="C296" t="str">
            <v>ターンタップ増加</v>
          </cell>
          <cell r="D296" t="str">
            <v>最初の1ターン目と、その後6ターン毎に1ターン種族ドラゴン・ファンタジー・アニマルのタップ数1増加</v>
          </cell>
        </row>
        <row r="297">
          <cell r="A297">
            <v>811803</v>
          </cell>
          <cell r="B297" t="str">
            <v>ja</v>
          </cell>
          <cell r="C297" t="str">
            <v>端午クエスト ダメージUP</v>
          </cell>
          <cell r="D297" t="str">
            <v>端午クエスト内で自身の全ての攻撃の威力をUP</v>
          </cell>
        </row>
        <row r="298">
          <cell r="A298">
            <v>900802</v>
          </cell>
          <cell r="B298" t="str">
            <v>ja</v>
          </cell>
          <cell r="C298" t="str">
            <v>ターン攻撃力UP</v>
          </cell>
          <cell r="D29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K14" sqref="K14"/>
    </sheetView>
  </sheetViews>
  <sheetFormatPr baseColWidth="12" defaultRowHeight="15" x14ac:dyDescent="0.15"/>
  <cols>
    <col min="2" max="2" width="25.6640625" customWidth="1"/>
    <col min="5" max="5" width="54" customWidth="1"/>
    <col min="6" max="6" width="22.1640625" bestFit="1" customWidth="1"/>
    <col min="7" max="12" width="17.6640625" customWidth="1"/>
  </cols>
  <sheetData>
    <row r="1" spans="1:29" x14ac:dyDescent="0.15">
      <c r="A1" s="106" t="s">
        <v>125</v>
      </c>
      <c r="B1" s="106" t="s">
        <v>116</v>
      </c>
      <c r="C1" s="106" t="s">
        <v>117</v>
      </c>
      <c r="D1" s="106" t="s">
        <v>118</v>
      </c>
      <c r="E1" s="106" t="s">
        <v>119</v>
      </c>
      <c r="F1" s="106" t="s">
        <v>120</v>
      </c>
      <c r="G1" s="106" t="s">
        <v>121</v>
      </c>
      <c r="H1" s="106"/>
      <c r="I1" s="106"/>
      <c r="J1" s="106"/>
      <c r="K1" s="106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</row>
    <row r="2" spans="1:29" x14ac:dyDescent="0.15">
      <c r="A2" s="108" t="s">
        <v>254</v>
      </c>
      <c r="B2" s="108" t="s">
        <v>129</v>
      </c>
      <c r="C2" s="166" t="s">
        <v>253</v>
      </c>
      <c r="D2" s="108" t="s">
        <v>128</v>
      </c>
      <c r="E2" s="107" t="str">
        <f>B2&amp;C2&amp;D2</f>
        <v>units_egypt01.tmp</v>
      </c>
      <c r="F2" s="108" t="s">
        <v>124</v>
      </c>
      <c r="G2" s="62" t="s">
        <v>17</v>
      </c>
      <c r="H2" s="63" t="s">
        <v>96</v>
      </c>
      <c r="I2" s="63" t="s">
        <v>1</v>
      </c>
      <c r="J2" s="63" t="s">
        <v>3</v>
      </c>
      <c r="K2" s="63" t="s">
        <v>2</v>
      </c>
      <c r="L2" s="63" t="s">
        <v>98</v>
      </c>
      <c r="M2" s="63" t="s">
        <v>20</v>
      </c>
      <c r="N2" s="63" t="s">
        <v>103</v>
      </c>
      <c r="O2" s="63" t="s">
        <v>101</v>
      </c>
      <c r="P2" s="63" t="s">
        <v>39</v>
      </c>
      <c r="Q2" s="63" t="s">
        <v>57</v>
      </c>
      <c r="R2" s="108" t="s">
        <v>458</v>
      </c>
      <c r="S2" s="108"/>
      <c r="T2" s="108"/>
      <c r="U2" s="108"/>
      <c r="V2" s="108"/>
      <c r="W2" s="108"/>
    </row>
    <row r="3" spans="1:29" x14ac:dyDescent="0.15">
      <c r="A3" s="108" t="s">
        <v>254</v>
      </c>
      <c r="B3" s="108" t="s">
        <v>303</v>
      </c>
      <c r="C3" s="166" t="s">
        <v>253</v>
      </c>
      <c r="D3" s="108" t="s">
        <v>304</v>
      </c>
      <c r="E3" s="107" t="str">
        <f>B3&amp;C3&amp;D3</f>
        <v>fork_awake_units_egypt01.tmp</v>
      </c>
      <c r="F3" s="108" t="s">
        <v>305</v>
      </c>
      <c r="G3" s="193" t="s">
        <v>306</v>
      </c>
      <c r="H3" s="194" t="s">
        <v>307</v>
      </c>
      <c r="I3" s="194" t="s">
        <v>308</v>
      </c>
      <c r="J3" s="195" t="s">
        <v>309</v>
      </c>
      <c r="K3" s="196"/>
      <c r="L3" s="197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</row>
    <row r="4" spans="1:29" x14ac:dyDescent="0.15">
      <c r="A4" s="108" t="s">
        <v>254</v>
      </c>
      <c r="B4" s="108" t="s">
        <v>130</v>
      </c>
      <c r="C4" s="166" t="s">
        <v>253</v>
      </c>
      <c r="D4" s="108" t="s">
        <v>128</v>
      </c>
      <c r="E4" s="107" t="str">
        <f>B4&amp;C4&amp;D4</f>
        <v>awake_materials_egypt01.tmp</v>
      </c>
      <c r="F4" s="108" t="s">
        <v>123</v>
      </c>
      <c r="G4" s="109" t="s">
        <v>38</v>
      </c>
      <c r="H4" s="110" t="s">
        <v>36</v>
      </c>
      <c r="I4" s="110" t="s">
        <v>37</v>
      </c>
      <c r="J4" s="112" t="s">
        <v>126</v>
      </c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</row>
    <row r="5" spans="1:29" x14ac:dyDescent="0.15">
      <c r="A5" s="108" t="s">
        <v>254</v>
      </c>
      <c r="B5" s="108" t="s">
        <v>310</v>
      </c>
      <c r="C5" s="166" t="s">
        <v>314</v>
      </c>
      <c r="D5" s="108" t="s">
        <v>128</v>
      </c>
      <c r="E5" s="107" t="str">
        <f>B5&amp;C5&amp;D5</f>
        <v>fork_awake_materials_egypt01.tmp</v>
      </c>
      <c r="F5" s="108" t="s">
        <v>123</v>
      </c>
      <c r="G5" s="193" t="s">
        <v>284</v>
      </c>
      <c r="H5" s="194" t="s">
        <v>311</v>
      </c>
      <c r="I5" s="194" t="s">
        <v>312</v>
      </c>
      <c r="J5" s="194" t="s">
        <v>37</v>
      </c>
      <c r="K5" s="195" t="s">
        <v>126</v>
      </c>
      <c r="L5" s="195" t="s">
        <v>313</v>
      </c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</row>
    <row r="6" spans="1:29" x14ac:dyDescent="0.15">
      <c r="A6" s="108" t="s">
        <v>255</v>
      </c>
      <c r="B6" s="108" t="s">
        <v>131</v>
      </c>
      <c r="C6" s="166" t="s">
        <v>253</v>
      </c>
      <c r="D6" s="108" t="s">
        <v>132</v>
      </c>
      <c r="E6" s="107" t="str">
        <f t="shared" ref="E6" si="0">B6&amp;C6&amp;D6</f>
        <v>unit_levels_calc_egypt01.tmp</v>
      </c>
      <c r="F6" s="108" t="s">
        <v>122</v>
      </c>
      <c r="G6" s="58" t="s">
        <v>17</v>
      </c>
      <c r="H6" s="59" t="s">
        <v>2</v>
      </c>
      <c r="I6" s="60" t="s">
        <v>79</v>
      </c>
      <c r="J6" s="60" t="s">
        <v>80</v>
      </c>
      <c r="K6" s="60" t="s">
        <v>81</v>
      </c>
      <c r="L6" s="60" t="s">
        <v>82</v>
      </c>
      <c r="M6" s="60" t="s">
        <v>87</v>
      </c>
      <c r="N6" s="60" t="s">
        <v>88</v>
      </c>
      <c r="O6" s="60" t="s">
        <v>89</v>
      </c>
      <c r="P6" s="60" t="s">
        <v>90</v>
      </c>
      <c r="Q6" s="60" t="s">
        <v>91</v>
      </c>
      <c r="R6" s="60" t="s">
        <v>94</v>
      </c>
      <c r="S6" s="60" t="s">
        <v>92</v>
      </c>
      <c r="T6" s="60" t="s">
        <v>93</v>
      </c>
      <c r="U6" s="60" t="s">
        <v>83</v>
      </c>
      <c r="V6" s="60" t="s">
        <v>84</v>
      </c>
      <c r="W6" s="60" t="s">
        <v>85</v>
      </c>
    </row>
    <row r="7" spans="1:29" x14ac:dyDescent="0.15">
      <c r="A7" s="108" t="s">
        <v>255</v>
      </c>
      <c r="B7" s="108" t="s">
        <v>143</v>
      </c>
      <c r="C7" s="166" t="s">
        <v>253</v>
      </c>
      <c r="D7" s="108" t="s">
        <v>144</v>
      </c>
      <c r="E7" s="107" t="str">
        <f>B7&amp;C7&amp;D7</f>
        <v>unit_skills_data_egypt01.tmp</v>
      </c>
      <c r="F7" s="108" t="s">
        <v>145</v>
      </c>
      <c r="G7" s="116" t="s">
        <v>20</v>
      </c>
      <c r="H7" s="116" t="s">
        <v>146</v>
      </c>
      <c r="I7" s="116" t="s">
        <v>2</v>
      </c>
      <c r="J7" s="116" t="s">
        <v>147</v>
      </c>
      <c r="K7" s="116" t="s">
        <v>148</v>
      </c>
      <c r="L7" s="116" t="s">
        <v>4</v>
      </c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9" x14ac:dyDescent="0.15">
      <c r="A8" s="108" t="s">
        <v>255</v>
      </c>
      <c r="B8" s="108" t="s">
        <v>149</v>
      </c>
      <c r="C8" s="166" t="s">
        <v>253</v>
      </c>
      <c r="D8" s="108" t="s">
        <v>128</v>
      </c>
      <c r="E8" s="107" t="str">
        <f>B8&amp;C8&amp;D8</f>
        <v>unit_skills_i18n_egypt01.tmp</v>
      </c>
      <c r="F8" s="108" t="s">
        <v>145</v>
      </c>
      <c r="G8" s="116" t="s">
        <v>150</v>
      </c>
      <c r="H8" s="116" t="s">
        <v>134</v>
      </c>
      <c r="I8" s="116" t="s">
        <v>151</v>
      </c>
      <c r="J8" s="116" t="s">
        <v>152</v>
      </c>
      <c r="K8" s="111"/>
      <c r="L8" s="111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9" x14ac:dyDescent="0.15">
      <c r="A9" s="108" t="s">
        <v>255</v>
      </c>
      <c r="B9" s="108" t="s">
        <v>153</v>
      </c>
      <c r="C9" s="166" t="s">
        <v>253</v>
      </c>
      <c r="D9" s="108" t="s">
        <v>154</v>
      </c>
      <c r="E9" s="107" t="str">
        <f>B9&amp;C9&amp;D9</f>
        <v>crash_skills_data_egypt01.tmp</v>
      </c>
      <c r="F9" s="108" t="s">
        <v>155</v>
      </c>
      <c r="G9" s="116" t="s">
        <v>156</v>
      </c>
      <c r="H9" s="116" t="s">
        <v>148</v>
      </c>
      <c r="I9" s="116" t="s">
        <v>4</v>
      </c>
      <c r="J9" s="111"/>
      <c r="K9" s="111"/>
      <c r="L9" s="111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29" x14ac:dyDescent="0.15">
      <c r="A10" s="108" t="s">
        <v>255</v>
      </c>
      <c r="B10" s="108" t="s">
        <v>157</v>
      </c>
      <c r="C10" s="166" t="s">
        <v>253</v>
      </c>
      <c r="D10" s="108" t="s">
        <v>158</v>
      </c>
      <c r="E10" s="107" t="str">
        <f t="shared" ref="E10" si="1">B10&amp;C10&amp;D10</f>
        <v>crash_skills_i18n_egypt01.tmp</v>
      </c>
      <c r="F10" s="108" t="s">
        <v>155</v>
      </c>
      <c r="G10" s="116" t="s">
        <v>159</v>
      </c>
      <c r="H10" s="116" t="s">
        <v>160</v>
      </c>
      <c r="I10" s="116" t="s">
        <v>161</v>
      </c>
      <c r="J10" s="116" t="s">
        <v>162</v>
      </c>
      <c r="K10" s="117"/>
      <c r="L10" s="117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</row>
    <row r="11" spans="1:29" x14ac:dyDescent="0.15">
      <c r="A11" s="108" t="s">
        <v>255</v>
      </c>
      <c r="B11" s="111" t="s">
        <v>135</v>
      </c>
      <c r="C11" s="166" t="s">
        <v>253</v>
      </c>
      <c r="D11" s="108" t="s">
        <v>158</v>
      </c>
      <c r="E11" s="107" t="str">
        <f t="shared" ref="E11:E12" si="2">B11&amp;C11&amp;D11</f>
        <v>unit_serifs_data_egypt01.tmp</v>
      </c>
      <c r="F11" s="111" t="s">
        <v>137</v>
      </c>
      <c r="G11" s="115" t="s">
        <v>138</v>
      </c>
      <c r="H11" s="116" t="s">
        <v>139</v>
      </c>
      <c r="I11" s="116" t="s">
        <v>133</v>
      </c>
      <c r="J11" s="114" t="s">
        <v>190</v>
      </c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</row>
    <row r="12" spans="1:29" x14ac:dyDescent="0.15">
      <c r="A12" s="108" t="s">
        <v>255</v>
      </c>
      <c r="B12" s="111" t="s">
        <v>136</v>
      </c>
      <c r="C12" s="166" t="s">
        <v>253</v>
      </c>
      <c r="D12" s="108" t="s">
        <v>158</v>
      </c>
      <c r="E12" s="107" t="str">
        <f t="shared" si="2"/>
        <v>unit_serifs_i18n_egypt01.tmp</v>
      </c>
      <c r="F12" s="111" t="s">
        <v>137</v>
      </c>
      <c r="G12" s="115" t="s">
        <v>140</v>
      </c>
      <c r="H12" s="116" t="s">
        <v>141</v>
      </c>
      <c r="I12" s="116" t="s">
        <v>142</v>
      </c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</row>
    <row r="13" spans="1:29" x14ac:dyDescent="0.15">
      <c r="A13" s="108" t="s">
        <v>255</v>
      </c>
      <c r="B13" s="108" t="s">
        <v>267</v>
      </c>
      <c r="C13" s="166" t="s">
        <v>253</v>
      </c>
      <c r="D13" s="108" t="s">
        <v>268</v>
      </c>
      <c r="E13" s="107" t="str">
        <f>B13&amp;C13&amp;D13</f>
        <v>abilities_tmp_egypt01.tmp</v>
      </c>
      <c r="F13" s="108" t="s">
        <v>269</v>
      </c>
      <c r="G13" s="177" t="s">
        <v>270</v>
      </c>
      <c r="H13" s="177" t="s">
        <v>271</v>
      </c>
      <c r="I13" s="177" t="s">
        <v>272</v>
      </c>
      <c r="J13" s="177"/>
      <c r="K13" s="17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29" x14ac:dyDescent="0.15">
      <c r="A14" s="108" t="s">
        <v>255</v>
      </c>
      <c r="B14" s="108" t="s">
        <v>273</v>
      </c>
      <c r="C14" s="166" t="s">
        <v>253</v>
      </c>
      <c r="D14" s="108" t="s">
        <v>268</v>
      </c>
      <c r="E14" s="107" t="str">
        <f>B14&amp;C14&amp;D14</f>
        <v>abilities_i18n_egypt01.tmp</v>
      </c>
      <c r="F14" s="108" t="s">
        <v>269</v>
      </c>
      <c r="G14" s="177" t="s">
        <v>270</v>
      </c>
      <c r="H14" s="177" t="s">
        <v>274</v>
      </c>
      <c r="I14" s="177" t="s">
        <v>275</v>
      </c>
      <c r="J14" s="177" t="s">
        <v>276</v>
      </c>
      <c r="K14" s="201" t="s">
        <v>466</v>
      </c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29" x14ac:dyDescent="0.15">
      <c r="A15" s="108" t="s">
        <v>255</v>
      </c>
      <c r="B15" s="108" t="s">
        <v>277</v>
      </c>
      <c r="C15" s="166" t="s">
        <v>253</v>
      </c>
      <c r="D15" s="108" t="s">
        <v>268</v>
      </c>
      <c r="E15" s="107" t="str">
        <f>B15&amp;C15&amp;D15</f>
        <v>unit_abilities_egypt01.tmp</v>
      </c>
      <c r="F15" s="108" t="s">
        <v>278</v>
      </c>
      <c r="G15" s="177" t="s">
        <v>279</v>
      </c>
      <c r="H15" s="179" t="s">
        <v>280</v>
      </c>
      <c r="I15" s="179" t="s">
        <v>281</v>
      </c>
      <c r="J15" s="180" t="s">
        <v>282</v>
      </c>
      <c r="K15" s="177" t="s">
        <v>283</v>
      </c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7"/>
  <sheetViews>
    <sheetView showGridLines="0" workbookViewId="0">
      <pane xSplit="9" ySplit="1" topLeftCell="AX2" activePane="bottomRight" state="frozen"/>
      <selection pane="topRight" activeCell="J1" sqref="J1"/>
      <selection pane="bottomLeft" activeCell="A3" sqref="A3"/>
      <selection pane="bottomRight" activeCell="AY12" sqref="AY1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5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0" t="s">
        <v>108</v>
      </c>
      <c r="B1" s="82" t="s">
        <v>44</v>
      </c>
      <c r="C1" s="85" t="s">
        <v>27</v>
      </c>
      <c r="D1" s="85" t="s">
        <v>30</v>
      </c>
      <c r="E1" s="85" t="s">
        <v>28</v>
      </c>
      <c r="F1" s="85" t="s">
        <v>29</v>
      </c>
      <c r="G1" s="80" t="s">
        <v>1</v>
      </c>
      <c r="H1" s="83" t="s">
        <v>19</v>
      </c>
      <c r="I1" s="84" t="s">
        <v>0</v>
      </c>
      <c r="J1" s="86" t="s">
        <v>49</v>
      </c>
      <c r="K1" s="86" t="s">
        <v>48</v>
      </c>
      <c r="L1" s="86" t="s">
        <v>50</v>
      </c>
      <c r="M1" s="86" t="s">
        <v>51</v>
      </c>
      <c r="N1" s="80" t="s">
        <v>3</v>
      </c>
      <c r="O1" s="87" t="s">
        <v>2</v>
      </c>
      <c r="P1" s="80" t="s">
        <v>97</v>
      </c>
      <c r="Q1" s="88" t="s">
        <v>18</v>
      </c>
      <c r="R1" s="79" t="s">
        <v>52</v>
      </c>
      <c r="S1" s="89" t="s">
        <v>23</v>
      </c>
      <c r="T1" s="89" t="s">
        <v>24</v>
      </c>
      <c r="U1" s="89" t="s">
        <v>26</v>
      </c>
      <c r="V1" s="89" t="s">
        <v>25</v>
      </c>
      <c r="W1" s="84" t="s">
        <v>32</v>
      </c>
      <c r="X1" s="85" t="s">
        <v>53</v>
      </c>
      <c r="Y1" s="84" t="s">
        <v>33</v>
      </c>
      <c r="Z1" s="85" t="s">
        <v>53</v>
      </c>
      <c r="AA1" s="86" t="s">
        <v>23</v>
      </c>
      <c r="AB1" s="86" t="s">
        <v>24</v>
      </c>
      <c r="AC1" s="86" t="s">
        <v>26</v>
      </c>
      <c r="AD1" s="86" t="s">
        <v>25</v>
      </c>
      <c r="AE1" s="90" t="s">
        <v>100</v>
      </c>
      <c r="AF1" s="79" t="s">
        <v>45</v>
      </c>
      <c r="AG1" s="91" t="s">
        <v>58</v>
      </c>
      <c r="AH1" s="79" t="s">
        <v>45</v>
      </c>
      <c r="AI1" s="91" t="s">
        <v>46</v>
      </c>
      <c r="AJ1" s="81" t="s">
        <v>67</v>
      </c>
      <c r="AK1" s="79" t="s">
        <v>21</v>
      </c>
      <c r="AL1" s="92" t="s">
        <v>68</v>
      </c>
      <c r="AM1" s="93" t="s">
        <v>66</v>
      </c>
      <c r="AN1" s="93" t="s">
        <v>69</v>
      </c>
      <c r="AO1" s="94" t="s">
        <v>31</v>
      </c>
      <c r="AP1" s="90" t="s">
        <v>20</v>
      </c>
      <c r="AQ1" s="95" t="s">
        <v>113</v>
      </c>
      <c r="AR1" s="95" t="s">
        <v>107</v>
      </c>
      <c r="AS1" s="79" t="s">
        <v>104</v>
      </c>
      <c r="AT1" s="90" t="s">
        <v>102</v>
      </c>
      <c r="AU1" s="79" t="s">
        <v>110</v>
      </c>
      <c r="AV1" s="95" t="s">
        <v>107</v>
      </c>
      <c r="AW1" s="79" t="s">
        <v>104</v>
      </c>
      <c r="AX1" s="85" t="s">
        <v>4</v>
      </c>
      <c r="AY1" s="96" t="s">
        <v>54</v>
      </c>
      <c r="AZ1" s="96" t="s">
        <v>55</v>
      </c>
      <c r="BA1" s="96" t="s">
        <v>114</v>
      </c>
      <c r="BB1" s="96" t="s">
        <v>56</v>
      </c>
      <c r="BC1" s="5" t="s">
        <v>22</v>
      </c>
      <c r="BD1" s="99" t="s">
        <v>34</v>
      </c>
      <c r="BE1" s="97" t="s">
        <v>5</v>
      </c>
      <c r="BF1" s="98" t="s">
        <v>6</v>
      </c>
      <c r="BG1" s="100" t="s">
        <v>70</v>
      </c>
      <c r="BH1" s="100" t="s">
        <v>71</v>
      </c>
      <c r="BI1" s="100" t="s">
        <v>72</v>
      </c>
      <c r="BJ1" s="100" t="s">
        <v>73</v>
      </c>
      <c r="BK1" s="101" t="s">
        <v>74</v>
      </c>
      <c r="BL1" s="101" t="s">
        <v>95</v>
      </c>
      <c r="BM1" s="101" t="s">
        <v>75</v>
      </c>
      <c r="BN1" s="101" t="s">
        <v>76</v>
      </c>
      <c r="BO1" s="102" t="s">
        <v>77</v>
      </c>
      <c r="BP1" s="103" t="s">
        <v>78</v>
      </c>
      <c r="BQ1" s="81" t="s">
        <v>86</v>
      </c>
      <c r="BR1" s="10" t="s">
        <v>459</v>
      </c>
    </row>
    <row r="2" spans="1:70" ht="26" customHeight="1" x14ac:dyDescent="0.15">
      <c r="A2" s="12">
        <v>1004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アメミット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アメミット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7">
        <f ca="1">IF(G2 &gt;= 6, 99,G2*15)</f>
        <v>60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f>A3</f>
        <v>1005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恐牙なる魂喰獣 アメミット</v>
      </c>
      <c r="AG2" s="5">
        <f t="shared" ref="AG2:AG17" ca="1" si="0">IF(ISNA(MATCH(A2,AE:AE,0)),A2,INDIRECT(ADDRESS(MATCH(A2,AE:AE,0),COLUMN())))</f>
        <v>1004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アメミット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4"/>
      <c r="AP2" s="66">
        <f>A2</f>
        <v>1004</v>
      </c>
      <c r="AQ2" s="56" t="str">
        <f ca="1">VLOOKUP($AP2,OFFSET(unit_skills!$A$1,0,0,COUNTA(unit_skills!$A:$A),MATCH(AQ$1,unit_skills!$1:$1,0)-MATCH($AP$1,unit_skills!$1:$1,0)+1),MATCH(AQ$1,unit_skills!$1:$1,0)-MATCH($AP$1,unit_skills!$1:$1,0)+1,FALSE)</f>
        <v>クライムファング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>お邪魔パネルを青パネルに変換+3ターン青属性の攻撃力を特大UP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0">
        <f>A2</f>
        <v>1004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虐暴する豪牙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</v>
      </c>
      <c r="AZ2" s="67">
        <v>1.1000000000000001</v>
      </c>
      <c r="BA2" s="67">
        <v>0</v>
      </c>
      <c r="BB2" s="67">
        <v>1</v>
      </c>
      <c r="BC2" s="11">
        <f ca="1">INDEX('RC6SV'!$A$1:$G$20,MATCH(H2,'RC6SV'!$A$1:$A$20,FALSE),MATCH(G2,'RC6SV'!$A$1:$G$1,FALSE))</f>
        <v>5800</v>
      </c>
      <c r="BD2" s="47">
        <f t="shared" ref="BD2:BD3" ca="1" si="2">ROUND(BC2*IF(AJ2=1,0.95,IF(AJ2=2,1,IF(AJ2,1.05,0))),0)</f>
        <v>5800</v>
      </c>
      <c r="BE2" s="11">
        <f t="shared" ref="BE2:BE17" ca="1" si="3">ROUND(IFERROR(INDIRECT(ADDRESS(MATCH($A2,$AE:$AE,0),MATCH($BC$1,$1:$1,0))),0),0)</f>
        <v>0</v>
      </c>
      <c r="BF2" s="11">
        <f t="shared" ref="BF2:BF17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1450</v>
      </c>
      <c r="BH2" s="16">
        <f ca="1">IF($BE2&lt;=0,ROUND(BL2*0.5,0), ROUND($BE2*T2*AB2*K2*AZ2*0.8*[1]ステータス!$C$2,0))</f>
        <v>1372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446</v>
      </c>
      <c r="BK2" s="11">
        <f ca="1">ROUND(BD2*S2*AA2*J2*AY2*[1]ステータス!$B$2,0)</f>
        <v>2900</v>
      </c>
      <c r="BL2" s="11">
        <f ca="1">ROUND(BD2*T2*AB2*K2*AZ2*[1]ステータス!$C$2,0)</f>
        <v>2744</v>
      </c>
      <c r="BM2" s="11">
        <f ca="1">ROUND(BD2*U2*AC2*L2*BA2*[1]ステータス!$D$2,0)</f>
        <v>0</v>
      </c>
      <c r="BN2" s="11">
        <f ca="1">ROUND(BD2*V2*AD2*M2*BB2*[1]ステータス!$E$2,0)</f>
        <v>892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1005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恐牙なる魂喰獣 アメミット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アメミット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7">
        <f t="shared" ref="P3:P4" ca="1" si="5">IF(G3 &gt;= 6, 99,G3*15)</f>
        <v>75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183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1004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アメミット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4"/>
      <c r="AP3" s="66">
        <f t="shared" ref="AP3:AP17" si="6">A3</f>
        <v>1005</v>
      </c>
      <c r="AQ3" s="56" t="str">
        <f ca="1">VLOOKUP($AP3,OFFSET(unit_skills!$A$1,0,0,COUNTA(unit_skills!$A:$A),MATCH(AQ$1,unit_skills!$1:$1,0)-MATCH($AP$1,unit_skills!$1:$1,0)+1),MATCH(AQ$1,unit_skills!$1:$1,0)-MATCH($AP$1,unit_skills!$1:$1,0)+1,FALSE)</f>
        <v>クライムファング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お邪魔パネルを青パネルに変換+3ターン青属性の攻撃力を特大UP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0">
        <f t="shared" ref="AT3:AT17" si="7">A3</f>
        <v>1005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虐暴する豪牙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</v>
      </c>
      <c r="AZ3" s="67">
        <v>1.1000000000000001</v>
      </c>
      <c r="BA3" s="67">
        <v>0</v>
      </c>
      <c r="BB3" s="67">
        <v>1</v>
      </c>
      <c r="BC3" s="11">
        <f ca="1">INDEX('RC6SV'!$A$1:$G$20,MATCH(H3,'RC6SV'!$A$1:$A$20,FALSE),MATCH(G3,'RC6SV'!$A$1:$G$1,FALSE))</f>
        <v>7600</v>
      </c>
      <c r="BD3" s="47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2320</v>
      </c>
      <c r="BH3" s="16">
        <f ca="1">IF($BE3&lt;=0,ROUND(BL3*0.5,0), ROUND($BE3*T3*AB3*K3*AZ3*0.8*[1]ステータス!$C$2,0))</f>
        <v>2195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713</v>
      </c>
      <c r="BK3" s="11">
        <f ca="1">ROUND(BD3*S3*AA3*J3*AY3*[1]ステータス!$B$2,0)</f>
        <v>3800</v>
      </c>
      <c r="BL3" s="11">
        <f ca="1">ROUND(BD3*T3*AB3*K3*AZ3*[1]ステータス!$C$2,0)</f>
        <v>3596</v>
      </c>
      <c r="BM3" s="11">
        <f ca="1">ROUND(BD3*U3*AC3*L3*BA3*[1]ステータス!$D$2,0)</f>
        <v>0</v>
      </c>
      <c r="BN3" s="11">
        <f ca="1">ROUND(BD3*V3*AD3*M3*BB3*[1]ステータス!$E$2,0)</f>
        <v>1169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1006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セルケト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セルケト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7">
        <f t="shared" ca="1" si="5"/>
        <v>60</v>
      </c>
      <c r="Q4" s="56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6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6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>
        <f t="shared" ref="AE4" si="8">A5</f>
        <v>1007</v>
      </c>
      <c r="AF4" s="61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癒命の守蠍神 セルケト</v>
      </c>
      <c r="AG4" s="5">
        <f t="shared" ca="1" si="0"/>
        <v>1006</v>
      </c>
      <c r="AH4" s="61" t="str">
        <f ca="1">VLOOKUP($AG4,OFFSET([1]characters!$A$1,0,0,COUNTA([1]characters!$A:$A),MATCH(AH$1,[1]characters!$1:$1,0)-MATCH($A$1,[1]characters!$1:$1,0)+1),MATCH(AH$1,[1]characters!$1:$1,0)-MATCH($A$1,[1]characters!$1:$1,0)+1,FALSE)</f>
        <v>セルケト</v>
      </c>
      <c r="AI4" s="11">
        <f ca="1">IF(AE4="NULL","NULL",VLOOKUP(G4,ビット!$A$2:$B$7,2))</f>
        <v>50000</v>
      </c>
      <c r="AJ4" s="6">
        <v>2</v>
      </c>
      <c r="AK4" s="7" t="str">
        <f t="shared" ref="AK4:AK17" si="9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4"/>
      <c r="AP4" s="66">
        <f t="shared" si="6"/>
        <v>1006</v>
      </c>
      <c r="AQ4" s="56" t="str">
        <f ca="1">VLOOKUP($AP4,OFFSET(unit_skills!$A$1,0,0,COUNTA(unit_skills!$A:$A),MATCH(AQ$1,unit_skills!$1:$1,0)-MATCH($AP$1,unit_skills!$1:$1,0)+1),MATCH(AQ$1,unit_skills!$1:$1,0)-MATCH($AP$1,unit_skills!$1:$1,0)+1,FALSE)</f>
        <v>命吹の護祈</v>
      </c>
      <c r="AR4" s="56" t="str">
        <f ca="1">VLOOKUP($AP4,OFFSET(unit_skills!$A$1,0,0,COUNTA(unit_skills!$A:$A),MATCH(AR$1,unit_skills!$1:$1,0)-MATCH($AP$1,unit_skills!$1:$1,0)+1),MATCH(AR$1,unit_skills!$1:$1,0)-MATCH($AP$1,unit_skills!$1:$1,0)+1,FALSE)</f>
        <v>ランダムで最大2つSCパネルに変換+2ターン赤属性の回復力を特大UP</v>
      </c>
      <c r="AS4" s="56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0">
        <f t="shared" si="7"/>
        <v>1006</v>
      </c>
      <c r="AU4" s="56" t="str">
        <f ca="1">VLOOKUP($AT4,OFFSET(crash_skills!$A$1,0,0,COUNTA(crash_skills!$A:$A),MATCH(AU$1,crash_skills!$1:$1,0)-MATCH($AT$1,crash_skills!$1:$1,0)+1),MATCH(AU$1,crash_skills!$1:$1,0)-MATCH($AT$1,crash_skills!$1:$1,0)+1,FALSE)</f>
        <v>スコルピ・シザーズ</v>
      </c>
      <c r="AV4" s="56" t="str">
        <f ca="1">VLOOKUP($AT4,OFFSET(crash_skills!$A$1,0,0,COUNTA(crash_skills!$A:$A),MATCH(AV$1,crash_skills!$1:$1,0)-MATCH($AT$1,crash_skills!$1:$1,0)+1),MATCH(AV$1,crash_skills!$1:$1,0)-MATCH($AT$1,crash_skills!$1:$1,0)+1,FALSE)</f>
        <v>1体に小ダメージ+_x000D_HPを大回復</v>
      </c>
      <c r="AW4" s="56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7">
        <v>1.1499999999999999</v>
      </c>
      <c r="AZ4" s="67">
        <v>1.1000000000000001</v>
      </c>
      <c r="BA4" s="67">
        <v>0</v>
      </c>
      <c r="BB4" s="67">
        <v>1.2</v>
      </c>
      <c r="BC4" s="11">
        <f ca="1">INDEX('RC6SV'!$A$1:$G$20,MATCH(H4,'RC6SV'!$A$1:$A$20,FALSE),MATCH(G4,'RC6SV'!$A$1:$G$1,FALSE))</f>
        <v>5800</v>
      </c>
      <c r="BD4" s="47">
        <f t="shared" ref="BD4:BD17" ca="1" si="10">ROUND(BC4*IF(AJ4=1,0.95,IF(AJ4=2,1,IF(AJ4,1.05,0))),0)</f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1281</v>
      </c>
      <c r="BH4" s="16">
        <f ca="1">IF($BE4&lt;=0,ROUND(BL4*0.5,0), ROUND($BE4*T4*AB4*K4*AZ4*0.8*[1]ステータス!$C$2,0))</f>
        <v>777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1235</v>
      </c>
      <c r="BK4" s="11">
        <f ca="1">ROUND(BD4*S4*AA4*J4*AY4*[1]ステータス!$B$2,0)</f>
        <v>2561</v>
      </c>
      <c r="BL4" s="11">
        <f ca="1">ROUND(BD4*T4*AB4*K4*AZ4*[1]ステータス!$C$2,0)</f>
        <v>1553</v>
      </c>
      <c r="BM4" s="11">
        <f ca="1">ROUND(BD4*U4*AC4*L4*BA4*[1]ステータス!$D$2,0)</f>
        <v>0</v>
      </c>
      <c r="BN4" s="11">
        <f ca="1">ROUND(BD4*V4*AD4*M4*BB4*[1]ステータス!$E$2,0)</f>
        <v>2470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1007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癒命の守蠍神 セルケト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セルケト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7">
        <f t="shared" ref="P5:P17" ca="1" si="11">IF(G5 &gt;= 6, 99,G5*15)</f>
        <v>75</v>
      </c>
      <c r="Q5" s="56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1">
        <f ca="1">VLOOKUP(Q5,[1]character_type_i18n!$A:$H,4,FALSE)</f>
        <v>0.8</v>
      </c>
      <c r="T5" s="11">
        <f ca="1">VLOOKUP(Q5,[1]character_type_i18n!$A:$H,5,FALSE)</f>
        <v>0.78</v>
      </c>
      <c r="U5" s="11">
        <f ca="1">VLOOKUP(Q5,[1]character_type_i18n!$A:$H,6,FALSE)</f>
        <v>1</v>
      </c>
      <c r="V5" s="11">
        <f ca="1">VLOOKUP(Q5,[1]character_type_i18n!$A:$H,7,FALSE)</f>
        <v>1.42</v>
      </c>
      <c r="W5" s="56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6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183</v>
      </c>
      <c r="AF5" s="61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1006</v>
      </c>
      <c r="AH5" s="61" t="str">
        <f ca="1">VLOOKUP($AG5,OFFSET([1]characters!$A$1,0,0,COUNTA([1]characters!$A:$A),MATCH(AH$1,[1]characters!$1:$1,0)-MATCH($A$1,[1]characters!$1:$1,0)+1),MATCH(AH$1,[1]characters!$1:$1,0)-MATCH($A$1,[1]characters!$1:$1,0)+1,FALSE)</f>
        <v>セルケト</v>
      </c>
      <c r="AI5" s="11" t="str">
        <f>IF(AE5="NULL","NULL",VLOOKUP(G5,ビット!$A$2:$B$7,2))</f>
        <v>NULL</v>
      </c>
      <c r="AJ5" s="6">
        <v>2</v>
      </c>
      <c r="AK5" s="7" t="str">
        <f t="shared" si="9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4"/>
      <c r="AP5" s="66">
        <f t="shared" si="6"/>
        <v>1007</v>
      </c>
      <c r="AQ5" s="56" t="str">
        <f ca="1">VLOOKUP($AP5,OFFSET(unit_skills!$A$1,0,0,COUNTA(unit_skills!$A:$A),MATCH(AQ$1,unit_skills!$1:$1,0)-MATCH($AP$1,unit_skills!$1:$1,0)+1),MATCH(AQ$1,unit_skills!$1:$1,0)-MATCH($AP$1,unit_skills!$1:$1,0)+1,FALSE)</f>
        <v>命吹の護祈</v>
      </c>
      <c r="AR5" s="56" t="str">
        <f ca="1">VLOOKUP($AP5,OFFSET(unit_skills!$A$1,0,0,COUNTA(unit_skills!$A:$A),MATCH(AR$1,unit_skills!$1:$1,0)-MATCH($AP$1,unit_skills!$1:$1,0)+1),MATCH(AR$1,unit_skills!$1:$1,0)-MATCH($AP$1,unit_skills!$1:$1,0)+1,FALSE)</f>
        <v>ランダムで最大2つSCパネルに変換+2ターン赤属性の回復力を特大UP</v>
      </c>
      <c r="AS5" s="56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0">
        <f t="shared" si="7"/>
        <v>1007</v>
      </c>
      <c r="AU5" s="56" t="str">
        <f ca="1">VLOOKUP($AT5,OFFSET(crash_skills!$A$1,0,0,COUNTA(crash_skills!$A:$A),MATCH(AU$1,crash_skills!$1:$1,0)-MATCH($AT$1,crash_skills!$1:$1,0)+1),MATCH(AU$1,crash_skills!$1:$1,0)-MATCH($AT$1,crash_skills!$1:$1,0)+1,FALSE)</f>
        <v>スコルピ・シザーズ</v>
      </c>
      <c r="AV5" s="56" t="str">
        <f ca="1">VLOOKUP($AT5,OFFSET(crash_skills!$A$1,0,0,COUNTA(crash_skills!$A:$A),MATCH(AV$1,crash_skills!$1:$1,0)-MATCH($AT$1,crash_skills!$1:$1,0)+1),MATCH(AV$1,crash_skills!$1:$1,0)-MATCH($AT$1,crash_skills!$1:$1,0)+1,FALSE)</f>
        <v>1体に小ダメージ+_x000D_HPを大回復</v>
      </c>
      <c r="AW5" s="56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7">
        <v>1.1499999999999999</v>
      </c>
      <c r="AZ5" s="67">
        <v>1.1000000000000001</v>
      </c>
      <c r="BA5" s="67">
        <v>0</v>
      </c>
      <c r="BB5" s="67">
        <v>1.2</v>
      </c>
      <c r="BC5" s="11">
        <f ca="1">INDEX('RC6SV'!$A$1:$G$20,MATCH(H5,'RC6SV'!$A$1:$A$20,FALSE),MATCH(G5,'RC6SV'!$A$1:$G$1,FALSE))</f>
        <v>7600</v>
      </c>
      <c r="BD5" s="47">
        <f t="shared" ca="1" si="10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2049</v>
      </c>
      <c r="BH5" s="16">
        <f ca="1">IF($BE5&lt;=0,ROUND(BL5*0.5,0), ROUND($BE5*T5*AB5*K5*AZ5*0.8*[1]ステータス!$C$2,0))</f>
        <v>1243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1976</v>
      </c>
      <c r="BK5" s="11">
        <f ca="1">ROUND(BD5*S5*AA5*J5*AY5*[1]ステータス!$B$2,0)</f>
        <v>3356</v>
      </c>
      <c r="BL5" s="11">
        <f ca="1">ROUND(BD5*T5*AB5*K5*AZ5*[1]ステータス!$C$2,0)</f>
        <v>2035</v>
      </c>
      <c r="BM5" s="11">
        <f ca="1">ROUND(BD5*U5*AC5*L5*BA5*[1]ステータス!$D$2,0)</f>
        <v>0</v>
      </c>
      <c r="BN5" s="11">
        <f ca="1">ROUND(BD5*V5*AD5*M5*BB5*[1]ステータス!$E$2,0)</f>
        <v>3236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1008</v>
      </c>
      <c r="B6" s="56" t="str">
        <f ca="1">VLOOKUP($A6,OFFSET([1]characters!$A$1,0,0,COUNTA([1]characters!$A:$A),MATCH(B$1,[1]characters!$1:$1,0)-MATCH($A$1,[1]characters!$1:$1,0)+1),MATCH(B$1,[1]characters!$1:$1,0)-MATCH($A$1,[1]characters!$1:$1,0)+1,FALSE)</f>
        <v>オシリス</v>
      </c>
      <c r="C6" s="56" t="str">
        <f ca="1">VLOOKUP($A6,OFFSET([1]characters!$A$1,0,0,COUNTA([1]characters!$A:$A),MATCH(C$1,[1]characters!$1:$1,0)-MATCH($A$1,[1]characters!$1:$1,0)+1),MATCH(C$1,[1]characters!$1:$1,0)-MATCH($A$1,[1]characters!$1:$1,0)+1,FALSE)</f>
        <v>オシリス</v>
      </c>
      <c r="D6" s="56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6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6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6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6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6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7">
        <f t="shared" ca="1" si="11"/>
        <v>75</v>
      </c>
      <c r="Q6" s="56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6" t="str">
        <f ca="1">VLOOKUP($A6,OFFSET([1]characters!$A$1,0,0,COUNTA([1]characters!$A:$A),MATCH(W$1,[1]characters!$1:$1,0)-MATCH($A$1,[1]characters!$1:$1,0)+1),MATCH(W$1,[1]characters!$1:$1,0)-MATCH($A$1,[1]characters!$1:$1,0)+1,FALSE)</f>
        <v>god</v>
      </c>
      <c r="X6" s="5" t="str">
        <f ca="1">VLOOKUP(W6,[1]character_tribe_i18n!$A:$H,3,FALSE)</f>
        <v>ゴッド</v>
      </c>
      <c r="Y6" s="56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1">
        <f ca="1">VLOOKUP(W6,[1]character_tribe_i18n!$A:$H,4,FALSE)</f>
        <v>0.96</v>
      </c>
      <c r="AB6" s="11">
        <f ca="1">VLOOKUP(W6,[1]character_tribe_i18n!$A:$H,5,FALSE)</f>
        <v>1.02</v>
      </c>
      <c r="AC6" s="11">
        <f ca="1">VLOOKUP(W6,[1]character_tribe_i18n!$A:$H,6,FALSE)</f>
        <v>1</v>
      </c>
      <c r="AD6" s="11">
        <f ca="1">VLOOKUP(W6,[1]character_tribe_i18n!$A:$H,7,FALSE)</f>
        <v>1.02</v>
      </c>
      <c r="AE6" s="9">
        <f t="shared" ref="AE6" si="12">A7</f>
        <v>1009</v>
      </c>
      <c r="AF6" s="61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再醒の冥皇神 オシリス</v>
      </c>
      <c r="AG6" s="5">
        <f t="shared" ca="1" si="0"/>
        <v>1008</v>
      </c>
      <c r="AH6" s="61" t="str">
        <f ca="1">VLOOKUP($AG6,OFFSET([1]characters!$A$1,0,0,COUNTA([1]characters!$A:$A),MATCH(AH$1,[1]characters!$1:$1,0)-MATCH($A$1,[1]characters!$1:$1,0)+1),MATCH(AH$1,[1]characters!$1:$1,0)-MATCH($A$1,[1]characters!$1:$1,0)+1,FALSE)</f>
        <v>オシリス</v>
      </c>
      <c r="AI6" s="11">
        <f ca="1">IF(AE6="NULL","NULL",VLOOKUP(G6,ビット!$A$2:$B$7,2))</f>
        <v>200000</v>
      </c>
      <c r="AJ6" s="6">
        <v>2</v>
      </c>
      <c r="AK6" s="7" t="str">
        <f t="shared" si="9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4"/>
      <c r="AP6" s="66">
        <f t="shared" si="6"/>
        <v>1008</v>
      </c>
      <c r="AQ6" s="56" t="str">
        <f ca="1">VLOOKUP($AP6,OFFSET(unit_skills!$A$1,0,0,COUNTA(unit_skills!$A:$A),MATCH(AQ$1,unit_skills!$1:$1,0)-MATCH($AP$1,unit_skills!$1:$1,0)+1),MATCH(AQ$1,unit_skills!$1:$1,0)-MATCH($AP$1,unit_skills!$1:$1,0)+1,FALSE)</f>
        <v>ネザーグロウ・パニッシャー</v>
      </c>
      <c r="AR6" s="56" t="str">
        <f ca="1">VLOOKUP($AP6,OFFSET(unit_skills!$A$1,0,0,COUNTA(unit_skills!$A:$A),MATCH(AR$1,unit_skills!$1:$1,0)-MATCH($AP$1,unit_skills!$1:$1,0)+1),MATCH(AR$1,unit_skills!$1:$1,0)-MATCH($AP$1,unit_skills!$1:$1,0)+1,FALSE)</f>
        <v>赤・青・黄パネルを緑パネルに変換</v>
      </c>
      <c r="AS6" s="56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0">
        <f t="shared" si="7"/>
        <v>1008</v>
      </c>
      <c r="AU6" s="56" t="str">
        <f ca="1">VLOOKUP($AT6,OFFSET(crash_skills!$A$1,0,0,COUNTA(crash_skills!$A:$A),MATCH(AU$1,crash_skills!$1:$1,0)-MATCH($AT$1,crash_skills!$1:$1,0)+1),MATCH(AU$1,crash_skills!$1:$1,0)-MATCH($AT$1,crash_skills!$1:$1,0)+1,FALSE)</f>
        <v>冥廻する戦剣</v>
      </c>
      <c r="AV6" s="56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</v>
      </c>
      <c r="AW6" s="56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7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7">
        <v>1.1000000000000001</v>
      </c>
      <c r="AZ6" s="67">
        <v>0.98</v>
      </c>
      <c r="BA6" s="67">
        <v>0</v>
      </c>
      <c r="BB6" s="67">
        <v>1</v>
      </c>
      <c r="BC6" s="11">
        <f ca="1">INDEX('RC6SV'!$A$1:$G$20,MATCH(H6,'RC6SV'!$A$1:$A$20,FALSE),MATCH(G6,'RC6SV'!$A$1:$G$1,FALSE))</f>
        <v>9000</v>
      </c>
      <c r="BD6" s="47">
        <f t="shared" ca="1" si="10"/>
        <v>9000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2424</v>
      </c>
      <c r="BH6" s="16">
        <f ca="1">IF($BE6&lt;=0,ROUND(BL6*0.5,0), ROUND($BE6*T6*AB6*K6*AZ6*0.8*[1]ステータス!$C$2,0))</f>
        <v>1759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769</v>
      </c>
      <c r="BK6" s="11">
        <f ca="1">ROUND(BD6*S6*AA6*J6*AY6*[1]ステータス!$B$2,0)</f>
        <v>4847</v>
      </c>
      <c r="BL6" s="11">
        <f ca="1">ROUND(BD6*T6*AB6*K6*AZ6*[1]ステータス!$C$2,0)</f>
        <v>3518</v>
      </c>
      <c r="BM6" s="11">
        <f ca="1">ROUND(BD6*U6*AC6*L6*BA6*[1]ステータス!$D$2,0)</f>
        <v>0</v>
      </c>
      <c r="BN6" s="11">
        <f ca="1">ROUND(BD6*V6*AD6*M6*BB6*[1]ステータス!$E$2,0)</f>
        <v>1538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6" customHeight="1" x14ac:dyDescent="0.15">
      <c r="A7" s="12">
        <v>1009</v>
      </c>
      <c r="B7" s="56" t="str">
        <f ca="1">VLOOKUP($A7,OFFSET([1]characters!$A$1,0,0,COUNTA([1]characters!$A:$A),MATCH(B$1,[1]characters!$1:$1,0)-MATCH($A$1,[1]characters!$1:$1,0)+1),MATCH(B$1,[1]characters!$1:$1,0)-MATCH($A$1,[1]characters!$1:$1,0)+1,FALSE)</f>
        <v>再醒の冥皇神 オシリス</v>
      </c>
      <c r="C7" s="56" t="str">
        <f ca="1">VLOOKUP($A7,OFFSET([1]characters!$A$1,0,0,COUNTA([1]characters!$A:$A),MATCH(C$1,[1]characters!$1:$1,0)-MATCH($A$1,[1]characters!$1:$1,0)+1),MATCH(C$1,[1]characters!$1:$1,0)-MATCH($A$1,[1]characters!$1:$1,0)+1,FALSE)</f>
        <v>オシリス</v>
      </c>
      <c r="D7" s="56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6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6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6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6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6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7">
        <f t="shared" ca="1" si="11"/>
        <v>99</v>
      </c>
      <c r="Q7" s="56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6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6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1">
        <f ca="1">VLOOKUP(W7,[1]character_tribe_i18n!$A:$H,4,FALSE)</f>
        <v>0.96</v>
      </c>
      <c r="AB7" s="11">
        <f ca="1">VLOOKUP(W7,[1]character_tribe_i18n!$A:$H,5,FALSE)</f>
        <v>1.02</v>
      </c>
      <c r="AC7" s="11">
        <f ca="1">VLOOKUP(W7,[1]character_tribe_i18n!$A:$H,6,FALSE)</f>
        <v>1</v>
      </c>
      <c r="AD7" s="11">
        <f ca="1">VLOOKUP(W7,[1]character_tribe_i18n!$A:$H,7,FALSE)</f>
        <v>1.02</v>
      </c>
      <c r="AE7" s="9" t="s">
        <v>183</v>
      </c>
      <c r="AF7" s="61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1008</v>
      </c>
      <c r="AH7" s="61" t="str">
        <f ca="1">VLOOKUP($AG7,OFFSET([1]characters!$A$1,0,0,COUNTA([1]characters!$A:$A),MATCH(AH$1,[1]characters!$1:$1,0)-MATCH($A$1,[1]characters!$1:$1,0)+1),MATCH(AH$1,[1]characters!$1:$1,0)-MATCH($A$1,[1]characters!$1:$1,0)+1,FALSE)</f>
        <v>オシリス</v>
      </c>
      <c r="AI7" s="11" t="str">
        <f>IF(AE7="NULL","NULL",VLOOKUP(G7,ビット!$A$2:$B$7,2))</f>
        <v>NULL</v>
      </c>
      <c r="AJ7" s="6">
        <v>2</v>
      </c>
      <c r="AK7" s="7" t="str">
        <f t="shared" si="9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4"/>
      <c r="AP7" s="66">
        <f t="shared" si="6"/>
        <v>1009</v>
      </c>
      <c r="AQ7" s="56" t="str">
        <f ca="1">VLOOKUP($AP7,OFFSET(unit_skills!$A$1,0,0,COUNTA(unit_skills!$A:$A),MATCH(AQ$1,unit_skills!$1:$1,0)-MATCH($AP$1,unit_skills!$1:$1,0)+1),MATCH(AQ$1,unit_skills!$1:$1,0)-MATCH($AP$1,unit_skills!$1:$1,0)+1,FALSE)</f>
        <v>ネザーグロウ・パニッシャー</v>
      </c>
      <c r="AR7" s="56" t="str">
        <f ca="1">VLOOKUP($AP7,OFFSET(unit_skills!$A$1,0,0,COUNTA(unit_skills!$A:$A),MATCH(AR$1,unit_skills!$1:$1,0)-MATCH($AP$1,unit_skills!$1:$1,0)+1),MATCH(AR$1,unit_skills!$1:$1,0)-MATCH($AP$1,unit_skills!$1:$1,0)+1,FALSE)</f>
        <v>赤・青・黄パネルを緑パネルに変換</v>
      </c>
      <c r="AS7" s="56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0">
        <f t="shared" si="7"/>
        <v>1009</v>
      </c>
      <c r="AU7" s="56" t="str">
        <f ca="1">VLOOKUP($AT7,OFFSET(crash_skills!$A$1,0,0,COUNTA(crash_skills!$A:$A),MATCH(AU$1,crash_skills!$1:$1,0)-MATCH($AT$1,crash_skills!$1:$1,0)+1),MATCH(AU$1,crash_skills!$1:$1,0)-MATCH($AT$1,crash_skills!$1:$1,0)+1,FALSE)</f>
        <v>巡冥する戦双剣</v>
      </c>
      <c r="AV7" s="56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</v>
      </c>
      <c r="AW7" s="56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7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7">
        <v>1.1000000000000001</v>
      </c>
      <c r="AZ7" s="67">
        <v>0.98</v>
      </c>
      <c r="BA7" s="67">
        <v>0</v>
      </c>
      <c r="BB7" s="67">
        <v>1</v>
      </c>
      <c r="BC7" s="11">
        <f ca="1">INDEX('RC6SV'!$A$1:$G$20,MATCH(H7,'RC6SV'!$A$1:$A$20,FALSE),MATCH(G7,'RC6SV'!$A$1:$G$1,FALSE))</f>
        <v>12000</v>
      </c>
      <c r="BD7" s="47">
        <f t="shared" ca="1" si="10"/>
        <v>12000</v>
      </c>
      <c r="BE7" s="11">
        <f t="shared" ca="1" si="3"/>
        <v>9000</v>
      </c>
      <c r="BF7" s="11">
        <f t="shared" ca="1" si="4"/>
        <v>1</v>
      </c>
      <c r="BG7" s="16">
        <f ca="1">IF($BE7&lt;=0,ROUND(BK7*0.5,0), ROUND($BE7*S7*AA7*J7*AY7*0.8*[1]ステータス!$B$2,0))</f>
        <v>3878</v>
      </c>
      <c r="BH7" s="16">
        <f ca="1">IF($BE7&lt;=0,ROUND(BL7*0.5,0), ROUND($BE7*T7*AB7*K7*AZ7*0.8*[1]ステータス!$C$2,0))</f>
        <v>2814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1230</v>
      </c>
      <c r="BK7" s="11">
        <f ca="1">ROUND(BD7*S7*AA7*J7*AY7*[1]ステータス!$B$2,0)</f>
        <v>6463</v>
      </c>
      <c r="BL7" s="11">
        <f ca="1">ROUND(BD7*T7*AB7*K7*AZ7*[1]ステータス!$C$2,0)</f>
        <v>4690</v>
      </c>
      <c r="BM7" s="11">
        <f ca="1">ROUND(BD7*U7*AC7*L7*BA7*[1]ステータス!$D$2,0)</f>
        <v>0</v>
      </c>
      <c r="BN7" s="11">
        <f ca="1">ROUND(BD7*V7*AD7*M7*BB7*[1]ステータス!$E$2,0)</f>
        <v>2050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  <row r="8" spans="1:70" ht="26" customHeight="1" x14ac:dyDescent="0.15">
      <c r="A8" s="12">
        <v>1010</v>
      </c>
      <c r="B8" s="56" t="str">
        <f ca="1">VLOOKUP($A8,OFFSET([1]characters!$A$1,0,0,COUNTA([1]characters!$A:$A),MATCH(B$1,[1]characters!$1:$1,0)-MATCH($A$1,[1]characters!$1:$1,0)+1),MATCH(B$1,[1]characters!$1:$1,0)-MATCH($A$1,[1]characters!$1:$1,0)+1,FALSE)</f>
        <v>セト</v>
      </c>
      <c r="C8" s="56" t="str">
        <f ca="1">VLOOKUP($A8,OFFSET([1]characters!$A$1,0,0,COUNTA([1]characters!$A:$A),MATCH(C$1,[1]characters!$1:$1,0)-MATCH($A$1,[1]characters!$1:$1,0)+1),MATCH(C$1,[1]characters!$1:$1,0)-MATCH($A$1,[1]characters!$1:$1,0)+1,FALSE)</f>
        <v>セト</v>
      </c>
      <c r="D8" s="56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6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6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6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6" t="str">
        <f ca="1">VLOOKUP($A8,OFFSET([1]characters!$A$1,0,0,COUNTA([1]characters!$A:$A),MATCH(H$1,[1]characters!$1:$1,0)-MATCH($A$1,[1]characters!$1:$1,0)+1),MATCH(H$1,[1]characters!$1:$1,0)-MATCH($A$1,[1]characters!$1:$1,0)+1,FALSE)</f>
        <v>DropWizSS</v>
      </c>
      <c r="I8" s="56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35</v>
      </c>
      <c r="O8" s="11">
        <f ca="1">INDEX(レベル!$A$1:$I$21,MATCH(H8,レベル!$A$1:$A$21,FALSE),MATCH(G8,レベル!$A$1:$I$1,FALSE))</f>
        <v>80</v>
      </c>
      <c r="P8" s="47">
        <f t="shared" ca="1" si="11"/>
        <v>75</v>
      </c>
      <c r="Q8" s="56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6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6" t="str">
        <f ca="1">VLOOKUP($A8,OFFSET([1]characters!$A$1,0,0,COUNTA([1]characters!$A:$A),MATCH(Y$1,[1]characters!$1:$1,0)-MATCH($A$1,[1]characters!$1:$1,0)+1),MATCH(Y$1,[1]characters!$1:$1,0)-MATCH($A$1,[1]characters!$1:$1,0)+1,FALSE)</f>
        <v>unknown</v>
      </c>
      <c r="Z8" s="5" t="str">
        <f ca="1">VLOOKUP(Y8,[1]character_tribe_i18n!$A:$H,3,FALSE)</f>
        <v>Unknown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f t="shared" ref="AE8" si="13">A9</f>
        <v>1011</v>
      </c>
      <c r="AF8" s="61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偉獰なる荒嵐神 セト</v>
      </c>
      <c r="AG8" s="5">
        <f t="shared" ca="1" si="0"/>
        <v>1010</v>
      </c>
      <c r="AH8" s="61" t="str">
        <f ca="1">VLOOKUP($AG8,OFFSET([1]characters!$A$1,0,0,COUNTA([1]characters!$A:$A),MATCH(AH$1,[1]characters!$1:$1,0)-MATCH($A$1,[1]characters!$1:$1,0)+1),MATCH(AH$1,[1]characters!$1:$1,0)-MATCH($A$1,[1]characters!$1:$1,0)+1,FALSE)</f>
        <v>セト</v>
      </c>
      <c r="AI8" s="11">
        <f ca="1">IF(AE8="NULL","NULL",VLOOKUP(G8,ビット!$A$2:$B$7,2))</f>
        <v>200000</v>
      </c>
      <c r="AJ8" s="6">
        <v>2</v>
      </c>
      <c r="AK8" s="7" t="str">
        <f t="shared" si="9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4"/>
      <c r="AP8" s="66">
        <f t="shared" si="6"/>
        <v>1010</v>
      </c>
      <c r="AQ8" s="56" t="str">
        <f ca="1">VLOOKUP($AP8,OFFSET(unit_skills!$A$1,0,0,COUNTA(unit_skills!$A:$A),MATCH(AQ$1,unit_skills!$1:$1,0)-MATCH($AP$1,unit_skills!$1:$1,0)+1),MATCH(AQ$1,unit_skills!$1:$1,0)-MATCH($AP$1,unit_skills!$1:$1,0)+1,FALSE)</f>
        <v>ノイジー･テンペスト</v>
      </c>
      <c r="AR8" s="56" t="str">
        <f ca="1">VLOOKUP($AP8,OFFSET(unit_skills!$A$1,0,0,COUNTA(unit_skills!$A:$A),MATCH(AR$1,unit_skills!$1:$1,0)-MATCH($AP$1,unit_skills!$1:$1,0)+1),MATCH(AR$1,unit_skills!$1:$1,0)-MATCH($AP$1,unit_skills!$1:$1,0)+1,FALSE)</f>
        <v>ランダムで2つSCパネル(大)に変換+青属性ユニットのスキルターン1短縮</v>
      </c>
      <c r="AS8" s="56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0">
        <f t="shared" si="7"/>
        <v>1010</v>
      </c>
      <c r="AU8" s="56" t="str">
        <f ca="1">VLOOKUP($AT8,OFFSET(crash_skills!$A$1,0,0,COUNTA(crash_skills!$A:$A),MATCH(AU$1,crash_skills!$1:$1,0)-MATCH($AT$1,crash_skills!$1:$1,0)+1),MATCH(AU$1,crash_skills!$1:$1,0)-MATCH($AT$1,crash_skills!$1:$1,0)+1,FALSE)</f>
        <v>簒奪する獣轟</v>
      </c>
      <c r="AV8" s="56" t="str">
        <f ca="1">VLOOKUP($AT8,OFFSET(crash_skills!$A$1,0,0,COUNTA(crash_skills!$A:$A),MATCH(AV$1,crash_skills!$1:$1,0)-MATCH($AT$1,crash_skills!$1:$1,0)+1),MATCH(AV$1,crash_skills!$1:$1,0)-MATCH($AT$1,crash_skills!$1:$1,0)+1,FALSE)</f>
        <v>1体に超大ダメージ</v>
      </c>
      <c r="AW8" s="56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7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7">
        <v>1.08</v>
      </c>
      <c r="AZ8" s="67">
        <v>1.21</v>
      </c>
      <c r="BA8" s="67">
        <v>0</v>
      </c>
      <c r="BB8" s="67">
        <v>1</v>
      </c>
      <c r="BC8" s="11">
        <f ca="1">INDEX('RC6SV'!$A$1:$G$20,MATCH(H8,'RC6SV'!$A$1:$A$20,FALSE),MATCH(G8,'RC6SV'!$A$1:$G$1,FALSE))</f>
        <v>9500</v>
      </c>
      <c r="BD8" s="47">
        <f t="shared" ca="1" si="10"/>
        <v>9500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2216</v>
      </c>
      <c r="BH8" s="16">
        <f ca="1">IF($BE8&lt;=0,ROUND(BL8*0.5,0), ROUND($BE8*T8*AB8*K8*AZ8*0.8*[1]ステータス!$C$2,0))</f>
        <v>1551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1112</v>
      </c>
      <c r="BK8" s="11">
        <f ca="1">ROUND(BD8*S8*AA8*J8*AY8*[1]ステータス!$B$2,0)</f>
        <v>4432</v>
      </c>
      <c r="BL8" s="11">
        <f ca="1">ROUND(BD8*T8*AB8*K8*AZ8*[1]ステータス!$C$2,0)</f>
        <v>3102</v>
      </c>
      <c r="BM8" s="11">
        <f ca="1">ROUND(BD8*U8*AC8*L8*BA8*[1]ステータス!$D$2,0)</f>
        <v>0</v>
      </c>
      <c r="BN8" s="11">
        <f ca="1">ROUND(BD8*V8*AD8*M8*BB8*[1]ステータス!$E$2,0)</f>
        <v>2224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1</v>
      </c>
    </row>
    <row r="9" spans="1:70" ht="26" customHeight="1" x14ac:dyDescent="0.15">
      <c r="A9" s="12">
        <v>1011</v>
      </c>
      <c r="B9" s="56" t="str">
        <f ca="1">VLOOKUP($A9,OFFSET([1]characters!$A$1,0,0,COUNTA([1]characters!$A:$A),MATCH(B$1,[1]characters!$1:$1,0)-MATCH($A$1,[1]characters!$1:$1,0)+1),MATCH(B$1,[1]characters!$1:$1,0)-MATCH($A$1,[1]characters!$1:$1,0)+1,FALSE)</f>
        <v>偉獰なる荒嵐神 セト</v>
      </c>
      <c r="C9" s="56" t="str">
        <f ca="1">VLOOKUP($A9,OFFSET([1]characters!$A$1,0,0,COUNTA([1]characters!$A:$A),MATCH(C$1,[1]characters!$1:$1,0)-MATCH($A$1,[1]characters!$1:$1,0)+1),MATCH(C$1,[1]characters!$1:$1,0)-MATCH($A$1,[1]characters!$1:$1,0)+1,FALSE)</f>
        <v>セト</v>
      </c>
      <c r="D9" s="56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6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6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6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6" t="str">
        <f ca="1">VLOOKUP($A9,OFFSET([1]characters!$A$1,0,0,COUNTA([1]characters!$A:$A),MATCH(H$1,[1]characters!$1:$1,0)-MATCH($A$1,[1]characters!$1:$1,0)+1),MATCH(H$1,[1]characters!$1:$1,0)-MATCH($A$1,[1]characters!$1:$1,0)+1,FALSE)</f>
        <v>DropWizSS</v>
      </c>
      <c r="I9" s="56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50</v>
      </c>
      <c r="O9" s="11">
        <f ca="1">INDEX(レベル!$A$1:$I$21,MATCH(H9,レベル!$A$1:$A$21,FALSE),MATCH(G9,レベル!$A$1:$I$1,FALSE))</f>
        <v>99</v>
      </c>
      <c r="P9" s="47">
        <f t="shared" ca="1" si="11"/>
        <v>99</v>
      </c>
      <c r="Q9" s="56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6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6" t="str">
        <f ca="1">VLOOKUP($A9,OFFSET([1]characters!$A$1,0,0,COUNTA([1]characters!$A:$A),MATCH(Y$1,[1]characters!$1:$1,0)-MATCH($A$1,[1]characters!$1:$1,0)+1),MATCH(Y$1,[1]characters!$1:$1,0)-MATCH($A$1,[1]characters!$1:$1,0)+1,FALSE)</f>
        <v>unknown</v>
      </c>
      <c r="Z9" s="5" t="str">
        <f ca="1">VLOOKUP(Y9,[1]character_tribe_i18n!$A:$H,3,FALSE)</f>
        <v>Unknown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183</v>
      </c>
      <c r="AF9" s="61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1010</v>
      </c>
      <c r="AH9" s="61" t="str">
        <f ca="1">VLOOKUP($AG9,OFFSET([1]characters!$A$1,0,0,COUNTA([1]characters!$A:$A),MATCH(AH$1,[1]characters!$1:$1,0)-MATCH($A$1,[1]characters!$1:$1,0)+1),MATCH(AH$1,[1]characters!$1:$1,0)-MATCH($A$1,[1]characters!$1:$1,0)+1,FALSE)</f>
        <v>セト</v>
      </c>
      <c r="AI9" s="11" t="str">
        <f>IF(AE9="NULL","NULL",VLOOKUP(G9,ビット!$A$2:$B$7,2))</f>
        <v>NULL</v>
      </c>
      <c r="AJ9" s="6">
        <v>2</v>
      </c>
      <c r="AK9" s="7" t="str">
        <f t="shared" si="9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4"/>
      <c r="AP9" s="66">
        <f t="shared" si="6"/>
        <v>1011</v>
      </c>
      <c r="AQ9" s="56" t="str">
        <f ca="1">VLOOKUP($AP9,OFFSET(unit_skills!$A$1,0,0,COUNTA(unit_skills!$A:$A),MATCH(AQ$1,unit_skills!$1:$1,0)-MATCH($AP$1,unit_skills!$1:$1,0)+1),MATCH(AQ$1,unit_skills!$1:$1,0)-MATCH($AP$1,unit_skills!$1:$1,0)+1,FALSE)</f>
        <v>ノイジー･テンペスト</v>
      </c>
      <c r="AR9" s="56" t="str">
        <f ca="1">VLOOKUP($AP9,OFFSET(unit_skills!$A$1,0,0,COUNTA(unit_skills!$A:$A),MATCH(AR$1,unit_skills!$1:$1,0)-MATCH($AP$1,unit_skills!$1:$1,0)+1),MATCH(AR$1,unit_skills!$1:$1,0)-MATCH($AP$1,unit_skills!$1:$1,0)+1,FALSE)</f>
        <v>ランダムで2つSCパネル(大)に変換+青属性ユニットのスキルターン1短縮</v>
      </c>
      <c r="AS9" s="56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0">
        <f t="shared" si="7"/>
        <v>1011</v>
      </c>
      <c r="AU9" s="56" t="str">
        <f ca="1">VLOOKUP($AT9,OFFSET(crash_skills!$A$1,0,0,COUNTA(crash_skills!$A:$A),MATCH(AU$1,crash_skills!$1:$1,0)-MATCH($AT$1,crash_skills!$1:$1,0)+1),MATCH(AU$1,crash_skills!$1:$1,0)-MATCH($AT$1,crash_skills!$1:$1,0)+1,FALSE)</f>
        <v>簒奪する獣轟</v>
      </c>
      <c r="AV9" s="56" t="str">
        <f ca="1">VLOOKUP($AT9,OFFSET(crash_skills!$A$1,0,0,COUNTA(crash_skills!$A:$A),MATCH(AV$1,crash_skills!$1:$1,0)-MATCH($AT$1,crash_skills!$1:$1,0)+1),MATCH(AV$1,crash_skills!$1:$1,0)-MATCH($AT$1,crash_skills!$1:$1,0)+1,FALSE)</f>
        <v>1体に超大ダメージ</v>
      </c>
      <c r="AW9" s="56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7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7">
        <v>1.08</v>
      </c>
      <c r="AZ9" s="67">
        <v>1.21</v>
      </c>
      <c r="BA9" s="67">
        <v>0</v>
      </c>
      <c r="BB9" s="67">
        <v>1</v>
      </c>
      <c r="BC9" s="11">
        <f ca="1">INDEX('RC6SV'!$A$1:$G$20,MATCH(H9,'RC6SV'!$A$1:$A$20,FALSE),MATCH(G9,'RC6SV'!$A$1:$G$1,FALSE))</f>
        <v>13000</v>
      </c>
      <c r="BD9" s="47">
        <f t="shared" ca="1" si="10"/>
        <v>13000</v>
      </c>
      <c r="BE9" s="11">
        <f t="shared" ca="1" si="3"/>
        <v>9500</v>
      </c>
      <c r="BF9" s="11">
        <f t="shared" ca="1" si="4"/>
        <v>1</v>
      </c>
      <c r="BG9" s="16">
        <f ca="1">IF($BE9&lt;=0,ROUND(BK9*0.5,0), ROUND($BE9*S9*AA9*J9*AY9*0.8*[1]ステータス!$B$2,0))</f>
        <v>3546</v>
      </c>
      <c r="BH9" s="16">
        <f ca="1">IF($BE9&lt;=0,ROUND(BL9*0.5,0), ROUND($BE9*T9*AB9*K9*AZ9*0.8*[1]ステータス!$C$2,0))</f>
        <v>2482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1779</v>
      </c>
      <c r="BK9" s="11">
        <f ca="1">ROUND(BD9*S9*AA9*J9*AY9*[1]ステータス!$B$2,0)</f>
        <v>6065</v>
      </c>
      <c r="BL9" s="11">
        <f ca="1">ROUND(BD9*T9*AB9*K9*AZ9*[1]ステータス!$C$2,0)</f>
        <v>4245</v>
      </c>
      <c r="BM9" s="11">
        <f ca="1">ROUND(BD9*U9*AC9*L9*BA9*[1]ステータス!$D$2,0)</f>
        <v>0</v>
      </c>
      <c r="BN9" s="11">
        <f ca="1">ROUND(BD9*V9*AD9*M9*BB9*[1]ステータス!$E$2,0)</f>
        <v>3043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1</v>
      </c>
    </row>
    <row r="10" spans="1:70" ht="26" customHeight="1" x14ac:dyDescent="0.15">
      <c r="A10" s="12">
        <v>1012</v>
      </c>
      <c r="B10" s="56" t="str">
        <f ca="1">VLOOKUP($A10,OFFSET([1]characters!$A$1,0,0,COUNTA([1]characters!$A:$A),MATCH(B$1,[1]characters!$1:$1,0)-MATCH($A$1,[1]characters!$1:$1,0)+1),MATCH(B$1,[1]characters!$1:$1,0)-MATCH($A$1,[1]characters!$1:$1,0)+1,FALSE)</f>
        <v>ラー</v>
      </c>
      <c r="C10" s="56" t="str">
        <f ca="1">VLOOKUP($A10,OFFSET([1]characters!$A$1,0,0,COUNTA([1]characters!$A:$A),MATCH(C$1,[1]characters!$1:$1,0)-MATCH($A$1,[1]characters!$1:$1,0)+1),MATCH(C$1,[1]characters!$1:$1,0)-MATCH($A$1,[1]characters!$1:$1,0)+1,FALSE)</f>
        <v>ラー</v>
      </c>
      <c r="D10" s="56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6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6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6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6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6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35</v>
      </c>
      <c r="O10" s="11">
        <f ca="1">INDEX(レベル!$A$1:$I$21,MATCH(H10,レベル!$A$1:$A$21,FALSE),MATCH(G10,レベル!$A$1:$I$1,FALSE))</f>
        <v>80</v>
      </c>
      <c r="P10" s="47">
        <f t="shared" ca="1" si="11"/>
        <v>75</v>
      </c>
      <c r="Q10" s="56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6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6" t="str">
        <f ca="1">VLOOKUP($A10,OFFSET([1]characters!$A$1,0,0,COUNTA([1]characters!$A:$A),MATCH(Y$1,[1]characters!$1:$1,0)-MATCH($A$1,[1]characters!$1:$1,0)+1),MATCH(Y$1,[1]characters!$1:$1,0)-MATCH($A$1,[1]characters!$1:$1,0)+1,FALSE)</f>
        <v>animal</v>
      </c>
      <c r="Z10" s="5" t="str">
        <f ca="1">VLOOKUP(Y10,[1]character_tribe_i18n!$A:$H,3,FALSE)</f>
        <v>アニマル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>
        <f t="shared" ref="AE10" si="14">A11</f>
        <v>1013</v>
      </c>
      <c r="AF10" s="61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聖陽昇る緋洸神 ラー</v>
      </c>
      <c r="AG10" s="5">
        <f t="shared" ca="1" si="0"/>
        <v>1012</v>
      </c>
      <c r="AH10" s="61" t="str">
        <f ca="1">VLOOKUP($AG10,OFFSET([1]characters!$A$1,0,0,COUNTA([1]characters!$A:$A),MATCH(AH$1,[1]characters!$1:$1,0)-MATCH($A$1,[1]characters!$1:$1,0)+1),MATCH(AH$1,[1]characters!$1:$1,0)-MATCH($A$1,[1]characters!$1:$1,0)+1,FALSE)</f>
        <v>ラー</v>
      </c>
      <c r="AI10" s="11">
        <f ca="1">IF(AE10="NULL","NULL",VLOOKUP(G10,ビット!$A$2:$B$7,2))</f>
        <v>200000</v>
      </c>
      <c r="AJ10" s="6">
        <v>2</v>
      </c>
      <c r="AK10" s="7" t="str">
        <f t="shared" si="9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4"/>
      <c r="AP10" s="66">
        <f t="shared" si="6"/>
        <v>1012</v>
      </c>
      <c r="AQ10" s="56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6" t="e">
        <f ca="1">VLOOKUP($AP10,OFFSET(unit_skills!$A$1,0,0,COUNTA(unit_skills!$A:$A),MATCH(AR$1,unit_skills!$1:$1,0)-MATCH($AP$1,unit_skills!$1:$1,0)+1),MATCH(AR$1,unit_skills!$1:$1,0)-MATCH($AP$1,unit_skills!$1:$1,0)+1,FALSE)</f>
        <v>#N/A</v>
      </c>
      <c r="AS10" s="56" t="e">
        <f ca="1">VLOOKUP($AP10,OFFSET(unit_skills!$A$1,0,0,COUNTA(unit_skills!$A:$A),MATCH(AS$1,unit_skills!$1:$1,0)-MATCH($AP$1,unit_skills!$1:$1,0)+1),MATCH(AS$1,unit_skills!$1:$1,0)-MATCH($AP$1,unit_skills!$1:$1,0)+1,FALSE)</f>
        <v>#N/A</v>
      </c>
      <c r="AT10" s="40">
        <f t="shared" si="7"/>
        <v>1012</v>
      </c>
      <c r="AU10" s="56" t="str">
        <f ca="1">VLOOKUP($AT10,OFFSET(crash_skills!$A$1,0,0,COUNTA(crash_skills!$A:$A),MATCH(AU$1,crash_skills!$1:$1,0)-MATCH($AT$1,crash_skills!$1:$1,0)+1),MATCH(AU$1,crash_skills!$1:$1,0)-MATCH($AT$1,crash_skills!$1:$1,0)+1,FALSE)</f>
        <v>硝焔・豪炎撃</v>
      </c>
      <c r="AV10" s="56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</v>
      </c>
      <c r="AW10" s="56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7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7">
        <v>1</v>
      </c>
      <c r="AZ10" s="67">
        <v>1</v>
      </c>
      <c r="BA10" s="67">
        <v>0</v>
      </c>
      <c r="BB10" s="67">
        <v>0.95</v>
      </c>
      <c r="BC10" s="11">
        <f ca="1">INDEX('RC6SV'!$A$1:$G$20,MATCH(H10,'RC6SV'!$A$1:$A$20,FALSE),MATCH(G10,'RC6SV'!$A$1:$G$1,FALSE))</f>
        <v>9500</v>
      </c>
      <c r="BD10" s="47">
        <f t="shared" ca="1" si="10"/>
        <v>9500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2280</v>
      </c>
      <c r="BH10" s="16">
        <f ca="1">IF($BE10&lt;=0,ROUND(BL10*0.5,0), ROUND($BE10*T10*AB10*K10*AZ10*0.8*[1]ステータス!$C$2,0))</f>
        <v>1483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1128</v>
      </c>
      <c r="BK10" s="11">
        <f ca="1">ROUND(BD10*S10*AA10*J10*AY10*[1]ステータス!$B$2,0)</f>
        <v>4560</v>
      </c>
      <c r="BL10" s="11">
        <f ca="1">ROUND(BD10*T10*AB10*K10*AZ10*[1]ステータス!$C$2,0)</f>
        <v>2965</v>
      </c>
      <c r="BM10" s="11">
        <f ca="1">ROUND(BD10*U10*AC10*L10*BA10*[1]ステータス!$D$2,0)</f>
        <v>0</v>
      </c>
      <c r="BN10" s="11">
        <f ca="1">ROUND(BD10*V10*AD10*M10*BB10*[1]ステータス!$E$2,0)</f>
        <v>2255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5500</v>
      </c>
    </row>
    <row r="11" spans="1:70" ht="26" customHeight="1" x14ac:dyDescent="0.15">
      <c r="A11" s="12">
        <v>1013</v>
      </c>
      <c r="B11" s="56" t="str">
        <f ca="1">VLOOKUP($A11,OFFSET([1]characters!$A$1,0,0,COUNTA([1]characters!$A:$A),MATCH(B$1,[1]characters!$1:$1,0)-MATCH($A$1,[1]characters!$1:$1,0)+1),MATCH(B$1,[1]characters!$1:$1,0)-MATCH($A$1,[1]characters!$1:$1,0)+1,FALSE)</f>
        <v>聖陽昇る緋洸神 ラー</v>
      </c>
      <c r="C11" s="56" t="str">
        <f ca="1">VLOOKUP($A11,OFFSET([1]characters!$A$1,0,0,COUNTA([1]characters!$A:$A),MATCH(C$1,[1]characters!$1:$1,0)-MATCH($A$1,[1]characters!$1:$1,0)+1),MATCH(C$1,[1]characters!$1:$1,0)-MATCH($A$1,[1]characters!$1:$1,0)+1,FALSE)</f>
        <v>ラー</v>
      </c>
      <c r="D11" s="56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6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6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6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6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6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50</v>
      </c>
      <c r="O11" s="11">
        <f ca="1">INDEX(レベル!$A$1:$I$21,MATCH(H11,レベル!$A$1:$A$21,FALSE),MATCH(G11,レベル!$A$1:$I$1,FALSE))</f>
        <v>99</v>
      </c>
      <c r="P11" s="47">
        <f t="shared" ca="1" si="11"/>
        <v>99</v>
      </c>
      <c r="Q11" s="56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6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6" t="str">
        <f ca="1">VLOOKUP($A11,OFFSET([1]characters!$A$1,0,0,COUNTA([1]characters!$A:$A),MATCH(Y$1,[1]characters!$1:$1,0)-MATCH($A$1,[1]characters!$1:$1,0)+1),MATCH(Y$1,[1]characters!$1:$1,0)-MATCH($A$1,[1]characters!$1:$1,0)+1,FALSE)</f>
        <v>animal</v>
      </c>
      <c r="Z11" s="5" t="str">
        <f ca="1">VLOOKUP(Y11,[1]character_tribe_i18n!$A:$H,3,FALSE)</f>
        <v>アニマル</v>
      </c>
      <c r="AA11" s="11">
        <f ca="1">VLOOKUP(W11,[1]character_tribe_i18n!$A:$H,4,FALSE)</f>
        <v>0.96</v>
      </c>
      <c r="AB11" s="11">
        <f ca="1">VLOOKUP(W11,[1]character_tribe_i18n!$A:$H,5,FALSE)</f>
        <v>1.02</v>
      </c>
      <c r="AC11" s="11">
        <f ca="1">VLOOKUP(W11,[1]character_tribe_i18n!$A:$H,6,FALSE)</f>
        <v>1</v>
      </c>
      <c r="AD11" s="11">
        <f ca="1">VLOOKUP(W11,[1]character_tribe_i18n!$A:$H,7,FALSE)</f>
        <v>1.02</v>
      </c>
      <c r="AE11" s="9" t="s">
        <v>183</v>
      </c>
      <c r="AF11" s="61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1012</v>
      </c>
      <c r="AH11" s="61" t="str">
        <f ca="1">VLOOKUP($AG11,OFFSET([1]characters!$A$1,0,0,COUNTA([1]characters!$A:$A),MATCH(AH$1,[1]characters!$1:$1,0)-MATCH($A$1,[1]characters!$1:$1,0)+1),MATCH(AH$1,[1]characters!$1:$1,0)-MATCH($A$1,[1]characters!$1:$1,0)+1,FALSE)</f>
        <v>ラー</v>
      </c>
      <c r="AI11" s="11" t="str">
        <f>IF(AE11="NULL","NULL",VLOOKUP(G11,ビット!$A$2:$B$7,2))</f>
        <v>NULL</v>
      </c>
      <c r="AJ11" s="6">
        <v>2</v>
      </c>
      <c r="AK11" s="7" t="str">
        <f t="shared" si="9"/>
        <v>普通</v>
      </c>
      <c r="AL11" s="11" t="str">
        <f ca="1">INDEX(経験値!$A$1:$I$20,MATCH(H11,経験値!$A$1:$A$20,FALSE),MATCH(G11,経験値!$A$1:$I$1,FALSE))</f>
        <v>required_exp_250</v>
      </c>
      <c r="AM11" s="8">
        <f ca="1">VLOOKUP(G11,経験値!$A$27:$B$31,2)</f>
        <v>6400</v>
      </c>
      <c r="AN11" s="17">
        <f ca="1">VLOOKUP(G11,ビット!$G$2:$H$7,2)</f>
        <v>900</v>
      </c>
      <c r="AO11" s="44"/>
      <c r="AP11" s="66">
        <f t="shared" si="6"/>
        <v>1013</v>
      </c>
      <c r="AQ11" s="56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6" t="e">
        <f ca="1">VLOOKUP($AP11,OFFSET(unit_skills!$A$1,0,0,COUNTA(unit_skills!$A:$A),MATCH(AR$1,unit_skills!$1:$1,0)-MATCH($AP$1,unit_skills!$1:$1,0)+1),MATCH(AR$1,unit_skills!$1:$1,0)-MATCH($AP$1,unit_skills!$1:$1,0)+1,FALSE)</f>
        <v>#N/A</v>
      </c>
      <c r="AS11" s="56" t="e">
        <f ca="1">VLOOKUP($AP11,OFFSET(unit_skills!$A$1,0,0,COUNTA(unit_skills!$A:$A),MATCH(AS$1,unit_skills!$1:$1,0)-MATCH($AP$1,unit_skills!$1:$1,0)+1),MATCH(AS$1,unit_skills!$1:$1,0)-MATCH($AP$1,unit_skills!$1:$1,0)+1,FALSE)</f>
        <v>#N/A</v>
      </c>
      <c r="AT11" s="40">
        <f t="shared" si="7"/>
        <v>1013</v>
      </c>
      <c r="AU11" s="56" t="str">
        <f ca="1">VLOOKUP($AT11,OFFSET(crash_skills!$A$1,0,0,COUNTA(crash_skills!$A:$A),MATCH(AU$1,crash_skills!$1:$1,0)-MATCH($AT$1,crash_skills!$1:$1,0)+1),MATCH(AU$1,crash_skills!$1:$1,0)-MATCH($AT$1,crash_skills!$1:$1,0)+1,FALSE)</f>
        <v>灼熔・煉獄斬撃</v>
      </c>
      <c r="AV11" s="56" t="str">
        <f ca="1">VLOOKUP($AT11,OFFSET(crash_skills!$A$1,0,0,COUNTA(crash_skills!$A:$A),MATCH(AV$1,crash_skills!$1:$1,0)-MATCH($AT$1,crash_skills!$1:$1,0)+1),MATCH(AV$1,crash_skills!$1:$1,0)-MATCH($AT$1,crash_skills!$1:$1,0)+1,FALSE)</f>
        <v>1体に超大ダメージ</v>
      </c>
      <c r="AW11" s="56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7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7">
        <v>1.0641</v>
      </c>
      <c r="AZ11" s="67">
        <v>1</v>
      </c>
      <c r="BA11" s="67">
        <v>0</v>
      </c>
      <c r="BB11" s="67">
        <v>0.95</v>
      </c>
      <c r="BC11" s="11">
        <f ca="1">INDEX('RC6SV'!$A$1:$G$20,MATCH(H11,'RC6SV'!$A$1:$A$20,FALSE),MATCH(G11,'RC6SV'!$A$1:$G$1,FALSE))</f>
        <v>13000</v>
      </c>
      <c r="BD11" s="47">
        <f t="shared" ca="1" si="10"/>
        <v>13000</v>
      </c>
      <c r="BE11" s="11">
        <f t="shared" ca="1" si="3"/>
        <v>9500</v>
      </c>
      <c r="BF11" s="11">
        <f t="shared" ca="1" si="4"/>
        <v>1</v>
      </c>
      <c r="BG11" s="16">
        <f ca="1">IF($BE11&lt;=0,ROUND(BK11*0.5,0), ROUND($BE11*S11*AA11*J11*AY11*0.8*[1]ステータス!$B$2,0))</f>
        <v>3882</v>
      </c>
      <c r="BH11" s="16">
        <f ca="1">IF($BE11&lt;=0,ROUND(BL11*0.5,0), ROUND($BE11*T11*AB11*K11*AZ11*0.8*[1]ステータス!$C$2,0))</f>
        <v>2372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1804</v>
      </c>
      <c r="BK11" s="11">
        <f ca="1">ROUND(BD11*S11*AA11*J11*AY11*[1]ステータス!$B$2,0)</f>
        <v>6640</v>
      </c>
      <c r="BL11" s="11">
        <f ca="1">ROUND(BD11*T11*AB11*K11*AZ11*[1]ステータス!$C$2,0)</f>
        <v>4058</v>
      </c>
      <c r="BM11" s="11">
        <f ca="1">ROUND(BD11*U11*AC11*L11*BA11*[1]ステータス!$D$2,0)</f>
        <v>0</v>
      </c>
      <c r="BN11" s="11">
        <f ca="1">ROUND(BD11*V11*AD11*M11*BB11*[1]ステータス!$E$2,0)</f>
        <v>3086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5500</v>
      </c>
    </row>
    <row r="12" spans="1:70" ht="26" customHeight="1" x14ac:dyDescent="0.15">
      <c r="A12" s="12">
        <v>1014</v>
      </c>
      <c r="B12" s="56" t="str">
        <f ca="1">VLOOKUP($A12,OFFSET([1]characters!$A$1,0,0,COUNTA([1]characters!$A:$A),MATCH(B$1,[1]characters!$1:$1,0)-MATCH($A$1,[1]characters!$1:$1,0)+1),MATCH(B$1,[1]characters!$1:$1,0)-MATCH($A$1,[1]characters!$1:$1,0)+1,FALSE)</f>
        <v>イシス</v>
      </c>
      <c r="C12" s="56" t="str">
        <f ca="1">VLOOKUP($A12,OFFSET([1]characters!$A$1,0,0,COUNTA([1]characters!$A:$A),MATCH(C$1,[1]characters!$1:$1,0)-MATCH($A$1,[1]characters!$1:$1,0)+1),MATCH(C$1,[1]characters!$1:$1,0)-MATCH($A$1,[1]characters!$1:$1,0)+1,FALSE)</f>
        <v>イシス</v>
      </c>
      <c r="D12" s="56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6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6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6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6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6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1">
        <f ca="1">VLOOKUP(I12,[1]属性!$A:$E,2,FALSE)</f>
        <v>1.02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</v>
      </c>
      <c r="N12" s="11">
        <f ca="1">INDEX(コスト!$A$1:$I$20,MATCH(H12,コスト!$A$1:$A$20,FALSE),MATCH(G12,コスト!$A$1:$I$1,FALSE))</f>
        <v>35</v>
      </c>
      <c r="O12" s="11">
        <f ca="1">INDEX(レベル!$A$1:$I$21,MATCH(H12,レベル!$A$1:$A$21,FALSE),MATCH(G12,レベル!$A$1:$I$1,FALSE))</f>
        <v>80</v>
      </c>
      <c r="P12" s="47">
        <f t="shared" ca="1" si="11"/>
        <v>75</v>
      </c>
      <c r="Q12" s="56" t="str">
        <f ca="1">VLOOKUP($A12,OFFSET([1]characters!$A$1,0,0,COUNTA([1]characters!$A:$A),MATCH(Q$1,[1]characters!$1:$1,0)-MATCH($A$1,[1]characters!$1:$1,0)+1),MATCH(Q$1,[1]characters!$1:$1,0)-MATCH($A$1,[1]characters!$1:$1,0)+1,FALSE)</f>
        <v>hp</v>
      </c>
      <c r="R12" s="5" t="str">
        <f ca="1">VLOOKUP(Q12,[1]character_type_i18n!$A:$H,3,FALSE)</f>
        <v>体力タイプ</v>
      </c>
      <c r="S12" s="11">
        <f ca="1">VLOOKUP(Q12,[1]character_type_i18n!$A:$H,4,FALSE)</f>
        <v>1.45</v>
      </c>
      <c r="T12" s="11">
        <f ca="1">VLOOKUP(Q12,[1]character_type_i18n!$A:$H,5,FALSE)</f>
        <v>0.85</v>
      </c>
      <c r="U12" s="11">
        <f ca="1">VLOOKUP(Q12,[1]character_type_i18n!$A:$H,6,FALSE)</f>
        <v>1</v>
      </c>
      <c r="V12" s="11">
        <f ca="1">VLOOKUP(Q12,[1]character_type_i18n!$A:$H,7,FALSE)</f>
        <v>0.7</v>
      </c>
      <c r="W12" s="56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6" t="str">
        <f ca="1">VLOOKUP($A12,OFFSET([1]characters!$A$1,0,0,COUNTA([1]characters!$A:$A),MATCH(Y$1,[1]characters!$1:$1,0)-MATCH($A$1,[1]characters!$1:$1,0)+1),MATCH(Y$1,[1]characters!$1:$1,0)-MATCH($A$1,[1]characters!$1:$1,0)+1,FALSE)</f>
        <v>animal</v>
      </c>
      <c r="Z12" s="5" t="str">
        <f ca="1">VLOOKUP(Y12,[1]character_tribe_i18n!$A:$H,3,FALSE)</f>
        <v>アニマル</v>
      </c>
      <c r="AA12" s="11">
        <f ca="1">VLOOKUP(W12,[1]character_tribe_i18n!$A:$H,4,FALSE)</f>
        <v>0.96</v>
      </c>
      <c r="AB12" s="11">
        <f ca="1">VLOOKUP(W12,[1]character_tribe_i18n!$A:$H,5,FALSE)</f>
        <v>1.02</v>
      </c>
      <c r="AC12" s="11">
        <f ca="1">VLOOKUP(W12,[1]character_tribe_i18n!$A:$H,6,FALSE)</f>
        <v>1</v>
      </c>
      <c r="AD12" s="11">
        <f ca="1">VLOOKUP(W12,[1]character_tribe_i18n!$A:$H,7,FALSE)</f>
        <v>1.02</v>
      </c>
      <c r="AE12" s="9">
        <f t="shared" ref="AE12" si="15">A13</f>
        <v>1015</v>
      </c>
      <c r="AF12" s="61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繁翠なる蘇聖神 イシス</v>
      </c>
      <c r="AG12" s="5">
        <f t="shared" ca="1" si="0"/>
        <v>1014</v>
      </c>
      <c r="AH12" s="61" t="str">
        <f ca="1">VLOOKUP($AG12,OFFSET([1]characters!$A$1,0,0,COUNTA([1]characters!$A:$A),MATCH(AH$1,[1]characters!$1:$1,0)-MATCH($A$1,[1]characters!$1:$1,0)+1),MATCH(AH$1,[1]characters!$1:$1,0)-MATCH($A$1,[1]characters!$1:$1,0)+1,FALSE)</f>
        <v>イシス</v>
      </c>
      <c r="AI12" s="11">
        <f ca="1">IF(AE12="NULL","NULL",VLOOKUP(G12,ビット!$A$2:$B$7,2))</f>
        <v>200000</v>
      </c>
      <c r="AJ12" s="6">
        <v>2</v>
      </c>
      <c r="AK12" s="7" t="str">
        <f t="shared" si="9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4"/>
      <c r="AP12" s="66">
        <f t="shared" si="6"/>
        <v>1014</v>
      </c>
      <c r="AQ12" s="56" t="str">
        <f ca="1">VLOOKUP($AP12,OFFSET(unit_skills!$A$1,0,0,COUNTA(unit_skills!$A:$A),MATCH(AQ$1,unit_skills!$1:$1,0)-MATCH($AP$1,unit_skills!$1:$1,0)+1),MATCH(AQ$1,unit_skills!$1:$1,0)-MATCH($AP$1,unit_skills!$1:$1,0)+1,FALSE)</f>
        <v>ソーサライズ・ナイル</v>
      </c>
      <c r="AR12" s="56" t="str">
        <f ca="1">VLOOKUP($AP12,OFFSET(unit_skills!$A$1,0,0,COUNTA(unit_skills!$A:$A),MATCH(AR$1,unit_skills!$1:$1,0)-MATCH($AP$1,unit_skills!$1:$1,0)+1),MATCH(AR$1,unit_skills!$1:$1,0)-MATCH($AP$1,unit_skills!$1:$1,0)+1,FALSE)</f>
        <v>赤パネルを緑パネルに変換+3ターン緑属性の防御力を超大UPし、HP中回復する</v>
      </c>
      <c r="AS12" s="56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0">
        <f t="shared" si="7"/>
        <v>1014</v>
      </c>
      <c r="AU12" s="56" t="str">
        <f ca="1">VLOOKUP($AT12,OFFSET(crash_skills!$A$1,0,0,COUNTA(crash_skills!$A:$A),MATCH(AU$1,crash_skills!$1:$1,0)-MATCH($AT$1,crash_skills!$1:$1,0)+1),MATCH(AU$1,crash_skills!$1:$1,0)-MATCH($AT$1,crash_skills!$1:$1,0)+1,FALSE)</f>
        <v>碧風走る魔杖</v>
      </c>
      <c r="AV12" s="56" t="str">
        <f ca="1">VLOOKUP($AT12,OFFSET(crash_skills!$A$1,0,0,COUNTA(crash_skills!$A:$A),MATCH(AV$1,crash_skills!$1:$1,0)-MATCH($AT$1,crash_skills!$1:$1,0)+1),MATCH(AV$1,crash_skills!$1:$1,0)-MATCH($AT$1,crash_skills!$1:$1,0)+1,FALSE)</f>
        <v>自身のHPの最大値に比例して_x000D_単体に超大ダメージ</v>
      </c>
      <c r="AW12" s="56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7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7">
        <v>0.85</v>
      </c>
      <c r="AZ12" s="67">
        <v>1</v>
      </c>
      <c r="BA12" s="67">
        <v>0</v>
      </c>
      <c r="BB12" s="67">
        <v>0.95</v>
      </c>
      <c r="BC12" s="11">
        <f ca="1">INDEX('RC6SV'!$A$1:$G$20,MATCH(H12,'RC6SV'!$A$1:$A$20,FALSE),MATCH(G12,'RC6SV'!$A$1:$G$1,FALSE))</f>
        <v>9500</v>
      </c>
      <c r="BD12" s="47">
        <f t="shared" ca="1" si="10"/>
        <v>9500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2867</v>
      </c>
      <c r="BH12" s="16">
        <f ca="1">IF($BE12&lt;=0,ROUND(BL12*0.5,0), ROUND($BE12*T12*AB12*K12*AZ12*0.8*[1]ステータス!$C$2,0))</f>
        <v>1211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806</v>
      </c>
      <c r="BK12" s="11">
        <f ca="1">ROUND(BD12*S12*AA12*J12*AY12*[1]ステータス!$B$2,0)</f>
        <v>5733</v>
      </c>
      <c r="BL12" s="11">
        <f ca="1">ROUND(BD12*T12*AB12*K12*AZ12*[1]ステータス!$C$2,0)</f>
        <v>2422</v>
      </c>
      <c r="BM12" s="11">
        <f ca="1">ROUND(BD12*U12*AC12*L12*BA12*[1]ステータス!$D$2,0)</f>
        <v>0</v>
      </c>
      <c r="BN12" s="11">
        <f ca="1">ROUND(BD12*V12*AD12*M12*BB12*[1]ステータス!$E$2,0)</f>
        <v>1611</v>
      </c>
      <c r="BO12" s="10">
        <v>0</v>
      </c>
      <c r="BP12" s="10">
        <v>1</v>
      </c>
      <c r="BQ12" s="10" t="s">
        <v>47</v>
      </c>
      <c r="BR12" s="10">
        <f ca="1">VLOOKUP(H12,ghosts_label!$A$2:$B$19,2,FALSE)</f>
        <v>5500</v>
      </c>
    </row>
    <row r="13" spans="1:70" ht="26" customHeight="1" x14ac:dyDescent="0.15">
      <c r="A13" s="12">
        <v>1015</v>
      </c>
      <c r="B13" s="56" t="str">
        <f ca="1">VLOOKUP($A13,OFFSET([1]characters!$A$1,0,0,COUNTA([1]characters!$A:$A),MATCH(B$1,[1]characters!$1:$1,0)-MATCH($A$1,[1]characters!$1:$1,0)+1),MATCH(B$1,[1]characters!$1:$1,0)-MATCH($A$1,[1]characters!$1:$1,0)+1,FALSE)</f>
        <v>繁翠なる蘇聖神 イシス</v>
      </c>
      <c r="C13" s="56" t="str">
        <f ca="1">VLOOKUP($A13,OFFSET([1]characters!$A$1,0,0,COUNTA([1]characters!$A:$A),MATCH(C$1,[1]characters!$1:$1,0)-MATCH($A$1,[1]characters!$1:$1,0)+1),MATCH(C$1,[1]characters!$1:$1,0)-MATCH($A$1,[1]characters!$1:$1,0)+1,FALSE)</f>
        <v>イシス</v>
      </c>
      <c r="D13" s="56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6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6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6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6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6" t="str">
        <f ca="1">VLOOKUP($A13,OFFSET([1]characters!$A$1,0,0,COUNTA([1]characters!$A:$A),MATCH(I$1,[1]characters!$1:$1,0)-MATCH($A$1,[1]characters!$1:$1,0)+1),MATCH(I$1,[1]characters!$1:$1,0)-MATCH($A$1,[1]characters!$1:$1,0)+1,FALSE)</f>
        <v>green</v>
      </c>
      <c r="J13" s="11">
        <f ca="1">VLOOKUP(I13,[1]属性!$A:$E,2,FALSE)</f>
        <v>1.02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7">
        <f t="shared" ca="1" si="11"/>
        <v>99</v>
      </c>
      <c r="Q13" s="56" t="str">
        <f ca="1">VLOOKUP($A13,OFFSET([1]characters!$A$1,0,0,COUNTA([1]characters!$A:$A),MATCH(Q$1,[1]characters!$1:$1,0)-MATCH($A$1,[1]characters!$1:$1,0)+1),MATCH(Q$1,[1]characters!$1:$1,0)-MATCH($A$1,[1]characters!$1:$1,0)+1,FALSE)</f>
        <v>hp</v>
      </c>
      <c r="R13" s="5" t="str">
        <f ca="1">VLOOKUP(Q13,[1]character_type_i18n!$A:$H,3,FALSE)</f>
        <v>体力タイプ</v>
      </c>
      <c r="S13" s="11">
        <f ca="1">VLOOKUP(Q13,[1]character_type_i18n!$A:$H,4,FALSE)</f>
        <v>1.45</v>
      </c>
      <c r="T13" s="11">
        <f ca="1">VLOOKUP(Q13,[1]character_type_i18n!$A:$H,5,FALSE)</f>
        <v>0.85</v>
      </c>
      <c r="U13" s="11">
        <f ca="1">VLOOKUP(Q13,[1]character_type_i18n!$A:$H,6,FALSE)</f>
        <v>1</v>
      </c>
      <c r="V13" s="11">
        <f ca="1">VLOOKUP(Q13,[1]character_type_i18n!$A:$H,7,FALSE)</f>
        <v>0.7</v>
      </c>
      <c r="W13" s="56" t="str">
        <f ca="1">VLOOKUP($A13,OFFSET([1]characters!$A$1,0,0,COUNTA([1]characters!$A:$A),MATCH(W$1,[1]characters!$1:$1,0)-MATCH($A$1,[1]characters!$1:$1,0)+1),MATCH(W$1,[1]characters!$1:$1,0)-MATCH($A$1,[1]characters!$1:$1,0)+1,FALSE)</f>
        <v>god</v>
      </c>
      <c r="X13" s="5" t="str">
        <f ca="1">VLOOKUP(W13,[1]character_tribe_i18n!$A:$H,3,FALSE)</f>
        <v>ゴッド</v>
      </c>
      <c r="Y13" s="56" t="str">
        <f ca="1">VLOOKUP($A13,OFFSET([1]characters!$A$1,0,0,COUNTA([1]characters!$A:$A),MATCH(Y$1,[1]characters!$1:$1,0)-MATCH($A$1,[1]characters!$1:$1,0)+1),MATCH(Y$1,[1]characters!$1:$1,0)-MATCH($A$1,[1]characters!$1:$1,0)+1,FALSE)</f>
        <v>animal</v>
      </c>
      <c r="Z13" s="5" t="str">
        <f ca="1">VLOOKUP(Y13,[1]character_tribe_i18n!$A:$H,3,FALSE)</f>
        <v>アニマル</v>
      </c>
      <c r="AA13" s="11">
        <f ca="1">VLOOKUP(W13,[1]character_tribe_i18n!$A:$H,4,FALSE)</f>
        <v>0.96</v>
      </c>
      <c r="AB13" s="11">
        <f ca="1">VLOOKUP(W13,[1]character_tribe_i18n!$A:$H,5,FALSE)</f>
        <v>1.02</v>
      </c>
      <c r="AC13" s="11">
        <f ca="1">VLOOKUP(W13,[1]character_tribe_i18n!$A:$H,6,FALSE)</f>
        <v>1</v>
      </c>
      <c r="AD13" s="11">
        <f ca="1">VLOOKUP(W13,[1]character_tribe_i18n!$A:$H,7,FALSE)</f>
        <v>1.02</v>
      </c>
      <c r="AE13" s="9" t="s">
        <v>183</v>
      </c>
      <c r="AF13" s="61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1014</v>
      </c>
      <c r="AH13" s="61" t="str">
        <f ca="1">VLOOKUP($AG13,OFFSET([1]characters!$A$1,0,0,COUNTA([1]characters!$A:$A),MATCH(AH$1,[1]characters!$1:$1,0)-MATCH($A$1,[1]characters!$1:$1,0)+1),MATCH(AH$1,[1]characters!$1:$1,0)-MATCH($A$1,[1]characters!$1:$1,0)+1,FALSE)</f>
        <v>イシス</v>
      </c>
      <c r="AI13" s="11" t="str">
        <f>IF(AE13="NULL","NULL",VLOOKUP(G13,ビット!$A$2:$B$7,2))</f>
        <v>NULL</v>
      </c>
      <c r="AJ13" s="6">
        <v>2</v>
      </c>
      <c r="AK13" s="7" t="str">
        <f t="shared" si="9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4"/>
      <c r="AP13" s="66">
        <f t="shared" si="6"/>
        <v>1015</v>
      </c>
      <c r="AQ13" s="56" t="str">
        <f ca="1">VLOOKUP($AP13,OFFSET(unit_skills!$A$1,0,0,COUNTA(unit_skills!$A:$A),MATCH(AQ$1,unit_skills!$1:$1,0)-MATCH($AP$1,unit_skills!$1:$1,0)+1),MATCH(AQ$1,unit_skills!$1:$1,0)-MATCH($AP$1,unit_skills!$1:$1,0)+1,FALSE)</f>
        <v>ソーサライズ・ナイル</v>
      </c>
      <c r="AR13" s="56" t="str">
        <f ca="1">VLOOKUP($AP13,OFFSET(unit_skills!$A$1,0,0,COUNTA(unit_skills!$A:$A),MATCH(AR$1,unit_skills!$1:$1,0)-MATCH($AP$1,unit_skills!$1:$1,0)+1),MATCH(AR$1,unit_skills!$1:$1,0)-MATCH($AP$1,unit_skills!$1:$1,0)+1,FALSE)</f>
        <v>赤パネルを緑パネルに、青パネルを黄パネルに変換+3ターン緑属性の防御力を超大UPし、HP中回復する</v>
      </c>
      <c r="AS13" s="56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0">
        <f t="shared" si="7"/>
        <v>1015</v>
      </c>
      <c r="AU13" s="56" t="str">
        <f ca="1">VLOOKUP($AT13,OFFSET(crash_skills!$A$1,0,0,COUNTA(crash_skills!$A:$A),MATCH(AU$1,crash_skills!$1:$1,0)-MATCH($AT$1,crash_skills!$1:$1,0)+1),MATCH(AU$1,crash_skills!$1:$1,0)-MATCH($AT$1,crash_skills!$1:$1,0)+1,FALSE)</f>
        <v>碧風走る魔杖</v>
      </c>
      <c r="AV13" s="56" t="str">
        <f ca="1">VLOOKUP($AT13,OFFSET(crash_skills!$A$1,0,0,COUNTA(crash_skills!$A:$A),MATCH(AV$1,crash_skills!$1:$1,0)-MATCH($AT$1,crash_skills!$1:$1,0)+1),MATCH(AV$1,crash_skills!$1:$1,0)-MATCH($AT$1,crash_skills!$1:$1,0)+1,FALSE)</f>
        <v>自身のHPの最大値に比例して_x000D_単体に超大ダメージ</v>
      </c>
      <c r="AW13" s="56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7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7">
        <v>0.85</v>
      </c>
      <c r="AZ13" s="67">
        <v>1.0609999999999999</v>
      </c>
      <c r="BA13" s="67">
        <v>0</v>
      </c>
      <c r="BB13" s="67">
        <v>1.1220000000000001</v>
      </c>
      <c r="BC13" s="11">
        <f ca="1">INDEX('RC6SV'!$A$1:$G$20,MATCH(H13,'RC6SV'!$A$1:$A$20,FALSE),MATCH(G13,'RC6SV'!$A$1:$G$1,FALSE))</f>
        <v>13000</v>
      </c>
      <c r="BD13" s="47">
        <f t="shared" ca="1" si="10"/>
        <v>13000</v>
      </c>
      <c r="BE13" s="11">
        <f t="shared" ca="1" si="3"/>
        <v>9500</v>
      </c>
      <c r="BF13" s="11">
        <f t="shared" ca="1" si="4"/>
        <v>1</v>
      </c>
      <c r="BG13" s="16">
        <f ca="1">IF($BE13&lt;=0,ROUND(BK13*0.5,0), ROUND($BE13*S13*AA13*J13*AY13*0.8*[1]ステータス!$B$2,0))</f>
        <v>4586</v>
      </c>
      <c r="BH13" s="16">
        <f ca="1">IF($BE13&lt;=0,ROUND(BL13*0.5,0), ROUND($BE13*T13*AB13*K13*AZ13*0.8*[1]ステータス!$C$2,0))</f>
        <v>2055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1522</v>
      </c>
      <c r="BK13" s="11">
        <f ca="1">ROUND(BD13*S13*AA13*J13*AY13*[1]ステータス!$B$2,0)</f>
        <v>7845</v>
      </c>
      <c r="BL13" s="11">
        <f ca="1">ROUND(BD13*T13*AB13*K13*AZ13*[1]ステータス!$C$2,0)</f>
        <v>3516</v>
      </c>
      <c r="BM13" s="11">
        <f ca="1">ROUND(BD13*U13*AC13*L13*BA13*[1]ステータス!$D$2,0)</f>
        <v>0</v>
      </c>
      <c r="BN13" s="11">
        <f ca="1">ROUND(BD13*V13*AD13*M13*BB13*[1]ステータス!$E$2,0)</f>
        <v>2604</v>
      </c>
      <c r="BO13" s="10">
        <v>0</v>
      </c>
      <c r="BP13" s="10">
        <v>1</v>
      </c>
      <c r="BQ13" s="10" t="s">
        <v>47</v>
      </c>
      <c r="BR13" s="10">
        <f ca="1">VLOOKUP(H13,ghosts_label!$A$2:$B$19,2,FALSE)</f>
        <v>5500</v>
      </c>
    </row>
    <row r="14" spans="1:70" ht="26" customHeight="1" x14ac:dyDescent="0.15">
      <c r="A14" s="12">
        <v>1016</v>
      </c>
      <c r="B14" s="56" t="str">
        <f ca="1">VLOOKUP($A14,OFFSET([1]characters!$A$1,0,0,COUNTA([1]characters!$A:$A),MATCH(B$1,[1]characters!$1:$1,0)-MATCH($A$1,[1]characters!$1:$1,0)+1),MATCH(B$1,[1]characters!$1:$1,0)-MATCH($A$1,[1]characters!$1:$1,0)+1,FALSE)</f>
        <v>ハトホル</v>
      </c>
      <c r="C14" s="56" t="str">
        <f ca="1">VLOOKUP($A14,OFFSET([1]characters!$A$1,0,0,COUNTA([1]characters!$A:$A),MATCH(C$1,[1]characters!$1:$1,0)-MATCH($A$1,[1]characters!$1:$1,0)+1),MATCH(C$1,[1]characters!$1:$1,0)-MATCH($A$1,[1]characters!$1:$1,0)+1,FALSE)</f>
        <v>ハトホル</v>
      </c>
      <c r="D14" s="56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6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6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6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6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6" t="str">
        <f ca="1">VLOOKUP($A14,OFFSET([1]characters!$A$1,0,0,COUNTA([1]characters!$A:$A),MATCH(I$1,[1]characters!$1:$1,0)-MATCH($A$1,[1]characters!$1:$1,0)+1),MATCH(I$1,[1]characters!$1:$1,0)-MATCH($A$1,[1]characters!$1:$1,0)+1,FALSE)</f>
        <v>blue</v>
      </c>
      <c r="J14" s="11">
        <f ca="1">VLOOKUP(I14,[1]属性!$A:$E,2,FALSE)</f>
        <v>1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1.02</v>
      </c>
      <c r="N14" s="11">
        <f ca="1">INDEX(コスト!$A$1:$I$20,MATCH(H14,コスト!$A$1:$A$20,FALSE),MATCH(G14,コスト!$A$1:$I$1,FALSE))</f>
        <v>20</v>
      </c>
      <c r="O14" s="11">
        <f ca="1">INDEX(レベル!$A$1:$I$21,MATCH(H14,レベル!$A$1:$A$21,FALSE),MATCH(G14,レベル!$A$1:$I$1,FALSE))</f>
        <v>60</v>
      </c>
      <c r="P14" s="47">
        <f t="shared" ca="1" si="11"/>
        <v>60</v>
      </c>
      <c r="Q14" s="56" t="str">
        <f ca="1">VLOOKUP($A14,OFFSET([1]characters!$A$1,0,0,COUNTA([1]characters!$A:$A),MATCH(Q$1,[1]characters!$1:$1,0)-MATCH($A$1,[1]characters!$1:$1,0)+1),MATCH(Q$1,[1]characters!$1:$1,0)-MATCH($A$1,[1]characters!$1:$1,0)+1,FALSE)</f>
        <v>heal</v>
      </c>
      <c r="R14" s="5" t="str">
        <f ca="1">VLOOKUP(Q14,[1]character_type_i18n!$A:$H,3,FALSE)</f>
        <v>回復タイプ</v>
      </c>
      <c r="S14" s="11">
        <f ca="1">VLOOKUP(Q14,[1]character_type_i18n!$A:$H,4,FALSE)</f>
        <v>0.8</v>
      </c>
      <c r="T14" s="11">
        <f ca="1">VLOOKUP(Q14,[1]character_type_i18n!$A:$H,5,FALSE)</f>
        <v>0.78</v>
      </c>
      <c r="U14" s="11">
        <f ca="1">VLOOKUP(Q14,[1]character_type_i18n!$A:$H,6,FALSE)</f>
        <v>1</v>
      </c>
      <c r="V14" s="11">
        <f ca="1">VLOOKUP(Q14,[1]character_type_i18n!$A:$H,7,FALSE)</f>
        <v>1.42</v>
      </c>
      <c r="W14" s="56" t="str">
        <f ca="1">VLOOKUP($A14,OFFSET([1]characters!$A$1,0,0,COUNTA([1]characters!$A:$A),MATCH(W$1,[1]characters!$1:$1,0)-MATCH($A$1,[1]characters!$1:$1,0)+1),MATCH(W$1,[1]characters!$1:$1,0)-MATCH($A$1,[1]characters!$1:$1,0)+1,FALSE)</f>
        <v>god</v>
      </c>
      <c r="X14" s="5" t="str">
        <f ca="1">VLOOKUP(W14,[1]character_tribe_i18n!$A:$H,3,FALSE)</f>
        <v>ゴッド</v>
      </c>
      <c r="Y14" s="56" t="str">
        <f ca="1">VLOOKUP($A14,OFFSET([1]characters!$A$1,0,0,COUNTA([1]characters!$A:$A),MATCH(Y$1,[1]characters!$1:$1,0)-MATCH($A$1,[1]characters!$1:$1,0)+1),MATCH(Y$1,[1]characters!$1:$1,0)-MATCH($A$1,[1]characters!$1:$1,0)+1,FALSE)</f>
        <v>animal</v>
      </c>
      <c r="Z14" s="5" t="str">
        <f ca="1">VLOOKUP(Y14,[1]character_tribe_i18n!$A:$H,3,FALSE)</f>
        <v>アニマル</v>
      </c>
      <c r="AA14" s="11">
        <f ca="1">VLOOKUP(W14,[1]character_tribe_i18n!$A:$H,4,FALSE)</f>
        <v>0.96</v>
      </c>
      <c r="AB14" s="11">
        <f ca="1">VLOOKUP(W14,[1]character_tribe_i18n!$A:$H,5,FALSE)</f>
        <v>1.02</v>
      </c>
      <c r="AC14" s="11">
        <f ca="1">VLOOKUP(W14,[1]character_tribe_i18n!$A:$H,6,FALSE)</f>
        <v>1</v>
      </c>
      <c r="AD14" s="11">
        <f ca="1">VLOOKUP(W14,[1]character_tribe_i18n!$A:$H,7,FALSE)</f>
        <v>1.02</v>
      </c>
      <c r="AE14" s="9">
        <f t="shared" ref="AE14" si="16">A15</f>
        <v>1017</v>
      </c>
      <c r="AF14" s="61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命瞳の慈母神 ハトホル</v>
      </c>
      <c r="AG14" s="5">
        <f t="shared" ca="1" si="0"/>
        <v>1016</v>
      </c>
      <c r="AH14" s="61" t="str">
        <f ca="1">VLOOKUP($AG14,OFFSET([1]characters!$A$1,0,0,COUNTA([1]characters!$A:$A),MATCH(AH$1,[1]characters!$1:$1,0)-MATCH($A$1,[1]characters!$1:$1,0)+1),MATCH(AH$1,[1]characters!$1:$1,0)-MATCH($A$1,[1]characters!$1:$1,0)+1,FALSE)</f>
        <v>ハトホル</v>
      </c>
      <c r="AI14" s="11">
        <f ca="1">IF(AE14="NULL","NULL",VLOOKUP(G14,ビット!$A$2:$B$7,2))</f>
        <v>50000</v>
      </c>
      <c r="AJ14" s="6">
        <v>2</v>
      </c>
      <c r="AK14" s="7" t="str">
        <f t="shared" si="9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3400</v>
      </c>
      <c r="AN14" s="17">
        <f ca="1">VLOOKUP(G14,ビット!$G$2:$H$7,2)</f>
        <v>600</v>
      </c>
      <c r="AO14" s="44"/>
      <c r="AP14" s="66">
        <f t="shared" si="6"/>
        <v>1016</v>
      </c>
      <c r="AQ14" s="56" t="str">
        <f ca="1">VLOOKUP($AP14,OFFSET(unit_skills!$A$1,0,0,COUNTA(unit_skills!$A:$A),MATCH(AQ$1,unit_skills!$1:$1,0)-MATCH($AP$1,unit_skills!$1:$1,0)+1),MATCH(AQ$1,unit_skills!$1:$1,0)-MATCH($AP$1,unit_skills!$1:$1,0)+1,FALSE)</f>
        <v>天愛呼ぶ癒煌</v>
      </c>
      <c r="AR14" s="56" t="str">
        <f ca="1">VLOOKUP($AP14,OFFSET(unit_skills!$A$1,0,0,COUNTA(unit_skills!$A:$A),MATCH(AR$1,unit_skills!$1:$1,0)-MATCH($AP$1,unit_skills!$1:$1,0)+1),MATCH(AR$1,unit_skills!$1:$1,0)-MATCH($AP$1,unit_skills!$1:$1,0)+1,FALSE)</f>
        <v>出現しているボムパネルを特大強化する+3ターン種族アニマルの回復力を特大UP</v>
      </c>
      <c r="AS14" s="56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0">
        <f t="shared" si="7"/>
        <v>1016</v>
      </c>
      <c r="AU14" s="56" t="str">
        <f ca="1">VLOOKUP($AT14,OFFSET(crash_skills!$A$1,0,0,COUNTA(crash_skills!$A:$A),MATCH(AU$1,crash_skills!$1:$1,0)-MATCH($AT$1,crash_skills!$1:$1,0)+1),MATCH(AU$1,crash_skills!$1:$1,0)-MATCH($AT$1,crash_skills!$1:$1,0)+1,FALSE)</f>
        <v>アレキサンド・メテオ</v>
      </c>
      <c r="AV14" s="56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1体に大ダメージ+_x000D_2ターン回復力小UP</v>
      </c>
      <c r="AW14" s="56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7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7">
        <v>1.2</v>
      </c>
      <c r="AZ14" s="67">
        <v>1.18</v>
      </c>
      <c r="BA14" s="67">
        <v>0</v>
      </c>
      <c r="BB14" s="67">
        <v>1.05</v>
      </c>
      <c r="BC14" s="11">
        <f ca="1">INDEX('RC6SV'!$A$1:$G$20,MATCH(H14,'RC6SV'!$A$1:$A$20,FALSE),MATCH(G14,'RC6SV'!$A$1:$G$1,FALSE))</f>
        <v>7000</v>
      </c>
      <c r="BD14" s="47">
        <f t="shared" ca="1" si="10"/>
        <v>7000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1613</v>
      </c>
      <c r="BH14" s="16">
        <f ca="1">IF($BE14&lt;=0,ROUND(BL14*0.5,0), ROUND($BE14*T14*AB14*K14*AZ14*0.8*[1]ステータス!$C$2,0))</f>
        <v>966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1358</v>
      </c>
      <c r="BK14" s="11">
        <f ca="1">ROUND(BD14*S14*AA14*J14*AY14*[1]ステータス!$B$2,0)</f>
        <v>3226</v>
      </c>
      <c r="BL14" s="11">
        <f ca="1">ROUND(BD14*T14*AB14*K14*AZ14*[1]ステータス!$C$2,0)</f>
        <v>1932</v>
      </c>
      <c r="BM14" s="11">
        <f ca="1">ROUND(BD14*U14*AC14*L14*BA14*[1]ステータス!$D$2,0)</f>
        <v>0</v>
      </c>
      <c r="BN14" s="11">
        <f ca="1">ROUND(BD14*V14*AD14*M14*BB14*[1]ステータス!$E$2,0)</f>
        <v>2715</v>
      </c>
      <c r="BO14" s="10">
        <v>0</v>
      </c>
      <c r="BP14" s="10">
        <v>1</v>
      </c>
      <c r="BQ14" s="10" t="s">
        <v>47</v>
      </c>
      <c r="BR14" s="10">
        <f ca="1">VLOOKUP(H14,ghosts_label!$A$2:$B$19,2,FALSE)</f>
        <v>700</v>
      </c>
    </row>
    <row r="15" spans="1:70" ht="26" customHeight="1" x14ac:dyDescent="0.15">
      <c r="A15" s="12">
        <v>1017</v>
      </c>
      <c r="B15" s="56" t="str">
        <f ca="1">VLOOKUP($A15,OFFSET([1]characters!$A$1,0,0,COUNTA([1]characters!$A:$A),MATCH(B$1,[1]characters!$1:$1,0)-MATCH($A$1,[1]characters!$1:$1,0)+1),MATCH(B$1,[1]characters!$1:$1,0)-MATCH($A$1,[1]characters!$1:$1,0)+1,FALSE)</f>
        <v>命瞳の慈母神 ハトホル</v>
      </c>
      <c r="C15" s="56" t="str">
        <f ca="1">VLOOKUP($A15,OFFSET([1]characters!$A$1,0,0,COUNTA([1]characters!$A:$A),MATCH(C$1,[1]characters!$1:$1,0)-MATCH($A$1,[1]characters!$1:$1,0)+1),MATCH(C$1,[1]characters!$1:$1,0)-MATCH($A$1,[1]characters!$1:$1,0)+1,FALSE)</f>
        <v>ハトホル</v>
      </c>
      <c r="D15" s="56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6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6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6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6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6" t="str">
        <f ca="1">VLOOKUP($A15,OFFSET([1]characters!$A$1,0,0,COUNTA([1]characters!$A:$A),MATCH(I$1,[1]characters!$1:$1,0)-MATCH($A$1,[1]characters!$1:$1,0)+1),MATCH(I$1,[1]characters!$1:$1,0)-MATCH($A$1,[1]characters!$1:$1,0)+1,FALSE)</f>
        <v>blue</v>
      </c>
      <c r="J15" s="11">
        <f ca="1">VLOOKUP(I15,[1]属性!$A:$E,2,FALSE)</f>
        <v>1</v>
      </c>
      <c r="K15" s="11">
        <f ca="1">VLOOKUP(I15,[1]属性!$A:$E,3,FALSE)</f>
        <v>0.98</v>
      </c>
      <c r="L15" s="11">
        <f ca="1">VLOOKUP(I15,[1]属性!$A:$E,4,FALSE)</f>
        <v>1</v>
      </c>
      <c r="M15" s="11">
        <f ca="1">VLOOKUP(I15,[1]属性!$A:$E,5,FALSE)</f>
        <v>1.02</v>
      </c>
      <c r="N15" s="11">
        <f ca="1">INDEX(コスト!$A$1:$I$20,MATCH(H15,コスト!$A$1:$A$20,FALSE),MATCH(G15,コスト!$A$1:$I$1,FALSE))</f>
        <v>30</v>
      </c>
      <c r="O15" s="11">
        <f ca="1">INDEX(レベル!$A$1:$I$21,MATCH(H15,レベル!$A$1:$A$21,FALSE),MATCH(G15,レベル!$A$1:$I$1,FALSE))</f>
        <v>80</v>
      </c>
      <c r="P15" s="47">
        <f t="shared" ca="1" si="11"/>
        <v>75</v>
      </c>
      <c r="Q15" s="56" t="str">
        <f ca="1">VLOOKUP($A15,OFFSET([1]characters!$A$1,0,0,COUNTA([1]characters!$A:$A),MATCH(Q$1,[1]characters!$1:$1,0)-MATCH($A$1,[1]characters!$1:$1,0)+1),MATCH(Q$1,[1]characters!$1:$1,0)-MATCH($A$1,[1]characters!$1:$1,0)+1,FALSE)</f>
        <v>heal</v>
      </c>
      <c r="R15" s="5" t="str">
        <f ca="1">VLOOKUP(Q15,[1]character_type_i18n!$A:$H,3,FALSE)</f>
        <v>回復タイプ</v>
      </c>
      <c r="S15" s="11">
        <f ca="1">VLOOKUP(Q15,[1]character_type_i18n!$A:$H,4,FALSE)</f>
        <v>0.8</v>
      </c>
      <c r="T15" s="11">
        <f ca="1">VLOOKUP(Q15,[1]character_type_i18n!$A:$H,5,FALSE)</f>
        <v>0.78</v>
      </c>
      <c r="U15" s="11">
        <f ca="1">VLOOKUP(Q15,[1]character_type_i18n!$A:$H,6,FALSE)</f>
        <v>1</v>
      </c>
      <c r="V15" s="11">
        <f ca="1">VLOOKUP(Q15,[1]character_type_i18n!$A:$H,7,FALSE)</f>
        <v>1.42</v>
      </c>
      <c r="W15" s="56" t="str">
        <f ca="1">VLOOKUP($A15,OFFSET([1]characters!$A$1,0,0,COUNTA([1]characters!$A:$A),MATCH(W$1,[1]characters!$1:$1,0)-MATCH($A$1,[1]characters!$1:$1,0)+1),MATCH(W$1,[1]characters!$1:$1,0)-MATCH($A$1,[1]characters!$1:$1,0)+1,FALSE)</f>
        <v>god</v>
      </c>
      <c r="X15" s="5" t="str">
        <f ca="1">VLOOKUP(W15,[1]character_tribe_i18n!$A:$H,3,FALSE)</f>
        <v>ゴッド</v>
      </c>
      <c r="Y15" s="56" t="str">
        <f ca="1">VLOOKUP($A15,OFFSET([1]characters!$A$1,0,0,COUNTA([1]characters!$A:$A),MATCH(Y$1,[1]characters!$1:$1,0)-MATCH($A$1,[1]characters!$1:$1,0)+1),MATCH(Y$1,[1]characters!$1:$1,0)-MATCH($A$1,[1]characters!$1:$1,0)+1,FALSE)</f>
        <v>animal</v>
      </c>
      <c r="Z15" s="5" t="str">
        <f ca="1">VLOOKUP(Y15,[1]character_tribe_i18n!$A:$H,3,FALSE)</f>
        <v>アニマル</v>
      </c>
      <c r="AA15" s="11">
        <f ca="1">VLOOKUP(W15,[1]character_tribe_i18n!$A:$H,4,FALSE)</f>
        <v>0.96</v>
      </c>
      <c r="AB15" s="11">
        <f ca="1">VLOOKUP(W15,[1]character_tribe_i18n!$A:$H,5,FALSE)</f>
        <v>1.02</v>
      </c>
      <c r="AC15" s="11">
        <f ca="1">VLOOKUP(W15,[1]character_tribe_i18n!$A:$H,6,FALSE)</f>
        <v>1</v>
      </c>
      <c r="AD15" s="11">
        <f ca="1">VLOOKUP(W15,[1]character_tribe_i18n!$A:$H,7,FALSE)</f>
        <v>1.02</v>
      </c>
      <c r="AE15" s="9" t="s">
        <v>183</v>
      </c>
      <c r="AF15" s="61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1016</v>
      </c>
      <c r="AH15" s="61" t="str">
        <f ca="1">VLOOKUP($AG15,OFFSET([1]characters!$A$1,0,0,COUNTA([1]characters!$A:$A),MATCH(AH$1,[1]characters!$1:$1,0)-MATCH($A$1,[1]characters!$1:$1,0)+1),MATCH(AH$1,[1]characters!$1:$1,0)-MATCH($A$1,[1]characters!$1:$1,0)+1,FALSE)</f>
        <v>ハトホル</v>
      </c>
      <c r="AI15" s="11" t="str">
        <f>IF(AE15="NULL","NULL",VLOOKUP(G15,ビット!$A$2:$B$7,2))</f>
        <v>NULL</v>
      </c>
      <c r="AJ15" s="6">
        <v>2</v>
      </c>
      <c r="AK15" s="7" t="str">
        <f t="shared" si="9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6400</v>
      </c>
      <c r="AN15" s="17">
        <f ca="1">VLOOKUP(G15,ビット!$G$2:$H$7,2)</f>
        <v>900</v>
      </c>
      <c r="AO15" s="44"/>
      <c r="AP15" s="66">
        <f t="shared" si="6"/>
        <v>1017</v>
      </c>
      <c r="AQ15" s="56" t="str">
        <f ca="1">VLOOKUP($AP15,OFFSET(unit_skills!$A$1,0,0,COUNTA(unit_skills!$A:$A),MATCH(AQ$1,unit_skills!$1:$1,0)-MATCH($AP$1,unit_skills!$1:$1,0)+1),MATCH(AQ$1,unit_skills!$1:$1,0)-MATCH($AP$1,unit_skills!$1:$1,0)+1,FALSE)</f>
        <v>天愛呼ぶ癒煌</v>
      </c>
      <c r="AR15" s="56" t="str">
        <f ca="1">VLOOKUP($AP15,OFFSET(unit_skills!$A$1,0,0,COUNTA(unit_skills!$A:$A),MATCH(AR$1,unit_skills!$1:$1,0)-MATCH($AP$1,unit_skills!$1:$1,0)+1),MATCH(AR$1,unit_skills!$1:$1,0)-MATCH($AP$1,unit_skills!$1:$1,0)+1,FALSE)</f>
        <v>出現しているボムパネルを特大強化する+3ターン種族アニマルの回復力を特大UP</v>
      </c>
      <c r="AS15" s="56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0">
        <f t="shared" si="7"/>
        <v>1017</v>
      </c>
      <c r="AU15" s="56" t="str">
        <f ca="1">VLOOKUP($AT15,OFFSET(crash_skills!$A$1,0,0,COUNTA(crash_skills!$A:$A),MATCH(AU$1,crash_skills!$1:$1,0)-MATCH($AT$1,crash_skills!$1:$1,0)+1),MATCH(AU$1,crash_skills!$1:$1,0)-MATCH($AT$1,crash_skills!$1:$1,0)+1,FALSE)</f>
        <v>アレキサンド・メテオ</v>
      </c>
      <c r="AV15" s="56" t="str">
        <f ca="1">VLOOKUP($AT15,OFFSET(crash_skills!$A$1,0,0,COUNTA(crash_skills!$A:$A),MATCH(AV$1,crash_skills!$1:$1,0)-MATCH($AT$1,crash_skills!$1:$1,0)+1),MATCH(AV$1,crash_skills!$1:$1,0)-MATCH($AT$1,crash_skills!$1:$1,0)+1,FALSE)</f>
        <v>1体に大ダメージ+_x000D_2ターン回復力小UP</v>
      </c>
      <c r="AW15" s="56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7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7">
        <v>1.2</v>
      </c>
      <c r="AZ15" s="67">
        <v>1.18</v>
      </c>
      <c r="BA15" s="67">
        <v>0</v>
      </c>
      <c r="BB15" s="67">
        <v>1.05</v>
      </c>
      <c r="BC15" s="11">
        <f ca="1">INDEX('RC6SV'!$A$1:$G$20,MATCH(H15,'RC6SV'!$A$1:$A$20,FALSE),MATCH(G15,'RC6SV'!$A$1:$G$1,FALSE))</f>
        <v>9000</v>
      </c>
      <c r="BD15" s="47">
        <f t="shared" ca="1" si="10"/>
        <v>9000</v>
      </c>
      <c r="BE15" s="11">
        <f t="shared" ca="1" si="3"/>
        <v>7000</v>
      </c>
      <c r="BF15" s="11">
        <f t="shared" ca="1" si="4"/>
        <v>1</v>
      </c>
      <c r="BG15" s="16">
        <f ca="1">IF($BE15&lt;=0,ROUND(BK15*0.5,0), ROUND($BE15*S15*AA15*J15*AY15*0.8*[1]ステータス!$B$2,0))</f>
        <v>2580</v>
      </c>
      <c r="BH15" s="16">
        <f ca="1">IF($BE15&lt;=0,ROUND(BL15*0.5,0), ROUND($BE15*T15*AB15*K15*AZ15*0.8*[1]ステータス!$C$2,0))</f>
        <v>1546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2172</v>
      </c>
      <c r="BK15" s="11">
        <f ca="1">ROUND(BD15*S15*AA15*J15*AY15*[1]ステータス!$B$2,0)</f>
        <v>4147</v>
      </c>
      <c r="BL15" s="11">
        <f ca="1">ROUND(BD15*T15*AB15*K15*AZ15*[1]ステータス!$C$2,0)</f>
        <v>2484</v>
      </c>
      <c r="BM15" s="11">
        <f ca="1">ROUND(BD15*U15*AC15*L15*BA15*[1]ステータス!$D$2,0)</f>
        <v>0</v>
      </c>
      <c r="BN15" s="11">
        <f ca="1">ROUND(BD15*V15*AD15*M15*BB15*[1]ステータス!$E$2,0)</f>
        <v>3490</v>
      </c>
      <c r="BO15" s="10">
        <v>0</v>
      </c>
      <c r="BP15" s="10">
        <v>1</v>
      </c>
      <c r="BQ15" s="10" t="s">
        <v>47</v>
      </c>
      <c r="BR15" s="10">
        <f ca="1">VLOOKUP(H15,ghosts_label!$A$2:$B$19,2,FALSE)</f>
        <v>700</v>
      </c>
    </row>
    <row r="16" spans="1:70" ht="26" customHeight="1" x14ac:dyDescent="0.15">
      <c r="A16" s="12">
        <v>1018</v>
      </c>
      <c r="B16" s="56" t="str">
        <f ca="1">VLOOKUP($A16,OFFSET([1]characters!$A$1,0,0,COUNTA([1]characters!$A:$A),MATCH(B$1,[1]characters!$1:$1,0)-MATCH($A$1,[1]characters!$1:$1,0)+1),MATCH(B$1,[1]characters!$1:$1,0)-MATCH($A$1,[1]characters!$1:$1,0)+1,FALSE)</f>
        <v>バステト</v>
      </c>
      <c r="C16" s="56" t="str">
        <f ca="1">VLOOKUP($A16,OFFSET([1]characters!$A$1,0,0,COUNTA([1]characters!$A:$A),MATCH(C$1,[1]characters!$1:$1,0)-MATCH($A$1,[1]characters!$1:$1,0)+1),MATCH(C$1,[1]characters!$1:$1,0)-MATCH($A$1,[1]characters!$1:$1,0)+1,FALSE)</f>
        <v>バステト</v>
      </c>
      <c r="D16" s="56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6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6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6">
        <f ca="1">VLOOKUP($A16,OFFSET([1]characters!$A$1,0,0,COUNTA([1]characters!$A:$A),MATCH(G$1,[1]characters!$1:$1,0)-MATCH($A$1,[1]characters!$1:$1,0)+1),MATCH(G$1,[1]characters!$1:$1,0)-MATCH($A$1,[1]characters!$1:$1,0)+1,FALSE)</f>
        <v>5</v>
      </c>
      <c r="H16" s="56" t="str">
        <f ca="1">VLOOKUP($A16,OFFSET([1]characters!$A$1,0,0,COUNTA([1]characters!$A:$A),MATCH(H$1,[1]characters!$1:$1,0)-MATCH($A$1,[1]characters!$1:$1,0)+1),MATCH(H$1,[1]characters!$1:$1,0)-MATCH($A$1,[1]characters!$1:$1,0)+1,FALSE)</f>
        <v>PremiumSS</v>
      </c>
      <c r="I16" s="56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11">
        <f ca="1">VLOOKUP(I16,[1]属性!$A:$E,2,FALSE)</f>
        <v>0.98</v>
      </c>
      <c r="K16" s="11">
        <f ca="1">VLOOKUP(I16,[1]属性!$A:$E,3,FALSE)</f>
        <v>1.01</v>
      </c>
      <c r="L16" s="11">
        <f ca="1">VLOOKUP(I16,[1]属性!$A:$E,4,FALSE)</f>
        <v>1</v>
      </c>
      <c r="M16" s="11">
        <f ca="1">VLOOKUP(I16,[1]属性!$A:$E,5,FALSE)</f>
        <v>1.01</v>
      </c>
      <c r="N16" s="11">
        <f ca="1">INDEX(コスト!$A$1:$I$20,MATCH(H16,コスト!$A$1:$A$20,FALSE),MATCH(G16,コスト!$A$1:$I$1,FALSE))</f>
        <v>35</v>
      </c>
      <c r="O16" s="11">
        <f ca="1">INDEX(レベル!$A$1:$I$21,MATCH(H16,レベル!$A$1:$A$21,FALSE),MATCH(G16,レベル!$A$1:$I$1,FALSE))</f>
        <v>80</v>
      </c>
      <c r="P16" s="47">
        <f t="shared" ca="1" si="11"/>
        <v>75</v>
      </c>
      <c r="Q16" s="56" t="str">
        <f ca="1">VLOOKUP($A16,OFFSET([1]characters!$A$1,0,0,COUNTA([1]characters!$A:$A),MATCH(Q$1,[1]characters!$1:$1,0)-MATCH($A$1,[1]characters!$1:$1,0)+1),MATCH(Q$1,[1]characters!$1:$1,0)-MATCH($A$1,[1]characters!$1:$1,0)+1,FALSE)</f>
        <v>attack</v>
      </c>
      <c r="R16" s="5" t="str">
        <f ca="1">VLOOKUP(Q16,[1]character_type_i18n!$A:$H,3,FALSE)</f>
        <v>攻撃タイプ</v>
      </c>
      <c r="S16" s="11">
        <f ca="1">VLOOKUP(Q16,[1]character_type_i18n!$A:$H,4,FALSE)</f>
        <v>1</v>
      </c>
      <c r="T16" s="11">
        <f ca="1">VLOOKUP(Q16,[1]character_type_i18n!$A:$H,5,FALSE)</f>
        <v>1.33</v>
      </c>
      <c r="U16" s="11">
        <f ca="1">VLOOKUP(Q16,[1]character_type_i18n!$A:$H,6,FALSE)</f>
        <v>1</v>
      </c>
      <c r="V16" s="11">
        <f ca="1">VLOOKUP(Q16,[1]character_type_i18n!$A:$H,7,FALSE)</f>
        <v>0.67</v>
      </c>
      <c r="W16" s="56" t="str">
        <f ca="1">VLOOKUP($A16,OFFSET([1]characters!$A$1,0,0,COUNTA([1]characters!$A:$A),MATCH(W$1,[1]characters!$1:$1,0)-MATCH($A$1,[1]characters!$1:$1,0)+1),MATCH(W$1,[1]characters!$1:$1,0)-MATCH($A$1,[1]characters!$1:$1,0)+1,FALSE)</f>
        <v>god</v>
      </c>
      <c r="X16" s="5" t="str">
        <f ca="1">VLOOKUP(W16,[1]character_tribe_i18n!$A:$H,3,FALSE)</f>
        <v>ゴッド</v>
      </c>
      <c r="Y16" s="56" t="str">
        <f ca="1">VLOOKUP($A16,OFFSET([1]characters!$A$1,0,0,COUNTA([1]characters!$A:$A),MATCH(Y$1,[1]characters!$1:$1,0)-MATCH($A$1,[1]characters!$1:$1,0)+1),MATCH(Y$1,[1]characters!$1:$1,0)-MATCH($A$1,[1]characters!$1:$1,0)+1,FALSE)</f>
        <v>animal</v>
      </c>
      <c r="Z16" s="5" t="str">
        <f ca="1">VLOOKUP(Y16,[1]character_tribe_i18n!$A:$H,3,FALSE)</f>
        <v>アニマル</v>
      </c>
      <c r="AA16" s="11">
        <f ca="1">VLOOKUP(W16,[1]character_tribe_i18n!$A:$H,4,FALSE)</f>
        <v>0.96</v>
      </c>
      <c r="AB16" s="11">
        <f ca="1">VLOOKUP(W16,[1]character_tribe_i18n!$A:$H,5,FALSE)</f>
        <v>1.02</v>
      </c>
      <c r="AC16" s="11">
        <f ca="1">VLOOKUP(W16,[1]character_tribe_i18n!$A:$H,6,FALSE)</f>
        <v>1</v>
      </c>
      <c r="AD16" s="11">
        <f ca="1">VLOOKUP(W16,[1]character_tribe_i18n!$A:$H,7,FALSE)</f>
        <v>1.02</v>
      </c>
      <c r="AE16" s="9">
        <f t="shared" ref="AE16" si="17">A17</f>
        <v>1019</v>
      </c>
      <c r="AF16" s="61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愛鈴鳴る寵猫神 バステト</v>
      </c>
      <c r="AG16" s="5">
        <f t="shared" ca="1" si="0"/>
        <v>1018</v>
      </c>
      <c r="AH16" s="61" t="str">
        <f ca="1">VLOOKUP($AG16,OFFSET([1]characters!$A$1,0,0,COUNTA([1]characters!$A:$A),MATCH(AH$1,[1]characters!$1:$1,0)-MATCH($A$1,[1]characters!$1:$1,0)+1),MATCH(AH$1,[1]characters!$1:$1,0)-MATCH($A$1,[1]characters!$1:$1,0)+1,FALSE)</f>
        <v>バステト</v>
      </c>
      <c r="AI16" s="11">
        <f ca="1">IF(AE16="NULL","NULL",VLOOKUP(G16,ビット!$A$2:$B$7,2))</f>
        <v>200000</v>
      </c>
      <c r="AJ16" s="6">
        <v>2</v>
      </c>
      <c r="AK16" s="7" t="str">
        <f t="shared" si="9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6400</v>
      </c>
      <c r="AN16" s="17">
        <f ca="1">VLOOKUP(G16,ビット!$G$2:$H$7,2)</f>
        <v>900</v>
      </c>
      <c r="AO16" s="44"/>
      <c r="AP16" s="66">
        <f t="shared" si="6"/>
        <v>1018</v>
      </c>
      <c r="AQ16" s="56" t="str">
        <f ca="1">VLOOKUP($AP16,OFFSET(unit_skills!$A$1,0,0,COUNTA(unit_skills!$A:$A),MATCH(AQ$1,unit_skills!$1:$1,0)-MATCH($AP$1,unit_skills!$1:$1,0)+1),MATCH(AQ$1,unit_skills!$1:$1,0)-MATCH($AP$1,unit_skills!$1:$1,0)+1,FALSE)</f>
        <v>にゃんだふる・ぱんち！</v>
      </c>
      <c r="AR16" s="56" t="str">
        <f ca="1">VLOOKUP($AP16,OFFSET(unit_skills!$A$1,0,0,COUNTA(unit_skills!$A:$A),MATCH(AR$1,unit_skills!$1:$1,0)-MATCH($AP$1,unit_skills!$1:$1,0)+1),MATCH(AR$1,unit_skills!$1:$1,0)-MATCH($AP$1,unit_skills!$1:$1,0)+1,FALSE)</f>
        <v>黄パネルをランダムで最大6つCパネルに変換+出現しているCパネルをランダムで最大4つ超大強化</v>
      </c>
      <c r="AS16" s="56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0">
        <f t="shared" si="7"/>
        <v>1018</v>
      </c>
      <c r="AU16" s="56" t="str">
        <f ca="1">VLOOKUP($AT16,OFFSET(crash_skills!$A$1,0,0,COUNTA(crash_skills!$A:$A),MATCH(AU$1,crash_skills!$1:$1,0)-MATCH($AT$1,crash_skills!$1:$1,0)+1),MATCH(AU$1,crash_skills!$1:$1,0)-MATCH($AT$1,crash_skills!$1:$1,0)+1,FALSE)</f>
        <v>キャット･スラッシュエッジ</v>
      </c>
      <c r="AV16" s="56" t="str">
        <f ca="1">VLOOKUP($AT16,OFFSET(crash_skills!$A$1,0,0,COUNTA(crash_skills!$A:$A),MATCH(AV$1,crash_skills!$1:$1,0)-MATCH($AT$1,crash_skills!$1:$1,0)+1),MATCH(AV$1,crash_skills!$1:$1,0)-MATCH($AT$1,crash_skills!$1:$1,0)+1,FALSE)</f>
        <v>単体に2連続ダメージ</v>
      </c>
      <c r="AW16" s="56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7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7">
        <v>1.02</v>
      </c>
      <c r="AZ16" s="67">
        <v>0.98</v>
      </c>
      <c r="BA16" s="67">
        <v>0</v>
      </c>
      <c r="BB16" s="67">
        <v>1.1000000000000001</v>
      </c>
      <c r="BC16" s="11">
        <f ca="1">INDEX('RC6SV'!$A$1:$G$20,MATCH(H16,'RC6SV'!$A$1:$A$20,FALSE),MATCH(G16,'RC6SV'!$A$1:$G$1,FALSE))</f>
        <v>9500</v>
      </c>
      <c r="BD16" s="47">
        <f t="shared" ca="1" si="10"/>
        <v>9500</v>
      </c>
      <c r="BE16" s="11">
        <f t="shared" ca="1" si="3"/>
        <v>0</v>
      </c>
      <c r="BF16" s="11">
        <f t="shared" ca="1" si="4"/>
        <v>1</v>
      </c>
      <c r="BG16" s="16">
        <f ca="1">IF($BE16&lt;=0,ROUND(BK16*0.5,0), ROUND($BE16*S16*AA16*J16*AY16*0.8*[1]ステータス!$B$2,0))</f>
        <v>2279</v>
      </c>
      <c r="BH16" s="16">
        <f ca="1">IF($BE16&lt;=0,ROUND(BL16*0.5,0), ROUND($BE16*T16*AB16*K16*AZ16*0.8*[1]ステータス!$C$2,0))</f>
        <v>1914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902</v>
      </c>
      <c r="BK16" s="11">
        <f ca="1">ROUND(BD16*S16*AA16*J16*AY16*[1]ステータス!$B$2,0)</f>
        <v>4558</v>
      </c>
      <c r="BL16" s="11">
        <f ca="1">ROUND(BD16*T16*AB16*K16*AZ16*[1]ステータス!$C$2,0)</f>
        <v>3827</v>
      </c>
      <c r="BM16" s="11">
        <f ca="1">ROUND(BD16*U16*AC16*L16*BA16*[1]ステータス!$D$2,0)</f>
        <v>0</v>
      </c>
      <c r="BN16" s="11">
        <f ca="1">ROUND(BD16*V16*AD16*M16*BB16*[1]ステータス!$E$2,0)</f>
        <v>1803</v>
      </c>
      <c r="BO16" s="10">
        <v>0</v>
      </c>
      <c r="BP16" s="10">
        <v>1</v>
      </c>
      <c r="BQ16" s="10" t="s">
        <v>47</v>
      </c>
      <c r="BR16" s="10">
        <f ca="1">VLOOKUP(H16,ghosts_label!$A$2:$B$19,2,FALSE)</f>
        <v>5500</v>
      </c>
    </row>
    <row r="17" spans="1:70" ht="26" customHeight="1" x14ac:dyDescent="0.15">
      <c r="A17" s="12">
        <v>1019</v>
      </c>
      <c r="B17" s="56" t="str">
        <f ca="1">VLOOKUP($A17,OFFSET([1]characters!$A$1,0,0,COUNTA([1]characters!$A:$A),MATCH(B$1,[1]characters!$1:$1,0)-MATCH($A$1,[1]characters!$1:$1,0)+1),MATCH(B$1,[1]characters!$1:$1,0)-MATCH($A$1,[1]characters!$1:$1,0)+1,FALSE)</f>
        <v>愛鈴鳴る寵猫神 バステト</v>
      </c>
      <c r="C17" s="56" t="str">
        <f ca="1">VLOOKUP($A17,OFFSET([1]characters!$A$1,0,0,COUNTA([1]characters!$A:$A),MATCH(C$1,[1]characters!$1:$1,0)-MATCH($A$1,[1]characters!$1:$1,0)+1),MATCH(C$1,[1]characters!$1:$1,0)-MATCH($A$1,[1]characters!$1:$1,0)+1,FALSE)</f>
        <v>バステト</v>
      </c>
      <c r="D17" s="56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6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6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6">
        <f ca="1">VLOOKUP($A17,OFFSET([1]characters!$A$1,0,0,COUNTA([1]characters!$A:$A),MATCH(G$1,[1]characters!$1:$1,0)-MATCH($A$1,[1]characters!$1:$1,0)+1),MATCH(G$1,[1]characters!$1:$1,0)-MATCH($A$1,[1]characters!$1:$1,0)+1,FALSE)</f>
        <v>6</v>
      </c>
      <c r="H17" s="56" t="str">
        <f ca="1">VLOOKUP($A17,OFFSET([1]characters!$A$1,0,0,COUNTA([1]characters!$A:$A),MATCH(H$1,[1]characters!$1:$1,0)-MATCH($A$1,[1]characters!$1:$1,0)+1),MATCH(H$1,[1]characters!$1:$1,0)-MATCH($A$1,[1]characters!$1:$1,0)+1,FALSE)</f>
        <v>PremiumSS</v>
      </c>
      <c r="I17" s="56" t="str">
        <f ca="1">VLOOKUP($A17,OFFSET([1]characters!$A$1,0,0,COUNTA([1]characters!$A:$A),MATCH(I$1,[1]characters!$1:$1,0)-MATCH($A$1,[1]characters!$1:$1,0)+1),MATCH(I$1,[1]characters!$1:$1,0)-MATCH($A$1,[1]characters!$1:$1,0)+1,FALSE)</f>
        <v>yellow</v>
      </c>
      <c r="J17" s="11">
        <f ca="1">VLOOKUP(I17,[1]属性!$A:$E,2,FALSE)</f>
        <v>0.98</v>
      </c>
      <c r="K17" s="11">
        <f ca="1">VLOOKUP(I17,[1]属性!$A:$E,3,FALSE)</f>
        <v>1.01</v>
      </c>
      <c r="L17" s="11">
        <f ca="1">VLOOKUP(I17,[1]属性!$A:$E,4,FALSE)</f>
        <v>1</v>
      </c>
      <c r="M17" s="11">
        <f ca="1">VLOOKUP(I17,[1]属性!$A:$E,5,FALSE)</f>
        <v>1.01</v>
      </c>
      <c r="N17" s="11">
        <f ca="1">INDEX(コスト!$A$1:$I$20,MATCH(H17,コスト!$A$1:$A$20,FALSE),MATCH(G17,コスト!$A$1:$I$1,FALSE))</f>
        <v>50</v>
      </c>
      <c r="O17" s="11">
        <f ca="1">INDEX(レベル!$A$1:$I$21,MATCH(H17,レベル!$A$1:$A$21,FALSE),MATCH(G17,レベル!$A$1:$I$1,FALSE))</f>
        <v>99</v>
      </c>
      <c r="P17" s="47">
        <f t="shared" ca="1" si="11"/>
        <v>99</v>
      </c>
      <c r="Q17" s="56" t="str">
        <f ca="1">VLOOKUP($A17,OFFSET([1]characters!$A$1,0,0,COUNTA([1]characters!$A:$A),MATCH(Q$1,[1]characters!$1:$1,0)-MATCH($A$1,[1]characters!$1:$1,0)+1),MATCH(Q$1,[1]characters!$1:$1,0)-MATCH($A$1,[1]characters!$1:$1,0)+1,FALSE)</f>
        <v>attack</v>
      </c>
      <c r="R17" s="5" t="str">
        <f ca="1">VLOOKUP(Q17,[1]character_type_i18n!$A:$H,3,FALSE)</f>
        <v>攻撃タイプ</v>
      </c>
      <c r="S17" s="11">
        <f ca="1">VLOOKUP(Q17,[1]character_type_i18n!$A:$H,4,FALSE)</f>
        <v>1</v>
      </c>
      <c r="T17" s="11">
        <f ca="1">VLOOKUP(Q17,[1]character_type_i18n!$A:$H,5,FALSE)</f>
        <v>1.33</v>
      </c>
      <c r="U17" s="11">
        <f ca="1">VLOOKUP(Q17,[1]character_type_i18n!$A:$H,6,FALSE)</f>
        <v>1</v>
      </c>
      <c r="V17" s="11">
        <f ca="1">VLOOKUP(Q17,[1]character_type_i18n!$A:$H,7,FALSE)</f>
        <v>0.67</v>
      </c>
      <c r="W17" s="56" t="str">
        <f ca="1">VLOOKUP($A17,OFFSET([1]characters!$A$1,0,0,COUNTA([1]characters!$A:$A),MATCH(W$1,[1]characters!$1:$1,0)-MATCH($A$1,[1]characters!$1:$1,0)+1),MATCH(W$1,[1]characters!$1:$1,0)-MATCH($A$1,[1]characters!$1:$1,0)+1,FALSE)</f>
        <v>god</v>
      </c>
      <c r="X17" s="5" t="str">
        <f ca="1">VLOOKUP(W17,[1]character_tribe_i18n!$A:$H,3,FALSE)</f>
        <v>ゴッド</v>
      </c>
      <c r="Y17" s="56" t="str">
        <f ca="1">VLOOKUP($A17,OFFSET([1]characters!$A$1,0,0,COUNTA([1]characters!$A:$A),MATCH(Y$1,[1]characters!$1:$1,0)-MATCH($A$1,[1]characters!$1:$1,0)+1),MATCH(Y$1,[1]characters!$1:$1,0)-MATCH($A$1,[1]characters!$1:$1,0)+1,FALSE)</f>
        <v>animal</v>
      </c>
      <c r="Z17" s="5" t="str">
        <f ca="1">VLOOKUP(Y17,[1]character_tribe_i18n!$A:$H,3,FALSE)</f>
        <v>アニマル</v>
      </c>
      <c r="AA17" s="11">
        <f ca="1">VLOOKUP(W17,[1]character_tribe_i18n!$A:$H,4,FALSE)</f>
        <v>0.96</v>
      </c>
      <c r="AB17" s="11">
        <f ca="1">VLOOKUP(W17,[1]character_tribe_i18n!$A:$H,5,FALSE)</f>
        <v>1.02</v>
      </c>
      <c r="AC17" s="11">
        <f ca="1">VLOOKUP(W17,[1]character_tribe_i18n!$A:$H,6,FALSE)</f>
        <v>1</v>
      </c>
      <c r="AD17" s="11">
        <f ca="1">VLOOKUP(W17,[1]character_tribe_i18n!$A:$H,7,FALSE)</f>
        <v>1.02</v>
      </c>
      <c r="AE17" s="9" t="s">
        <v>183</v>
      </c>
      <c r="AF17" s="61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0"/>
        <v>1018</v>
      </c>
      <c r="AH17" s="61" t="str">
        <f ca="1">VLOOKUP($AG17,OFFSET([1]characters!$A$1,0,0,COUNTA([1]characters!$A:$A),MATCH(AH$1,[1]characters!$1:$1,0)-MATCH($A$1,[1]characters!$1:$1,0)+1),MATCH(AH$1,[1]characters!$1:$1,0)-MATCH($A$1,[1]characters!$1:$1,0)+1,FALSE)</f>
        <v>バステト</v>
      </c>
      <c r="AI17" s="11" t="str">
        <f>IF(AE17="NULL","NULL",VLOOKUP(G17,ビット!$A$2:$B$7,2))</f>
        <v>NULL</v>
      </c>
      <c r="AJ17" s="6">
        <v>2</v>
      </c>
      <c r="AK17" s="7" t="str">
        <f t="shared" si="9"/>
        <v>普通</v>
      </c>
      <c r="AL17" s="11" t="str">
        <f ca="1">INDEX(経験値!$A$1:$I$20,MATCH(H17,経験値!$A$1:$A$20,FALSE),MATCH(G17,経験値!$A$1:$I$1,FALSE))</f>
        <v>required_exp_250</v>
      </c>
      <c r="AM17" s="8">
        <f ca="1">VLOOKUP(G17,経験値!$A$27:$B$31,2)</f>
        <v>6400</v>
      </c>
      <c r="AN17" s="17">
        <f ca="1">VLOOKUP(G17,ビット!$G$2:$H$7,2)</f>
        <v>900</v>
      </c>
      <c r="AO17" s="44"/>
      <c r="AP17" s="66">
        <f t="shared" si="6"/>
        <v>1019</v>
      </c>
      <c r="AQ17" s="56" t="str">
        <f ca="1">VLOOKUP($AP17,OFFSET(unit_skills!$A$1,0,0,COUNTA(unit_skills!$A:$A),MATCH(AQ$1,unit_skills!$1:$1,0)-MATCH($AP$1,unit_skills!$1:$1,0)+1),MATCH(AQ$1,unit_skills!$1:$1,0)-MATCH($AP$1,unit_skills!$1:$1,0)+1,FALSE)</f>
        <v>にゃんだふる・ぱんち！</v>
      </c>
      <c r="AR17" s="56" t="str">
        <f ca="1">VLOOKUP($AP17,OFFSET(unit_skills!$A$1,0,0,COUNTA(unit_skills!$A:$A),MATCH(AR$1,unit_skills!$1:$1,0)-MATCH($AP$1,unit_skills!$1:$1,0)+1),MATCH(AR$1,unit_skills!$1:$1,0)-MATCH($AP$1,unit_skills!$1:$1,0)+1,FALSE)</f>
        <v>黄パネルをランダムで最大6つCパネルに変換+出現しているCパネルをランダムで最大5つ超大強化</v>
      </c>
      <c r="AS17" s="56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0">
        <f t="shared" si="7"/>
        <v>1019</v>
      </c>
      <c r="AU17" s="56" t="str">
        <f ca="1">VLOOKUP($AT17,OFFSET(crash_skills!$A$1,0,0,COUNTA(crash_skills!$A:$A),MATCH(AU$1,crash_skills!$1:$1,0)-MATCH($AT$1,crash_skills!$1:$1,0)+1),MATCH(AU$1,crash_skills!$1:$1,0)-MATCH($AT$1,crash_skills!$1:$1,0)+1,FALSE)</f>
        <v>キャット･スラッシュエッジ</v>
      </c>
      <c r="AV17" s="56" t="str">
        <f ca="1">VLOOKUP($AT17,OFFSET(crash_skills!$A$1,0,0,COUNTA(crash_skills!$A:$A),MATCH(AV$1,crash_skills!$1:$1,0)-MATCH($AT$1,crash_skills!$1:$1,0)+1),MATCH(AV$1,crash_skills!$1:$1,0)-MATCH($AT$1,crash_skills!$1:$1,0)+1,FALSE)</f>
        <v>単体に2回大ダメージ</v>
      </c>
      <c r="AW17" s="56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7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7">
        <v>1.02</v>
      </c>
      <c r="AZ17" s="67">
        <v>0.98</v>
      </c>
      <c r="BA17" s="67">
        <v>0</v>
      </c>
      <c r="BB17" s="67">
        <v>1.1000000000000001</v>
      </c>
      <c r="BC17" s="11">
        <f ca="1">INDEX('RC6SV'!$A$1:$G$20,MATCH(H17,'RC6SV'!$A$1:$A$20,FALSE),MATCH(G17,'RC6SV'!$A$1:$G$1,FALSE))</f>
        <v>13000</v>
      </c>
      <c r="BD17" s="47">
        <f t="shared" ca="1" si="10"/>
        <v>13000</v>
      </c>
      <c r="BE17" s="11">
        <f t="shared" ca="1" si="3"/>
        <v>9500</v>
      </c>
      <c r="BF17" s="11">
        <f t="shared" ca="1" si="4"/>
        <v>1</v>
      </c>
      <c r="BG17" s="16">
        <f ca="1">IF($BE17&lt;=0,ROUND(BK17*0.5,0), ROUND($BE17*S17*AA17*J17*AY17*0.8*[1]ステータス!$B$2,0))</f>
        <v>3647</v>
      </c>
      <c r="BH17" s="16">
        <f ca="1">IF($BE17&lt;=0,ROUND(BL17*0.5,0), ROUND($BE17*T17*AB17*K17*AZ17*0.8*[1]ステータス!$C$2,0))</f>
        <v>3061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1443</v>
      </c>
      <c r="BK17" s="11">
        <f ca="1">ROUND(BD17*S17*AA17*J17*AY17*[1]ステータス!$B$2,0)</f>
        <v>6238</v>
      </c>
      <c r="BL17" s="11">
        <f ca="1">ROUND(BD17*T17*AB17*K17*AZ17*[1]ステータス!$C$2,0)</f>
        <v>5237</v>
      </c>
      <c r="BM17" s="11">
        <f ca="1">ROUND(BD17*U17*AC17*L17*BA17*[1]ステータス!$D$2,0)</f>
        <v>0</v>
      </c>
      <c r="BN17" s="11">
        <f ca="1">ROUND(BD17*V17*AD17*M17*BB17*[1]ステータス!$E$2,0)</f>
        <v>2468</v>
      </c>
      <c r="BO17" s="10">
        <v>0</v>
      </c>
      <c r="BP17" s="10">
        <v>1</v>
      </c>
      <c r="BQ17" s="10" t="s">
        <v>47</v>
      </c>
      <c r="BR17" s="10">
        <f ca="1">VLOOKUP(H17,ghosts_label!$A$2:$B$19,2,FALSE)</f>
        <v>5500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5"/>
  <sheetViews>
    <sheetView showGridLines="0" zoomScale="108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7" sqref="D17"/>
    </sheetView>
  </sheetViews>
  <sheetFormatPr baseColWidth="12" defaultColWidth="13" defaultRowHeight="21" customHeight="1" outlineLevelCol="1" x14ac:dyDescent="0.15"/>
  <cols>
    <col min="1" max="1" width="16.1640625" style="130" bestFit="1" customWidth="1"/>
    <col min="2" max="2" width="13" style="130" bestFit="1" customWidth="1"/>
    <col min="3" max="3" width="21.83203125" style="130" customWidth="1"/>
    <col min="4" max="4" width="41.83203125" style="130" customWidth="1"/>
    <col min="5" max="5" width="9" style="130" customWidth="1"/>
    <col min="6" max="6" width="7.83203125" style="130" bestFit="1" customWidth="1"/>
    <col min="7" max="7" width="8.1640625" style="130" bestFit="1" customWidth="1"/>
    <col min="8" max="8" width="13.6640625" style="130" bestFit="1" customWidth="1"/>
    <col min="9" max="10" width="51.6640625" style="130" customWidth="1"/>
    <col min="11" max="11" width="10.83203125" style="130" customWidth="1" outlineLevel="1"/>
    <col min="12" max="17" width="9.5" style="129" customWidth="1" outlineLevel="1"/>
    <col min="18" max="18" width="20.33203125" style="130" customWidth="1" outlineLevel="1"/>
    <col min="19" max="19" width="10.33203125" style="130" bestFit="1" customWidth="1"/>
    <col min="20" max="16384" width="13" style="130"/>
  </cols>
  <sheetData>
    <row r="1" spans="1:19" s="129" customFormat="1" ht="21" customHeight="1" x14ac:dyDescent="0.15">
      <c r="A1" s="118" t="s">
        <v>20</v>
      </c>
      <c r="B1" s="119" t="s">
        <v>134</v>
      </c>
      <c r="C1" s="120" t="s">
        <v>40</v>
      </c>
      <c r="D1" s="121" t="s">
        <v>163</v>
      </c>
      <c r="E1" s="121" t="s">
        <v>164</v>
      </c>
      <c r="F1" s="118" t="s">
        <v>146</v>
      </c>
      <c r="G1" s="122" t="s">
        <v>2</v>
      </c>
      <c r="H1" s="122" t="s">
        <v>165</v>
      </c>
      <c r="I1" s="122" t="s">
        <v>166</v>
      </c>
      <c r="J1" s="123" t="s">
        <v>184</v>
      </c>
      <c r="K1" s="122" t="s">
        <v>4</v>
      </c>
      <c r="L1" s="124" t="s">
        <v>167</v>
      </c>
      <c r="M1" s="125" t="s">
        <v>168</v>
      </c>
      <c r="N1" s="125" t="s">
        <v>169</v>
      </c>
      <c r="O1" s="125" t="s">
        <v>170</v>
      </c>
      <c r="P1" s="125" t="s">
        <v>171</v>
      </c>
      <c r="Q1" s="126" t="s">
        <v>172</v>
      </c>
      <c r="R1" s="127" t="s">
        <v>173</v>
      </c>
      <c r="S1" s="128" t="s">
        <v>174</v>
      </c>
    </row>
    <row r="2" spans="1:19" ht="21" customHeight="1" x14ac:dyDescent="0.15">
      <c r="A2" s="12">
        <v>1004</v>
      </c>
      <c r="B2" s="133" t="s">
        <v>185</v>
      </c>
      <c r="C2" s="134" t="s">
        <v>384</v>
      </c>
      <c r="D2" s="134" t="s">
        <v>339</v>
      </c>
      <c r="E2" s="135">
        <f t="shared" ref="E2:E11" si="0">LEN(D2)</f>
        <v>31</v>
      </c>
      <c r="F2" s="117">
        <v>12</v>
      </c>
      <c r="G2" s="117">
        <v>5</v>
      </c>
      <c r="H2" s="136">
        <f>2001</f>
        <v>2001</v>
      </c>
      <c r="I2" s="136" t="s">
        <v>405</v>
      </c>
      <c r="J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アメミット</v>
      </c>
      <c r="K2" s="137">
        <v>3</v>
      </c>
      <c r="L2" s="138"/>
      <c r="M2" s="139"/>
      <c r="N2" s="139"/>
      <c r="O2" s="139"/>
      <c r="P2" s="139"/>
      <c r="Q2" s="139"/>
      <c r="R2" s="134"/>
      <c r="S2" s="140"/>
    </row>
    <row r="3" spans="1:19" ht="21" customHeight="1" x14ac:dyDescent="0.15">
      <c r="A3" s="12">
        <v>1005</v>
      </c>
      <c r="B3" s="133" t="s">
        <v>185</v>
      </c>
      <c r="C3" s="134" t="s">
        <v>384</v>
      </c>
      <c r="D3" s="134" t="s">
        <v>339</v>
      </c>
      <c r="E3" s="135">
        <f t="shared" si="0"/>
        <v>31</v>
      </c>
      <c r="F3" s="117">
        <v>12</v>
      </c>
      <c r="G3" s="117">
        <v>5</v>
      </c>
      <c r="H3" s="136">
        <f>2001</f>
        <v>2001</v>
      </c>
      <c r="I3" s="136" t="s">
        <v>405</v>
      </c>
      <c r="J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恐牙なる魂喰獣 アメミット</v>
      </c>
      <c r="K3" s="137">
        <v>3</v>
      </c>
      <c r="L3" s="138"/>
      <c r="M3" s="139"/>
      <c r="N3" s="139"/>
      <c r="O3" s="139"/>
      <c r="P3" s="139"/>
      <c r="Q3" s="139"/>
      <c r="R3" s="134"/>
      <c r="S3" s="140"/>
    </row>
    <row r="4" spans="1:19" ht="21" customHeight="1" x14ac:dyDescent="0.15">
      <c r="A4" s="12">
        <v>1006</v>
      </c>
      <c r="B4" s="133" t="s">
        <v>185</v>
      </c>
      <c r="C4" s="134" t="s">
        <v>383</v>
      </c>
      <c r="D4" s="134" t="s">
        <v>402</v>
      </c>
      <c r="E4" s="135">
        <f t="shared" si="0"/>
        <v>34</v>
      </c>
      <c r="F4" s="117">
        <v>11</v>
      </c>
      <c r="G4" s="117">
        <v>5</v>
      </c>
      <c r="H4" s="136">
        <f>2001</f>
        <v>2001</v>
      </c>
      <c r="I4" s="136" t="s">
        <v>404</v>
      </c>
      <c r="J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セルケト</v>
      </c>
      <c r="K4" s="137">
        <v>3</v>
      </c>
      <c r="L4" s="138"/>
      <c r="M4" s="139"/>
      <c r="N4" s="139"/>
      <c r="O4" s="139"/>
      <c r="P4" s="139"/>
      <c r="Q4" s="139"/>
      <c r="R4" s="134"/>
      <c r="S4" s="140"/>
    </row>
    <row r="5" spans="1:19" ht="21" customHeight="1" x14ac:dyDescent="0.15">
      <c r="A5" s="12">
        <v>1007</v>
      </c>
      <c r="B5" s="133" t="s">
        <v>185</v>
      </c>
      <c r="C5" s="134" t="s">
        <v>383</v>
      </c>
      <c r="D5" s="134" t="s">
        <v>402</v>
      </c>
      <c r="E5" s="135">
        <f t="shared" si="0"/>
        <v>34</v>
      </c>
      <c r="F5" s="117">
        <v>11</v>
      </c>
      <c r="G5" s="117">
        <v>5</v>
      </c>
      <c r="H5" s="136">
        <f>2001</f>
        <v>2001</v>
      </c>
      <c r="I5" s="136" t="s">
        <v>400</v>
      </c>
      <c r="J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癒命の守蠍神 セルケト</v>
      </c>
      <c r="K5" s="137">
        <v>3</v>
      </c>
      <c r="L5" s="138"/>
      <c r="M5" s="139"/>
      <c r="N5" s="139"/>
      <c r="O5" s="139"/>
      <c r="P5" s="139"/>
      <c r="Q5" s="139"/>
      <c r="R5" s="134"/>
      <c r="S5" s="140"/>
    </row>
    <row r="6" spans="1:19" ht="21" customHeight="1" x14ac:dyDescent="0.15">
      <c r="A6" s="12">
        <v>1008</v>
      </c>
      <c r="B6" s="133" t="s">
        <v>185</v>
      </c>
      <c r="C6" s="134" t="s">
        <v>382</v>
      </c>
      <c r="D6" s="134" t="s">
        <v>337</v>
      </c>
      <c r="E6" s="135">
        <f t="shared" si="0"/>
        <v>16</v>
      </c>
      <c r="F6" s="117">
        <v>14</v>
      </c>
      <c r="G6" s="117">
        <v>7</v>
      </c>
      <c r="H6" s="136">
        <f>2001</f>
        <v>2001</v>
      </c>
      <c r="I6" s="136" t="s">
        <v>419</v>
      </c>
      <c r="J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オシリス</v>
      </c>
      <c r="K6" s="137">
        <v>3</v>
      </c>
      <c r="L6" s="138"/>
      <c r="M6" s="139"/>
      <c r="N6" s="139"/>
      <c r="O6" s="139"/>
      <c r="P6" s="139"/>
      <c r="Q6" s="139"/>
      <c r="R6" s="134"/>
      <c r="S6" s="140"/>
    </row>
    <row r="7" spans="1:19" ht="21" customHeight="1" x14ac:dyDescent="0.15">
      <c r="A7" s="12">
        <v>1009</v>
      </c>
      <c r="B7" s="133" t="s">
        <v>185</v>
      </c>
      <c r="C7" s="134" t="s">
        <v>382</v>
      </c>
      <c r="D7" s="134" t="s">
        <v>338</v>
      </c>
      <c r="E7" s="135">
        <f t="shared" si="0"/>
        <v>16</v>
      </c>
      <c r="F7" s="117">
        <v>14</v>
      </c>
      <c r="G7" s="117">
        <v>7</v>
      </c>
      <c r="H7" s="136">
        <f>2001</f>
        <v>2001</v>
      </c>
      <c r="I7" s="136" t="s">
        <v>420</v>
      </c>
      <c r="J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再醒の冥皇神 オシリス</v>
      </c>
      <c r="K7" s="137">
        <v>3</v>
      </c>
      <c r="L7" s="138"/>
      <c r="M7" s="139"/>
      <c r="N7" s="139"/>
      <c r="O7" s="139"/>
      <c r="P7" s="139"/>
      <c r="Q7" s="139"/>
      <c r="R7" s="134"/>
      <c r="S7" s="140"/>
    </row>
    <row r="8" spans="1:19" ht="21" customHeight="1" x14ac:dyDescent="0.15">
      <c r="A8" s="12">
        <v>1010</v>
      </c>
      <c r="B8" s="133" t="s">
        <v>185</v>
      </c>
      <c r="C8" s="134" t="s">
        <v>422</v>
      </c>
      <c r="D8" s="134" t="s">
        <v>469</v>
      </c>
      <c r="E8" s="135">
        <f t="shared" si="0"/>
        <v>36</v>
      </c>
      <c r="F8" s="117">
        <v>22</v>
      </c>
      <c r="G8" s="117">
        <v>16</v>
      </c>
      <c r="H8" s="136">
        <f>2001</f>
        <v>2001</v>
      </c>
      <c r="I8" s="136" t="s">
        <v>421</v>
      </c>
      <c r="J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セト</v>
      </c>
      <c r="K8" s="137">
        <v>3</v>
      </c>
      <c r="L8" s="138"/>
      <c r="M8" s="139"/>
      <c r="N8" s="139"/>
      <c r="O8" s="139"/>
      <c r="P8" s="139"/>
      <c r="Q8" s="139"/>
      <c r="R8" s="134"/>
      <c r="S8" s="140"/>
    </row>
    <row r="9" spans="1:19" ht="21" customHeight="1" x14ac:dyDescent="0.15">
      <c r="A9" s="12">
        <v>1011</v>
      </c>
      <c r="B9" s="133" t="s">
        <v>185</v>
      </c>
      <c r="C9" s="134" t="s">
        <v>422</v>
      </c>
      <c r="D9" s="134" t="s">
        <v>469</v>
      </c>
      <c r="E9" s="135">
        <f t="shared" si="0"/>
        <v>36</v>
      </c>
      <c r="F9" s="117">
        <v>22</v>
      </c>
      <c r="G9" s="117">
        <v>16</v>
      </c>
      <c r="H9" s="136">
        <f>2001</f>
        <v>2001</v>
      </c>
      <c r="I9" s="136" t="s">
        <v>421</v>
      </c>
      <c r="J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偉獰なる荒嵐神 セト</v>
      </c>
      <c r="K9" s="137">
        <v>3</v>
      </c>
      <c r="L9" s="138"/>
      <c r="M9" s="139"/>
      <c r="N9" s="139"/>
      <c r="O9" s="139"/>
      <c r="P9" s="139"/>
      <c r="Q9" s="139"/>
      <c r="R9" s="134"/>
      <c r="S9" s="140"/>
    </row>
    <row r="10" spans="1:19" ht="21" customHeight="1" x14ac:dyDescent="0.15">
      <c r="A10" s="12">
        <v>1014</v>
      </c>
      <c r="B10" s="133" t="s">
        <v>185</v>
      </c>
      <c r="C10" s="134" t="s">
        <v>348</v>
      </c>
      <c r="D10" s="134" t="s">
        <v>342</v>
      </c>
      <c r="E10" s="135">
        <f t="shared" si="0"/>
        <v>38</v>
      </c>
      <c r="F10" s="117">
        <v>11</v>
      </c>
      <c r="G10" s="117">
        <v>5</v>
      </c>
      <c r="H10" s="136">
        <f>2001</f>
        <v>2001</v>
      </c>
      <c r="I10" s="136" t="s">
        <v>406</v>
      </c>
      <c r="J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イシス</v>
      </c>
      <c r="K10" s="137">
        <v>3</v>
      </c>
      <c r="L10" s="138"/>
      <c r="M10" s="139"/>
      <c r="N10" s="139"/>
      <c r="O10" s="139"/>
      <c r="P10" s="139"/>
      <c r="Q10" s="139"/>
      <c r="R10" s="134"/>
      <c r="S10" s="140"/>
    </row>
    <row r="11" spans="1:19" ht="21" customHeight="1" x14ac:dyDescent="0.15">
      <c r="A11" s="12">
        <v>1015</v>
      </c>
      <c r="B11" s="133" t="s">
        <v>185</v>
      </c>
      <c r="C11" s="134" t="s">
        <v>348</v>
      </c>
      <c r="D11" s="134" t="s">
        <v>461</v>
      </c>
      <c r="E11" s="135">
        <f t="shared" si="0"/>
        <v>49</v>
      </c>
      <c r="F11" s="117">
        <v>11</v>
      </c>
      <c r="G11" s="117">
        <v>5</v>
      </c>
      <c r="H11" s="136">
        <f>2001</f>
        <v>2001</v>
      </c>
      <c r="I11" s="136" t="s">
        <v>460</v>
      </c>
      <c r="J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繁翠なる蘇聖神 イシス</v>
      </c>
      <c r="K11" s="137">
        <v>3</v>
      </c>
      <c r="L11" s="138"/>
      <c r="M11" s="139"/>
      <c r="N11" s="139"/>
      <c r="O11" s="139"/>
      <c r="P11" s="139"/>
      <c r="Q11" s="139"/>
      <c r="R11" s="134"/>
      <c r="S11" s="140"/>
    </row>
    <row r="12" spans="1:19" ht="21" customHeight="1" x14ac:dyDescent="0.15">
      <c r="A12" s="12">
        <v>1016</v>
      </c>
      <c r="B12" s="133" t="s">
        <v>185</v>
      </c>
      <c r="C12" s="134" t="s">
        <v>349</v>
      </c>
      <c r="D12" s="134" t="s">
        <v>407</v>
      </c>
      <c r="E12" s="135">
        <f t="shared" ref="E12:E15" si="1">LEN(D12)</f>
        <v>38</v>
      </c>
      <c r="F12" s="117">
        <v>11</v>
      </c>
      <c r="G12" s="117">
        <v>5</v>
      </c>
      <c r="H12" s="136">
        <f>2001</f>
        <v>2001</v>
      </c>
      <c r="I12" s="136" t="s">
        <v>408</v>
      </c>
      <c r="J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ハトホル</v>
      </c>
      <c r="K12" s="137">
        <v>3</v>
      </c>
      <c r="L12" s="138"/>
      <c r="M12" s="139"/>
      <c r="N12" s="139"/>
      <c r="O12" s="139"/>
      <c r="P12" s="139"/>
      <c r="Q12" s="139"/>
      <c r="R12" s="134"/>
      <c r="S12" s="140"/>
    </row>
    <row r="13" spans="1:19" ht="21" customHeight="1" x14ac:dyDescent="0.15">
      <c r="A13" s="12">
        <v>1017</v>
      </c>
      <c r="B13" s="133" t="s">
        <v>185</v>
      </c>
      <c r="C13" s="134" t="s">
        <v>349</v>
      </c>
      <c r="D13" s="134" t="s">
        <v>407</v>
      </c>
      <c r="E13" s="135">
        <f t="shared" si="1"/>
        <v>38</v>
      </c>
      <c r="F13" s="117">
        <v>11</v>
      </c>
      <c r="G13" s="117">
        <v>5</v>
      </c>
      <c r="H13" s="136">
        <f>2001</f>
        <v>2001</v>
      </c>
      <c r="I13" s="136" t="s">
        <v>408</v>
      </c>
      <c r="J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命瞳の慈母神 ハトホル</v>
      </c>
      <c r="K13" s="137">
        <v>3</v>
      </c>
      <c r="L13" s="138"/>
      <c r="M13" s="139"/>
      <c r="N13" s="139"/>
      <c r="O13" s="139"/>
      <c r="P13" s="139"/>
      <c r="Q13" s="139"/>
      <c r="R13" s="134"/>
      <c r="S13" s="140"/>
    </row>
    <row r="14" spans="1:19" ht="21" customHeight="1" x14ac:dyDescent="0.15">
      <c r="A14" s="12">
        <v>1018</v>
      </c>
      <c r="B14" s="133" t="s">
        <v>185</v>
      </c>
      <c r="C14" s="134" t="s">
        <v>347</v>
      </c>
      <c r="D14" s="134" t="s">
        <v>401</v>
      </c>
      <c r="E14" s="135">
        <f t="shared" si="1"/>
        <v>46</v>
      </c>
      <c r="F14" s="117">
        <v>11</v>
      </c>
      <c r="G14" s="117">
        <v>5</v>
      </c>
      <c r="H14" s="136">
        <f>2001</f>
        <v>2001</v>
      </c>
      <c r="I14" s="136" t="s">
        <v>403</v>
      </c>
      <c r="J14" s="56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バステト</v>
      </c>
      <c r="K14" s="137">
        <v>3</v>
      </c>
      <c r="L14" s="138"/>
      <c r="M14" s="139"/>
      <c r="N14" s="139"/>
      <c r="O14" s="139"/>
      <c r="P14" s="139"/>
      <c r="Q14" s="139"/>
      <c r="R14" s="134"/>
      <c r="S14" s="140"/>
    </row>
    <row r="15" spans="1:19" ht="21" customHeight="1" x14ac:dyDescent="0.15">
      <c r="A15" s="12">
        <v>1019</v>
      </c>
      <c r="B15" s="133" t="s">
        <v>185</v>
      </c>
      <c r="C15" s="134" t="s">
        <v>347</v>
      </c>
      <c r="D15" s="134" t="s">
        <v>464</v>
      </c>
      <c r="E15" s="135">
        <f t="shared" si="1"/>
        <v>46</v>
      </c>
      <c r="F15" s="117">
        <v>11</v>
      </c>
      <c r="G15" s="117">
        <v>5</v>
      </c>
      <c r="H15" s="136">
        <f>2001</f>
        <v>2001</v>
      </c>
      <c r="I15" s="136" t="s">
        <v>465</v>
      </c>
      <c r="J15" s="56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愛鈴鳴る寵猫神 バステト</v>
      </c>
      <c r="K15" s="137">
        <v>3</v>
      </c>
      <c r="L15" s="138"/>
      <c r="M15" s="139"/>
      <c r="N15" s="139"/>
      <c r="O15" s="139"/>
      <c r="P15" s="139"/>
      <c r="Q15" s="139"/>
      <c r="R15" s="134"/>
      <c r="S15" s="140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27" priority="7" operator="greaterThan">
      <formula>41</formula>
    </cfRule>
  </conditionalFormatting>
  <conditionalFormatting sqref="E2:E15">
    <cfRule type="cellIs" dxfId="2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6" sqref="D16"/>
    </sheetView>
  </sheetViews>
  <sheetFormatPr baseColWidth="12" defaultColWidth="13" defaultRowHeight="21" customHeight="1" x14ac:dyDescent="0.15"/>
  <cols>
    <col min="1" max="2" width="12.1640625" style="130" customWidth="1"/>
    <col min="3" max="3" width="48.83203125" style="131" customWidth="1"/>
    <col min="4" max="4" width="23.83203125" style="131" customWidth="1"/>
    <col min="5" max="5" width="10.5" style="131" customWidth="1"/>
    <col min="6" max="7" width="59.1640625" style="131" customWidth="1"/>
    <col min="8" max="8" width="6.83203125" style="130" bestFit="1" customWidth="1"/>
    <col min="9" max="9" width="20.33203125" style="130" customWidth="1"/>
    <col min="10" max="10" width="5" style="130" bestFit="1" customWidth="1"/>
    <col min="11" max="16384" width="13" style="130"/>
  </cols>
  <sheetData>
    <row r="1" spans="1:19" ht="21" customHeight="1" x14ac:dyDescent="0.15">
      <c r="A1" s="118" t="s">
        <v>182</v>
      </c>
      <c r="B1" s="119" t="s">
        <v>181</v>
      </c>
      <c r="C1" s="120" t="s">
        <v>180</v>
      </c>
      <c r="D1" s="121" t="s">
        <v>179</v>
      </c>
      <c r="E1" s="121" t="s">
        <v>178</v>
      </c>
      <c r="F1" s="122" t="s">
        <v>177</v>
      </c>
      <c r="G1" s="123" t="s">
        <v>184</v>
      </c>
      <c r="H1" s="122" t="s">
        <v>176</v>
      </c>
      <c r="I1" s="123" t="s">
        <v>175</v>
      </c>
      <c r="J1" s="127" t="s">
        <v>174</v>
      </c>
    </row>
    <row r="2" spans="1:19" ht="21" customHeight="1" x14ac:dyDescent="0.15">
      <c r="A2" s="12">
        <v>1004</v>
      </c>
      <c r="B2" s="133" t="s">
        <v>186</v>
      </c>
      <c r="C2" s="134" t="s">
        <v>385</v>
      </c>
      <c r="D2" s="134" t="s">
        <v>322</v>
      </c>
      <c r="E2" s="135">
        <f t="shared" ref="E2" si="0">LEN(D2)</f>
        <v>9</v>
      </c>
      <c r="F2" s="117" t="s">
        <v>327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アメミット</v>
      </c>
      <c r="H2" s="136">
        <v>3</v>
      </c>
      <c r="I2" s="136"/>
      <c r="J2" s="141"/>
      <c r="K2" s="137">
        <v>1</v>
      </c>
      <c r="L2" s="138"/>
      <c r="M2" s="139"/>
      <c r="N2" s="139"/>
      <c r="O2" s="139"/>
      <c r="P2" s="139"/>
      <c r="Q2" s="139"/>
      <c r="R2" s="134"/>
      <c r="S2" s="140"/>
    </row>
    <row r="3" spans="1:19" ht="21" customHeight="1" x14ac:dyDescent="0.15">
      <c r="A3" s="12">
        <v>1005</v>
      </c>
      <c r="B3" s="133" t="s">
        <v>186</v>
      </c>
      <c r="C3" s="134" t="s">
        <v>385</v>
      </c>
      <c r="D3" s="134" t="s">
        <v>322</v>
      </c>
      <c r="E3" s="135">
        <f t="shared" ref="E3:E17" si="1">LEN(D3)</f>
        <v>9</v>
      </c>
      <c r="F3" s="117" t="s">
        <v>327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恐牙なる魂喰獣 アメミット</v>
      </c>
      <c r="H3" s="136">
        <v>3</v>
      </c>
      <c r="I3" s="136"/>
      <c r="J3" s="141"/>
      <c r="K3" s="137">
        <v>1</v>
      </c>
      <c r="L3" s="138"/>
      <c r="M3" s="139"/>
      <c r="N3" s="139"/>
      <c r="O3" s="139"/>
      <c r="P3" s="139"/>
      <c r="Q3" s="139"/>
      <c r="R3" s="134"/>
      <c r="S3" s="140"/>
    </row>
    <row r="4" spans="1:19" ht="21" customHeight="1" x14ac:dyDescent="0.15">
      <c r="A4" s="12">
        <v>1006</v>
      </c>
      <c r="B4" s="133" t="s">
        <v>186</v>
      </c>
      <c r="C4" s="134" t="s">
        <v>386</v>
      </c>
      <c r="D4" s="134" t="s">
        <v>328</v>
      </c>
      <c r="E4" s="135">
        <f t="shared" si="1"/>
        <v>16</v>
      </c>
      <c r="F4" s="117" t="s">
        <v>329</v>
      </c>
      <c r="G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セルケト</v>
      </c>
      <c r="H4" s="136">
        <v>3</v>
      </c>
      <c r="I4" s="136"/>
      <c r="J4" s="141"/>
      <c r="K4" s="137">
        <v>1</v>
      </c>
      <c r="L4" s="138"/>
      <c r="M4" s="139"/>
      <c r="N4" s="139"/>
      <c r="O4" s="139"/>
      <c r="P4" s="139"/>
      <c r="Q4" s="139"/>
      <c r="R4" s="134"/>
      <c r="S4" s="140"/>
    </row>
    <row r="5" spans="1:19" ht="21" customHeight="1" x14ac:dyDescent="0.15">
      <c r="A5" s="12">
        <v>1007</v>
      </c>
      <c r="B5" s="133" t="s">
        <v>186</v>
      </c>
      <c r="C5" s="134" t="s">
        <v>386</v>
      </c>
      <c r="D5" s="134" t="s">
        <v>328</v>
      </c>
      <c r="E5" s="135">
        <f t="shared" si="1"/>
        <v>16</v>
      </c>
      <c r="F5" s="117" t="s">
        <v>329</v>
      </c>
      <c r="G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癒命の守蠍神 セルケト</v>
      </c>
      <c r="H5" s="136">
        <v>3</v>
      </c>
      <c r="I5" s="136"/>
      <c r="J5" s="141"/>
      <c r="K5" s="137">
        <v>1</v>
      </c>
      <c r="L5" s="138"/>
      <c r="M5" s="139"/>
      <c r="N5" s="139"/>
      <c r="O5" s="139"/>
      <c r="P5" s="139"/>
      <c r="Q5" s="139"/>
      <c r="R5" s="134"/>
      <c r="S5" s="140"/>
    </row>
    <row r="6" spans="1:19" ht="21" customHeight="1" x14ac:dyDescent="0.15">
      <c r="A6" s="12">
        <v>1008</v>
      </c>
      <c r="B6" s="133" t="s">
        <v>186</v>
      </c>
      <c r="C6" s="134" t="s">
        <v>387</v>
      </c>
      <c r="D6" s="134" t="s">
        <v>331</v>
      </c>
      <c r="E6" s="135">
        <f t="shared" ref="E6" si="2">LEN(D6)</f>
        <v>9</v>
      </c>
      <c r="F6" s="117" t="s">
        <v>332</v>
      </c>
      <c r="G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オシリス</v>
      </c>
      <c r="H6" s="136">
        <v>3</v>
      </c>
      <c r="I6" s="136"/>
      <c r="J6" s="141"/>
      <c r="K6" s="137">
        <v>1</v>
      </c>
      <c r="L6" s="138"/>
      <c r="M6" s="139"/>
      <c r="N6" s="139"/>
      <c r="O6" s="139"/>
      <c r="P6" s="139"/>
      <c r="Q6" s="139"/>
      <c r="R6" s="134"/>
      <c r="S6" s="140"/>
    </row>
    <row r="7" spans="1:19" ht="21" customHeight="1" x14ac:dyDescent="0.15">
      <c r="A7" s="12">
        <v>1009</v>
      </c>
      <c r="B7" s="133" t="s">
        <v>186</v>
      </c>
      <c r="C7" s="134" t="s">
        <v>388</v>
      </c>
      <c r="D7" s="134" t="s">
        <v>321</v>
      </c>
      <c r="E7" s="135">
        <f t="shared" si="1"/>
        <v>9</v>
      </c>
      <c r="F7" s="117" t="s">
        <v>330</v>
      </c>
      <c r="G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再醒の冥皇神 オシリス</v>
      </c>
      <c r="H7" s="136">
        <v>3</v>
      </c>
      <c r="I7" s="136"/>
      <c r="J7" s="141"/>
      <c r="K7" s="137">
        <v>1</v>
      </c>
      <c r="L7" s="138"/>
      <c r="M7" s="139"/>
      <c r="N7" s="139"/>
      <c r="O7" s="139"/>
      <c r="P7" s="139"/>
      <c r="Q7" s="139"/>
      <c r="R7" s="134"/>
      <c r="S7" s="140"/>
    </row>
    <row r="8" spans="1:19" ht="21" customHeight="1" x14ac:dyDescent="0.15">
      <c r="A8" s="12">
        <v>1010</v>
      </c>
      <c r="B8" s="133" t="s">
        <v>186</v>
      </c>
      <c r="C8" s="134" t="s">
        <v>434</v>
      </c>
      <c r="D8" s="134" t="s">
        <v>435</v>
      </c>
      <c r="E8" s="135">
        <f t="shared" si="1"/>
        <v>9</v>
      </c>
      <c r="F8" s="117" t="s">
        <v>436</v>
      </c>
      <c r="G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セト</v>
      </c>
      <c r="H8" s="136">
        <v>3</v>
      </c>
      <c r="I8" s="136"/>
      <c r="J8" s="141"/>
      <c r="K8" s="137">
        <v>1</v>
      </c>
      <c r="L8" s="138"/>
      <c r="M8" s="139"/>
      <c r="N8" s="139"/>
      <c r="O8" s="139"/>
      <c r="P8" s="139"/>
      <c r="Q8" s="139"/>
      <c r="R8" s="134"/>
      <c r="S8" s="140"/>
    </row>
    <row r="9" spans="1:19" ht="21" customHeight="1" x14ac:dyDescent="0.15">
      <c r="A9" s="12">
        <v>1011</v>
      </c>
      <c r="B9" s="133" t="s">
        <v>186</v>
      </c>
      <c r="C9" s="134" t="s">
        <v>434</v>
      </c>
      <c r="D9" s="134" t="s">
        <v>435</v>
      </c>
      <c r="E9" s="135">
        <f t="shared" si="1"/>
        <v>9</v>
      </c>
      <c r="F9" s="117" t="s">
        <v>437</v>
      </c>
      <c r="G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偉獰なる荒嵐神 セト</v>
      </c>
      <c r="H9" s="136">
        <v>3</v>
      </c>
      <c r="I9" s="136"/>
      <c r="J9" s="141"/>
      <c r="K9" s="137">
        <v>1</v>
      </c>
      <c r="L9" s="138"/>
      <c r="M9" s="139"/>
      <c r="N9" s="139"/>
      <c r="O9" s="139"/>
      <c r="P9" s="139"/>
      <c r="Q9" s="139"/>
      <c r="R9" s="134"/>
      <c r="S9" s="140"/>
    </row>
    <row r="10" spans="1:19" ht="21" customHeight="1" x14ac:dyDescent="0.15">
      <c r="A10" s="12">
        <v>1012</v>
      </c>
      <c r="B10" s="133" t="s">
        <v>186</v>
      </c>
      <c r="C10" s="134" t="s">
        <v>353</v>
      </c>
      <c r="D10" s="134" t="s">
        <v>322</v>
      </c>
      <c r="E10" s="135">
        <f t="shared" si="1"/>
        <v>9</v>
      </c>
      <c r="F10" s="117" t="s">
        <v>323</v>
      </c>
      <c r="G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ラー</v>
      </c>
      <c r="H10" s="136">
        <v>3</v>
      </c>
      <c r="I10" s="136"/>
      <c r="J10" s="141"/>
      <c r="K10" s="137">
        <v>1</v>
      </c>
      <c r="L10" s="138"/>
      <c r="M10" s="139"/>
      <c r="N10" s="139"/>
      <c r="O10" s="139"/>
      <c r="P10" s="139"/>
      <c r="Q10" s="139"/>
      <c r="R10" s="134"/>
      <c r="S10" s="140"/>
    </row>
    <row r="11" spans="1:19" ht="21" customHeight="1" x14ac:dyDescent="0.15">
      <c r="A11" s="12">
        <v>1013</v>
      </c>
      <c r="B11" s="133" t="s">
        <v>186</v>
      </c>
      <c r="C11" s="134" t="s">
        <v>354</v>
      </c>
      <c r="D11" s="134" t="s">
        <v>321</v>
      </c>
      <c r="E11" s="135">
        <f t="shared" si="1"/>
        <v>9</v>
      </c>
      <c r="F11" s="117" t="s">
        <v>324</v>
      </c>
      <c r="G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聖陽昇る緋洸神 ラー</v>
      </c>
      <c r="H11" s="136">
        <v>3</v>
      </c>
      <c r="I11" s="136"/>
      <c r="J11" s="141"/>
      <c r="K11" s="137">
        <v>1</v>
      </c>
      <c r="L11" s="138"/>
      <c r="M11" s="139"/>
      <c r="N11" s="139"/>
      <c r="O11" s="139"/>
      <c r="P11" s="139"/>
      <c r="Q11" s="139"/>
      <c r="R11" s="134"/>
      <c r="S11" s="140"/>
    </row>
    <row r="12" spans="1:19" ht="21" customHeight="1" x14ac:dyDescent="0.15">
      <c r="A12" s="12">
        <v>1014</v>
      </c>
      <c r="B12" s="133" t="s">
        <v>186</v>
      </c>
      <c r="C12" s="134" t="s">
        <v>352</v>
      </c>
      <c r="D12" s="134" t="s">
        <v>341</v>
      </c>
      <c r="E12" s="135">
        <f t="shared" si="1"/>
        <v>24</v>
      </c>
      <c r="F12" s="117" t="s">
        <v>340</v>
      </c>
      <c r="G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イシス</v>
      </c>
      <c r="H12" s="136">
        <v>3</v>
      </c>
      <c r="I12" s="136"/>
      <c r="J12" s="141"/>
      <c r="K12" s="137">
        <v>1</v>
      </c>
      <c r="L12" s="138"/>
      <c r="M12" s="139"/>
      <c r="N12" s="139"/>
      <c r="O12" s="139"/>
      <c r="P12" s="139"/>
      <c r="Q12" s="139"/>
      <c r="R12" s="134"/>
      <c r="S12" s="140"/>
    </row>
    <row r="13" spans="1:19" ht="21" customHeight="1" x14ac:dyDescent="0.15">
      <c r="A13" s="12">
        <v>1015</v>
      </c>
      <c r="B13" s="133" t="s">
        <v>186</v>
      </c>
      <c r="C13" s="134" t="s">
        <v>352</v>
      </c>
      <c r="D13" s="134" t="s">
        <v>341</v>
      </c>
      <c r="E13" s="135">
        <f t="shared" si="1"/>
        <v>24</v>
      </c>
      <c r="F13" s="117" t="s">
        <v>340</v>
      </c>
      <c r="G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繁翠なる蘇聖神 イシス</v>
      </c>
      <c r="H13" s="136">
        <v>3</v>
      </c>
      <c r="I13" s="136"/>
      <c r="J13" s="141"/>
      <c r="K13" s="137">
        <v>1</v>
      </c>
      <c r="L13" s="138"/>
      <c r="M13" s="139"/>
      <c r="N13" s="139"/>
      <c r="O13" s="139"/>
      <c r="P13" s="139"/>
      <c r="Q13" s="139"/>
      <c r="R13" s="134"/>
      <c r="S13" s="140"/>
    </row>
    <row r="14" spans="1:19" ht="21" customHeight="1" x14ac:dyDescent="0.15">
      <c r="A14" s="12">
        <v>1016</v>
      </c>
      <c r="B14" s="133" t="s">
        <v>186</v>
      </c>
      <c r="C14" s="134" t="s">
        <v>355</v>
      </c>
      <c r="D14" s="134" t="s">
        <v>333</v>
      </c>
      <c r="E14" s="135">
        <f t="shared" si="1"/>
        <v>20</v>
      </c>
      <c r="F14" s="199" t="s">
        <v>410</v>
      </c>
      <c r="G14" s="56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ハトホル</v>
      </c>
      <c r="H14" s="136">
        <v>3</v>
      </c>
      <c r="I14" s="136"/>
      <c r="J14" s="141"/>
      <c r="K14" s="137">
        <v>1</v>
      </c>
      <c r="L14" s="138"/>
      <c r="M14" s="139"/>
      <c r="N14" s="139"/>
      <c r="O14" s="139"/>
      <c r="P14" s="139"/>
      <c r="Q14" s="139"/>
      <c r="R14" s="134"/>
      <c r="S14" s="140"/>
    </row>
    <row r="15" spans="1:19" ht="21" customHeight="1" x14ac:dyDescent="0.15">
      <c r="A15" s="12">
        <v>1017</v>
      </c>
      <c r="B15" s="133" t="s">
        <v>186</v>
      </c>
      <c r="C15" s="134" t="s">
        <v>355</v>
      </c>
      <c r="D15" s="134" t="s">
        <v>333</v>
      </c>
      <c r="E15" s="135">
        <f t="shared" si="1"/>
        <v>20</v>
      </c>
      <c r="F15" s="199" t="s">
        <v>409</v>
      </c>
      <c r="G15" s="56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命瞳の慈母神 ハトホル</v>
      </c>
      <c r="H15" s="136">
        <v>3</v>
      </c>
      <c r="I15" s="136"/>
      <c r="J15" s="141"/>
      <c r="K15" s="137">
        <v>1</v>
      </c>
      <c r="L15" s="138"/>
      <c r="M15" s="139"/>
      <c r="N15" s="139"/>
      <c r="O15" s="139"/>
      <c r="P15" s="139"/>
      <c r="Q15" s="139"/>
      <c r="R15" s="134"/>
      <c r="S15" s="140"/>
    </row>
    <row r="16" spans="1:19" ht="21" customHeight="1" x14ac:dyDescent="0.15">
      <c r="A16" s="12">
        <v>1018</v>
      </c>
      <c r="B16" s="133" t="s">
        <v>186</v>
      </c>
      <c r="C16" s="134" t="s">
        <v>351</v>
      </c>
      <c r="D16" s="134" t="s">
        <v>325</v>
      </c>
      <c r="E16" s="135">
        <f t="shared" si="1"/>
        <v>10</v>
      </c>
      <c r="F16" s="199" t="s">
        <v>326</v>
      </c>
      <c r="G16" s="56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バステト</v>
      </c>
      <c r="H16" s="136">
        <v>3</v>
      </c>
      <c r="I16" s="136"/>
      <c r="J16" s="141"/>
      <c r="K16" s="137">
        <v>1</v>
      </c>
      <c r="L16" s="138"/>
      <c r="M16" s="139"/>
      <c r="N16" s="139"/>
      <c r="O16" s="139"/>
      <c r="P16" s="139"/>
      <c r="Q16" s="139"/>
      <c r="R16" s="134"/>
      <c r="S16" s="140"/>
    </row>
    <row r="17" spans="1:19" ht="21" customHeight="1" x14ac:dyDescent="0.15">
      <c r="A17" s="12">
        <v>1019</v>
      </c>
      <c r="B17" s="133" t="s">
        <v>186</v>
      </c>
      <c r="C17" s="134" t="s">
        <v>350</v>
      </c>
      <c r="D17" s="134" t="s">
        <v>462</v>
      </c>
      <c r="E17" s="135">
        <f t="shared" si="1"/>
        <v>10</v>
      </c>
      <c r="F17" s="199" t="s">
        <v>463</v>
      </c>
      <c r="G17" s="56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愛鈴鳴る寵猫神 バステト</v>
      </c>
      <c r="H17" s="136">
        <v>3</v>
      </c>
      <c r="I17" s="136"/>
      <c r="J17" s="141"/>
      <c r="K17" s="137">
        <v>1</v>
      </c>
      <c r="L17" s="138"/>
      <c r="M17" s="139"/>
      <c r="N17" s="139"/>
      <c r="O17" s="139"/>
      <c r="P17" s="139"/>
      <c r="Q17" s="139"/>
      <c r="R17" s="134"/>
      <c r="S17" s="140"/>
    </row>
  </sheetData>
  <sheetProtection selectLockedCells="1" selectUnlockedCells="1"/>
  <autoFilter ref="A1:J1"/>
  <phoneticPr fontId="22"/>
  <conditionalFormatting sqref="E2:E5 E7:E17">
    <cfRule type="cellIs" dxfId="25" priority="2" operator="greaterThan">
      <formula>41</formula>
    </cfRule>
  </conditionalFormatting>
  <conditionalFormatting sqref="E6">
    <cfRule type="cellIs" dxfId="24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7"/>
  <sheetViews>
    <sheetView topLeftCell="A2" workbookViewId="0">
      <selection activeCell="H29" sqref="H29"/>
    </sheetView>
  </sheetViews>
  <sheetFormatPr baseColWidth="12" defaultRowHeight="15" outlineLevelCol="1" x14ac:dyDescent="0.15"/>
  <cols>
    <col min="2" max="2" width="12.83203125" style="143"/>
    <col min="4" max="4" width="12.83203125" style="143" customWidth="1" outlineLevel="1"/>
    <col min="5" max="5" width="12.83203125" style="143"/>
    <col min="8" max="8" width="32.1640625" customWidth="1"/>
  </cols>
  <sheetData>
    <row r="1" spans="1:8" x14ac:dyDescent="0.15">
      <c r="A1" s="114" t="s">
        <v>187</v>
      </c>
      <c r="B1" s="142" t="s">
        <v>188</v>
      </c>
      <c r="C1" s="114" t="s">
        <v>189</v>
      </c>
      <c r="D1" s="142" t="s">
        <v>191</v>
      </c>
      <c r="E1" s="142" t="s">
        <v>192</v>
      </c>
      <c r="F1" s="112" t="s">
        <v>193</v>
      </c>
      <c r="G1" s="114" t="s">
        <v>190</v>
      </c>
      <c r="H1" s="112" t="s">
        <v>194</v>
      </c>
    </row>
    <row r="2" spans="1:8" x14ac:dyDescent="0.15">
      <c r="A2" s="108">
        <v>1004</v>
      </c>
      <c r="B2" s="142" t="str">
        <f>VLOOKUP(A2,[1]characters!$A:$C,3,FALSE)</f>
        <v>アメミット</v>
      </c>
      <c r="C2" s="108" t="s">
        <v>195</v>
      </c>
      <c r="D2" s="142"/>
      <c r="E2" s="142" t="str">
        <f>A2&amp;+(COUNTIF(A2:A$34,A2)-1)</f>
        <v>10042</v>
      </c>
      <c r="F2" s="108" t="s">
        <v>197</v>
      </c>
      <c r="G2" s="108" t="s">
        <v>414</v>
      </c>
      <c r="H2" s="108" t="s">
        <v>411</v>
      </c>
    </row>
    <row r="3" spans="1:8" x14ac:dyDescent="0.15">
      <c r="A3" s="108">
        <v>1004</v>
      </c>
      <c r="B3" s="142" t="str">
        <f>VLOOKUP(A3,[1]characters!$A:$C,3,FALSE)</f>
        <v>アメミット</v>
      </c>
      <c r="C3" s="108" t="s">
        <v>198</v>
      </c>
      <c r="D3" s="142"/>
      <c r="E3" s="142" t="str">
        <f>A3&amp;+(COUNTIF(A3:A$34,A3)-1)</f>
        <v>10041</v>
      </c>
      <c r="F3" s="108" t="s">
        <v>197</v>
      </c>
      <c r="G3" s="108" t="s">
        <v>414</v>
      </c>
      <c r="H3" s="108" t="s">
        <v>413</v>
      </c>
    </row>
    <row r="4" spans="1:8" x14ac:dyDescent="0.15">
      <c r="A4" s="108">
        <v>1004</v>
      </c>
      <c r="B4" s="142" t="str">
        <f>VLOOKUP(A4,[1]characters!$A:$C,3,FALSE)</f>
        <v>アメミット</v>
      </c>
      <c r="C4" s="108" t="s">
        <v>198</v>
      </c>
      <c r="D4" s="142"/>
      <c r="E4" s="142" t="str">
        <f>A4&amp;+(COUNTIF(A4:A$34,A4)-1)</f>
        <v>10040</v>
      </c>
      <c r="F4" s="108" t="s">
        <v>197</v>
      </c>
      <c r="G4" s="108" t="s">
        <v>196</v>
      </c>
      <c r="H4" s="108" t="s">
        <v>415</v>
      </c>
    </row>
    <row r="5" spans="1:8" x14ac:dyDescent="0.15">
      <c r="A5" s="108">
        <v>1005</v>
      </c>
      <c r="B5" s="142" t="str">
        <f>VLOOKUP(A5,[1]characters!$A:$C,3,FALSE)</f>
        <v>恐牙なる魂喰獣 アメミット</v>
      </c>
      <c r="C5" s="108" t="s">
        <v>195</v>
      </c>
      <c r="D5" s="142"/>
      <c r="E5" s="142" t="str">
        <f>A5&amp;+(COUNTIF(A5:A$34,A5)-1)</f>
        <v>10053</v>
      </c>
      <c r="F5" s="108" t="s">
        <v>197</v>
      </c>
      <c r="G5" s="108" t="s">
        <v>417</v>
      </c>
      <c r="H5" s="108" t="s">
        <v>412</v>
      </c>
    </row>
    <row r="6" spans="1:8" x14ac:dyDescent="0.15">
      <c r="A6" s="108">
        <v>1005</v>
      </c>
      <c r="B6" s="142" t="str">
        <f>VLOOKUP(A6,[1]characters!$A:$C,3,FALSE)</f>
        <v>恐牙なる魂喰獣 アメミット</v>
      </c>
      <c r="C6" s="108" t="s">
        <v>198</v>
      </c>
      <c r="D6" s="142"/>
      <c r="E6" s="142" t="str">
        <f>A6&amp;+(COUNTIF(A6:A$34,A6)-1)</f>
        <v>10052</v>
      </c>
      <c r="F6" s="108" t="s">
        <v>197</v>
      </c>
      <c r="G6" s="108" t="s">
        <v>196</v>
      </c>
      <c r="H6" s="108" t="s">
        <v>416</v>
      </c>
    </row>
    <row r="7" spans="1:8" x14ac:dyDescent="0.15">
      <c r="A7" s="108">
        <v>1005</v>
      </c>
      <c r="B7" s="142" t="str">
        <f>VLOOKUP(A7,[1]characters!$A:$C,3,FALSE)</f>
        <v>恐牙なる魂喰獣 アメミット</v>
      </c>
      <c r="C7" s="108" t="s">
        <v>198</v>
      </c>
      <c r="D7" s="142"/>
      <c r="E7" s="142" t="str">
        <f>A7&amp;+(COUNTIF(A7:A$34,A7)-1)</f>
        <v>10051</v>
      </c>
      <c r="F7" s="108" t="s">
        <v>197</v>
      </c>
      <c r="G7" s="108" t="s">
        <v>414</v>
      </c>
      <c r="H7" s="108" t="s">
        <v>413</v>
      </c>
    </row>
    <row r="8" spans="1:8" x14ac:dyDescent="0.15">
      <c r="A8" s="108">
        <v>1005</v>
      </c>
      <c r="B8" s="142" t="str">
        <f>VLOOKUP(A8,[1]characters!$A:$C,3,FALSE)</f>
        <v>恐牙なる魂喰獣 アメミット</v>
      </c>
      <c r="C8" s="108" t="s">
        <v>198</v>
      </c>
      <c r="D8" s="142"/>
      <c r="E8" s="142" t="str">
        <f>A8&amp;+(COUNTIF(A8:A$34,A8)-1)</f>
        <v>10050</v>
      </c>
      <c r="F8" s="108" t="s">
        <v>197</v>
      </c>
      <c r="G8" s="108" t="s">
        <v>196</v>
      </c>
      <c r="H8" s="108" t="s">
        <v>415</v>
      </c>
    </row>
    <row r="9" spans="1:8" x14ac:dyDescent="0.15">
      <c r="A9" s="108">
        <v>1006</v>
      </c>
      <c r="B9" s="142" t="str">
        <f>VLOOKUP(A9,[1]characters!$A:$C,3,FALSE)</f>
        <v>セルケト</v>
      </c>
      <c r="C9" s="108" t="s">
        <v>195</v>
      </c>
      <c r="D9" s="142"/>
      <c r="E9" s="142" t="str">
        <f>A9&amp;+(COUNTIF(A9:A$34,A9)-1)</f>
        <v>10062</v>
      </c>
      <c r="F9" s="108" t="s">
        <v>197</v>
      </c>
      <c r="G9" s="108" t="s">
        <v>196</v>
      </c>
      <c r="H9" s="108" t="s">
        <v>389</v>
      </c>
    </row>
    <row r="10" spans="1:8" x14ac:dyDescent="0.15">
      <c r="A10" s="108">
        <v>1006</v>
      </c>
      <c r="B10" s="142" t="str">
        <f>VLOOKUP(A10,[1]characters!$A:$C,3,FALSE)</f>
        <v>セルケト</v>
      </c>
      <c r="C10" s="108" t="s">
        <v>198</v>
      </c>
      <c r="D10" s="142"/>
      <c r="E10" s="142" t="str">
        <f>A10&amp;+(COUNTIF(A10:A$34,A10)-1)</f>
        <v>10061</v>
      </c>
      <c r="F10" s="108" t="s">
        <v>197</v>
      </c>
      <c r="G10" s="108" t="s">
        <v>196</v>
      </c>
      <c r="H10" s="108" t="s">
        <v>391</v>
      </c>
    </row>
    <row r="11" spans="1:8" x14ac:dyDescent="0.15">
      <c r="A11" s="108">
        <v>1006</v>
      </c>
      <c r="B11" s="142" t="str">
        <f>VLOOKUP(A11,[1]characters!$A:$C,3,FALSE)</f>
        <v>セルケト</v>
      </c>
      <c r="C11" s="108" t="s">
        <v>198</v>
      </c>
      <c r="D11" s="142"/>
      <c r="E11" s="142" t="str">
        <f>A11&amp;+(COUNTIF(A11:A$34,A11)-1)</f>
        <v>10060</v>
      </c>
      <c r="F11" s="108" t="s">
        <v>197</v>
      </c>
      <c r="G11" s="108" t="s">
        <v>196</v>
      </c>
      <c r="H11" s="108" t="s">
        <v>392</v>
      </c>
    </row>
    <row r="12" spans="1:8" x14ac:dyDescent="0.15">
      <c r="A12" s="108">
        <v>1007</v>
      </c>
      <c r="B12" s="142" t="str">
        <f>VLOOKUP(A12,[1]characters!$A:$C,3,FALSE)</f>
        <v>癒命の守蠍神 セルケト</v>
      </c>
      <c r="C12" s="108" t="s">
        <v>195</v>
      </c>
      <c r="D12" s="142"/>
      <c r="E12" s="142" t="str">
        <f>A12&amp;+(COUNTIF(A12:A$34,A12)-1)</f>
        <v>10073</v>
      </c>
      <c r="F12" s="108" t="s">
        <v>197</v>
      </c>
      <c r="G12" s="108" t="s">
        <v>196</v>
      </c>
      <c r="H12" s="108" t="s">
        <v>390</v>
      </c>
    </row>
    <row r="13" spans="1:8" x14ac:dyDescent="0.15">
      <c r="A13" s="108">
        <v>1007</v>
      </c>
      <c r="B13" s="142" t="str">
        <f>VLOOKUP(A13,[1]characters!$A:$C,3,FALSE)</f>
        <v>癒命の守蠍神 セルケト</v>
      </c>
      <c r="C13" s="108" t="s">
        <v>198</v>
      </c>
      <c r="D13" s="142"/>
      <c r="E13" s="142" t="str">
        <f>A13&amp;+(COUNTIF(A13:A$34,A13)-1)</f>
        <v>10072</v>
      </c>
      <c r="F13" s="108" t="s">
        <v>197</v>
      </c>
      <c r="G13" s="108" t="s">
        <v>196</v>
      </c>
      <c r="H13" s="108" t="s">
        <v>391</v>
      </c>
    </row>
    <row r="14" spans="1:8" x14ac:dyDescent="0.15">
      <c r="A14" s="108">
        <v>1007</v>
      </c>
      <c r="B14" s="142" t="str">
        <f>VLOOKUP(A14,[1]characters!$A:$C,3,FALSE)</f>
        <v>癒命の守蠍神 セルケト</v>
      </c>
      <c r="C14" s="108" t="s">
        <v>198</v>
      </c>
      <c r="D14" s="142"/>
      <c r="E14" s="142" t="str">
        <f>A14&amp;+(COUNTIF(A14:A$34,A14)-1)</f>
        <v>10071</v>
      </c>
      <c r="F14" s="108" t="s">
        <v>197</v>
      </c>
      <c r="G14" s="108" t="s">
        <v>196</v>
      </c>
      <c r="H14" s="108" t="s">
        <v>392</v>
      </c>
    </row>
    <row r="15" spans="1:8" x14ac:dyDescent="0.15">
      <c r="A15" s="108">
        <v>1007</v>
      </c>
      <c r="B15" s="142" t="str">
        <f>VLOOKUP(A15,[1]characters!$A:$C,3,FALSE)</f>
        <v>癒命の守蠍神 セルケト</v>
      </c>
      <c r="C15" s="108" t="s">
        <v>198</v>
      </c>
      <c r="D15" s="142"/>
      <c r="E15" s="142" t="str">
        <f>A15&amp;+(COUNTIF(A15:A$34,A15)-1)</f>
        <v>10070</v>
      </c>
      <c r="F15" s="108" t="s">
        <v>197</v>
      </c>
      <c r="G15" s="108" t="s">
        <v>196</v>
      </c>
      <c r="H15" s="108" t="s">
        <v>393</v>
      </c>
    </row>
    <row r="16" spans="1:8" x14ac:dyDescent="0.15">
      <c r="A16" s="108">
        <v>1008</v>
      </c>
      <c r="B16" s="142" t="str">
        <f>VLOOKUP(A16,[1]characters!$A:$C,3,FALSE)</f>
        <v>オシリス</v>
      </c>
      <c r="C16" s="108" t="s">
        <v>195</v>
      </c>
      <c r="D16" s="142"/>
      <c r="E16" s="142" t="str">
        <f>A16&amp;+(COUNTIF(A16:A$34,A16)-1)</f>
        <v>10083</v>
      </c>
      <c r="F16" s="108" t="s">
        <v>197</v>
      </c>
      <c r="G16" s="108" t="s">
        <v>196</v>
      </c>
      <c r="H16" s="108" t="s">
        <v>394</v>
      </c>
    </row>
    <row r="17" spans="1:8" x14ac:dyDescent="0.15">
      <c r="A17" s="108">
        <v>1008</v>
      </c>
      <c r="B17" s="142" t="str">
        <f>VLOOKUP(A17,[1]characters!$A:$C,3,FALSE)</f>
        <v>オシリス</v>
      </c>
      <c r="C17" s="108" t="s">
        <v>198</v>
      </c>
      <c r="D17" s="142"/>
      <c r="E17" s="142" t="str">
        <f>A17&amp;+(COUNTIF(A17:A$34,A17)-1)</f>
        <v>10082</v>
      </c>
      <c r="F17" s="108" t="s">
        <v>197</v>
      </c>
      <c r="G17" s="108" t="s">
        <v>196</v>
      </c>
      <c r="H17" s="108" t="s">
        <v>396</v>
      </c>
    </row>
    <row r="18" spans="1:8" x14ac:dyDescent="0.15">
      <c r="A18" s="108">
        <v>1008</v>
      </c>
      <c r="B18" s="142" t="str">
        <f>VLOOKUP(A18,[1]characters!$A:$C,3,FALSE)</f>
        <v>オシリス</v>
      </c>
      <c r="C18" s="108" t="s">
        <v>198</v>
      </c>
      <c r="D18" s="142"/>
      <c r="E18" s="142" t="str">
        <f>A18&amp;+(COUNTIF(A18:A$34,A18)-1)</f>
        <v>10081</v>
      </c>
      <c r="F18" s="108" t="s">
        <v>197</v>
      </c>
      <c r="G18" s="108" t="s">
        <v>196</v>
      </c>
      <c r="H18" s="108" t="s">
        <v>397</v>
      </c>
    </row>
    <row r="19" spans="1:8" x14ac:dyDescent="0.15">
      <c r="A19" s="108">
        <v>1008</v>
      </c>
      <c r="B19" s="142" t="str">
        <f>VLOOKUP(A19,[1]characters!$A:$C,3,FALSE)</f>
        <v>オシリス</v>
      </c>
      <c r="C19" s="108" t="s">
        <v>198</v>
      </c>
      <c r="D19" s="142"/>
      <c r="E19" s="142" t="str">
        <f>A19&amp;+(COUNTIF(A19:A$34,A19)-1)</f>
        <v>10080</v>
      </c>
      <c r="F19" s="108" t="s">
        <v>197</v>
      </c>
      <c r="G19" s="108" t="s">
        <v>196</v>
      </c>
      <c r="H19" s="108" t="s">
        <v>398</v>
      </c>
    </row>
    <row r="20" spans="1:8" x14ac:dyDescent="0.15">
      <c r="A20" s="108">
        <v>1009</v>
      </c>
      <c r="B20" s="142" t="str">
        <f>VLOOKUP(A20,[1]characters!$A:$C,3,FALSE)</f>
        <v>再醒の冥皇神 オシリス</v>
      </c>
      <c r="C20" s="108" t="s">
        <v>195</v>
      </c>
      <c r="D20" s="142"/>
      <c r="E20" s="142" t="str">
        <f>A20&amp;+(COUNTIF(A20:A$34,A20)-1)</f>
        <v>10094</v>
      </c>
      <c r="F20" s="108" t="s">
        <v>197</v>
      </c>
      <c r="G20" s="108" t="s">
        <v>196</v>
      </c>
      <c r="H20" s="108" t="s">
        <v>395</v>
      </c>
    </row>
    <row r="21" spans="1:8" x14ac:dyDescent="0.15">
      <c r="A21" s="108">
        <v>1009</v>
      </c>
      <c r="B21" s="142" t="str">
        <f>VLOOKUP(A21,[1]characters!$A:$C,3,FALSE)</f>
        <v>再醒の冥皇神 オシリス</v>
      </c>
      <c r="C21" s="108" t="s">
        <v>198</v>
      </c>
      <c r="D21" s="142"/>
      <c r="E21" s="142" t="str">
        <f>A21&amp;+(COUNTIF(A21:A$34,A21)-1)</f>
        <v>10093</v>
      </c>
      <c r="F21" s="108" t="s">
        <v>197</v>
      </c>
      <c r="G21" s="108" t="s">
        <v>196</v>
      </c>
      <c r="H21" s="108" t="s">
        <v>399</v>
      </c>
    </row>
    <row r="22" spans="1:8" x14ac:dyDescent="0.15">
      <c r="A22" s="108">
        <v>1009</v>
      </c>
      <c r="B22" s="142" t="str">
        <f>VLOOKUP(A22,[1]characters!$A:$C,3,FALSE)</f>
        <v>再醒の冥皇神 オシリス</v>
      </c>
      <c r="C22" s="108" t="s">
        <v>198</v>
      </c>
      <c r="D22" s="142"/>
      <c r="E22" s="142" t="str">
        <f>A22&amp;+(COUNTIF(A22:A$34,A22)-1)</f>
        <v>10092</v>
      </c>
      <c r="F22" s="108" t="s">
        <v>197</v>
      </c>
      <c r="G22" s="108" t="s">
        <v>196</v>
      </c>
      <c r="H22" s="108" t="s">
        <v>396</v>
      </c>
    </row>
    <row r="23" spans="1:8" x14ac:dyDescent="0.15">
      <c r="A23" s="108">
        <v>1009</v>
      </c>
      <c r="B23" s="142" t="str">
        <f>VLOOKUP(A23,[1]characters!$A:$C,3,FALSE)</f>
        <v>再醒の冥皇神 オシリス</v>
      </c>
      <c r="C23" s="108" t="s">
        <v>198</v>
      </c>
      <c r="D23" s="142"/>
      <c r="E23" s="142" t="str">
        <f>A23&amp;+(COUNTIF(A23:A$34,A23)-1)</f>
        <v>10091</v>
      </c>
      <c r="F23" s="108" t="s">
        <v>197</v>
      </c>
      <c r="G23" s="108" t="s">
        <v>196</v>
      </c>
      <c r="H23" s="108" t="s">
        <v>397</v>
      </c>
    </row>
    <row r="24" spans="1:8" x14ac:dyDescent="0.15">
      <c r="A24" s="108">
        <v>1009</v>
      </c>
      <c r="B24" s="142" t="str">
        <f>VLOOKUP(A24,[1]characters!$A:$C,3,FALSE)</f>
        <v>再醒の冥皇神 オシリス</v>
      </c>
      <c r="C24" s="108" t="s">
        <v>198</v>
      </c>
      <c r="D24" s="142"/>
      <c r="E24" s="142" t="str">
        <f>A24&amp;+(COUNTIF(A24:A$34,A24)-1)</f>
        <v>10090</v>
      </c>
      <c r="F24" s="108" t="s">
        <v>197</v>
      </c>
      <c r="G24" s="108" t="s">
        <v>196</v>
      </c>
      <c r="H24" s="108" t="s">
        <v>398</v>
      </c>
    </row>
    <row r="25" spans="1:8" x14ac:dyDescent="0.15">
      <c r="A25" s="108">
        <v>1010</v>
      </c>
      <c r="B25" s="142" t="str">
        <f>VLOOKUP(A25,[1]characters!$A:$C,3,FALSE)</f>
        <v>セト</v>
      </c>
      <c r="C25" s="108" t="s">
        <v>195</v>
      </c>
      <c r="D25" s="142"/>
      <c r="E25" s="142" t="str">
        <f>A25&amp;+(COUNTIF(A25:A$34,A25)-1)</f>
        <v>10103</v>
      </c>
      <c r="F25" s="108" t="s">
        <v>197</v>
      </c>
      <c r="G25" s="108" t="s">
        <v>424</v>
      </c>
      <c r="H25" s="108" t="s">
        <v>423</v>
      </c>
    </row>
    <row r="26" spans="1:8" x14ac:dyDescent="0.15">
      <c r="A26" s="108">
        <v>1010</v>
      </c>
      <c r="B26" s="142" t="str">
        <f>VLOOKUP(A26,[1]characters!$A:$C,3,FALSE)</f>
        <v>セト</v>
      </c>
      <c r="C26" s="108" t="s">
        <v>198</v>
      </c>
      <c r="D26" s="142"/>
      <c r="E26" s="142" t="str">
        <f>A26&amp;+(COUNTIF(A26:A$34,A26)-1)</f>
        <v>10102</v>
      </c>
      <c r="F26" s="108" t="s">
        <v>197</v>
      </c>
      <c r="G26" s="108" t="s">
        <v>424</v>
      </c>
      <c r="H26" s="108" t="s">
        <v>429</v>
      </c>
    </row>
    <row r="27" spans="1:8" x14ac:dyDescent="0.15">
      <c r="A27" s="108">
        <v>1010</v>
      </c>
      <c r="B27" s="142" t="str">
        <f>VLOOKUP(A27,[1]characters!$A:$C,3,FALSE)</f>
        <v>セト</v>
      </c>
      <c r="C27" s="108" t="s">
        <v>198</v>
      </c>
      <c r="D27" s="142"/>
      <c r="E27" s="142" t="str">
        <f>A27&amp;+(COUNTIF(A27:A$34,A27)-1)</f>
        <v>10101</v>
      </c>
      <c r="F27" s="108" t="s">
        <v>197</v>
      </c>
      <c r="G27" s="108" t="s">
        <v>424</v>
      </c>
      <c r="H27" s="108" t="s">
        <v>430</v>
      </c>
    </row>
    <row r="28" spans="1:8" x14ac:dyDescent="0.15">
      <c r="A28" s="108">
        <v>1010</v>
      </c>
      <c r="B28" s="142" t="str">
        <f>VLOOKUP(A28,[1]characters!$A:$C,3,FALSE)</f>
        <v>セト</v>
      </c>
      <c r="C28" s="108" t="s">
        <v>198</v>
      </c>
      <c r="D28" s="142"/>
      <c r="E28" s="142" t="str">
        <f>A28&amp;+(COUNTIF(A28:A$34,A28)-1)</f>
        <v>10100</v>
      </c>
      <c r="F28" s="108" t="s">
        <v>197</v>
      </c>
      <c r="G28" s="108" t="s">
        <v>424</v>
      </c>
      <c r="H28" s="108" t="s">
        <v>431</v>
      </c>
    </row>
    <row r="29" spans="1:8" x14ac:dyDescent="0.15">
      <c r="A29" s="108">
        <v>1011</v>
      </c>
      <c r="B29" s="142" t="str">
        <f>VLOOKUP(A29,[1]characters!$A:$C,3,FALSE)</f>
        <v>偉獰なる荒嵐神 セト</v>
      </c>
      <c r="C29" s="108" t="s">
        <v>195</v>
      </c>
      <c r="D29" s="142"/>
      <c r="E29" s="142" t="str">
        <f>A29&amp;+(COUNTIF(A29:A$34,A29)-1)</f>
        <v>10114</v>
      </c>
      <c r="F29" s="108" t="s">
        <v>197</v>
      </c>
      <c r="G29" s="108" t="s">
        <v>424</v>
      </c>
      <c r="H29" s="108" t="s">
        <v>433</v>
      </c>
    </row>
    <row r="30" spans="1:8" x14ac:dyDescent="0.15">
      <c r="A30" s="108">
        <v>1011</v>
      </c>
      <c r="B30" s="142" t="str">
        <f>VLOOKUP(A30,[1]characters!$A:$C,3,FALSE)</f>
        <v>偉獰なる荒嵐神 セト</v>
      </c>
      <c r="C30" s="108" t="s">
        <v>198</v>
      </c>
      <c r="D30" s="142"/>
      <c r="E30" s="142" t="str">
        <f>A30&amp;+(COUNTIF(A30:A$34,A30)-1)</f>
        <v>10113</v>
      </c>
      <c r="F30" s="108" t="s">
        <v>197</v>
      </c>
      <c r="G30" s="108" t="s">
        <v>424</v>
      </c>
      <c r="H30" s="108" t="s">
        <v>429</v>
      </c>
    </row>
    <row r="31" spans="1:8" x14ac:dyDescent="0.15">
      <c r="A31" s="108">
        <v>1011</v>
      </c>
      <c r="B31" s="142" t="str">
        <f>VLOOKUP(A31,[1]characters!$A:$C,3,FALSE)</f>
        <v>偉獰なる荒嵐神 セト</v>
      </c>
      <c r="C31" s="108" t="s">
        <v>198</v>
      </c>
      <c r="D31" s="142"/>
      <c r="E31" s="142" t="str">
        <f>A31&amp;+(COUNTIF(A31:A$34,A31)-1)</f>
        <v>10112</v>
      </c>
      <c r="F31" s="108" t="s">
        <v>197</v>
      </c>
      <c r="G31" s="108" t="s">
        <v>424</v>
      </c>
      <c r="H31" s="108" t="s">
        <v>430</v>
      </c>
    </row>
    <row r="32" spans="1:8" x14ac:dyDescent="0.15">
      <c r="A32" s="108">
        <v>1011</v>
      </c>
      <c r="B32" s="142" t="str">
        <f>VLOOKUP(A32,[1]characters!$A:$C,3,FALSE)</f>
        <v>偉獰なる荒嵐神 セト</v>
      </c>
      <c r="C32" s="108" t="s">
        <v>198</v>
      </c>
      <c r="D32" s="142"/>
      <c r="E32" s="142" t="str">
        <f>A32&amp;+(COUNTIF(A32:A$34,A32)-1)</f>
        <v>10111</v>
      </c>
      <c r="F32" s="108" t="s">
        <v>197</v>
      </c>
      <c r="G32" s="108" t="s">
        <v>424</v>
      </c>
      <c r="H32" s="108" t="s">
        <v>431</v>
      </c>
    </row>
    <row r="33" spans="1:8" x14ac:dyDescent="0.15">
      <c r="A33" s="108">
        <v>1011</v>
      </c>
      <c r="B33" s="142" t="str">
        <f>VLOOKUP(A33,[1]characters!$A:$C,3,FALSE)</f>
        <v>偉獰なる荒嵐神 セト</v>
      </c>
      <c r="C33" s="108" t="s">
        <v>198</v>
      </c>
      <c r="D33" s="142"/>
      <c r="E33" s="142" t="str">
        <f>A33&amp;+(COUNTIF(A33:A$34,A33)-1)</f>
        <v>10110</v>
      </c>
      <c r="F33" s="108" t="s">
        <v>197</v>
      </c>
      <c r="G33" s="108" t="s">
        <v>424</v>
      </c>
      <c r="H33" s="108" t="s">
        <v>432</v>
      </c>
    </row>
    <row r="34" spans="1:8" x14ac:dyDescent="0.15">
      <c r="A34" s="108">
        <v>1012</v>
      </c>
      <c r="B34" s="142" t="str">
        <f>VLOOKUP(A34,[1]characters!$A:$C,3,FALSE)</f>
        <v>ラー</v>
      </c>
      <c r="C34" s="108" t="s">
        <v>195</v>
      </c>
      <c r="D34" s="142"/>
      <c r="E34" s="142" t="str">
        <f>A34&amp;+(COUNTIF(A$34:A34,A34)-1)</f>
        <v>10120</v>
      </c>
      <c r="F34" s="108" t="s">
        <v>197</v>
      </c>
      <c r="G34" s="108" t="s">
        <v>196</v>
      </c>
      <c r="H34" s="108" t="s">
        <v>356</v>
      </c>
    </row>
    <row r="35" spans="1:8" x14ac:dyDescent="0.15">
      <c r="A35" s="108">
        <v>1012</v>
      </c>
      <c r="B35" s="142" t="str">
        <f>VLOOKUP(A35,[1]characters!$A:$C,3,FALSE)</f>
        <v>ラー</v>
      </c>
      <c r="C35" s="108" t="s">
        <v>198</v>
      </c>
      <c r="D35" s="142"/>
      <c r="E35" s="142" t="str">
        <f>A35&amp;+(COUNTIF(A$34:A35,A35)-1)</f>
        <v>10121</v>
      </c>
      <c r="F35" s="108" t="s">
        <v>197</v>
      </c>
      <c r="G35" s="108" t="s">
        <v>362</v>
      </c>
      <c r="H35" s="108" t="s">
        <v>357</v>
      </c>
    </row>
    <row r="36" spans="1:8" x14ac:dyDescent="0.15">
      <c r="A36" s="108">
        <v>1012</v>
      </c>
      <c r="B36" s="142" t="str">
        <f>VLOOKUP(A36,[1]characters!$A:$C,3,FALSE)</f>
        <v>ラー</v>
      </c>
      <c r="C36" s="108" t="s">
        <v>198</v>
      </c>
      <c r="D36" s="142"/>
      <c r="E36" s="142" t="str">
        <f>A36&amp;+(COUNTIF(A$34:A36,A36)-1)</f>
        <v>10122</v>
      </c>
      <c r="F36" s="108" t="s">
        <v>197</v>
      </c>
      <c r="G36" s="108" t="s">
        <v>196</v>
      </c>
      <c r="H36" s="108" t="s">
        <v>358</v>
      </c>
    </row>
    <row r="37" spans="1:8" x14ac:dyDescent="0.15">
      <c r="A37" s="108">
        <v>1012</v>
      </c>
      <c r="B37" s="142" t="str">
        <f>VLOOKUP(A37,[1]characters!$A:$C,3,FALSE)</f>
        <v>ラー</v>
      </c>
      <c r="C37" s="108" t="s">
        <v>198</v>
      </c>
      <c r="D37" s="142"/>
      <c r="E37" s="142" t="str">
        <f>A37&amp;+(COUNTIF(A$34:A37,A37)-1)</f>
        <v>10123</v>
      </c>
      <c r="F37" s="108" t="s">
        <v>197</v>
      </c>
      <c r="G37" s="108" t="s">
        <v>196</v>
      </c>
      <c r="H37" s="108" t="s">
        <v>359</v>
      </c>
    </row>
    <row r="38" spans="1:8" x14ac:dyDescent="0.15">
      <c r="A38" s="108">
        <v>1013</v>
      </c>
      <c r="B38" s="142" t="str">
        <f>VLOOKUP(A38,[1]characters!$A:$C,3,FALSE)</f>
        <v>聖陽昇る緋洸神 ラー</v>
      </c>
      <c r="C38" s="108" t="s">
        <v>195</v>
      </c>
      <c r="D38" s="142"/>
      <c r="E38" s="142" t="str">
        <f>A38&amp;+(COUNTIF(A$34:A38,A38)-1)</f>
        <v>10130</v>
      </c>
      <c r="F38" s="108" t="s">
        <v>197</v>
      </c>
      <c r="G38" s="108" t="s">
        <v>196</v>
      </c>
      <c r="H38" s="108" t="s">
        <v>360</v>
      </c>
    </row>
    <row r="39" spans="1:8" x14ac:dyDescent="0.15">
      <c r="A39" s="108">
        <v>1013</v>
      </c>
      <c r="B39" s="142" t="str">
        <f>VLOOKUP(A39,[1]characters!$A:$C,3,FALSE)</f>
        <v>聖陽昇る緋洸神 ラー</v>
      </c>
      <c r="C39" s="108" t="s">
        <v>198</v>
      </c>
      <c r="D39" s="142"/>
      <c r="E39" s="142" t="str">
        <f>A39&amp;+(COUNTIF(A$34:A39,A39)-1)</f>
        <v>10131</v>
      </c>
      <c r="F39" s="108" t="s">
        <v>197</v>
      </c>
      <c r="G39" s="108" t="s">
        <v>362</v>
      </c>
      <c r="H39" s="108" t="s">
        <v>357</v>
      </c>
    </row>
    <row r="40" spans="1:8" x14ac:dyDescent="0.15">
      <c r="A40" s="108">
        <v>1013</v>
      </c>
      <c r="B40" s="142" t="str">
        <f>VLOOKUP(A40,[1]characters!$A:$C,3,FALSE)</f>
        <v>聖陽昇る緋洸神 ラー</v>
      </c>
      <c r="C40" s="108" t="s">
        <v>198</v>
      </c>
      <c r="D40" s="142"/>
      <c r="E40" s="142" t="str">
        <f>A40&amp;+(COUNTIF(A$34:A40,A40)-1)</f>
        <v>10132</v>
      </c>
      <c r="F40" s="108" t="s">
        <v>197</v>
      </c>
      <c r="G40" s="108" t="s">
        <v>196</v>
      </c>
      <c r="H40" s="108" t="s">
        <v>358</v>
      </c>
    </row>
    <row r="41" spans="1:8" x14ac:dyDescent="0.15">
      <c r="A41" s="108">
        <v>1013</v>
      </c>
      <c r="B41" s="142" t="str">
        <f>VLOOKUP(A41,[1]characters!$A:$C,3,FALSE)</f>
        <v>聖陽昇る緋洸神 ラー</v>
      </c>
      <c r="C41" s="108" t="s">
        <v>198</v>
      </c>
      <c r="D41" s="142"/>
      <c r="E41" s="142" t="str">
        <f>A41&amp;+(COUNTIF(A$34:A41,A41)-1)</f>
        <v>10133</v>
      </c>
      <c r="F41" s="108" t="s">
        <v>197</v>
      </c>
      <c r="G41" s="108" t="s">
        <v>196</v>
      </c>
      <c r="H41" s="108" t="s">
        <v>359</v>
      </c>
    </row>
    <row r="42" spans="1:8" x14ac:dyDescent="0.15">
      <c r="A42" s="108">
        <v>1013</v>
      </c>
      <c r="B42" s="142" t="str">
        <f>VLOOKUP(A42,[1]characters!$A:$C,3,FALSE)</f>
        <v>聖陽昇る緋洸神 ラー</v>
      </c>
      <c r="C42" s="108" t="s">
        <v>198</v>
      </c>
      <c r="D42" s="142"/>
      <c r="E42" s="142" t="str">
        <f>A42&amp;+(COUNTIF(A$34:A42,A42)-1)</f>
        <v>10134</v>
      </c>
      <c r="F42" s="108" t="s">
        <v>197</v>
      </c>
      <c r="G42" s="108" t="s">
        <v>196</v>
      </c>
      <c r="H42" s="108" t="s">
        <v>361</v>
      </c>
    </row>
    <row r="43" spans="1:8" x14ac:dyDescent="0.15">
      <c r="A43" s="108">
        <v>1014</v>
      </c>
      <c r="B43" s="142" t="str">
        <f>VLOOKUP(A43,[1]characters!$A:$C,3,FALSE)</f>
        <v>イシス</v>
      </c>
      <c r="C43" s="108" t="s">
        <v>195</v>
      </c>
      <c r="D43" s="142"/>
      <c r="E43" s="142" t="str">
        <f>A43&amp;+(COUNTIF(A$34:A43,A43)-1)</f>
        <v>10140</v>
      </c>
      <c r="F43" s="108" t="s">
        <v>197</v>
      </c>
      <c r="G43" s="108" t="s">
        <v>196</v>
      </c>
      <c r="H43" s="108" t="s">
        <v>363</v>
      </c>
    </row>
    <row r="44" spans="1:8" x14ac:dyDescent="0.15">
      <c r="A44" s="108">
        <v>1014</v>
      </c>
      <c r="B44" s="142" t="str">
        <f>VLOOKUP(A44,[1]characters!$A:$C,3,FALSE)</f>
        <v>イシス</v>
      </c>
      <c r="C44" s="108" t="s">
        <v>198</v>
      </c>
      <c r="D44" s="142"/>
      <c r="E44" s="142" t="str">
        <f>A44&amp;+(COUNTIF(A$34:A44,A44)-1)</f>
        <v>10141</v>
      </c>
      <c r="F44" s="108" t="s">
        <v>197</v>
      </c>
      <c r="G44" s="108" t="s">
        <v>362</v>
      </c>
      <c r="H44" s="108" t="s">
        <v>365</v>
      </c>
    </row>
    <row r="45" spans="1:8" x14ac:dyDescent="0.15">
      <c r="A45" s="108">
        <v>1014</v>
      </c>
      <c r="B45" s="142" t="str">
        <f>VLOOKUP(A45,[1]characters!$A:$C,3,FALSE)</f>
        <v>イシス</v>
      </c>
      <c r="C45" s="108" t="s">
        <v>198</v>
      </c>
      <c r="D45" s="142"/>
      <c r="E45" s="142" t="str">
        <f>A45&amp;+(COUNTIF(A$34:A45,A45)-1)</f>
        <v>10142</v>
      </c>
      <c r="F45" s="108" t="s">
        <v>197</v>
      </c>
      <c r="G45" s="108" t="s">
        <v>196</v>
      </c>
      <c r="H45" s="108" t="s">
        <v>366</v>
      </c>
    </row>
    <row r="46" spans="1:8" x14ac:dyDescent="0.15">
      <c r="A46" s="108">
        <v>1014</v>
      </c>
      <c r="B46" s="142" t="str">
        <f>VLOOKUP(A46,[1]characters!$A:$C,3,FALSE)</f>
        <v>イシス</v>
      </c>
      <c r="C46" s="108" t="s">
        <v>198</v>
      </c>
      <c r="D46" s="142"/>
      <c r="E46" s="142" t="str">
        <f>A46&amp;+(COUNTIF(A$34:A46,A46)-1)</f>
        <v>10143</v>
      </c>
      <c r="F46" s="108" t="s">
        <v>197</v>
      </c>
      <c r="G46" s="108" t="s">
        <v>196</v>
      </c>
      <c r="H46" s="108" t="s">
        <v>367</v>
      </c>
    </row>
    <row r="47" spans="1:8" x14ac:dyDescent="0.15">
      <c r="A47" s="108">
        <v>1015</v>
      </c>
      <c r="B47" s="142" t="str">
        <f>VLOOKUP(A47,[1]characters!$A:$C,3,FALSE)</f>
        <v>繁翠なる蘇聖神 イシス</v>
      </c>
      <c r="C47" s="108" t="s">
        <v>195</v>
      </c>
      <c r="D47" s="142"/>
      <c r="E47" s="142" t="str">
        <f>A47&amp;+(COUNTIF(A$34:A47,A47)-1)</f>
        <v>10150</v>
      </c>
      <c r="F47" s="108" t="s">
        <v>197</v>
      </c>
      <c r="G47" s="108" t="s">
        <v>196</v>
      </c>
      <c r="H47" s="108" t="s">
        <v>364</v>
      </c>
    </row>
    <row r="48" spans="1:8" x14ac:dyDescent="0.15">
      <c r="A48" s="108">
        <v>1015</v>
      </c>
      <c r="B48" s="142" t="str">
        <f>VLOOKUP(A48,[1]characters!$A:$C,3,FALSE)</f>
        <v>繁翠なる蘇聖神 イシス</v>
      </c>
      <c r="C48" s="108" t="s">
        <v>198</v>
      </c>
      <c r="D48" s="142"/>
      <c r="E48" s="142" t="str">
        <f>A48&amp;+(COUNTIF(A$34:A48,A48)-1)</f>
        <v>10151</v>
      </c>
      <c r="F48" s="108" t="s">
        <v>197</v>
      </c>
      <c r="G48" s="108" t="s">
        <v>362</v>
      </c>
      <c r="H48" s="108" t="s">
        <v>365</v>
      </c>
    </row>
    <row r="49" spans="1:8" x14ac:dyDescent="0.15">
      <c r="A49" s="108">
        <v>1015</v>
      </c>
      <c r="B49" s="142" t="str">
        <f>VLOOKUP(A49,[1]characters!$A:$C,3,FALSE)</f>
        <v>繁翠なる蘇聖神 イシス</v>
      </c>
      <c r="C49" s="108" t="s">
        <v>198</v>
      </c>
      <c r="D49" s="142"/>
      <c r="E49" s="142" t="str">
        <f>A49&amp;+(COUNTIF(A$34:A49,A49)-1)</f>
        <v>10152</v>
      </c>
      <c r="F49" s="108" t="s">
        <v>197</v>
      </c>
      <c r="G49" s="108" t="s">
        <v>196</v>
      </c>
      <c r="H49" s="108" t="s">
        <v>366</v>
      </c>
    </row>
    <row r="50" spans="1:8" x14ac:dyDescent="0.15">
      <c r="A50" s="108">
        <v>1015</v>
      </c>
      <c r="B50" s="142" t="str">
        <f>VLOOKUP(A50,[1]characters!$A:$C,3,FALSE)</f>
        <v>繁翠なる蘇聖神 イシス</v>
      </c>
      <c r="C50" s="108" t="s">
        <v>198</v>
      </c>
      <c r="D50" s="142"/>
      <c r="E50" s="142" t="str">
        <f>A50&amp;+(COUNTIF(A$34:A50,A50)-1)</f>
        <v>10153</v>
      </c>
      <c r="F50" s="108" t="s">
        <v>197</v>
      </c>
      <c r="G50" s="108" t="s">
        <v>196</v>
      </c>
      <c r="H50" s="108" t="s">
        <v>367</v>
      </c>
    </row>
    <row r="51" spans="1:8" x14ac:dyDescent="0.15">
      <c r="A51" s="108">
        <v>1015</v>
      </c>
      <c r="B51" s="142" t="str">
        <f>VLOOKUP(A51,[1]characters!$A:$C,3,FALSE)</f>
        <v>繁翠なる蘇聖神 イシス</v>
      </c>
      <c r="C51" s="108" t="s">
        <v>198</v>
      </c>
      <c r="D51" s="142"/>
      <c r="E51" s="142" t="str">
        <f>A51&amp;+(COUNTIF(A$34:A51,A51)-1)</f>
        <v>10154</v>
      </c>
      <c r="F51" s="108" t="s">
        <v>197</v>
      </c>
      <c r="G51" s="108" t="s">
        <v>196</v>
      </c>
      <c r="H51" s="108" t="s">
        <v>368</v>
      </c>
    </row>
    <row r="52" spans="1:8" x14ac:dyDescent="0.15">
      <c r="A52" s="108">
        <v>1016</v>
      </c>
      <c r="B52" s="142" t="str">
        <f>VLOOKUP(A52,[1]characters!$A:$C,3,FALSE)</f>
        <v>ハトホル</v>
      </c>
      <c r="C52" s="108" t="s">
        <v>195</v>
      </c>
      <c r="D52" s="142"/>
      <c r="E52" s="142" t="str">
        <f>A52&amp;+(COUNTIF(A$34:A52,A52)-1)</f>
        <v>10160</v>
      </c>
      <c r="F52" s="108" t="s">
        <v>197</v>
      </c>
      <c r="G52" s="108" t="s">
        <v>196</v>
      </c>
      <c r="H52" s="108" t="s">
        <v>369</v>
      </c>
    </row>
    <row r="53" spans="1:8" x14ac:dyDescent="0.15">
      <c r="A53" s="108">
        <v>1016</v>
      </c>
      <c r="B53" s="142" t="str">
        <f>VLOOKUP(A53,[1]characters!$A:$C,3,FALSE)</f>
        <v>ハトホル</v>
      </c>
      <c r="C53" s="108" t="s">
        <v>198</v>
      </c>
      <c r="D53" s="142"/>
      <c r="E53" s="142" t="str">
        <f>A53&amp;+(COUNTIF(A$34:A53,A53)-1)</f>
        <v>10161</v>
      </c>
      <c r="F53" s="108" t="s">
        <v>197</v>
      </c>
      <c r="G53" s="108" t="s">
        <v>196</v>
      </c>
      <c r="H53" s="108" t="s">
        <v>371</v>
      </c>
    </row>
    <row r="54" spans="1:8" x14ac:dyDescent="0.15">
      <c r="A54" s="108">
        <v>1016</v>
      </c>
      <c r="B54" s="142" t="str">
        <f>VLOOKUP(A54,[1]characters!$A:$C,3,FALSE)</f>
        <v>ハトホル</v>
      </c>
      <c r="C54" s="108" t="s">
        <v>198</v>
      </c>
      <c r="D54" s="142"/>
      <c r="E54" s="142" t="str">
        <f>A54&amp;+(COUNTIF(A$34:A54,A54)-1)</f>
        <v>10162</v>
      </c>
      <c r="F54" s="108" t="s">
        <v>197</v>
      </c>
      <c r="G54" s="108" t="s">
        <v>196</v>
      </c>
      <c r="H54" s="108" t="s">
        <v>372</v>
      </c>
    </row>
    <row r="55" spans="1:8" x14ac:dyDescent="0.15">
      <c r="A55" s="108">
        <v>1017</v>
      </c>
      <c r="B55" s="142" t="str">
        <f>VLOOKUP(A55,[1]characters!$A:$C,3,FALSE)</f>
        <v>命瞳の慈母神 ハトホル</v>
      </c>
      <c r="C55" s="108" t="s">
        <v>195</v>
      </c>
      <c r="D55" s="142"/>
      <c r="E55" s="142" t="str">
        <f>A55&amp;+(COUNTIF(A$34:A55,A55)-1)</f>
        <v>10170</v>
      </c>
      <c r="F55" s="108" t="s">
        <v>197</v>
      </c>
      <c r="G55" s="108" t="s">
        <v>196</v>
      </c>
      <c r="H55" s="108" t="s">
        <v>370</v>
      </c>
    </row>
    <row r="56" spans="1:8" x14ac:dyDescent="0.15">
      <c r="A56" s="108">
        <v>1017</v>
      </c>
      <c r="B56" s="142" t="str">
        <f>VLOOKUP(A56,[1]characters!$A:$C,3,FALSE)</f>
        <v>命瞳の慈母神 ハトホル</v>
      </c>
      <c r="C56" s="108" t="s">
        <v>198</v>
      </c>
      <c r="D56" s="142"/>
      <c r="E56" s="142" t="str">
        <f>A56&amp;+(COUNTIF(A$34:A56,A56)-1)</f>
        <v>10171</v>
      </c>
      <c r="F56" s="108" t="s">
        <v>197</v>
      </c>
      <c r="G56" s="108" t="s">
        <v>196</v>
      </c>
      <c r="H56" s="108" t="s">
        <v>371</v>
      </c>
    </row>
    <row r="57" spans="1:8" x14ac:dyDescent="0.15">
      <c r="A57" s="108">
        <v>1017</v>
      </c>
      <c r="B57" s="142" t="str">
        <f>VLOOKUP(A57,[1]characters!$A:$C,3,FALSE)</f>
        <v>命瞳の慈母神 ハトホル</v>
      </c>
      <c r="C57" s="108" t="s">
        <v>198</v>
      </c>
      <c r="D57" s="142"/>
      <c r="E57" s="142" t="str">
        <f>A57&amp;+(COUNTIF(A$34:A57,A57)-1)</f>
        <v>10172</v>
      </c>
      <c r="F57" s="108" t="s">
        <v>197</v>
      </c>
      <c r="G57" s="108" t="s">
        <v>196</v>
      </c>
      <c r="H57" s="108" t="s">
        <v>372</v>
      </c>
    </row>
    <row r="58" spans="1:8" x14ac:dyDescent="0.15">
      <c r="A58" s="108">
        <v>1017</v>
      </c>
      <c r="B58" s="142" t="str">
        <f>VLOOKUP(A58,[1]characters!$A:$C,3,FALSE)</f>
        <v>命瞳の慈母神 ハトホル</v>
      </c>
      <c r="C58" s="108" t="s">
        <v>198</v>
      </c>
      <c r="D58" s="142"/>
      <c r="E58" s="142" t="str">
        <f>A58&amp;+(COUNTIF(A$34:A58,A58)-1)</f>
        <v>10173</v>
      </c>
      <c r="F58" s="108" t="s">
        <v>197</v>
      </c>
      <c r="G58" s="108" t="s">
        <v>196</v>
      </c>
      <c r="H58" s="108" t="s">
        <v>373</v>
      </c>
    </row>
    <row r="59" spans="1:8" x14ac:dyDescent="0.15">
      <c r="A59" s="108">
        <v>1018</v>
      </c>
      <c r="B59" s="142" t="str">
        <f>VLOOKUP(A59,[1]characters!$A:$C,3,FALSE)</f>
        <v>バステト</v>
      </c>
      <c r="C59" s="108" t="s">
        <v>195</v>
      </c>
      <c r="D59" s="142"/>
      <c r="E59" s="142" t="str">
        <f>A59&amp;+(COUNTIF(A$34:A59,A59)-1)</f>
        <v>10180</v>
      </c>
      <c r="F59" s="108" t="s">
        <v>197</v>
      </c>
      <c r="G59" s="108" t="s">
        <v>375</v>
      </c>
      <c r="H59" s="108" t="s">
        <v>374</v>
      </c>
    </row>
    <row r="60" spans="1:8" x14ac:dyDescent="0.15">
      <c r="A60" s="108">
        <v>1018</v>
      </c>
      <c r="B60" s="142" t="str">
        <f>VLOOKUP(A60,[1]characters!$A:$C,3,FALSE)</f>
        <v>バステト</v>
      </c>
      <c r="C60" s="108" t="s">
        <v>198</v>
      </c>
      <c r="D60" s="142"/>
      <c r="E60" s="142" t="str">
        <f>A60&amp;+(COUNTIF(A$34:A60,A60)-1)</f>
        <v>10181</v>
      </c>
      <c r="F60" s="108" t="s">
        <v>197</v>
      </c>
      <c r="G60" s="108" t="s">
        <v>362</v>
      </c>
      <c r="H60" s="108" t="s">
        <v>379</v>
      </c>
    </row>
    <row r="61" spans="1:8" x14ac:dyDescent="0.15">
      <c r="A61" s="108">
        <v>1018</v>
      </c>
      <c r="B61" s="142" t="str">
        <f>VLOOKUP(A61,[1]characters!$A:$C,3,FALSE)</f>
        <v>バステト</v>
      </c>
      <c r="C61" s="108" t="s">
        <v>198</v>
      </c>
      <c r="D61" s="142"/>
      <c r="E61" s="142" t="str">
        <f>A61&amp;+(COUNTIF(A$34:A61,A61)-1)</f>
        <v>10182</v>
      </c>
      <c r="F61" s="108" t="s">
        <v>197</v>
      </c>
      <c r="G61" s="108" t="s">
        <v>362</v>
      </c>
      <c r="H61" s="108" t="s">
        <v>376</v>
      </c>
    </row>
    <row r="62" spans="1:8" x14ac:dyDescent="0.15">
      <c r="A62" s="108">
        <v>1018</v>
      </c>
      <c r="B62" s="142" t="str">
        <f>VLOOKUP(A62,[1]characters!$A:$C,3,FALSE)</f>
        <v>バステト</v>
      </c>
      <c r="C62" s="108" t="s">
        <v>198</v>
      </c>
      <c r="D62" s="142"/>
      <c r="E62" s="142" t="str">
        <f>A62&amp;+(COUNTIF(A$34:A62,A62)-1)</f>
        <v>10183</v>
      </c>
      <c r="F62" s="108" t="s">
        <v>197</v>
      </c>
      <c r="G62" s="108" t="s">
        <v>362</v>
      </c>
      <c r="H62" s="108" t="s">
        <v>380</v>
      </c>
    </row>
    <row r="63" spans="1:8" x14ac:dyDescent="0.15">
      <c r="A63" s="108">
        <v>1019</v>
      </c>
      <c r="B63" s="142" t="str">
        <f>VLOOKUP(A63,[1]characters!$A:$C,3,FALSE)</f>
        <v>愛鈴鳴る寵猫神 バステト</v>
      </c>
      <c r="C63" s="108" t="s">
        <v>195</v>
      </c>
      <c r="D63" s="142"/>
      <c r="E63" s="142" t="str">
        <f>A63&amp;+(COUNTIF(A$34:A63,A63)-1)</f>
        <v>10190</v>
      </c>
      <c r="F63" s="108" t="s">
        <v>197</v>
      </c>
      <c r="G63" s="108" t="s">
        <v>378</v>
      </c>
      <c r="H63" s="108" t="s">
        <v>377</v>
      </c>
    </row>
    <row r="64" spans="1:8" x14ac:dyDescent="0.15">
      <c r="A64" s="108">
        <v>1019</v>
      </c>
      <c r="B64" s="142" t="str">
        <f>VLOOKUP(A64,[1]characters!$A:$C,3,FALSE)</f>
        <v>愛鈴鳴る寵猫神 バステト</v>
      </c>
      <c r="C64" s="108" t="s">
        <v>198</v>
      </c>
      <c r="D64" s="142"/>
      <c r="E64" s="142" t="str">
        <f>A64&amp;+(COUNTIF(A$34:A64,A64)-1)</f>
        <v>10191</v>
      </c>
      <c r="F64" s="108" t="s">
        <v>197</v>
      </c>
      <c r="G64" s="108" t="s">
        <v>362</v>
      </c>
      <c r="H64" s="108" t="s">
        <v>379</v>
      </c>
    </row>
    <row r="65" spans="1:8" x14ac:dyDescent="0.15">
      <c r="A65" s="108">
        <v>1019</v>
      </c>
      <c r="B65" s="142" t="str">
        <f>VLOOKUP(A65,[1]characters!$A:$C,3,FALSE)</f>
        <v>愛鈴鳴る寵猫神 バステト</v>
      </c>
      <c r="C65" s="108" t="s">
        <v>198</v>
      </c>
      <c r="D65" s="142"/>
      <c r="E65" s="142" t="str">
        <f>A65&amp;+(COUNTIF(A$34:A65,A65)-1)</f>
        <v>10192</v>
      </c>
      <c r="F65" s="108" t="s">
        <v>197</v>
      </c>
      <c r="G65" s="108" t="s">
        <v>362</v>
      </c>
      <c r="H65" s="108" t="s">
        <v>376</v>
      </c>
    </row>
    <row r="66" spans="1:8" x14ac:dyDescent="0.15">
      <c r="A66" s="108">
        <v>1019</v>
      </c>
      <c r="B66" s="142" t="str">
        <f>VLOOKUP(A66,[1]characters!$A:$C,3,FALSE)</f>
        <v>愛鈴鳴る寵猫神 バステト</v>
      </c>
      <c r="C66" s="108" t="s">
        <v>198</v>
      </c>
      <c r="D66" s="142"/>
      <c r="E66" s="142" t="str">
        <f>A66&amp;+(COUNTIF(A$34:A66,A66)-1)</f>
        <v>10193</v>
      </c>
      <c r="F66" s="108" t="s">
        <v>197</v>
      </c>
      <c r="G66" s="108" t="s">
        <v>362</v>
      </c>
      <c r="H66" s="108" t="s">
        <v>380</v>
      </c>
    </row>
    <row r="67" spans="1:8" x14ac:dyDescent="0.15">
      <c r="A67" s="108">
        <v>1019</v>
      </c>
      <c r="B67" s="142" t="str">
        <f>VLOOKUP(A67,[1]characters!$A:$C,3,FALSE)</f>
        <v>愛鈴鳴る寵猫神 バステト</v>
      </c>
      <c r="C67" s="108" t="s">
        <v>198</v>
      </c>
      <c r="D67" s="142"/>
      <c r="E67" s="142" t="str">
        <f>A67&amp;+(COUNTIF(A$34:A67,A67)-1)</f>
        <v>10194</v>
      </c>
      <c r="F67" s="108" t="s">
        <v>197</v>
      </c>
      <c r="G67" s="108" t="s">
        <v>375</v>
      </c>
      <c r="H67" s="108" t="s">
        <v>381</v>
      </c>
    </row>
  </sheetData>
  <phoneticPr fontId="22"/>
  <dataValidations count="2">
    <dataValidation type="list" allowBlank="1" showInputMessage="1" showErrorMessage="1" sqref="G2:G67">
      <formula1>"maru,giza,kumo"</formula1>
    </dataValidation>
    <dataValidation type="list" allowBlank="1" showInputMessage="1" showErrorMessage="1" sqref="C2:C6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W9"/>
  <sheetViews>
    <sheetView showGridLines="0" workbookViewId="0">
      <pane xSplit="9" ySplit="1" topLeftCell="R2" activePane="bottomRight" state="frozen"/>
      <selection pane="topRight" activeCell="J1" sqref="J1"/>
      <selection pane="bottomLeft" activeCell="A3" sqref="A3"/>
      <selection pane="bottomRight" activeCell="Q10" sqref="Q1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3" ht="21" customHeight="1" x14ac:dyDescent="0.15">
      <c r="A1" s="80" t="s">
        <v>284</v>
      </c>
      <c r="B1" s="94" t="s">
        <v>40</v>
      </c>
      <c r="C1" s="85" t="s">
        <v>285</v>
      </c>
      <c r="D1" s="85" t="s">
        <v>286</v>
      </c>
      <c r="E1" s="85" t="s">
        <v>287</v>
      </c>
      <c r="F1" s="85" t="s">
        <v>288</v>
      </c>
      <c r="G1" s="85" t="s">
        <v>1</v>
      </c>
      <c r="H1" s="181" t="s">
        <v>19</v>
      </c>
      <c r="I1" s="85" t="s">
        <v>0</v>
      </c>
      <c r="J1" s="84" t="s">
        <v>289</v>
      </c>
      <c r="K1" s="85" t="s">
        <v>40</v>
      </c>
      <c r="L1" s="86" t="s">
        <v>49</v>
      </c>
      <c r="M1" s="86" t="s">
        <v>48</v>
      </c>
      <c r="N1" s="86" t="s">
        <v>290</v>
      </c>
      <c r="O1" s="86" t="s">
        <v>291</v>
      </c>
      <c r="P1" s="91" t="s">
        <v>292</v>
      </c>
      <c r="Q1" s="90" t="s">
        <v>293</v>
      </c>
      <c r="R1" s="79" t="s">
        <v>294</v>
      </c>
      <c r="S1" s="91" t="s">
        <v>295</v>
      </c>
      <c r="T1" s="79" t="s">
        <v>296</v>
      </c>
      <c r="U1" s="91" t="s">
        <v>297</v>
      </c>
    </row>
    <row r="2" spans="1:23" ht="21" customHeight="1" x14ac:dyDescent="0.15">
      <c r="A2" s="183">
        <v>1004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アメミット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アメミット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6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2" t="s">
        <v>298</v>
      </c>
      <c r="Q2" s="108">
        <v>1005</v>
      </c>
      <c r="R2" s="192" t="str">
        <f ca="1">IF(Q2="NULL","",VLOOKUP($Q2,OFFSET([1]characters!$A$1,0,0,COUNTA([1]characters!$A:$A),MATCH(R$1,[1]characters!$1:$1,0)-MATCH($A$1,[1]characters!$1:$1,0)+1),MATCH(R$1,[1]characters!$1:$1,0)-MATCH($A$1,[1]characters!$1:$1,0)+1,FALSE))</f>
        <v>恐牙なる魂喰獣 アメミット</v>
      </c>
      <c r="S2" s="5">
        <f t="shared" ref="S2:S9" ca="1" si="0">IF(ISNA(MATCH(A2,Q:Q,0)),A2,INDIRECT(ADDRESS(MATCH(A2,Q:Q,0),COLUMN())))</f>
        <v>1004</v>
      </c>
      <c r="T2" s="61" t="str">
        <f ca="1">VLOOKUP($S2,OFFSET([1]characters!$A$1,0,0,COUNTA([1]characters!$A:$A),MATCH(T$1,[1]characters!$1:$1,0)-MATCH($A$1,[1]characters!$1:$1,0)+1),MATCH(T$1,[1]characters!$1:$1,0)-MATCH($A$1,[1]characters!$1:$1,0)+1,FALSE)</f>
        <v>アメミット</v>
      </c>
      <c r="U2" s="11">
        <f ca="1">IF(Q2="NULL","NULL",VLOOKUP(G2,[2]ビット!$A$2:$B$7,2))</f>
        <v>50000</v>
      </c>
      <c r="V2">
        <v>50000</v>
      </c>
      <c r="W2" s="12" t="str">
        <f t="shared" ref="W2:W9" ca="1" si="1">IF(U2=V2,"TRUE","FALSE")</f>
        <v>TRUE</v>
      </c>
    </row>
    <row r="3" spans="1:23" ht="21" customHeight="1" x14ac:dyDescent="0.15">
      <c r="A3" s="183">
        <v>1006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セルケト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セルケト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6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2" t="s">
        <v>298</v>
      </c>
      <c r="Q3" s="108">
        <v>1007</v>
      </c>
      <c r="R3" s="192" t="str">
        <f ca="1">IF(Q3="NULL","",VLOOKUP($Q3,OFFSET([1]characters!$A$1,0,0,COUNTA([1]characters!$A:$A),MATCH(R$1,[1]characters!$1:$1,0)-MATCH($A$1,[1]characters!$1:$1,0)+1),MATCH(R$1,[1]characters!$1:$1,0)-MATCH($A$1,[1]characters!$1:$1,0)+1,FALSE))</f>
        <v>癒命の守蠍神 セルケト</v>
      </c>
      <c r="S3" s="5">
        <f t="shared" ca="1" si="0"/>
        <v>1006</v>
      </c>
      <c r="T3" s="61" t="str">
        <f ca="1">VLOOKUP($S3,OFFSET([1]characters!$A$1,0,0,COUNTA([1]characters!$A:$A),MATCH(T$1,[1]characters!$1:$1,0)-MATCH($A$1,[1]characters!$1:$1,0)+1),MATCH(T$1,[1]characters!$1:$1,0)-MATCH($A$1,[1]characters!$1:$1,0)+1,FALSE)</f>
        <v>セルケト</v>
      </c>
      <c r="U3" s="11">
        <f ca="1">IF(Q3="NULL","NULL",VLOOKUP(G3,[2]ビット!$A$2:$B$7,2))</f>
        <v>50000</v>
      </c>
      <c r="V3">
        <v>50000</v>
      </c>
      <c r="W3" s="12" t="str">
        <f t="shared" ca="1" si="1"/>
        <v>TRUE</v>
      </c>
    </row>
    <row r="4" spans="1:23" ht="21" customHeight="1" x14ac:dyDescent="0.15">
      <c r="A4" s="183">
        <v>1008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オシリス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オシリス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56" t="str">
        <f ca="1">VLOOKUP($A4,OFFSET([1]characters!$A$1,0,0,COUNTA([1]characters!$A:$A),MATCH(J$1,[1]characters!$1:$1,0)-MATCH($A$1,[1]characters!$1:$1,0)+1),MATCH(J$1,[1]characters!$1:$1,0)-MATCH($A$1,[1]characters!$1:$1,0)+1,FALSE)</f>
        <v>unknown</v>
      </c>
      <c r="K4" s="5" t="str">
        <f ca="1">VLOOKUP(J4,[1]character_tribe_i18n!$A:$H,3,FALSE)</f>
        <v>Unknown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2" t="s">
        <v>298</v>
      </c>
      <c r="Q4" s="108">
        <v>1009</v>
      </c>
      <c r="R4" s="192" t="str">
        <f ca="1">IF(Q4="NULL","",VLOOKUP($Q4,OFFSET([1]characters!$A$1,0,0,COUNTA([1]characters!$A:$A),MATCH(R$1,[1]characters!$1:$1,0)-MATCH($A$1,[1]characters!$1:$1,0)+1),MATCH(R$1,[1]characters!$1:$1,0)-MATCH($A$1,[1]characters!$1:$1,0)+1,FALSE))</f>
        <v>再醒の冥皇神 オシリス</v>
      </c>
      <c r="S4" s="5">
        <f t="shared" ca="1" si="0"/>
        <v>1008</v>
      </c>
      <c r="T4" s="61" t="str">
        <f ca="1">VLOOKUP($S4,OFFSET([1]characters!$A$1,0,0,COUNTA([1]characters!$A:$A),MATCH(T$1,[1]characters!$1:$1,0)-MATCH($A$1,[1]characters!$1:$1,0)+1),MATCH(T$1,[1]characters!$1:$1,0)-MATCH($A$1,[1]characters!$1:$1,0)+1,FALSE)</f>
        <v>オシリス</v>
      </c>
      <c r="U4" s="11">
        <f ca="1">IF(Q4="NULL","NULL",VLOOKUP(G4,[2]ビット!$A$2:$B$7,2))</f>
        <v>200000</v>
      </c>
      <c r="V4">
        <v>200000</v>
      </c>
      <c r="W4" s="12" t="str">
        <f t="shared" ca="1" si="1"/>
        <v>TRUE</v>
      </c>
    </row>
    <row r="5" spans="1:23" ht="21" customHeight="1" x14ac:dyDescent="0.15">
      <c r="A5" s="183">
        <v>1010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セト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セト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DropWizSS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6" t="str">
        <f ca="1">VLOOKUP($A5,OFFSET([1]characters!$A$1,0,0,COUNTA([1]characters!$A:$A),MATCH(J$1,[1]characters!$1:$1,0)-MATCH($A$1,[1]characters!$1:$1,0)+1),MATCH(J$1,[1]characters!$1:$1,0)-MATCH($A$1,[1]characters!$1:$1,0)+1,FALSE)</f>
        <v>unknown</v>
      </c>
      <c r="K5" s="5" t="str">
        <f ca="1">VLOOKUP(J5,[1]character_tribe_i18n!$A:$H,3,FALSE)</f>
        <v>Unknown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2" t="s">
        <v>299</v>
      </c>
      <c r="Q5" s="108">
        <v>1011</v>
      </c>
      <c r="R5" s="192" t="str">
        <f ca="1">IF(Q5="NULL","",VLOOKUP($Q5,OFFSET([1]characters!$A$1,0,0,COUNTA([1]characters!$A:$A),MATCH(R$1,[1]characters!$1:$1,0)-MATCH($A$1,[1]characters!$1:$1,0)+1),MATCH(R$1,[1]characters!$1:$1,0)-MATCH($A$1,[1]characters!$1:$1,0)+1,FALSE))</f>
        <v>偉獰なる荒嵐神 セト</v>
      </c>
      <c r="S5" s="5">
        <f t="shared" ca="1" si="0"/>
        <v>1010</v>
      </c>
      <c r="T5" s="61" t="str">
        <f ca="1">VLOOKUP($S5,OFFSET([1]characters!$A$1,0,0,COUNTA([1]characters!$A:$A),MATCH(T$1,[1]characters!$1:$1,0)-MATCH($A$1,[1]characters!$1:$1,0)+1),MATCH(T$1,[1]characters!$1:$1,0)-MATCH($A$1,[1]characters!$1:$1,0)+1,FALSE)</f>
        <v>セト</v>
      </c>
      <c r="U5" s="11">
        <f ca="1">IF(Q5="NULL","NULL",VLOOKUP(G5,[2]ビット!$A$2:$B$7,2))</f>
        <v>200000</v>
      </c>
      <c r="V5">
        <v>200000</v>
      </c>
      <c r="W5" s="12" t="str">
        <f t="shared" ca="1" si="1"/>
        <v>TRUE</v>
      </c>
    </row>
    <row r="6" spans="1:23" ht="21" customHeight="1" x14ac:dyDescent="0.15">
      <c r="A6" s="183">
        <v>1012</v>
      </c>
      <c r="B6" s="56" t="str">
        <f ca="1">VLOOKUP($A6,OFFSET([1]characters!$A$1,0,0,COUNTA([1]characters!$A:$A),MATCH(B$1,[1]characters!$1:$1,0)-MATCH($A$1,[1]characters!$1:$1,0)+1),MATCH(B$1,[1]characters!$1:$1,0)-MATCH($A$1,[1]characters!$1:$1,0)+1,FALSE)</f>
        <v>ラー</v>
      </c>
      <c r="C6" s="56" t="str">
        <f ca="1">VLOOKUP($A6,OFFSET([1]characters!$A$1,0,0,COUNTA([1]characters!$A:$A),MATCH(C$1,[1]characters!$1:$1,0)-MATCH($A$1,[1]characters!$1:$1,0)+1),MATCH(C$1,[1]characters!$1:$1,0)-MATCH($A$1,[1]characters!$1:$1,0)+1,FALSE)</f>
        <v>ラー</v>
      </c>
      <c r="D6" s="56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6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6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6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6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6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56" t="str">
        <f ca="1">VLOOKUP($A6,OFFSET([1]characters!$A$1,0,0,COUNTA([1]characters!$A:$A),MATCH(J$1,[1]characters!$1:$1,0)-MATCH($A$1,[1]characters!$1:$1,0)+1),MATCH(J$1,[1]characters!$1:$1,0)-MATCH($A$1,[1]characters!$1:$1,0)+1,FALSE)</f>
        <v>animal</v>
      </c>
      <c r="K6" s="5" t="str">
        <f ca="1">VLOOKUP(J6,[1]character_tribe_i18n!$A:$H,3,FALSE)</f>
        <v>アニマル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82" t="s">
        <v>298</v>
      </c>
      <c r="Q6" s="108">
        <v>1013</v>
      </c>
      <c r="R6" s="192" t="str">
        <f ca="1">IF(Q6="NULL","",VLOOKUP($Q6,OFFSET([1]characters!$A$1,0,0,COUNTA([1]characters!$A:$A),MATCH(R$1,[1]characters!$1:$1,0)-MATCH($A$1,[1]characters!$1:$1,0)+1),MATCH(R$1,[1]characters!$1:$1,0)-MATCH($A$1,[1]characters!$1:$1,0)+1,FALSE))</f>
        <v>聖陽昇る緋洸神 ラー</v>
      </c>
      <c r="S6" s="5">
        <f t="shared" ca="1" si="0"/>
        <v>1012</v>
      </c>
      <c r="T6" s="61" t="str">
        <f ca="1">VLOOKUP($S6,OFFSET([1]characters!$A$1,0,0,COUNTA([1]characters!$A:$A),MATCH(T$1,[1]characters!$1:$1,0)-MATCH($A$1,[1]characters!$1:$1,0)+1),MATCH(T$1,[1]characters!$1:$1,0)-MATCH($A$1,[1]characters!$1:$1,0)+1,FALSE)</f>
        <v>ラー</v>
      </c>
      <c r="U6" s="11">
        <f ca="1">IF(Q6="NULL","NULL",VLOOKUP(G6,[2]ビット!$A$2:$B$7,2))</f>
        <v>200000</v>
      </c>
      <c r="V6">
        <v>200000</v>
      </c>
      <c r="W6" s="12" t="str">
        <f t="shared" ca="1" si="1"/>
        <v>TRUE</v>
      </c>
    </row>
    <row r="7" spans="1:23" ht="21" customHeight="1" x14ac:dyDescent="0.15">
      <c r="A7" s="183">
        <v>1014</v>
      </c>
      <c r="B7" s="56" t="str">
        <f ca="1">VLOOKUP($A7,OFFSET([1]characters!$A$1,0,0,COUNTA([1]characters!$A:$A),MATCH(B$1,[1]characters!$1:$1,0)-MATCH($A$1,[1]characters!$1:$1,0)+1),MATCH(B$1,[1]characters!$1:$1,0)-MATCH($A$1,[1]characters!$1:$1,0)+1,FALSE)</f>
        <v>イシス</v>
      </c>
      <c r="C7" s="56" t="str">
        <f ca="1">VLOOKUP($A7,OFFSET([1]characters!$A$1,0,0,COUNTA([1]characters!$A:$A),MATCH(C$1,[1]characters!$1:$1,0)-MATCH($A$1,[1]characters!$1:$1,0)+1),MATCH(C$1,[1]characters!$1:$1,0)-MATCH($A$1,[1]characters!$1:$1,0)+1,FALSE)</f>
        <v>イシス</v>
      </c>
      <c r="D7" s="56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6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6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6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6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6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56" t="str">
        <f ca="1">VLOOKUP($A7,OFFSET([1]characters!$A$1,0,0,COUNTA([1]characters!$A:$A),MATCH(J$1,[1]characters!$1:$1,0)-MATCH($A$1,[1]characters!$1:$1,0)+1),MATCH(J$1,[1]characters!$1:$1,0)-MATCH($A$1,[1]characters!$1:$1,0)+1,FALSE)</f>
        <v>animal</v>
      </c>
      <c r="K7" s="5" t="str">
        <f ca="1">VLOOKUP(J7,[1]character_tribe_i18n!$A:$H,3,FALSE)</f>
        <v>アニマル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82" t="s">
        <v>298</v>
      </c>
      <c r="Q7" s="108">
        <v>1015</v>
      </c>
      <c r="R7" s="192" t="str">
        <f ca="1">IF(Q7="NULL","",VLOOKUP($Q7,OFFSET([1]characters!$A$1,0,0,COUNTA([1]characters!$A:$A),MATCH(R$1,[1]characters!$1:$1,0)-MATCH($A$1,[1]characters!$1:$1,0)+1),MATCH(R$1,[1]characters!$1:$1,0)-MATCH($A$1,[1]characters!$1:$1,0)+1,FALSE))</f>
        <v>繁翠なる蘇聖神 イシス</v>
      </c>
      <c r="S7" s="5">
        <f t="shared" ca="1" si="0"/>
        <v>1014</v>
      </c>
      <c r="T7" s="61" t="str">
        <f ca="1">VLOOKUP($S7,OFFSET([1]characters!$A$1,0,0,COUNTA([1]characters!$A:$A),MATCH(T$1,[1]characters!$1:$1,0)-MATCH($A$1,[1]characters!$1:$1,0)+1),MATCH(T$1,[1]characters!$1:$1,0)-MATCH($A$1,[1]characters!$1:$1,0)+1,FALSE)</f>
        <v>イシス</v>
      </c>
      <c r="U7" s="11">
        <f ca="1">IF(Q7="NULL","NULL",VLOOKUP(G7,[2]ビット!$A$2:$B$7,2))</f>
        <v>200000</v>
      </c>
      <c r="V7">
        <v>200000</v>
      </c>
      <c r="W7" s="12" t="str">
        <f t="shared" ca="1" si="1"/>
        <v>TRUE</v>
      </c>
    </row>
    <row r="8" spans="1:23" s="186" customFormat="1" ht="21" customHeight="1" x14ac:dyDescent="0.15">
      <c r="A8" s="183">
        <v>1016</v>
      </c>
      <c r="B8" s="56" t="str">
        <f ca="1">VLOOKUP($A8,OFFSET([1]characters!$A$1,0,0,COUNTA([1]characters!$A:$A),MATCH(B$1,[1]characters!$1:$1,0)-MATCH($A$1,[1]characters!$1:$1,0)+1),MATCH(B$1,[1]characters!$1:$1,0)-MATCH($A$1,[1]characters!$1:$1,0)+1,FALSE)</f>
        <v>ハトホル</v>
      </c>
      <c r="C8" s="56" t="str">
        <f ca="1">VLOOKUP($A8,OFFSET([1]characters!$A$1,0,0,COUNTA([1]characters!$A:$A),MATCH(C$1,[1]characters!$1:$1,0)-MATCH($A$1,[1]characters!$1:$1,0)+1),MATCH(C$1,[1]characters!$1:$1,0)-MATCH($A$1,[1]characters!$1:$1,0)+1,FALSE)</f>
        <v>ハトホル</v>
      </c>
      <c r="D8" s="56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6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6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6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6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6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84" t="str">
        <f ca="1">VLOOKUP($A8,OFFSET([1]characters!$A$1,0,0,COUNTA([1]characters!$A:$A),MATCH(J$1,[1]characters!$1:$1,0)-MATCH($A$1,[1]characters!$1:$1,0)+1),MATCH(J$1,[1]characters!$1:$1,0)-MATCH($A$1,[1]characters!$1:$1,0)+1,FALSE)</f>
        <v>animal</v>
      </c>
      <c r="K8" s="185" t="str">
        <f ca="1">VLOOKUP(J8,[1]character_tribe_i18n!$A:$H,3,FALSE)</f>
        <v>アニマル</v>
      </c>
      <c r="L8" s="182" t="e">
        <f>VLOOKUP(#REF!,[1]character_tribe_i18n!$A:$H,4,FALSE)</f>
        <v>#REF!</v>
      </c>
      <c r="M8" s="182" t="e">
        <f>VLOOKUP(#REF!,[1]character_tribe_i18n!$A:$H,5,FALSE)</f>
        <v>#REF!</v>
      </c>
      <c r="N8" s="182" t="e">
        <f>VLOOKUP(#REF!,[1]character_tribe_i18n!$A:$H,6,FALSE)</f>
        <v>#REF!</v>
      </c>
      <c r="O8" s="182" t="e">
        <f>VLOOKUP(#REF!,[1]character_tribe_i18n!$A:$H,7,FALSE)</f>
        <v>#REF!</v>
      </c>
      <c r="P8" s="182" t="s">
        <v>298</v>
      </c>
      <c r="Q8" s="111">
        <v>1017</v>
      </c>
      <c r="R8" s="192" t="str">
        <f ca="1">IF(Q8="NULL","",VLOOKUP($Q8,OFFSET([1]characters!$A$1,0,0,COUNTA([1]characters!$A:$A),MATCH(R$1,[1]characters!$1:$1,0)-MATCH($A$1,[1]characters!$1:$1,0)+1),MATCH(R$1,[1]characters!$1:$1,0)-MATCH($A$1,[1]characters!$1:$1,0)+1,FALSE))</f>
        <v>命瞳の慈母神 ハトホル</v>
      </c>
      <c r="S8" s="5">
        <f t="shared" ca="1" si="0"/>
        <v>1016</v>
      </c>
      <c r="T8" s="61" t="str">
        <f ca="1">VLOOKUP($S8,OFFSET([1]characters!$A$1,0,0,COUNTA([1]characters!$A:$A),MATCH(T$1,[1]characters!$1:$1,0)-MATCH($A$1,[1]characters!$1:$1,0)+1),MATCH(T$1,[1]characters!$1:$1,0)-MATCH($A$1,[1]characters!$1:$1,0)+1,FALSE)</f>
        <v>ハトホル</v>
      </c>
      <c r="U8" s="11">
        <f ca="1">IF(Q8="NULL","NULL",VLOOKUP(G8,[2]ビット!$A$2:$B$7,2))</f>
        <v>50000</v>
      </c>
      <c r="V8" s="183">
        <v>50000</v>
      </c>
      <c r="W8" s="186" t="str">
        <f t="shared" ca="1" si="1"/>
        <v>TRUE</v>
      </c>
    </row>
    <row r="9" spans="1:23" ht="21" customHeight="1" x14ac:dyDescent="0.15">
      <c r="A9" s="183">
        <v>1018</v>
      </c>
      <c r="B9" s="56" t="str">
        <f ca="1">VLOOKUP($A9,OFFSET([1]characters!$A$1,0,0,COUNTA([1]characters!$A:$A),MATCH(B$1,[1]characters!$1:$1,0)-MATCH($A$1,[1]characters!$1:$1,0)+1),MATCH(B$1,[1]characters!$1:$1,0)-MATCH($A$1,[1]characters!$1:$1,0)+1,FALSE)</f>
        <v>バステト</v>
      </c>
      <c r="C9" s="56" t="str">
        <f ca="1">VLOOKUP($A9,OFFSET([1]characters!$A$1,0,0,COUNTA([1]characters!$A:$A),MATCH(C$1,[1]characters!$1:$1,0)-MATCH($A$1,[1]characters!$1:$1,0)+1),MATCH(C$1,[1]characters!$1:$1,0)-MATCH($A$1,[1]characters!$1:$1,0)+1,FALSE)</f>
        <v>バステト</v>
      </c>
      <c r="D9" s="56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6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6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6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6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6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56" t="str">
        <f ca="1">VLOOKUP($A9,OFFSET([1]characters!$A$1,0,0,COUNTA([1]characters!$A:$A),MATCH(J$1,[1]characters!$1:$1,0)-MATCH($A$1,[1]characters!$1:$1,0)+1),MATCH(J$1,[1]characters!$1:$1,0)-MATCH($A$1,[1]characters!$1:$1,0)+1,FALSE)</f>
        <v>animal</v>
      </c>
      <c r="K9" s="5" t="str">
        <f ca="1">VLOOKUP(J9,[1]character_tribe_i18n!$A:$H,3,FALSE)</f>
        <v>アニマル</v>
      </c>
      <c r="L9" s="11" t="e">
        <f>VLOOKUP(#REF!,[1]character_tribe_i18n!$A:$H,4,FALSE)</f>
        <v>#REF!</v>
      </c>
      <c r="M9" s="11" t="e">
        <f>VLOOKUP(#REF!,[1]character_tribe_i18n!$A:$H,5,FALSE)</f>
        <v>#REF!</v>
      </c>
      <c r="N9" s="11" t="e">
        <f>VLOOKUP(#REF!,[1]character_tribe_i18n!$A:$H,6,FALSE)</f>
        <v>#REF!</v>
      </c>
      <c r="O9" s="11" t="e">
        <f>VLOOKUP(#REF!,[1]character_tribe_i18n!$A:$H,7,FALSE)</f>
        <v>#REF!</v>
      </c>
      <c r="P9" s="182" t="s">
        <v>298</v>
      </c>
      <c r="Q9" s="108">
        <v>1019</v>
      </c>
      <c r="R9" s="192" t="str">
        <f ca="1">IF(Q9="NULL","",VLOOKUP($Q9,OFFSET([1]characters!$A$1,0,0,COUNTA([1]characters!$A:$A),MATCH(R$1,[1]characters!$1:$1,0)-MATCH($A$1,[1]characters!$1:$1,0)+1),MATCH(R$1,[1]characters!$1:$1,0)-MATCH($A$1,[1]characters!$1:$1,0)+1,FALSE))</f>
        <v>愛鈴鳴る寵猫神 バステト</v>
      </c>
      <c r="S9" s="5">
        <f t="shared" ca="1" si="0"/>
        <v>1018</v>
      </c>
      <c r="T9" s="61" t="str">
        <f ca="1">VLOOKUP($S9,OFFSET([1]characters!$A$1,0,0,COUNTA([1]characters!$A:$A),MATCH(T$1,[1]characters!$1:$1,0)-MATCH($A$1,[1]characters!$1:$1,0)+1),MATCH(T$1,[1]characters!$1:$1,0)-MATCH($A$1,[1]characters!$1:$1,0)+1,FALSE)</f>
        <v>バステト</v>
      </c>
      <c r="U9" s="11">
        <f ca="1">IF(Q9="NULL","NULL",VLOOKUP(G9,[2]ビット!$A$2:$B$7,2))</f>
        <v>200000</v>
      </c>
      <c r="V9">
        <v>200000</v>
      </c>
      <c r="W9" s="12" t="str">
        <f t="shared" ca="1" si="1"/>
        <v>TRUE</v>
      </c>
    </row>
  </sheetData>
  <autoFilter ref="A1:U9"/>
  <phoneticPr fontId="22"/>
  <conditionalFormatting sqref="W1:W1048576">
    <cfRule type="cellIs" dxfId="23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33"/>
  <sheetViews>
    <sheetView showGridLines="0" topLeftCell="E1" workbookViewId="0">
      <pane ySplit="1" topLeftCell="A2" activePane="bottomLeft" state="frozen"/>
      <selection pane="bottomLeft" activeCell="I12" sqref="I12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7.1640625" style="2" customWidth="1"/>
    <col min="8" max="8" width="13.6640625" style="2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4" t="s">
        <v>99</v>
      </c>
      <c r="B1" s="41" t="s">
        <v>38</v>
      </c>
      <c r="C1" s="187" t="s">
        <v>284</v>
      </c>
      <c r="D1" s="20" t="s">
        <v>40</v>
      </c>
      <c r="E1" s="20" t="s">
        <v>42</v>
      </c>
      <c r="F1" s="20" t="s">
        <v>43</v>
      </c>
      <c r="G1" s="189" t="s">
        <v>300</v>
      </c>
      <c r="H1" s="20" t="s">
        <v>301</v>
      </c>
      <c r="I1" s="42" t="s">
        <v>36</v>
      </c>
      <c r="J1" s="20" t="s">
        <v>41</v>
      </c>
      <c r="K1" s="19" t="s">
        <v>37</v>
      </c>
      <c r="L1" s="191" t="s">
        <v>127</v>
      </c>
      <c r="M1" s="189" t="s">
        <v>302</v>
      </c>
    </row>
    <row r="2" spans="1:13" ht="21" customHeight="1" x14ac:dyDescent="0.15">
      <c r="A2" s="64" t="str">
        <f>B2&amp;"_"&amp;I2</f>
        <v>1004_1004</v>
      </c>
      <c r="B2" s="43">
        <v>1004</v>
      </c>
      <c r="C2" s="188">
        <f>B2</f>
        <v>1004</v>
      </c>
      <c r="D2" s="56" t="str">
        <f ca="1">VLOOKUP($C2,OFFSET([1]characters!$A$1,0,0,COUNTA([1]characters!$A:$A),MATCH(D$1,[1]characters!$1:$1,0)-MATCH($C$1,[1]characters!$1:$1,0)+1),MATCH(D$1,[1]characters!$1:$1,0)-MATCH($C$1,[1]characters!$1:$1,0)+1,FALSE)</f>
        <v>アメミット</v>
      </c>
      <c r="E2" s="56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6" t="str">
        <f ca="1">VLOOKUP($C2,OFFSET([1]characters!$A$1,0,0,COUNTA([1]characters!$A:$A),MATCH(F$1,[1]characters!$1:$1,0)-MATCH($C$1,[1]characters!$1:$1,0)+1),MATCH(F$1,[1]characters!$1:$1,0)-MATCH($C$1,[1]characters!$1:$1,0)+1,FALSE)</f>
        <v>Drop2N</v>
      </c>
      <c r="G2" s="190">
        <v>1005</v>
      </c>
      <c r="H2" s="56" t="str">
        <f ca="1">VLOOKUP($G2,OFFSET([1]characters!$A$1,0,0,COUNTA([1]characters!$A:$A),MATCH(H$1,[1]characters!$1:$1,0)-MATCH($C$1,[1]characters!$1:$1,0)+1),MATCH(H$1,[1]characters!$1:$1,0)-MATCH($C$1,[1]characters!$1:$1,0)+1,FALSE)</f>
        <v>恐牙なる魂喰獣 アメミット</v>
      </c>
      <c r="I2" s="43">
        <v>1004</v>
      </c>
      <c r="J2" s="56" t="str">
        <f ca="1">VLOOKUP($I2,OFFSET([1]characters!$A$1,0,0,COUNTA([1]characters!$A:$A),MATCH(J$1,[1]characters!$1:$1,0)-MATCH($C$1,[1]characters!$1:$1,0)+1),MATCH(J$1,[1]characters!$1:$1,0)-MATCH($C$1,[1]characters!$1:$1,0)+1,FALSE)</f>
        <v>アメミット</v>
      </c>
      <c r="K2" s="18">
        <v>1</v>
      </c>
      <c r="L2" s="113">
        <v>10</v>
      </c>
      <c r="M2" s="113">
        <v>10</v>
      </c>
    </row>
    <row r="3" spans="1:13" ht="21" customHeight="1" x14ac:dyDescent="0.15">
      <c r="A3" s="64" t="str">
        <f>B3&amp;"_"&amp;I3</f>
        <v>1006_101</v>
      </c>
      <c r="B3" s="43">
        <v>1006</v>
      </c>
      <c r="C3" s="188">
        <f>B3</f>
        <v>1006</v>
      </c>
      <c r="D3" s="56" t="str">
        <f ca="1">VLOOKUP($C3,OFFSET([1]characters!$A$1,0,0,COUNTA([1]characters!$A:$A),MATCH(D$1,[1]characters!$1:$1,0)-MATCH($C$1,[1]characters!$1:$1,0)+1),MATCH(D$1,[1]characters!$1:$1,0)-MATCH($C$1,[1]characters!$1:$1,0)+1,FALSE)</f>
        <v>セルケト</v>
      </c>
      <c r="E3" s="56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6" t="str">
        <f ca="1">VLOOKUP($C3,OFFSET([1]characters!$A$1,0,0,COUNTA([1]characters!$A:$A),MATCH(F$1,[1]characters!$1:$1,0)-MATCH($C$1,[1]characters!$1:$1,0)+1),MATCH(F$1,[1]characters!$1:$1,0)-MATCH($C$1,[1]characters!$1:$1,0)+1,FALSE)</f>
        <v>Drop2N</v>
      </c>
      <c r="G3" s="190">
        <v>1007</v>
      </c>
      <c r="H3" s="56" t="str">
        <f ca="1">VLOOKUP($G3,OFFSET([1]characters!$A$1,0,0,COUNTA([1]characters!$A:$A),MATCH(H$1,[1]characters!$1:$1,0)-MATCH($C$1,[1]characters!$1:$1,0)+1),MATCH(H$1,[1]characters!$1:$1,0)-MATCH($C$1,[1]characters!$1:$1,0)+1,FALSE)</f>
        <v>癒命の守蠍神 セルケト</v>
      </c>
      <c r="I3" s="43">
        <v>101</v>
      </c>
      <c r="J3" s="56" t="str">
        <f ca="1">VLOOKUP($I3,OFFSET([1]characters!$A$1,0,0,COUNTA([1]characters!$A:$A),MATCH(J$1,[1]characters!$1:$1,0)-MATCH($C$1,[1]characters!$1:$1,0)+1),MATCH(J$1,[1]characters!$1:$1,0)-MATCH($C$1,[1]characters!$1:$1,0)+1,FALSE)</f>
        <v>レッドチェシャ</v>
      </c>
      <c r="K3" s="18">
        <v>1</v>
      </c>
      <c r="L3" s="113">
        <v>1</v>
      </c>
      <c r="M3" s="113">
        <v>1</v>
      </c>
    </row>
    <row r="4" spans="1:13" x14ac:dyDescent="0.15">
      <c r="A4" s="64" t="str">
        <f t="shared" ref="A4:A6" si="0">B4&amp;"_"&amp;I4</f>
        <v>1006_102</v>
      </c>
      <c r="B4" s="43">
        <v>1006</v>
      </c>
      <c r="C4" s="188">
        <f t="shared" ref="C4:C33" si="1">B4</f>
        <v>1006</v>
      </c>
      <c r="D4" s="56" t="str">
        <f ca="1">VLOOKUP($C4,OFFSET([1]characters!$A$1,0,0,COUNTA([1]characters!$A:$A),MATCH(D$1,[1]characters!$1:$1,0)-MATCH($C$1,[1]characters!$1:$1,0)+1),MATCH(D$1,[1]characters!$1:$1,0)-MATCH($C$1,[1]characters!$1:$1,0)+1,FALSE)</f>
        <v>セルケト</v>
      </c>
      <c r="E4" s="56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6" t="str">
        <f ca="1">VLOOKUP($C4,OFFSET([1]characters!$A$1,0,0,COUNTA([1]characters!$A:$A),MATCH(F$1,[1]characters!$1:$1,0)-MATCH($C$1,[1]characters!$1:$1,0)+1),MATCH(F$1,[1]characters!$1:$1,0)-MATCH($C$1,[1]characters!$1:$1,0)+1,FALSE)</f>
        <v>Drop2N</v>
      </c>
      <c r="G4" s="190">
        <v>1007</v>
      </c>
      <c r="H4" s="56" t="str">
        <f ca="1">VLOOKUP($G4,OFFSET([1]characters!$A$1,0,0,COUNTA([1]characters!$A:$A),MATCH(H$1,[1]characters!$1:$1,0)-MATCH($C$1,[1]characters!$1:$1,0)+1),MATCH(H$1,[1]characters!$1:$1,0)-MATCH($C$1,[1]characters!$1:$1,0)+1,FALSE)</f>
        <v>癒命の守蠍神 セルケト</v>
      </c>
      <c r="I4" s="43">
        <v>102</v>
      </c>
      <c r="J4" s="56" t="str">
        <f ca="1">VLOOKUP($I4,OFFSET([1]characters!$A$1,0,0,COUNTA([1]characters!$A:$A),MATCH(J$1,[1]characters!$1:$1,0)-MATCH($C$1,[1]characters!$1:$1,0)+1),MATCH(J$1,[1]characters!$1:$1,0)-MATCH($C$1,[1]characters!$1:$1,0)+1,FALSE)</f>
        <v>レッドラビット</v>
      </c>
      <c r="K4" s="18">
        <v>2</v>
      </c>
      <c r="L4" s="113">
        <v>1</v>
      </c>
      <c r="M4" s="113">
        <v>1</v>
      </c>
    </row>
    <row r="5" spans="1:13" x14ac:dyDescent="0.15">
      <c r="A5" s="64" t="str">
        <f t="shared" si="0"/>
        <v>1006_103</v>
      </c>
      <c r="B5" s="43">
        <v>1006</v>
      </c>
      <c r="C5" s="188">
        <f t="shared" si="1"/>
        <v>1006</v>
      </c>
      <c r="D5" s="56" t="str">
        <f ca="1">VLOOKUP($C5,OFFSET([1]characters!$A$1,0,0,COUNTA([1]characters!$A:$A),MATCH(D$1,[1]characters!$1:$1,0)-MATCH($C$1,[1]characters!$1:$1,0)+1),MATCH(D$1,[1]characters!$1:$1,0)-MATCH($C$1,[1]characters!$1:$1,0)+1,FALSE)</f>
        <v>セルケト</v>
      </c>
      <c r="E5" s="56">
        <f ca="1">VLOOKUP($C5,OFFSET([1]characters!$A$1,0,0,COUNTA([1]characters!$A:$A),MATCH(E$1,[1]characters!$1:$1,0)-MATCH($C$1,[1]characters!$1:$1,0)+1),MATCH(E$1,[1]characters!$1:$1,0)-MATCH($C$1,[1]characters!$1:$1,0)+1,FALSE)</f>
        <v>4</v>
      </c>
      <c r="F5" s="56" t="str">
        <f ca="1">VLOOKUP($C5,OFFSET([1]characters!$A$1,0,0,COUNTA([1]characters!$A:$A),MATCH(F$1,[1]characters!$1:$1,0)-MATCH($C$1,[1]characters!$1:$1,0)+1),MATCH(F$1,[1]characters!$1:$1,0)-MATCH($C$1,[1]characters!$1:$1,0)+1,FALSE)</f>
        <v>Drop2N</v>
      </c>
      <c r="G5" s="190">
        <v>1007</v>
      </c>
      <c r="H5" s="56" t="str">
        <f ca="1">VLOOKUP($G5,OFFSET([1]characters!$A$1,0,0,COUNTA([1]characters!$A:$A),MATCH(H$1,[1]characters!$1:$1,0)-MATCH($C$1,[1]characters!$1:$1,0)+1),MATCH(H$1,[1]characters!$1:$1,0)-MATCH($C$1,[1]characters!$1:$1,0)+1,FALSE)</f>
        <v>癒命の守蠍神 セルケト</v>
      </c>
      <c r="I5" s="43">
        <v>103</v>
      </c>
      <c r="J5" s="56" t="str">
        <f ca="1">VLOOKUP($I5,OFFSET([1]characters!$A$1,0,0,COUNTA([1]characters!$A:$A),MATCH(J$1,[1]characters!$1:$1,0)-MATCH($C$1,[1]characters!$1:$1,0)+1),MATCH(J$1,[1]characters!$1:$1,0)-MATCH($C$1,[1]characters!$1:$1,0)+1,FALSE)</f>
        <v>レッドキャタップ</v>
      </c>
      <c r="K5" s="18">
        <v>1</v>
      </c>
      <c r="L5" s="113">
        <v>1</v>
      </c>
      <c r="M5" s="113">
        <v>1</v>
      </c>
    </row>
    <row r="6" spans="1:13" x14ac:dyDescent="0.15">
      <c r="A6" s="64" t="str">
        <f t="shared" si="0"/>
        <v>1006_104</v>
      </c>
      <c r="B6" s="43">
        <v>1006</v>
      </c>
      <c r="C6" s="188">
        <f t="shared" si="1"/>
        <v>1006</v>
      </c>
      <c r="D6" s="56" t="str">
        <f ca="1">VLOOKUP($C6,OFFSET([1]characters!$A$1,0,0,COUNTA([1]characters!$A:$A),MATCH(D$1,[1]characters!$1:$1,0)-MATCH($C$1,[1]characters!$1:$1,0)+1),MATCH(D$1,[1]characters!$1:$1,0)-MATCH($C$1,[1]characters!$1:$1,0)+1,FALSE)</f>
        <v>セルケト</v>
      </c>
      <c r="E6" s="56">
        <f ca="1">VLOOKUP($C6,OFFSET([1]characters!$A$1,0,0,COUNTA([1]characters!$A:$A),MATCH(E$1,[1]characters!$1:$1,0)-MATCH($C$1,[1]characters!$1:$1,0)+1),MATCH(E$1,[1]characters!$1:$1,0)-MATCH($C$1,[1]characters!$1:$1,0)+1,FALSE)</f>
        <v>4</v>
      </c>
      <c r="F6" s="56" t="str">
        <f ca="1">VLOOKUP($C6,OFFSET([1]characters!$A$1,0,0,COUNTA([1]characters!$A:$A),MATCH(F$1,[1]characters!$1:$1,0)-MATCH($C$1,[1]characters!$1:$1,0)+1),MATCH(F$1,[1]characters!$1:$1,0)-MATCH($C$1,[1]characters!$1:$1,0)+1,FALSE)</f>
        <v>Drop2N</v>
      </c>
      <c r="G6" s="190">
        <v>1007</v>
      </c>
      <c r="H6" s="56" t="str">
        <f ca="1">VLOOKUP($G6,OFFSET([1]characters!$A$1,0,0,COUNTA([1]characters!$A:$A),MATCH(H$1,[1]characters!$1:$1,0)-MATCH($C$1,[1]characters!$1:$1,0)+1),MATCH(H$1,[1]characters!$1:$1,0)-MATCH($C$1,[1]characters!$1:$1,0)+1,FALSE)</f>
        <v>癒命の守蠍神 セルケト</v>
      </c>
      <c r="I6" s="43">
        <v>104</v>
      </c>
      <c r="J6" s="56" t="str">
        <f ca="1">VLOOKUP($I6,OFFSET([1]characters!$A$1,0,0,COUNTA([1]characters!$A:$A),MATCH(J$1,[1]characters!$1:$1,0)-MATCH($C$1,[1]characters!$1:$1,0)+1),MATCH(J$1,[1]characters!$1:$1,0)-MATCH($C$1,[1]characters!$1:$1,0)+1,FALSE)</f>
        <v>炎のマッドハッター</v>
      </c>
      <c r="K6" s="18">
        <v>1</v>
      </c>
      <c r="L6" s="113">
        <v>1</v>
      </c>
      <c r="M6" s="113">
        <v>1</v>
      </c>
    </row>
    <row r="7" spans="1:13" ht="21" customHeight="1" x14ac:dyDescent="0.15">
      <c r="A7" s="64" t="str">
        <f>B7&amp;"_"&amp;I7</f>
        <v>1008_1004</v>
      </c>
      <c r="B7" s="43">
        <v>1008</v>
      </c>
      <c r="C7" s="188">
        <f>B7</f>
        <v>1008</v>
      </c>
      <c r="D7" s="56" t="str">
        <f ca="1">VLOOKUP($C7,OFFSET([1]characters!$A$1,0,0,COUNTA([1]characters!$A:$A),MATCH(D$1,[1]characters!$1:$1,0)-MATCH($C$1,[1]characters!$1:$1,0)+1),MATCH(D$1,[1]characters!$1:$1,0)-MATCH($C$1,[1]characters!$1:$1,0)+1,FALSE)</f>
        <v>オシリス</v>
      </c>
      <c r="E7" s="56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6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0">
        <v>1009</v>
      </c>
      <c r="H7" s="56" t="str">
        <f ca="1">VLOOKUP($G7,OFFSET([1]characters!$A$1,0,0,COUNTA([1]characters!$A:$A),MATCH(H$1,[1]characters!$1:$1,0)-MATCH($C$1,[1]characters!$1:$1,0)+1),MATCH(H$1,[1]characters!$1:$1,0)-MATCH($C$1,[1]characters!$1:$1,0)+1,FALSE)</f>
        <v>再醒の冥皇神 オシリス</v>
      </c>
      <c r="I7" s="43">
        <v>1004</v>
      </c>
      <c r="J7" s="56" t="str">
        <f ca="1">VLOOKUP($I7,OFFSET([1]characters!$A$1,0,0,COUNTA([1]characters!$A:$A),MATCH(J$1,[1]characters!$1:$1,0)-MATCH($C$1,[1]characters!$1:$1,0)+1),MATCH(J$1,[1]characters!$1:$1,0)-MATCH($C$1,[1]characters!$1:$1,0)+1,FALSE)</f>
        <v>アメミット</v>
      </c>
      <c r="K7" s="18">
        <v>1</v>
      </c>
      <c r="L7" s="113">
        <v>3</v>
      </c>
      <c r="M7" s="113">
        <v>10</v>
      </c>
    </row>
    <row r="8" spans="1:13" x14ac:dyDescent="0.15">
      <c r="A8" s="64" t="str">
        <f t="shared" ref="A8:A10" si="2">B8&amp;"_"&amp;I8</f>
        <v>1008_1006</v>
      </c>
      <c r="B8" s="43">
        <v>1008</v>
      </c>
      <c r="C8" s="188">
        <f t="shared" ref="C8:C10" si="3">B8</f>
        <v>1008</v>
      </c>
      <c r="D8" s="56" t="str">
        <f ca="1">VLOOKUP($C8,OFFSET([1]characters!$A$1,0,0,COUNTA([1]characters!$A:$A),MATCH(D$1,[1]characters!$1:$1,0)-MATCH($C$1,[1]characters!$1:$1,0)+1),MATCH(D$1,[1]characters!$1:$1,0)-MATCH($C$1,[1]characters!$1:$1,0)+1,FALSE)</f>
        <v>オシリス</v>
      </c>
      <c r="E8" s="56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6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90">
        <v>1009</v>
      </c>
      <c r="H8" s="56" t="str">
        <f ca="1">VLOOKUP($G8,OFFSET([1]characters!$A$1,0,0,COUNTA([1]characters!$A:$A),MATCH(H$1,[1]characters!$1:$1,0)-MATCH($C$1,[1]characters!$1:$1,0)+1),MATCH(H$1,[1]characters!$1:$1,0)-MATCH($C$1,[1]characters!$1:$1,0)+1,FALSE)</f>
        <v>再醒の冥皇神 オシリス</v>
      </c>
      <c r="I8" s="43">
        <v>1006</v>
      </c>
      <c r="J8" s="56" t="str">
        <f ca="1">VLOOKUP($I8,OFFSET([1]characters!$A$1,0,0,COUNTA([1]characters!$A:$A),MATCH(J$1,[1]characters!$1:$1,0)-MATCH($C$1,[1]characters!$1:$1,0)+1),MATCH(J$1,[1]characters!$1:$1,0)-MATCH($C$1,[1]characters!$1:$1,0)+1,FALSE)</f>
        <v>セルケト</v>
      </c>
      <c r="K8" s="18">
        <v>1</v>
      </c>
      <c r="L8" s="113">
        <v>2</v>
      </c>
      <c r="M8" s="113">
        <v>10</v>
      </c>
    </row>
    <row r="9" spans="1:13" x14ac:dyDescent="0.15">
      <c r="A9" s="64" t="str">
        <f t="shared" si="2"/>
        <v>1008_837</v>
      </c>
      <c r="B9" s="43">
        <v>1008</v>
      </c>
      <c r="C9" s="188">
        <f t="shared" si="3"/>
        <v>1008</v>
      </c>
      <c r="D9" s="56" t="str">
        <f ca="1">VLOOKUP($C9,OFFSET([1]characters!$A$1,0,0,COUNTA([1]characters!$A:$A),MATCH(D$1,[1]characters!$1:$1,0)-MATCH($C$1,[1]characters!$1:$1,0)+1),MATCH(D$1,[1]characters!$1:$1,0)-MATCH($C$1,[1]characters!$1:$1,0)+1,FALSE)</f>
        <v>オシリス</v>
      </c>
      <c r="E9" s="56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6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0">
        <v>1009</v>
      </c>
      <c r="H9" s="56" t="str">
        <f ca="1">VLOOKUP($G9,OFFSET([1]characters!$A$1,0,0,COUNTA([1]characters!$A:$A),MATCH(H$1,[1]characters!$1:$1,0)-MATCH($C$1,[1]characters!$1:$1,0)+1),MATCH(H$1,[1]characters!$1:$1,0)-MATCH($C$1,[1]characters!$1:$1,0)+1,FALSE)</f>
        <v>再醒の冥皇神 オシリス</v>
      </c>
      <c r="I9" s="43">
        <v>837</v>
      </c>
      <c r="J9" s="56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8">
        <v>1</v>
      </c>
      <c r="L9" s="113">
        <v>1</v>
      </c>
      <c r="M9" s="113">
        <v>100</v>
      </c>
    </row>
    <row r="10" spans="1:13" x14ac:dyDescent="0.15">
      <c r="A10" s="64" t="str">
        <f t="shared" si="2"/>
        <v>1008_108</v>
      </c>
      <c r="B10" s="43">
        <v>1008</v>
      </c>
      <c r="C10" s="188">
        <f t="shared" si="3"/>
        <v>1008</v>
      </c>
      <c r="D10" s="56" t="str">
        <f ca="1">VLOOKUP($C10,OFFSET([1]characters!$A$1,0,0,COUNTA([1]characters!$A:$A),MATCH(D$1,[1]characters!$1:$1,0)-MATCH($C$1,[1]characters!$1:$1,0)+1),MATCH(D$1,[1]characters!$1:$1,0)-MATCH($C$1,[1]characters!$1:$1,0)+1,FALSE)</f>
        <v>オシリス</v>
      </c>
      <c r="E10" s="56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6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90">
        <v>1009</v>
      </c>
      <c r="H10" s="56" t="str">
        <f ca="1">VLOOKUP($G10,OFFSET([1]characters!$A$1,0,0,COUNTA([1]characters!$A:$A),MATCH(H$1,[1]characters!$1:$1,0)-MATCH($C$1,[1]characters!$1:$1,0)+1),MATCH(H$1,[1]characters!$1:$1,0)-MATCH($C$1,[1]characters!$1:$1,0)+1,FALSE)</f>
        <v>再醒の冥皇神 オシリス</v>
      </c>
      <c r="I10" s="43">
        <v>108</v>
      </c>
      <c r="J10" s="56" t="str">
        <f ca="1">VLOOKUP($I10,OFFSET([1]characters!$A$1,0,0,COUNTA([1]characters!$A:$A),MATCH(J$1,[1]characters!$1:$1,0)-MATCH($C$1,[1]characters!$1:$1,0)+1),MATCH(J$1,[1]characters!$1:$1,0)-MATCH($C$1,[1]characters!$1:$1,0)+1,FALSE)</f>
        <v>森のマッドハッター</v>
      </c>
      <c r="K10" s="18">
        <v>1</v>
      </c>
      <c r="L10" s="113">
        <v>1</v>
      </c>
      <c r="M10" s="113">
        <v>1</v>
      </c>
    </row>
    <row r="11" spans="1:13" ht="21" customHeight="1" x14ac:dyDescent="0.15">
      <c r="A11" s="64" t="str">
        <f>B11&amp;"_"&amp;I11</f>
        <v>1010_508</v>
      </c>
      <c r="B11" s="43">
        <v>1010</v>
      </c>
      <c r="C11" s="188">
        <f>B11</f>
        <v>1010</v>
      </c>
      <c r="D11" s="56" t="str">
        <f ca="1">VLOOKUP($C11,OFFSET([1]characters!$A$1,0,0,COUNTA([1]characters!$A:$A),MATCH(D$1,[1]characters!$1:$1,0)-MATCH($C$1,[1]characters!$1:$1,0)+1),MATCH(D$1,[1]characters!$1:$1,0)-MATCH($C$1,[1]characters!$1:$1,0)+1,FALSE)</f>
        <v>セト</v>
      </c>
      <c r="E11" s="56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6" t="str">
        <f ca="1">VLOOKUP($C11,OFFSET([1]characters!$A$1,0,0,COUNTA([1]characters!$A:$A),MATCH(F$1,[1]characters!$1:$1,0)-MATCH($C$1,[1]characters!$1:$1,0)+1),MATCH(F$1,[1]characters!$1:$1,0)-MATCH($C$1,[1]characters!$1:$1,0)+1,FALSE)</f>
        <v>DropWizSS</v>
      </c>
      <c r="G11" s="190">
        <v>1011</v>
      </c>
      <c r="H11" s="56" t="str">
        <f ca="1">VLOOKUP($G11,OFFSET([1]characters!$A$1,0,0,COUNTA([1]characters!$A:$A),MATCH(H$1,[1]characters!$1:$1,0)-MATCH($C$1,[1]characters!$1:$1,0)+1),MATCH(H$1,[1]characters!$1:$1,0)-MATCH($C$1,[1]characters!$1:$1,0)+1,FALSE)</f>
        <v>偉獰なる荒嵐神 セト</v>
      </c>
      <c r="I11" s="43">
        <v>508</v>
      </c>
      <c r="J11" s="56" t="str">
        <f ca="1">VLOOKUP($I11,OFFSET([1]characters!$A$1,0,0,COUNTA([1]characters!$A:$A),MATCH(J$1,[1]characters!$1:$1,0)-MATCH($C$1,[1]characters!$1:$1,0)+1),MATCH(J$1,[1]characters!$1:$1,0)-MATCH($C$1,[1]characters!$1:$1,0)+1,FALSE)</f>
        <v>Gスター・チルドレン</v>
      </c>
      <c r="K11" s="18">
        <v>1</v>
      </c>
      <c r="L11" s="113">
        <v>1</v>
      </c>
      <c r="M11" s="113">
        <v>1</v>
      </c>
    </row>
    <row r="12" spans="1:13" x14ac:dyDescent="0.15">
      <c r="A12" s="64" t="str">
        <f t="shared" ref="A12:A15" si="4">B12&amp;"_"&amp;I12</f>
        <v>1010_1008</v>
      </c>
      <c r="B12" s="43">
        <v>1010</v>
      </c>
      <c r="C12" s="188">
        <f t="shared" ref="C12:C15" si="5">B12</f>
        <v>1010</v>
      </c>
      <c r="D12" s="56" t="str">
        <f ca="1">VLOOKUP($C12,OFFSET([1]characters!$A$1,0,0,COUNTA([1]characters!$A:$A),MATCH(D$1,[1]characters!$1:$1,0)-MATCH($C$1,[1]characters!$1:$1,0)+1),MATCH(D$1,[1]characters!$1:$1,0)-MATCH($C$1,[1]characters!$1:$1,0)+1,FALSE)</f>
        <v>セト</v>
      </c>
      <c r="E12" s="56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6" t="str">
        <f ca="1">VLOOKUP($C12,OFFSET([1]characters!$A$1,0,0,COUNTA([1]characters!$A:$A),MATCH(F$1,[1]characters!$1:$1,0)-MATCH($C$1,[1]characters!$1:$1,0)+1),MATCH(F$1,[1]characters!$1:$1,0)-MATCH($C$1,[1]characters!$1:$1,0)+1,FALSE)</f>
        <v>DropWizSS</v>
      </c>
      <c r="G12" s="190">
        <v>1011</v>
      </c>
      <c r="H12" s="56" t="str">
        <f ca="1">VLOOKUP($G12,OFFSET([1]characters!$A$1,0,0,COUNTA([1]characters!$A:$A),MATCH(H$1,[1]characters!$1:$1,0)-MATCH($C$1,[1]characters!$1:$1,0)+1),MATCH(H$1,[1]characters!$1:$1,0)-MATCH($C$1,[1]characters!$1:$1,0)+1,FALSE)</f>
        <v>偉獰なる荒嵐神 セト</v>
      </c>
      <c r="I12" s="43">
        <v>1008</v>
      </c>
      <c r="J12" s="56" t="str">
        <f ca="1">VLOOKUP($I12,OFFSET([1]characters!$A$1,0,0,COUNTA([1]characters!$A:$A),MATCH(J$1,[1]characters!$1:$1,0)-MATCH($C$1,[1]characters!$1:$1,0)+1),MATCH(J$1,[1]characters!$1:$1,0)-MATCH($C$1,[1]characters!$1:$1,0)+1,FALSE)</f>
        <v>オシリス</v>
      </c>
      <c r="K12" s="18">
        <v>1</v>
      </c>
      <c r="L12" s="113">
        <v>1</v>
      </c>
      <c r="M12" s="113">
        <v>1</v>
      </c>
    </row>
    <row r="13" spans="1:13" x14ac:dyDescent="0.15">
      <c r="A13" s="64" t="str">
        <f t="shared" si="4"/>
        <v>1010_837</v>
      </c>
      <c r="B13" s="43">
        <v>1010</v>
      </c>
      <c r="C13" s="188">
        <f t="shared" si="5"/>
        <v>1010</v>
      </c>
      <c r="D13" s="56" t="str">
        <f ca="1">VLOOKUP($C13,OFFSET([1]characters!$A$1,0,0,COUNTA([1]characters!$A:$A),MATCH(D$1,[1]characters!$1:$1,0)-MATCH($C$1,[1]characters!$1:$1,0)+1),MATCH(D$1,[1]characters!$1:$1,0)-MATCH($C$1,[1]characters!$1:$1,0)+1,FALSE)</f>
        <v>セト</v>
      </c>
      <c r="E13" s="56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6" t="str">
        <f ca="1">VLOOKUP($C13,OFFSET([1]characters!$A$1,0,0,COUNTA([1]characters!$A:$A),MATCH(F$1,[1]characters!$1:$1,0)-MATCH($C$1,[1]characters!$1:$1,0)+1),MATCH(F$1,[1]characters!$1:$1,0)-MATCH($C$1,[1]characters!$1:$1,0)+1,FALSE)</f>
        <v>DropWizSS</v>
      </c>
      <c r="G13" s="190">
        <v>1011</v>
      </c>
      <c r="H13" s="56" t="str">
        <f ca="1">VLOOKUP($G13,OFFSET([1]characters!$A$1,0,0,COUNTA([1]characters!$A:$A),MATCH(H$1,[1]characters!$1:$1,0)-MATCH($C$1,[1]characters!$1:$1,0)+1),MATCH(H$1,[1]characters!$1:$1,0)-MATCH($C$1,[1]characters!$1:$1,0)+1,FALSE)</f>
        <v>偉獰なる荒嵐神 セト</v>
      </c>
      <c r="I13" s="43">
        <v>837</v>
      </c>
      <c r="J13" s="56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8">
        <v>1</v>
      </c>
      <c r="L13" s="113">
        <v>1</v>
      </c>
      <c r="M13" s="113">
        <v>100</v>
      </c>
    </row>
    <row r="14" spans="1:13" x14ac:dyDescent="0.15">
      <c r="A14" s="64" t="str">
        <f t="shared" si="4"/>
        <v>1010_935</v>
      </c>
      <c r="B14" s="43">
        <v>1010</v>
      </c>
      <c r="C14" s="188">
        <f t="shared" si="5"/>
        <v>1010</v>
      </c>
      <c r="D14" s="56" t="str">
        <f ca="1">VLOOKUP($C14,OFFSET([1]characters!$A$1,0,0,COUNTA([1]characters!$A:$A),MATCH(D$1,[1]characters!$1:$1,0)-MATCH($C$1,[1]characters!$1:$1,0)+1),MATCH(D$1,[1]characters!$1:$1,0)-MATCH($C$1,[1]characters!$1:$1,0)+1,FALSE)</f>
        <v>セト</v>
      </c>
      <c r="E14" s="56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6" t="str">
        <f ca="1">VLOOKUP($C14,OFFSET([1]characters!$A$1,0,0,COUNTA([1]characters!$A:$A),MATCH(F$1,[1]characters!$1:$1,0)-MATCH($C$1,[1]characters!$1:$1,0)+1),MATCH(F$1,[1]characters!$1:$1,0)-MATCH($C$1,[1]characters!$1:$1,0)+1,FALSE)</f>
        <v>DropWizSS</v>
      </c>
      <c r="G14" s="190">
        <v>1011</v>
      </c>
      <c r="H14" s="56" t="str">
        <f ca="1">VLOOKUP($G14,OFFSET([1]characters!$A$1,0,0,COUNTA([1]characters!$A:$A),MATCH(H$1,[1]characters!$1:$1,0)-MATCH($C$1,[1]characters!$1:$1,0)+1),MATCH(H$1,[1]characters!$1:$1,0)-MATCH($C$1,[1]characters!$1:$1,0)+1,FALSE)</f>
        <v>偉獰なる荒嵐神 セト</v>
      </c>
      <c r="I14" s="43">
        <v>935</v>
      </c>
      <c r="J14" s="56" t="str">
        <f ca="1">VLOOKUP($I14,OFFSET([1]characters!$A$1,0,0,COUNTA([1]characters!$A:$A),MATCH(J$1,[1]characters!$1:$1,0)-MATCH($C$1,[1]characters!$1:$1,0)+1),MATCH(J$1,[1]characters!$1:$1,0)-MATCH($C$1,[1]characters!$1:$1,0)+1,FALSE)</f>
        <v>ルイ16世</v>
      </c>
      <c r="K14" s="18">
        <v>1</v>
      </c>
      <c r="L14" s="113">
        <v>1</v>
      </c>
      <c r="M14" s="113">
        <v>1</v>
      </c>
    </row>
    <row r="15" spans="1:13" x14ac:dyDescent="0.15">
      <c r="A15" s="64" t="str">
        <f t="shared" si="4"/>
        <v>1010_656</v>
      </c>
      <c r="B15" s="43">
        <v>1010</v>
      </c>
      <c r="C15" s="188">
        <f t="shared" si="5"/>
        <v>1010</v>
      </c>
      <c r="D15" s="56" t="str">
        <f ca="1">VLOOKUP($C15,OFFSET([1]characters!$A$1,0,0,COUNTA([1]characters!$A:$A),MATCH(D$1,[1]characters!$1:$1,0)-MATCH($C$1,[1]characters!$1:$1,0)+1),MATCH(D$1,[1]characters!$1:$1,0)-MATCH($C$1,[1]characters!$1:$1,0)+1,FALSE)</f>
        <v>セト</v>
      </c>
      <c r="E15" s="56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6" t="str">
        <f ca="1">VLOOKUP($C15,OFFSET([1]characters!$A$1,0,0,COUNTA([1]characters!$A:$A),MATCH(F$1,[1]characters!$1:$1,0)-MATCH($C$1,[1]characters!$1:$1,0)+1),MATCH(F$1,[1]characters!$1:$1,0)-MATCH($C$1,[1]characters!$1:$1,0)+1,FALSE)</f>
        <v>DropWizSS</v>
      </c>
      <c r="G15" s="190">
        <v>1011</v>
      </c>
      <c r="H15" s="56" t="str">
        <f ca="1">VLOOKUP($G15,OFFSET([1]characters!$A$1,0,0,COUNTA([1]characters!$A:$A),MATCH(H$1,[1]characters!$1:$1,0)-MATCH($C$1,[1]characters!$1:$1,0)+1),MATCH(H$1,[1]characters!$1:$1,0)-MATCH($C$1,[1]characters!$1:$1,0)+1,FALSE)</f>
        <v>偉獰なる荒嵐神 セト</v>
      </c>
      <c r="I15" s="43">
        <v>656</v>
      </c>
      <c r="J15" s="56" t="str">
        <f ca="1">VLOOKUP($I15,OFFSET([1]characters!$A$1,0,0,COUNTA([1]characters!$A:$A),MATCH(J$1,[1]characters!$1:$1,0)-MATCH($C$1,[1]characters!$1:$1,0)+1),MATCH(J$1,[1]characters!$1:$1,0)-MATCH($C$1,[1]characters!$1:$1,0)+1,FALSE)</f>
        <v>シヴァ</v>
      </c>
      <c r="K15" s="18">
        <v>1</v>
      </c>
      <c r="L15" s="113">
        <v>1</v>
      </c>
      <c r="M15" s="113">
        <v>1</v>
      </c>
    </row>
    <row r="16" spans="1:13" ht="21" customHeight="1" x14ac:dyDescent="0.15">
      <c r="A16" s="64" t="str">
        <f>B16&amp;"_"&amp;I16</f>
        <v>1012_1004</v>
      </c>
      <c r="B16" s="43">
        <v>1012</v>
      </c>
      <c r="C16" s="188">
        <f>B16</f>
        <v>1012</v>
      </c>
      <c r="D16" s="56" t="str">
        <f ca="1">VLOOKUP($C16,OFFSET([1]characters!$A$1,0,0,COUNTA([1]characters!$A:$A),MATCH(D$1,[1]characters!$1:$1,0)-MATCH($C$1,[1]characters!$1:$1,0)+1),MATCH(D$1,[1]characters!$1:$1,0)-MATCH($C$1,[1]characters!$1:$1,0)+1,FALSE)</f>
        <v>ラー</v>
      </c>
      <c r="E16" s="56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6" t="str">
        <f ca="1">VLOOKUP($C16,OFFSET([1]characters!$A$1,0,0,COUNTA([1]characters!$A:$A),MATCH(F$1,[1]characters!$1:$1,0)-MATCH($C$1,[1]characters!$1:$1,0)+1),MATCH(F$1,[1]characters!$1:$1,0)-MATCH($C$1,[1]characters!$1:$1,0)+1,FALSE)</f>
        <v>PremiumSS</v>
      </c>
      <c r="G16" s="190">
        <v>1013</v>
      </c>
      <c r="H16" s="56" t="str">
        <f ca="1">VLOOKUP($G16,OFFSET([1]characters!$A$1,0,0,COUNTA([1]characters!$A:$A),MATCH(H$1,[1]characters!$1:$1,0)-MATCH($C$1,[1]characters!$1:$1,0)+1),MATCH(H$1,[1]characters!$1:$1,0)-MATCH($C$1,[1]characters!$1:$1,0)+1,FALSE)</f>
        <v>聖陽昇る緋洸神 ラー</v>
      </c>
      <c r="I16" s="43">
        <v>1004</v>
      </c>
      <c r="J16" s="56" t="str">
        <f ca="1">VLOOKUP($I16,OFFSET([1]characters!$A$1,0,0,COUNTA([1]characters!$A:$A),MATCH(J$1,[1]characters!$1:$1,0)-MATCH($C$1,[1]characters!$1:$1,0)+1),MATCH(J$1,[1]characters!$1:$1,0)-MATCH($C$1,[1]characters!$1:$1,0)+1,FALSE)</f>
        <v>アメミット</v>
      </c>
      <c r="K16" s="18">
        <v>1</v>
      </c>
      <c r="L16" s="113">
        <v>3</v>
      </c>
      <c r="M16" s="113">
        <v>10</v>
      </c>
    </row>
    <row r="17" spans="1:13" x14ac:dyDescent="0.15">
      <c r="A17" s="64" t="str">
        <f t="shared" ref="A17:A20" si="6">B17&amp;"_"&amp;I17</f>
        <v>1012_1006</v>
      </c>
      <c r="B17" s="43">
        <v>1012</v>
      </c>
      <c r="C17" s="188">
        <f t="shared" si="1"/>
        <v>1012</v>
      </c>
      <c r="D17" s="56" t="str">
        <f ca="1">VLOOKUP($C17,OFFSET([1]characters!$A$1,0,0,COUNTA([1]characters!$A:$A),MATCH(D$1,[1]characters!$1:$1,0)-MATCH($C$1,[1]characters!$1:$1,0)+1),MATCH(D$1,[1]characters!$1:$1,0)-MATCH($C$1,[1]characters!$1:$1,0)+1,FALSE)</f>
        <v>ラー</v>
      </c>
      <c r="E17" s="56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6" t="str">
        <f ca="1">VLOOKUP($C17,OFFSET([1]characters!$A$1,0,0,COUNTA([1]characters!$A:$A),MATCH(F$1,[1]characters!$1:$1,0)-MATCH($C$1,[1]characters!$1:$1,0)+1),MATCH(F$1,[1]characters!$1:$1,0)-MATCH($C$1,[1]characters!$1:$1,0)+1,FALSE)</f>
        <v>PremiumSS</v>
      </c>
      <c r="G17" s="190">
        <v>1013</v>
      </c>
      <c r="H17" s="56" t="str">
        <f ca="1">VLOOKUP($G17,OFFSET([1]characters!$A$1,0,0,COUNTA([1]characters!$A:$A),MATCH(H$1,[1]characters!$1:$1,0)-MATCH($C$1,[1]characters!$1:$1,0)+1),MATCH(H$1,[1]characters!$1:$1,0)-MATCH($C$1,[1]characters!$1:$1,0)+1,FALSE)</f>
        <v>聖陽昇る緋洸神 ラー</v>
      </c>
      <c r="I17" s="43">
        <v>1006</v>
      </c>
      <c r="J17" s="56" t="str">
        <f ca="1">VLOOKUP($I17,OFFSET([1]characters!$A$1,0,0,COUNTA([1]characters!$A:$A),MATCH(J$1,[1]characters!$1:$1,0)-MATCH($C$1,[1]characters!$1:$1,0)+1),MATCH(J$1,[1]characters!$1:$1,0)-MATCH($C$1,[1]characters!$1:$1,0)+1,FALSE)</f>
        <v>セルケト</v>
      </c>
      <c r="K17" s="18">
        <v>1</v>
      </c>
      <c r="L17" s="113">
        <v>2</v>
      </c>
      <c r="M17" s="113">
        <v>10</v>
      </c>
    </row>
    <row r="18" spans="1:13" x14ac:dyDescent="0.15">
      <c r="A18" s="64" t="str">
        <f t="shared" si="6"/>
        <v>1012_837</v>
      </c>
      <c r="B18" s="43">
        <v>1012</v>
      </c>
      <c r="C18" s="188">
        <f t="shared" si="1"/>
        <v>1012</v>
      </c>
      <c r="D18" s="56" t="str">
        <f ca="1">VLOOKUP($C18,OFFSET([1]characters!$A$1,0,0,COUNTA([1]characters!$A:$A),MATCH(D$1,[1]characters!$1:$1,0)-MATCH($C$1,[1]characters!$1:$1,0)+1),MATCH(D$1,[1]characters!$1:$1,0)-MATCH($C$1,[1]characters!$1:$1,0)+1,FALSE)</f>
        <v>ラー</v>
      </c>
      <c r="E18" s="56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6" t="str">
        <f ca="1">VLOOKUP($C18,OFFSET([1]characters!$A$1,0,0,COUNTA([1]characters!$A:$A),MATCH(F$1,[1]characters!$1:$1,0)-MATCH($C$1,[1]characters!$1:$1,0)+1),MATCH(F$1,[1]characters!$1:$1,0)-MATCH($C$1,[1]characters!$1:$1,0)+1,FALSE)</f>
        <v>PremiumSS</v>
      </c>
      <c r="G18" s="190">
        <v>1013</v>
      </c>
      <c r="H18" s="56" t="str">
        <f ca="1">VLOOKUP($G18,OFFSET([1]characters!$A$1,0,0,COUNTA([1]characters!$A:$A),MATCH(H$1,[1]characters!$1:$1,0)-MATCH($C$1,[1]characters!$1:$1,0)+1),MATCH(H$1,[1]characters!$1:$1,0)-MATCH($C$1,[1]characters!$1:$1,0)+1,FALSE)</f>
        <v>聖陽昇る緋洸神 ラー</v>
      </c>
      <c r="I18" s="43">
        <v>837</v>
      </c>
      <c r="J18" s="56" t="str">
        <f ca="1">VLOOKUP($I18,OFFSET([1]characters!$A$1,0,0,COUNTA([1]characters!$A:$A),MATCH(J$1,[1]characters!$1:$1,0)-MATCH($C$1,[1]characters!$1:$1,0)+1),MATCH(J$1,[1]characters!$1:$1,0)-MATCH($C$1,[1]characters!$1:$1,0)+1,FALSE)</f>
        <v>リトルハンプティ</v>
      </c>
      <c r="K18" s="18">
        <v>1</v>
      </c>
      <c r="L18" s="113">
        <v>1</v>
      </c>
      <c r="M18" s="113">
        <v>100</v>
      </c>
    </row>
    <row r="19" spans="1:13" x14ac:dyDescent="0.15">
      <c r="A19" s="64" t="str">
        <f t="shared" ref="A19" si="7">B19&amp;"_"&amp;I19</f>
        <v>1012_103</v>
      </c>
      <c r="B19" s="43">
        <v>1012</v>
      </c>
      <c r="C19" s="188">
        <f t="shared" ref="C19" si="8">B19</f>
        <v>1012</v>
      </c>
      <c r="D19" s="56" t="str">
        <f ca="1">VLOOKUP($C19,OFFSET([1]characters!$A$1,0,0,COUNTA([1]characters!$A:$A),MATCH(D$1,[1]characters!$1:$1,0)-MATCH($C$1,[1]characters!$1:$1,0)+1),MATCH(D$1,[1]characters!$1:$1,0)-MATCH($C$1,[1]characters!$1:$1,0)+1,FALSE)</f>
        <v>ラー</v>
      </c>
      <c r="E19" s="56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6" t="str">
        <f ca="1">VLOOKUP($C19,OFFSET([1]characters!$A$1,0,0,COUNTA([1]characters!$A:$A),MATCH(F$1,[1]characters!$1:$1,0)-MATCH($C$1,[1]characters!$1:$1,0)+1),MATCH(F$1,[1]characters!$1:$1,0)-MATCH($C$1,[1]characters!$1:$1,0)+1,FALSE)</f>
        <v>PremiumSS</v>
      </c>
      <c r="G19" s="190">
        <v>1013</v>
      </c>
      <c r="H19" s="56" t="str">
        <f ca="1">VLOOKUP($G19,OFFSET([1]characters!$A$1,0,0,COUNTA([1]characters!$A:$A),MATCH(H$1,[1]characters!$1:$1,0)-MATCH($C$1,[1]characters!$1:$1,0)+1),MATCH(H$1,[1]characters!$1:$1,0)-MATCH($C$1,[1]characters!$1:$1,0)+1,FALSE)</f>
        <v>聖陽昇る緋洸神 ラー</v>
      </c>
      <c r="I19" s="43">
        <v>103</v>
      </c>
      <c r="J19" s="56" t="str">
        <f ca="1">VLOOKUP($I19,OFFSET([1]characters!$A$1,0,0,COUNTA([1]characters!$A:$A),MATCH(J$1,[1]characters!$1:$1,0)-MATCH($C$1,[1]characters!$1:$1,0)+1),MATCH(J$1,[1]characters!$1:$1,0)-MATCH($C$1,[1]characters!$1:$1,0)+1,FALSE)</f>
        <v>レッドキャタップ</v>
      </c>
      <c r="K19" s="18">
        <v>1</v>
      </c>
      <c r="L19" s="113">
        <v>1</v>
      </c>
      <c r="M19" s="113">
        <v>1</v>
      </c>
    </row>
    <row r="20" spans="1:13" x14ac:dyDescent="0.15">
      <c r="A20" s="64" t="str">
        <f t="shared" si="6"/>
        <v>1012_104</v>
      </c>
      <c r="B20" s="43">
        <v>1012</v>
      </c>
      <c r="C20" s="188">
        <f t="shared" si="1"/>
        <v>1012</v>
      </c>
      <c r="D20" s="56" t="str">
        <f ca="1">VLOOKUP($C20,OFFSET([1]characters!$A$1,0,0,COUNTA([1]characters!$A:$A),MATCH(D$1,[1]characters!$1:$1,0)-MATCH($C$1,[1]characters!$1:$1,0)+1),MATCH(D$1,[1]characters!$1:$1,0)-MATCH($C$1,[1]characters!$1:$1,0)+1,FALSE)</f>
        <v>ラー</v>
      </c>
      <c r="E20" s="56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6" t="str">
        <f ca="1">VLOOKUP($C20,OFFSET([1]characters!$A$1,0,0,COUNTA([1]characters!$A:$A),MATCH(F$1,[1]characters!$1:$1,0)-MATCH($C$1,[1]characters!$1:$1,0)+1),MATCH(F$1,[1]characters!$1:$1,0)-MATCH($C$1,[1]characters!$1:$1,0)+1,FALSE)</f>
        <v>PremiumSS</v>
      </c>
      <c r="G20" s="190">
        <v>1013</v>
      </c>
      <c r="H20" s="56" t="str">
        <f ca="1">VLOOKUP($G20,OFFSET([1]characters!$A$1,0,0,COUNTA([1]characters!$A:$A),MATCH(H$1,[1]characters!$1:$1,0)-MATCH($C$1,[1]characters!$1:$1,0)+1),MATCH(H$1,[1]characters!$1:$1,0)-MATCH($C$1,[1]characters!$1:$1,0)+1,FALSE)</f>
        <v>聖陽昇る緋洸神 ラー</v>
      </c>
      <c r="I20" s="43">
        <v>104</v>
      </c>
      <c r="J20" s="56" t="str">
        <f ca="1">VLOOKUP($I20,OFFSET([1]characters!$A$1,0,0,COUNTA([1]characters!$A:$A),MATCH(J$1,[1]characters!$1:$1,0)-MATCH($C$1,[1]characters!$1:$1,0)+1),MATCH(J$1,[1]characters!$1:$1,0)-MATCH($C$1,[1]characters!$1:$1,0)+1,FALSE)</f>
        <v>炎のマッドハッター</v>
      </c>
      <c r="K20" s="18">
        <v>1</v>
      </c>
      <c r="L20" s="113">
        <v>1</v>
      </c>
      <c r="M20" s="113">
        <v>1</v>
      </c>
    </row>
    <row r="21" spans="1:13" ht="21" customHeight="1" x14ac:dyDescent="0.15">
      <c r="A21" s="64" t="str">
        <f>B21&amp;"_"&amp;I21</f>
        <v>1014_1004</v>
      </c>
      <c r="B21" s="43">
        <v>1014</v>
      </c>
      <c r="C21" s="188">
        <f>B21</f>
        <v>1014</v>
      </c>
      <c r="D21" s="56" t="str">
        <f ca="1">VLOOKUP($C21,OFFSET([1]characters!$A$1,0,0,COUNTA([1]characters!$A:$A),MATCH(D$1,[1]characters!$1:$1,0)-MATCH($C$1,[1]characters!$1:$1,0)+1),MATCH(D$1,[1]characters!$1:$1,0)-MATCH($C$1,[1]characters!$1:$1,0)+1,FALSE)</f>
        <v>イシス</v>
      </c>
      <c r="E21" s="56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6" t="str">
        <f ca="1">VLOOKUP($C21,OFFSET([1]characters!$A$1,0,0,COUNTA([1]characters!$A:$A),MATCH(F$1,[1]characters!$1:$1,0)-MATCH($C$1,[1]characters!$1:$1,0)+1),MATCH(F$1,[1]characters!$1:$1,0)-MATCH($C$1,[1]characters!$1:$1,0)+1,FALSE)</f>
        <v>PremiumSS</v>
      </c>
      <c r="G21" s="190">
        <v>1015</v>
      </c>
      <c r="H21" s="56" t="str">
        <f ca="1">VLOOKUP($G21,OFFSET([1]characters!$A$1,0,0,COUNTA([1]characters!$A:$A),MATCH(H$1,[1]characters!$1:$1,0)-MATCH($C$1,[1]characters!$1:$1,0)+1),MATCH(H$1,[1]characters!$1:$1,0)-MATCH($C$1,[1]characters!$1:$1,0)+1,FALSE)</f>
        <v>繁翠なる蘇聖神 イシス</v>
      </c>
      <c r="I21" s="43">
        <v>1004</v>
      </c>
      <c r="J21" s="56" t="str">
        <f ca="1">VLOOKUP($I21,OFFSET([1]characters!$A$1,0,0,COUNTA([1]characters!$A:$A),MATCH(J$1,[1]characters!$1:$1,0)-MATCH($C$1,[1]characters!$1:$1,0)+1),MATCH(J$1,[1]characters!$1:$1,0)-MATCH($C$1,[1]characters!$1:$1,0)+1,FALSE)</f>
        <v>アメミット</v>
      </c>
      <c r="K21" s="18">
        <v>1</v>
      </c>
      <c r="L21" s="113">
        <v>1</v>
      </c>
      <c r="M21" s="113">
        <v>10</v>
      </c>
    </row>
    <row r="22" spans="1:13" x14ac:dyDescent="0.15">
      <c r="A22" s="64" t="str">
        <f t="shared" ref="A22:A25" si="9">B22&amp;"_"&amp;I22</f>
        <v>1014_652</v>
      </c>
      <c r="B22" s="43">
        <v>1014</v>
      </c>
      <c r="C22" s="188">
        <f>B22</f>
        <v>1014</v>
      </c>
      <c r="D22" s="56" t="str">
        <f ca="1">VLOOKUP($C22,OFFSET([1]characters!$A$1,0,0,COUNTA([1]characters!$A:$A),MATCH(D$1,[1]characters!$1:$1,0)-MATCH($C$1,[1]characters!$1:$1,0)+1),MATCH(D$1,[1]characters!$1:$1,0)-MATCH($C$1,[1]characters!$1:$1,0)+1,FALSE)</f>
        <v>イシス</v>
      </c>
      <c r="E22" s="56">
        <f ca="1">VLOOKUP($C22,OFFSET([1]characters!$A$1,0,0,COUNTA([1]characters!$A:$A),MATCH(E$1,[1]characters!$1:$1,0)-MATCH($C$1,[1]characters!$1:$1,0)+1),MATCH(E$1,[1]characters!$1:$1,0)-MATCH($C$1,[1]characters!$1:$1,0)+1,FALSE)</f>
        <v>5</v>
      </c>
      <c r="F22" s="56" t="str">
        <f ca="1">VLOOKUP($C22,OFFSET([1]characters!$A$1,0,0,COUNTA([1]characters!$A:$A),MATCH(F$1,[1]characters!$1:$1,0)-MATCH($C$1,[1]characters!$1:$1,0)+1),MATCH(F$1,[1]characters!$1:$1,0)-MATCH($C$1,[1]characters!$1:$1,0)+1,FALSE)</f>
        <v>PremiumSS</v>
      </c>
      <c r="G22" s="190">
        <v>1015</v>
      </c>
      <c r="H22" s="56" t="str">
        <f ca="1">VLOOKUP($G22,OFFSET([1]characters!$A$1,0,0,COUNTA([1]characters!$A:$A),MATCH(H$1,[1]characters!$1:$1,0)-MATCH($C$1,[1]characters!$1:$1,0)+1),MATCH(H$1,[1]characters!$1:$1,0)-MATCH($C$1,[1]characters!$1:$1,0)+1,FALSE)</f>
        <v>繁翠なる蘇聖神 イシス</v>
      </c>
      <c r="I22" s="43">
        <v>652</v>
      </c>
      <c r="J22" s="56" t="str">
        <f ca="1">VLOOKUP($I22,OFFSET([1]characters!$A$1,0,0,COUNTA([1]characters!$A:$A),MATCH(J$1,[1]characters!$1:$1,0)-MATCH($C$1,[1]characters!$1:$1,0)+1),MATCH(J$1,[1]characters!$1:$1,0)-MATCH($C$1,[1]characters!$1:$1,0)+1,FALSE)</f>
        <v>アナンタ</v>
      </c>
      <c r="K22" s="18">
        <v>1</v>
      </c>
      <c r="L22" s="113">
        <v>1</v>
      </c>
      <c r="M22" s="113">
        <v>10</v>
      </c>
    </row>
    <row r="23" spans="1:13" x14ac:dyDescent="0.15">
      <c r="A23" s="64" t="str">
        <f t="shared" si="9"/>
        <v>1014_837</v>
      </c>
      <c r="B23" s="43">
        <v>1014</v>
      </c>
      <c r="C23" s="188">
        <f t="shared" ref="C23:C25" si="10">B23</f>
        <v>1014</v>
      </c>
      <c r="D23" s="56" t="str">
        <f ca="1">VLOOKUP($C23,OFFSET([1]characters!$A$1,0,0,COUNTA([1]characters!$A:$A),MATCH(D$1,[1]characters!$1:$1,0)-MATCH($C$1,[1]characters!$1:$1,0)+1),MATCH(D$1,[1]characters!$1:$1,0)-MATCH($C$1,[1]characters!$1:$1,0)+1,FALSE)</f>
        <v>イシス</v>
      </c>
      <c r="E23" s="56">
        <f ca="1">VLOOKUP($C23,OFFSET([1]characters!$A$1,0,0,COUNTA([1]characters!$A:$A),MATCH(E$1,[1]characters!$1:$1,0)-MATCH($C$1,[1]characters!$1:$1,0)+1),MATCH(E$1,[1]characters!$1:$1,0)-MATCH($C$1,[1]characters!$1:$1,0)+1,FALSE)</f>
        <v>5</v>
      </c>
      <c r="F23" s="56" t="str">
        <f ca="1">VLOOKUP($C23,OFFSET([1]characters!$A$1,0,0,COUNTA([1]characters!$A:$A),MATCH(F$1,[1]characters!$1:$1,0)-MATCH($C$1,[1]characters!$1:$1,0)+1),MATCH(F$1,[1]characters!$1:$1,0)-MATCH($C$1,[1]characters!$1:$1,0)+1,FALSE)</f>
        <v>PremiumSS</v>
      </c>
      <c r="G23" s="190">
        <v>1015</v>
      </c>
      <c r="H23" s="56" t="str">
        <f ca="1">VLOOKUP($G23,OFFSET([1]characters!$A$1,0,0,COUNTA([1]characters!$A:$A),MATCH(H$1,[1]characters!$1:$1,0)-MATCH($C$1,[1]characters!$1:$1,0)+1),MATCH(H$1,[1]characters!$1:$1,0)-MATCH($C$1,[1]characters!$1:$1,0)+1,FALSE)</f>
        <v>繁翠なる蘇聖神 イシス</v>
      </c>
      <c r="I23" s="43">
        <v>837</v>
      </c>
      <c r="J23" s="56" t="str">
        <f ca="1">VLOOKUP($I23,OFFSET([1]characters!$A$1,0,0,COUNTA([1]characters!$A:$A),MATCH(J$1,[1]characters!$1:$1,0)-MATCH($C$1,[1]characters!$1:$1,0)+1),MATCH(J$1,[1]characters!$1:$1,0)-MATCH($C$1,[1]characters!$1:$1,0)+1,FALSE)</f>
        <v>リトルハンプティ</v>
      </c>
      <c r="K23" s="18">
        <v>1</v>
      </c>
      <c r="L23" s="113">
        <v>1</v>
      </c>
      <c r="M23" s="113">
        <v>100</v>
      </c>
    </row>
    <row r="24" spans="1:13" x14ac:dyDescent="0.15">
      <c r="A24" s="64" t="str">
        <f t="shared" ref="A24" si="11">B24&amp;"_"&amp;I24</f>
        <v>1014_107</v>
      </c>
      <c r="B24" s="43">
        <v>1014</v>
      </c>
      <c r="C24" s="188">
        <f t="shared" ref="C24" si="12">B24</f>
        <v>1014</v>
      </c>
      <c r="D24" s="56" t="str">
        <f ca="1">VLOOKUP($C24,OFFSET([1]characters!$A$1,0,0,COUNTA([1]characters!$A:$A),MATCH(D$1,[1]characters!$1:$1,0)-MATCH($C$1,[1]characters!$1:$1,0)+1),MATCH(D$1,[1]characters!$1:$1,0)-MATCH($C$1,[1]characters!$1:$1,0)+1,FALSE)</f>
        <v>イシス</v>
      </c>
      <c r="E24" s="56">
        <f ca="1">VLOOKUP($C24,OFFSET([1]characters!$A$1,0,0,COUNTA([1]characters!$A:$A),MATCH(E$1,[1]characters!$1:$1,0)-MATCH($C$1,[1]characters!$1:$1,0)+1),MATCH(E$1,[1]characters!$1:$1,0)-MATCH($C$1,[1]characters!$1:$1,0)+1,FALSE)</f>
        <v>5</v>
      </c>
      <c r="F24" s="56" t="str">
        <f ca="1">VLOOKUP($C24,OFFSET([1]characters!$A$1,0,0,COUNTA([1]characters!$A:$A),MATCH(F$1,[1]characters!$1:$1,0)-MATCH($C$1,[1]characters!$1:$1,0)+1),MATCH(F$1,[1]characters!$1:$1,0)-MATCH($C$1,[1]characters!$1:$1,0)+1,FALSE)</f>
        <v>PremiumSS</v>
      </c>
      <c r="G24" s="190">
        <v>1015</v>
      </c>
      <c r="H24" s="56" t="str">
        <f ca="1">VLOOKUP($G24,OFFSET([1]characters!$A$1,0,0,COUNTA([1]characters!$A:$A),MATCH(H$1,[1]characters!$1:$1,0)-MATCH($C$1,[1]characters!$1:$1,0)+1),MATCH(H$1,[1]characters!$1:$1,0)-MATCH($C$1,[1]characters!$1:$1,0)+1,FALSE)</f>
        <v>繁翠なる蘇聖神 イシス</v>
      </c>
      <c r="I24" s="43">
        <v>107</v>
      </c>
      <c r="J24" s="56" t="str">
        <f ca="1">VLOOKUP($I24,OFFSET([1]characters!$A$1,0,0,COUNTA([1]characters!$A:$A),MATCH(J$1,[1]characters!$1:$1,0)-MATCH($C$1,[1]characters!$1:$1,0)+1),MATCH(J$1,[1]characters!$1:$1,0)-MATCH($C$1,[1]characters!$1:$1,0)+1,FALSE)</f>
        <v>グリーンキャタップ</v>
      </c>
      <c r="K24" s="18">
        <v>1</v>
      </c>
      <c r="L24" s="113">
        <v>1</v>
      </c>
      <c r="M24" s="113">
        <v>1</v>
      </c>
    </row>
    <row r="25" spans="1:13" x14ac:dyDescent="0.15">
      <c r="A25" s="64" t="str">
        <f t="shared" si="9"/>
        <v>1014_108</v>
      </c>
      <c r="B25" s="43">
        <v>1014</v>
      </c>
      <c r="C25" s="188">
        <f t="shared" si="10"/>
        <v>1014</v>
      </c>
      <c r="D25" s="56" t="str">
        <f ca="1">VLOOKUP($C25,OFFSET([1]characters!$A$1,0,0,COUNTA([1]characters!$A:$A),MATCH(D$1,[1]characters!$1:$1,0)-MATCH($C$1,[1]characters!$1:$1,0)+1),MATCH(D$1,[1]characters!$1:$1,0)-MATCH($C$1,[1]characters!$1:$1,0)+1,FALSE)</f>
        <v>イシス</v>
      </c>
      <c r="E25" s="56">
        <f ca="1">VLOOKUP($C25,OFFSET([1]characters!$A$1,0,0,COUNTA([1]characters!$A:$A),MATCH(E$1,[1]characters!$1:$1,0)-MATCH($C$1,[1]characters!$1:$1,0)+1),MATCH(E$1,[1]characters!$1:$1,0)-MATCH($C$1,[1]characters!$1:$1,0)+1,FALSE)</f>
        <v>5</v>
      </c>
      <c r="F25" s="56" t="str">
        <f ca="1">VLOOKUP($C25,OFFSET([1]characters!$A$1,0,0,COUNTA([1]characters!$A:$A),MATCH(F$1,[1]characters!$1:$1,0)-MATCH($C$1,[1]characters!$1:$1,0)+1),MATCH(F$1,[1]characters!$1:$1,0)-MATCH($C$1,[1]characters!$1:$1,0)+1,FALSE)</f>
        <v>PremiumSS</v>
      </c>
      <c r="G25" s="190">
        <v>1015</v>
      </c>
      <c r="H25" s="56" t="str">
        <f ca="1">VLOOKUP($G25,OFFSET([1]characters!$A$1,0,0,COUNTA([1]characters!$A:$A),MATCH(H$1,[1]characters!$1:$1,0)-MATCH($C$1,[1]characters!$1:$1,0)+1),MATCH(H$1,[1]characters!$1:$1,0)-MATCH($C$1,[1]characters!$1:$1,0)+1,FALSE)</f>
        <v>繁翠なる蘇聖神 イシス</v>
      </c>
      <c r="I25" s="43">
        <v>108</v>
      </c>
      <c r="J25" s="56" t="str">
        <f ca="1">VLOOKUP($I25,OFFSET([1]characters!$A$1,0,0,COUNTA([1]characters!$A:$A),MATCH(J$1,[1]characters!$1:$1,0)-MATCH($C$1,[1]characters!$1:$1,0)+1),MATCH(J$1,[1]characters!$1:$1,0)-MATCH($C$1,[1]characters!$1:$1,0)+1,FALSE)</f>
        <v>森のマッドハッター</v>
      </c>
      <c r="K25" s="18">
        <v>1</v>
      </c>
      <c r="L25" s="113">
        <v>1</v>
      </c>
      <c r="M25" s="113">
        <v>1</v>
      </c>
    </row>
    <row r="26" spans="1:13" ht="21" customHeight="1" x14ac:dyDescent="0.15">
      <c r="A26" s="64" t="str">
        <f>B26&amp;"_"&amp;I26</f>
        <v>1016_110</v>
      </c>
      <c r="B26" s="43">
        <v>1016</v>
      </c>
      <c r="C26" s="188">
        <f>B26</f>
        <v>1016</v>
      </c>
      <c r="D26" s="56" t="str">
        <f ca="1">VLOOKUP($C26,OFFSET([1]characters!$A$1,0,0,COUNTA([1]characters!$A:$A),MATCH(D$1,[1]characters!$1:$1,0)-MATCH($C$1,[1]characters!$1:$1,0)+1),MATCH(D$1,[1]characters!$1:$1,0)-MATCH($C$1,[1]characters!$1:$1,0)+1,FALSE)</f>
        <v>ハトホル</v>
      </c>
      <c r="E26" s="56">
        <f ca="1">VLOOKUP($C26,OFFSET([1]characters!$A$1,0,0,COUNTA([1]characters!$A:$A),MATCH(E$1,[1]characters!$1:$1,0)-MATCH($C$1,[1]characters!$1:$1,0)+1),MATCH(E$1,[1]characters!$1:$1,0)-MATCH($C$1,[1]characters!$1:$1,0)+1,FALSE)</f>
        <v>4</v>
      </c>
      <c r="F26" s="56" t="str">
        <f ca="1">VLOOKUP($C26,OFFSET([1]characters!$A$1,0,0,COUNTA([1]characters!$A:$A),MATCH(F$1,[1]characters!$1:$1,0)-MATCH($C$1,[1]characters!$1:$1,0)+1),MATCH(F$1,[1]characters!$1:$1,0)-MATCH($C$1,[1]characters!$1:$1,0)+1,FALSE)</f>
        <v>PremiumS</v>
      </c>
      <c r="G26" s="190">
        <v>1017</v>
      </c>
      <c r="H26" s="56" t="str">
        <f ca="1">VLOOKUP($G26,OFFSET([1]characters!$A$1,0,0,COUNTA([1]characters!$A:$A),MATCH(H$1,[1]characters!$1:$1,0)-MATCH($C$1,[1]characters!$1:$1,0)+1),MATCH(H$1,[1]characters!$1:$1,0)-MATCH($C$1,[1]characters!$1:$1,0)+1,FALSE)</f>
        <v>命瞳の慈母神 ハトホル</v>
      </c>
      <c r="I26" s="43">
        <v>110</v>
      </c>
      <c r="J26" s="56" t="str">
        <f ca="1">VLOOKUP($I26,OFFSET([1]characters!$A$1,0,0,COUNTA([1]characters!$A:$A),MATCH(J$1,[1]characters!$1:$1,0)-MATCH($C$1,[1]characters!$1:$1,0)+1),MATCH(J$1,[1]characters!$1:$1,0)-MATCH($C$1,[1]characters!$1:$1,0)+1,FALSE)</f>
        <v>ブルーラビット</v>
      </c>
      <c r="K26" s="18">
        <v>2</v>
      </c>
      <c r="L26" s="113">
        <v>1</v>
      </c>
      <c r="M26" s="113">
        <v>1</v>
      </c>
    </row>
    <row r="27" spans="1:13" x14ac:dyDescent="0.15">
      <c r="A27" s="64" t="str">
        <f t="shared" ref="A27:A29" si="13">B27&amp;"_"&amp;I27</f>
        <v>1016_111</v>
      </c>
      <c r="B27" s="43">
        <v>1016</v>
      </c>
      <c r="C27" s="188">
        <f t="shared" ref="C27:C28" si="14">B27</f>
        <v>1016</v>
      </c>
      <c r="D27" s="56" t="str">
        <f ca="1">VLOOKUP($C27,OFFSET([1]characters!$A$1,0,0,COUNTA([1]characters!$A:$A),MATCH(D$1,[1]characters!$1:$1,0)-MATCH($C$1,[1]characters!$1:$1,0)+1),MATCH(D$1,[1]characters!$1:$1,0)-MATCH($C$1,[1]characters!$1:$1,0)+1,FALSE)</f>
        <v>ハトホル</v>
      </c>
      <c r="E27" s="56">
        <f ca="1">VLOOKUP($C27,OFFSET([1]characters!$A$1,0,0,COUNTA([1]characters!$A:$A),MATCH(E$1,[1]characters!$1:$1,0)-MATCH($C$1,[1]characters!$1:$1,0)+1),MATCH(E$1,[1]characters!$1:$1,0)-MATCH($C$1,[1]characters!$1:$1,0)+1,FALSE)</f>
        <v>4</v>
      </c>
      <c r="F27" s="56" t="str">
        <f ca="1">VLOOKUP($C27,OFFSET([1]characters!$A$1,0,0,COUNTA([1]characters!$A:$A),MATCH(F$1,[1]characters!$1:$1,0)-MATCH($C$1,[1]characters!$1:$1,0)+1),MATCH(F$1,[1]characters!$1:$1,0)-MATCH($C$1,[1]characters!$1:$1,0)+1,FALSE)</f>
        <v>PremiumS</v>
      </c>
      <c r="G27" s="190">
        <v>1017</v>
      </c>
      <c r="H27" s="56" t="str">
        <f ca="1">VLOOKUP($G27,OFFSET([1]characters!$A$1,0,0,COUNTA([1]characters!$A:$A),MATCH(H$1,[1]characters!$1:$1,0)-MATCH($C$1,[1]characters!$1:$1,0)+1),MATCH(H$1,[1]characters!$1:$1,0)-MATCH($C$1,[1]characters!$1:$1,0)+1,FALSE)</f>
        <v>命瞳の慈母神 ハトホル</v>
      </c>
      <c r="I27" s="43">
        <v>111</v>
      </c>
      <c r="J27" s="56" t="str">
        <f ca="1">VLOOKUP($I27,OFFSET([1]characters!$A$1,0,0,COUNTA([1]characters!$A:$A),MATCH(J$1,[1]characters!$1:$1,0)-MATCH($C$1,[1]characters!$1:$1,0)+1),MATCH(J$1,[1]characters!$1:$1,0)-MATCH($C$1,[1]characters!$1:$1,0)+1,FALSE)</f>
        <v>ブルーキャタップ</v>
      </c>
      <c r="K27" s="18">
        <v>2</v>
      </c>
      <c r="L27" s="113">
        <v>1</v>
      </c>
      <c r="M27" s="113">
        <v>1</v>
      </c>
    </row>
    <row r="28" spans="1:13" x14ac:dyDescent="0.15">
      <c r="A28" s="64" t="str">
        <f t="shared" si="13"/>
        <v>1016_112</v>
      </c>
      <c r="B28" s="43">
        <v>1016</v>
      </c>
      <c r="C28" s="188">
        <f t="shared" si="14"/>
        <v>1016</v>
      </c>
      <c r="D28" s="56" t="str">
        <f ca="1">VLOOKUP($C28,OFFSET([1]characters!$A$1,0,0,COUNTA([1]characters!$A:$A),MATCH(D$1,[1]characters!$1:$1,0)-MATCH($C$1,[1]characters!$1:$1,0)+1),MATCH(D$1,[1]characters!$1:$1,0)-MATCH($C$1,[1]characters!$1:$1,0)+1,FALSE)</f>
        <v>ハトホル</v>
      </c>
      <c r="E28" s="56">
        <f ca="1">VLOOKUP($C28,OFFSET([1]characters!$A$1,0,0,COUNTA([1]characters!$A:$A),MATCH(E$1,[1]characters!$1:$1,0)-MATCH($C$1,[1]characters!$1:$1,0)+1),MATCH(E$1,[1]characters!$1:$1,0)-MATCH($C$1,[1]characters!$1:$1,0)+1,FALSE)</f>
        <v>4</v>
      </c>
      <c r="F28" s="56" t="str">
        <f ca="1">VLOOKUP($C28,OFFSET([1]characters!$A$1,0,0,COUNTA([1]characters!$A:$A),MATCH(F$1,[1]characters!$1:$1,0)-MATCH($C$1,[1]characters!$1:$1,0)+1),MATCH(F$1,[1]characters!$1:$1,0)-MATCH($C$1,[1]characters!$1:$1,0)+1,FALSE)</f>
        <v>PremiumS</v>
      </c>
      <c r="G28" s="190">
        <v>1017</v>
      </c>
      <c r="H28" s="56" t="str">
        <f ca="1">VLOOKUP($G28,OFFSET([1]characters!$A$1,0,0,COUNTA([1]characters!$A:$A),MATCH(H$1,[1]characters!$1:$1,0)-MATCH($C$1,[1]characters!$1:$1,0)+1),MATCH(H$1,[1]characters!$1:$1,0)-MATCH($C$1,[1]characters!$1:$1,0)+1,FALSE)</f>
        <v>命瞳の慈母神 ハトホル</v>
      </c>
      <c r="I28" s="43">
        <v>112</v>
      </c>
      <c r="J28" s="56" t="str">
        <f ca="1">VLOOKUP($I28,OFFSET([1]characters!$A$1,0,0,COUNTA([1]characters!$A:$A),MATCH(J$1,[1]characters!$1:$1,0)-MATCH($C$1,[1]characters!$1:$1,0)+1),MATCH(J$1,[1]characters!$1:$1,0)-MATCH($C$1,[1]characters!$1:$1,0)+1,FALSE)</f>
        <v>水のマッドハッター</v>
      </c>
      <c r="K28" s="18">
        <v>1</v>
      </c>
      <c r="L28" s="113">
        <v>1</v>
      </c>
      <c r="M28" s="113">
        <v>1</v>
      </c>
    </row>
    <row r="29" spans="1:13" ht="21" customHeight="1" x14ac:dyDescent="0.15">
      <c r="A29" s="64" t="str">
        <f t="shared" si="13"/>
        <v>1018_115</v>
      </c>
      <c r="B29" s="43">
        <v>1018</v>
      </c>
      <c r="C29" s="188">
        <f>B29</f>
        <v>1018</v>
      </c>
      <c r="D29" s="56" t="str">
        <f ca="1">VLOOKUP($C29,OFFSET([1]characters!$A$1,0,0,COUNTA([1]characters!$A:$A),MATCH(D$1,[1]characters!$1:$1,0)-MATCH($C$1,[1]characters!$1:$1,0)+1),MATCH(D$1,[1]characters!$1:$1,0)-MATCH($C$1,[1]characters!$1:$1,0)+1,FALSE)</f>
        <v>バステト</v>
      </c>
      <c r="E29" s="56">
        <f ca="1">VLOOKUP($C29,OFFSET([1]characters!$A$1,0,0,COUNTA([1]characters!$A:$A),MATCH(E$1,[1]characters!$1:$1,0)-MATCH($C$1,[1]characters!$1:$1,0)+1),MATCH(E$1,[1]characters!$1:$1,0)-MATCH($C$1,[1]characters!$1:$1,0)+1,FALSE)</f>
        <v>5</v>
      </c>
      <c r="F29" s="56" t="str">
        <f ca="1">VLOOKUP($C29,OFFSET([1]characters!$A$1,0,0,COUNTA([1]characters!$A:$A),MATCH(F$1,[1]characters!$1:$1,0)-MATCH($C$1,[1]characters!$1:$1,0)+1),MATCH(F$1,[1]characters!$1:$1,0)-MATCH($C$1,[1]characters!$1:$1,0)+1,FALSE)</f>
        <v>PremiumSS</v>
      </c>
      <c r="G29" s="190">
        <v>1019</v>
      </c>
      <c r="H29" s="56" t="str">
        <f ca="1">VLOOKUP($G29,OFFSET([1]characters!$A$1,0,0,COUNTA([1]characters!$A:$A),MATCH(H$1,[1]characters!$1:$1,0)-MATCH($C$1,[1]characters!$1:$1,0)+1),MATCH(H$1,[1]characters!$1:$1,0)-MATCH($C$1,[1]characters!$1:$1,0)+1,FALSE)</f>
        <v>愛鈴鳴る寵猫神 バステト</v>
      </c>
      <c r="I29" s="43">
        <v>115</v>
      </c>
      <c r="J29" s="200" t="str">
        <f>VLOOKUP(I29,[1]characters!$A:$C,3,FALSE)</f>
        <v>イエローキャタップ</v>
      </c>
      <c r="K29" s="18">
        <v>1</v>
      </c>
      <c r="L29" s="113">
        <v>1</v>
      </c>
      <c r="M29" s="113">
        <v>1</v>
      </c>
    </row>
    <row r="30" spans="1:13" ht="21" customHeight="1" x14ac:dyDescent="0.15">
      <c r="A30" s="64" t="str">
        <f>B30&amp;"_"&amp;I30</f>
        <v>1018_764</v>
      </c>
      <c r="B30" s="43">
        <v>1018</v>
      </c>
      <c r="C30" s="188">
        <f>B30</f>
        <v>1018</v>
      </c>
      <c r="D30" s="56" t="str">
        <f ca="1">VLOOKUP($C30,OFFSET([1]characters!$A$1,0,0,COUNTA([1]characters!$A:$A),MATCH(D$1,[1]characters!$1:$1,0)-MATCH($C$1,[1]characters!$1:$1,0)+1),MATCH(D$1,[1]characters!$1:$1,0)-MATCH($C$1,[1]characters!$1:$1,0)+1,FALSE)</f>
        <v>バステト</v>
      </c>
      <c r="E30" s="56">
        <f ca="1">VLOOKUP($C30,OFFSET([1]characters!$A$1,0,0,COUNTA([1]characters!$A:$A),MATCH(E$1,[1]characters!$1:$1,0)-MATCH($C$1,[1]characters!$1:$1,0)+1),MATCH(E$1,[1]characters!$1:$1,0)-MATCH($C$1,[1]characters!$1:$1,0)+1,FALSE)</f>
        <v>5</v>
      </c>
      <c r="F30" s="56" t="str">
        <f ca="1">VLOOKUP($C30,OFFSET([1]characters!$A$1,0,0,COUNTA([1]characters!$A:$A),MATCH(F$1,[1]characters!$1:$1,0)-MATCH($C$1,[1]characters!$1:$1,0)+1),MATCH(F$1,[1]characters!$1:$1,0)-MATCH($C$1,[1]characters!$1:$1,0)+1,FALSE)</f>
        <v>PremiumSS</v>
      </c>
      <c r="G30" s="190">
        <v>1019</v>
      </c>
      <c r="H30" s="56" t="str">
        <f ca="1">VLOOKUP($G30,OFFSET([1]characters!$A$1,0,0,COUNTA([1]characters!$A:$A),MATCH(H$1,[1]characters!$1:$1,0)-MATCH($C$1,[1]characters!$1:$1,0)+1),MATCH(H$1,[1]characters!$1:$1,0)-MATCH($C$1,[1]characters!$1:$1,0)+1,FALSE)</f>
        <v>愛鈴鳴る寵猫神 バステト</v>
      </c>
      <c r="I30" s="43">
        <v>764</v>
      </c>
      <c r="J30" s="56" t="str">
        <f ca="1">VLOOKUP($I30,OFFSET([1]characters!$A$1,0,0,COUNTA([1]characters!$A:$A),MATCH(J$1,[1]characters!$1:$1,0)-MATCH($C$1,[1]characters!$1:$1,0)+1),MATCH(J$1,[1]characters!$1:$1,0)-MATCH($C$1,[1]characters!$1:$1,0)+1,FALSE)</f>
        <v>ライオネル</v>
      </c>
      <c r="K30" s="18">
        <v>1</v>
      </c>
      <c r="L30" s="113">
        <v>1</v>
      </c>
      <c r="M30" s="113">
        <v>10</v>
      </c>
    </row>
    <row r="31" spans="1:13" x14ac:dyDescent="0.15">
      <c r="A31" s="64" t="str">
        <f t="shared" ref="A31:A33" si="15">B31&amp;"_"&amp;I31</f>
        <v>1018_1006</v>
      </c>
      <c r="B31" s="43">
        <v>1018</v>
      </c>
      <c r="C31" s="188">
        <f t="shared" si="1"/>
        <v>1018</v>
      </c>
      <c r="D31" s="56" t="str">
        <f ca="1">VLOOKUP($C31,OFFSET([1]characters!$A$1,0,0,COUNTA([1]characters!$A:$A),MATCH(D$1,[1]characters!$1:$1,0)-MATCH($C$1,[1]characters!$1:$1,0)+1),MATCH(D$1,[1]characters!$1:$1,0)-MATCH($C$1,[1]characters!$1:$1,0)+1,FALSE)</f>
        <v>バステト</v>
      </c>
      <c r="E31" s="56">
        <f ca="1">VLOOKUP($C31,OFFSET([1]characters!$A$1,0,0,COUNTA([1]characters!$A:$A),MATCH(E$1,[1]characters!$1:$1,0)-MATCH($C$1,[1]characters!$1:$1,0)+1),MATCH(E$1,[1]characters!$1:$1,0)-MATCH($C$1,[1]characters!$1:$1,0)+1,FALSE)</f>
        <v>5</v>
      </c>
      <c r="F31" s="56" t="str">
        <f ca="1">VLOOKUP($C31,OFFSET([1]characters!$A$1,0,0,COUNTA([1]characters!$A:$A),MATCH(F$1,[1]characters!$1:$1,0)-MATCH($C$1,[1]characters!$1:$1,0)+1),MATCH(F$1,[1]characters!$1:$1,0)-MATCH($C$1,[1]characters!$1:$1,0)+1,FALSE)</f>
        <v>PremiumSS</v>
      </c>
      <c r="G31" s="190">
        <v>1019</v>
      </c>
      <c r="H31" s="56" t="str">
        <f ca="1">VLOOKUP($G31,OFFSET([1]characters!$A$1,0,0,COUNTA([1]characters!$A:$A),MATCH(H$1,[1]characters!$1:$1,0)-MATCH($C$1,[1]characters!$1:$1,0)+1),MATCH(H$1,[1]characters!$1:$1,0)-MATCH($C$1,[1]characters!$1:$1,0)+1,FALSE)</f>
        <v>愛鈴鳴る寵猫神 バステト</v>
      </c>
      <c r="I31" s="43">
        <v>1006</v>
      </c>
      <c r="J31" s="56" t="str">
        <f ca="1">VLOOKUP($I31,OFFSET([1]characters!$A$1,0,0,COUNTA([1]characters!$A:$A),MATCH(J$1,[1]characters!$1:$1,0)-MATCH($C$1,[1]characters!$1:$1,0)+1),MATCH(J$1,[1]characters!$1:$1,0)-MATCH($C$1,[1]characters!$1:$1,0)+1,FALSE)</f>
        <v>セルケト</v>
      </c>
      <c r="K31" s="18">
        <v>1</v>
      </c>
      <c r="L31" s="113">
        <v>1</v>
      </c>
      <c r="M31" s="113">
        <v>10</v>
      </c>
    </row>
    <row r="32" spans="1:13" x14ac:dyDescent="0.15">
      <c r="A32" s="64" t="str">
        <f t="shared" si="15"/>
        <v>1018_837</v>
      </c>
      <c r="B32" s="43">
        <v>1018</v>
      </c>
      <c r="C32" s="188">
        <f t="shared" si="1"/>
        <v>1018</v>
      </c>
      <c r="D32" s="56" t="str">
        <f ca="1">VLOOKUP($C32,OFFSET([1]characters!$A$1,0,0,COUNTA([1]characters!$A:$A),MATCH(D$1,[1]characters!$1:$1,0)-MATCH($C$1,[1]characters!$1:$1,0)+1),MATCH(D$1,[1]characters!$1:$1,0)-MATCH($C$1,[1]characters!$1:$1,0)+1,FALSE)</f>
        <v>バステト</v>
      </c>
      <c r="E32" s="56">
        <f ca="1">VLOOKUP($C32,OFFSET([1]characters!$A$1,0,0,COUNTA([1]characters!$A:$A),MATCH(E$1,[1]characters!$1:$1,0)-MATCH($C$1,[1]characters!$1:$1,0)+1),MATCH(E$1,[1]characters!$1:$1,0)-MATCH($C$1,[1]characters!$1:$1,0)+1,FALSE)</f>
        <v>5</v>
      </c>
      <c r="F32" s="56" t="str">
        <f ca="1">VLOOKUP($C32,OFFSET([1]characters!$A$1,0,0,COUNTA([1]characters!$A:$A),MATCH(F$1,[1]characters!$1:$1,0)-MATCH($C$1,[1]characters!$1:$1,0)+1),MATCH(F$1,[1]characters!$1:$1,0)-MATCH($C$1,[1]characters!$1:$1,0)+1,FALSE)</f>
        <v>PremiumSS</v>
      </c>
      <c r="G32" s="190">
        <v>1019</v>
      </c>
      <c r="H32" s="56" t="str">
        <f ca="1">VLOOKUP($G32,OFFSET([1]characters!$A$1,0,0,COUNTA([1]characters!$A:$A),MATCH(H$1,[1]characters!$1:$1,0)-MATCH($C$1,[1]characters!$1:$1,0)+1),MATCH(H$1,[1]characters!$1:$1,0)-MATCH($C$1,[1]characters!$1:$1,0)+1,FALSE)</f>
        <v>愛鈴鳴る寵猫神 バステト</v>
      </c>
      <c r="I32" s="43">
        <v>837</v>
      </c>
      <c r="J32" s="56" t="str">
        <f ca="1">VLOOKUP($I32,OFFSET([1]characters!$A$1,0,0,COUNTA([1]characters!$A:$A),MATCH(J$1,[1]characters!$1:$1,0)-MATCH($C$1,[1]characters!$1:$1,0)+1),MATCH(J$1,[1]characters!$1:$1,0)-MATCH($C$1,[1]characters!$1:$1,0)+1,FALSE)</f>
        <v>リトルハンプティ</v>
      </c>
      <c r="K32" s="18">
        <v>1</v>
      </c>
      <c r="L32" s="113">
        <v>1</v>
      </c>
      <c r="M32" s="113">
        <v>100</v>
      </c>
    </row>
    <row r="33" spans="1:13" x14ac:dyDescent="0.15">
      <c r="A33" s="64" t="str">
        <f t="shared" si="15"/>
        <v>1018_116</v>
      </c>
      <c r="B33" s="43">
        <v>1018</v>
      </c>
      <c r="C33" s="188">
        <f t="shared" si="1"/>
        <v>1018</v>
      </c>
      <c r="D33" s="56" t="str">
        <f ca="1">VLOOKUP($C33,OFFSET([1]characters!$A$1,0,0,COUNTA([1]characters!$A:$A),MATCH(D$1,[1]characters!$1:$1,0)-MATCH($C$1,[1]characters!$1:$1,0)+1),MATCH(D$1,[1]characters!$1:$1,0)-MATCH($C$1,[1]characters!$1:$1,0)+1,FALSE)</f>
        <v>バステト</v>
      </c>
      <c r="E33" s="56">
        <f ca="1">VLOOKUP($C33,OFFSET([1]characters!$A$1,0,0,COUNTA([1]characters!$A:$A),MATCH(E$1,[1]characters!$1:$1,0)-MATCH($C$1,[1]characters!$1:$1,0)+1),MATCH(E$1,[1]characters!$1:$1,0)-MATCH($C$1,[1]characters!$1:$1,0)+1,FALSE)</f>
        <v>5</v>
      </c>
      <c r="F33" s="56" t="str">
        <f ca="1">VLOOKUP($C33,OFFSET([1]characters!$A$1,0,0,COUNTA([1]characters!$A:$A),MATCH(F$1,[1]characters!$1:$1,0)-MATCH($C$1,[1]characters!$1:$1,0)+1),MATCH(F$1,[1]characters!$1:$1,0)-MATCH($C$1,[1]characters!$1:$1,0)+1,FALSE)</f>
        <v>PremiumSS</v>
      </c>
      <c r="G33" s="190">
        <v>1019</v>
      </c>
      <c r="H33" s="56" t="str">
        <f ca="1">VLOOKUP($G33,OFFSET([1]characters!$A$1,0,0,COUNTA([1]characters!$A:$A),MATCH(H$1,[1]characters!$1:$1,0)-MATCH($C$1,[1]characters!$1:$1,0)+1),MATCH(H$1,[1]characters!$1:$1,0)-MATCH($C$1,[1]characters!$1:$1,0)+1,FALSE)</f>
        <v>愛鈴鳴る寵猫神 バステト</v>
      </c>
      <c r="I33" s="43">
        <v>116</v>
      </c>
      <c r="J33" s="56" t="str">
        <f ca="1">VLOOKUP($I33,OFFSET([1]characters!$A$1,0,0,COUNTA([1]characters!$A:$A),MATCH(J$1,[1]characters!$1:$1,0)-MATCH($C$1,[1]characters!$1:$1,0)+1),MATCH(J$1,[1]characters!$1:$1,0)-MATCH($C$1,[1]characters!$1:$1,0)+1,FALSE)</f>
        <v>雷のマッドハッター</v>
      </c>
      <c r="K33" s="18">
        <v>1</v>
      </c>
      <c r="L33" s="113">
        <v>1</v>
      </c>
      <c r="M33" s="113">
        <v>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3"/>
  <sheetViews>
    <sheetView topLeftCell="G1" zoomScale="113" workbookViewId="0">
      <selection activeCell="J4" sqref="J4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26" customWidth="1"/>
    <col min="7" max="7" width="66.5" customWidth="1"/>
    <col min="8" max="8" width="11.6640625" customWidth="1"/>
    <col min="9" max="9" width="140.33203125" customWidth="1"/>
    <col min="10" max="10" width="7.5" bestFit="1" customWidth="1"/>
  </cols>
  <sheetData>
    <row r="1" spans="1:11" s="23" customFormat="1" ht="21" customHeight="1" x14ac:dyDescent="0.15">
      <c r="A1" s="167" t="s">
        <v>256</v>
      </c>
      <c r="B1" s="119" t="s">
        <v>181</v>
      </c>
      <c r="C1" s="120" t="s">
        <v>40</v>
      </c>
      <c r="D1" s="121" t="s">
        <v>179</v>
      </c>
      <c r="E1" s="121" t="s">
        <v>315</v>
      </c>
      <c r="F1" s="121" t="s">
        <v>316</v>
      </c>
      <c r="G1" s="121" t="s">
        <v>317</v>
      </c>
      <c r="H1" s="121" t="s">
        <v>318</v>
      </c>
      <c r="I1" s="175" t="s">
        <v>257</v>
      </c>
      <c r="J1" s="194" t="s">
        <v>466</v>
      </c>
      <c r="K1" s="168" t="s">
        <v>258</v>
      </c>
    </row>
    <row r="2" spans="1:11" s="23" customFormat="1" ht="21" customHeight="1" x14ac:dyDescent="0.15">
      <c r="A2" s="65">
        <v>101501</v>
      </c>
      <c r="B2" s="169" t="s">
        <v>185</v>
      </c>
      <c r="C2" s="170" t="s">
        <v>343</v>
      </c>
      <c r="D2" s="170" t="s">
        <v>344</v>
      </c>
      <c r="E2" s="170" t="s">
        <v>319</v>
      </c>
      <c r="F2" s="170" t="s">
        <v>346</v>
      </c>
      <c r="G2" s="170" t="s">
        <v>345</v>
      </c>
      <c r="H2" s="170" t="s">
        <v>320</v>
      </c>
      <c r="I2" s="198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{"ver":"1.7.0","type":"ability","effects":"[effect:enhance_unit, target:myself, turn:1, status:attack, val:0.25, calc:mul, animation:enhance_unit_all_attack03]","conditions":"[condition:hp_rate,lower:70]","priority":0}</v>
      </c>
      <c r="J2" s="202" t="s">
        <v>467</v>
      </c>
      <c r="K2" s="171">
        <v>3</v>
      </c>
    </row>
    <row r="3" spans="1:11" s="23" customFormat="1" ht="21" customHeight="1" x14ac:dyDescent="0.15">
      <c r="A3" s="65">
        <v>101101</v>
      </c>
      <c r="B3" s="169" t="s">
        <v>185</v>
      </c>
      <c r="C3" s="170" t="s">
        <v>428</v>
      </c>
      <c r="D3" s="170" t="s">
        <v>425</v>
      </c>
      <c r="E3" s="170" t="s">
        <v>319</v>
      </c>
      <c r="F3" s="170" t="s">
        <v>426</v>
      </c>
      <c r="G3" s="170" t="s">
        <v>427</v>
      </c>
      <c r="H3" s="170" t="s">
        <v>320</v>
      </c>
      <c r="I3" s="198" t="str">
        <f>"{"&amp;""""&amp;$E$1&amp;""""&amp;":"&amp;""""&amp;E3&amp;""""&amp;","&amp;""""&amp;"type"&amp;""""&amp;":"&amp;""""&amp;"ability"&amp;""""&amp;","&amp;""""&amp;$G$1&amp;""""&amp;":"&amp;""""&amp;G3&amp;""""&amp;","&amp;""""&amp;$F$1&amp;""""&amp;":"&amp;""""&amp;F3&amp;""""&amp;","&amp;""""&amp;$H$1&amp;""""&amp;":"&amp;H3&amp;"}"</f>
        <v>{"ver":"1.7.0","type":"ability","effects":"[effect:damage_up, target:myself, val:1.3, turn:1, type01:crash_skill,option:killer]","conditions":"[condition:always]","priority":0}</v>
      </c>
      <c r="J3" s="202" t="s">
        <v>468</v>
      </c>
      <c r="K3" s="171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8"/>
  <sheetViews>
    <sheetView workbookViewId="0">
      <selection activeCell="E11" sqref="E11"/>
    </sheetView>
  </sheetViews>
  <sheetFormatPr baseColWidth="12" defaultRowHeight="15" x14ac:dyDescent="0.15"/>
  <cols>
    <col min="6" max="6" width="42.1640625" customWidth="1"/>
  </cols>
  <sheetData>
    <row r="1" spans="1:8" s="23" customFormat="1" ht="21" customHeight="1" x14ac:dyDescent="0.15">
      <c r="A1" s="167" t="s">
        <v>259</v>
      </c>
      <c r="B1" s="172" t="s">
        <v>260</v>
      </c>
      <c r="C1" s="119" t="s">
        <v>261</v>
      </c>
      <c r="D1" s="119" t="s">
        <v>262</v>
      </c>
      <c r="E1" s="173" t="s">
        <v>263</v>
      </c>
      <c r="F1" s="173" t="s">
        <v>264</v>
      </c>
      <c r="G1" s="122" t="s">
        <v>265</v>
      </c>
      <c r="H1" s="167" t="s">
        <v>266</v>
      </c>
    </row>
    <row r="2" spans="1:8" s="4" customFormat="1" ht="21" customHeight="1" x14ac:dyDescent="0.15">
      <c r="A2" s="65">
        <v>1013</v>
      </c>
      <c r="B2" s="174" t="str">
        <f>VLOOKUP(A2,[1]characters!$A:$C,3)</f>
        <v>聖陽昇る緋洸神 ラー</v>
      </c>
      <c r="C2" s="169">
        <v>1</v>
      </c>
      <c r="D2" s="65">
        <v>203</v>
      </c>
      <c r="E2" s="175" t="str">
        <f>IF(ISERROR(VLOOKUP(D2,[3]abilities!A:D,3,FALSE))=FALSE,VLOOKUP(D2,[3]abilities!A:D,3),IF(ISERROR(VLOOKUP(D2,[3]abilities!A:D,3,FALSE))=FALSE,VLOOKUP(D2,[3]abilities!A:D,3),"なし"))</f>
        <v>爆風軽減無効</v>
      </c>
      <c r="F2" s="175" t="str">
        <f>IF(ISERROR(VLOOKUP(D2,[3]abilities!A:D,4,FALSE))=FALSE,VLOOKUP(D2,[3]abilities!A:D,4),IF(ISERROR(VLOOKUP(D2,[3]abilities!A:D,4,FALSE))=FALSE,VLOOKUP(D2,[3]abilities!A:D,4),"なし"))</f>
        <v>自身が先頭の時、爆風軽減を無効化する</v>
      </c>
      <c r="G2" s="176" t="s">
        <v>334</v>
      </c>
      <c r="H2" s="176" t="s">
        <v>335</v>
      </c>
    </row>
    <row r="3" spans="1:8" s="4" customFormat="1" ht="21" customHeight="1" x14ac:dyDescent="0.15">
      <c r="A3" s="65">
        <v>1015</v>
      </c>
      <c r="B3" s="174" t="str">
        <f>VLOOKUP(A3,[1]characters!$A:$C,3)</f>
        <v>繁翠なる蘇聖神 イシス</v>
      </c>
      <c r="C3" s="169">
        <v>1</v>
      </c>
      <c r="D3" s="65">
        <v>109</v>
      </c>
      <c r="E3" s="175" t="str">
        <f>IF(ISERROR(VLOOKUP(D3,[3]abilities!A:D,3,FALSE))=FALSE,VLOOKUP(D3,[3]abilities!A:D,3),IF(ISERROR(VLOOKUP(D3,[3]abilities!A:D,3,FALSE))=FALSE,VLOOKUP(D3,[3]abilities!A:D,3),"なし"))</f>
        <v>ダメージパネルブレイク</v>
      </c>
      <c r="F3" s="175" t="str">
        <f>IF(ISERROR(VLOOKUP(D3,[3]abilities!A:D,4,FALSE))=FALSE,VLOOKUP(D3,[3]abilities!A:D,4),IF(ISERROR(VLOOKUP(D3,[3]abilities!A:D,4,FALSE))=FALSE,VLOOKUP(D3,[3]abilities!A:D,4),"なし"))</f>
        <v>自身が先頭の時、ダメージを受けずにダメージパネルを破壊できる</v>
      </c>
      <c r="G3" s="176" t="s">
        <v>334</v>
      </c>
      <c r="H3" s="176" t="s">
        <v>335</v>
      </c>
    </row>
    <row r="4" spans="1:8" s="4" customFormat="1" ht="21" customHeight="1" x14ac:dyDescent="0.15">
      <c r="A4" s="65">
        <v>1015</v>
      </c>
      <c r="B4" s="174" t="str">
        <f>VLOOKUP(A4,[1]characters!$A:$C,3)</f>
        <v>繁翠なる蘇聖神 イシス</v>
      </c>
      <c r="C4" s="169">
        <v>2</v>
      </c>
      <c r="D4" s="65">
        <v>9000</v>
      </c>
      <c r="E4" s="175" t="str">
        <f>IF(ISERROR(VLOOKUP(D4,[3]abilities!A:D,3,FALSE))=FALSE,VLOOKUP(D4,[3]abilities!A:D,3),IF(ISERROR(VLOOKUP(D4,[3]abilities!A:D,3,FALSE))=FALSE,VLOOKUP(D4,[3]abilities!A:D,3),"なし"))</f>
        <v>ハップルチャレンジ ダメージUP</v>
      </c>
      <c r="F4" s="175" t="str">
        <f>IF(ISERROR(VLOOKUP(D4,[3]abilities!A:D,4,FALSE))=FALSE,VLOOKUP(D4,[3]abilities!A:D,4),IF(ISERROR(VLOOKUP(D4,[3]abilities!A:D,4,FALSE))=FALSE,VLOOKUP(D4,[3]abilities!A:D,4),"なし"))</f>
        <v>ハップルチャレンジ内で自身の全ての攻撃の威力をUP</v>
      </c>
      <c r="G4" s="176" t="s">
        <v>334</v>
      </c>
      <c r="H4" s="176" t="s">
        <v>335</v>
      </c>
    </row>
    <row r="5" spans="1:8" s="4" customFormat="1" ht="21" customHeight="1" x14ac:dyDescent="0.15">
      <c r="A5" s="65">
        <v>1019</v>
      </c>
      <c r="B5" s="174" t="str">
        <f>VLOOKUP(A5,[1]characters!$A:$C,3)</f>
        <v>愛鈴鳴る寵猫神 バステト</v>
      </c>
      <c r="C5" s="169">
        <v>1</v>
      </c>
      <c r="D5" s="65">
        <v>102</v>
      </c>
      <c r="E5" s="175" t="str">
        <f>IF(ISERROR(VLOOKUP(D5,[3]abilities!A:D,3,FALSE))=FALSE,VLOOKUP(D5,[3]abilities!A:D,3),IF(ISERROR(VLOOKUP(D5,[3]abilities!A:D,3,FALSE))=FALSE,VLOOKUP(D5,[3]abilities!A:D,3),"なし"))</f>
        <v>プロテクトブレイク</v>
      </c>
      <c r="F5" s="175" t="str">
        <f>IF(ISERROR(VLOOKUP(D5,[3]abilities!A:D,4,FALSE))=FALSE,VLOOKUP(D5,[3]abilities!A:D,4),IF(ISERROR(VLOOKUP(D5,[3]abilities!A:D,4,FALSE))=FALSE,VLOOKUP(D5,[3]abilities!A:D,4),"なし"))</f>
        <v>自身が先頭の時、プロテクトを無視してパネル破壊できる</v>
      </c>
      <c r="G5" s="176" t="s">
        <v>334</v>
      </c>
      <c r="H5" s="176" t="s">
        <v>335</v>
      </c>
    </row>
    <row r="6" spans="1:8" s="4" customFormat="1" ht="21" customHeight="1" x14ac:dyDescent="0.15">
      <c r="A6" s="65">
        <v>1009</v>
      </c>
      <c r="B6" s="174" t="str">
        <f>VLOOKUP(A6,[1]characters!$A:$C,3)</f>
        <v>再醒の冥皇神 オシリス</v>
      </c>
      <c r="C6" s="169">
        <v>1</v>
      </c>
      <c r="D6" s="65">
        <v>102</v>
      </c>
      <c r="E6" s="175" t="str">
        <f>IF(ISERROR(VLOOKUP(D6,[3]abilities!A:D,3,FALSE))=FALSE,VLOOKUP(D6,[3]abilities!A:D,3),IF(ISERROR(VLOOKUP(D6,[3]abilities!A:D,3,FALSE))=FALSE,VLOOKUP(D6,[3]abilities!A:D,3),"なし"))</f>
        <v>プロテクトブレイク</v>
      </c>
      <c r="F6" s="175" t="str">
        <f>IF(ISERROR(VLOOKUP(D6,[3]abilities!A:D,4,FALSE))=FALSE,VLOOKUP(D6,[3]abilities!A:D,4),IF(ISERROR(VLOOKUP(D6,[3]abilities!A:D,4,FALSE))=FALSE,VLOOKUP(D6,[3]abilities!A:D,4),"なし"))</f>
        <v>自身が先頭の時、プロテクトを無視してパネル破壊できる</v>
      </c>
      <c r="G6" s="176" t="s">
        <v>334</v>
      </c>
      <c r="H6" s="176" t="s">
        <v>336</v>
      </c>
    </row>
    <row r="7" spans="1:8" s="4" customFormat="1" ht="21" customHeight="1" x14ac:dyDescent="0.15">
      <c r="A7" s="65">
        <v>1011</v>
      </c>
      <c r="B7" s="174" t="str">
        <f>VLOOKUP(A7,[1]characters!$A:$C,3)</f>
        <v>偉獰なる荒嵐神 セト</v>
      </c>
      <c r="C7" s="169">
        <v>1</v>
      </c>
      <c r="D7" s="65">
        <v>203</v>
      </c>
      <c r="E7" s="175" t="str">
        <f>IF(ISERROR(VLOOKUP(D7,[3]abilities!A:D,3,FALSE))=FALSE,VLOOKUP(D7,[3]abilities!A:D,3),IF(ISERROR(VLOOKUP(D7,[3]abilities!A:D,3,FALSE))=FALSE,VLOOKUP(D7,[3]abilities!A:D,3),"なし"))</f>
        <v>爆風軽減無効</v>
      </c>
      <c r="F7" s="175" t="str">
        <f>IF(ISERROR(VLOOKUP(D7,[3]abilities!A:D,4,FALSE))=FALSE,VLOOKUP(D7,[3]abilities!A:D,4),IF(ISERROR(VLOOKUP(D7,[3]abilities!A:D,4,FALSE))=FALSE,VLOOKUP(D7,[3]abilities!A:D,4),"なし"))</f>
        <v>自身が先頭の時、爆風軽減を無効化する</v>
      </c>
      <c r="G7" s="176" t="s">
        <v>334</v>
      </c>
      <c r="H7" s="176" t="s">
        <v>335</v>
      </c>
    </row>
    <row r="8" spans="1:8" s="4" customFormat="1" ht="21" customHeight="1" x14ac:dyDescent="0.15">
      <c r="A8" s="65">
        <v>1011</v>
      </c>
      <c r="B8" s="174" t="str">
        <f>VLOOKUP(A8,[1]characters!$A:$C,3)</f>
        <v>偉獰なる荒嵐神 セト</v>
      </c>
      <c r="C8" s="169">
        <v>2</v>
      </c>
      <c r="D8" s="65">
        <v>101101</v>
      </c>
      <c r="E8" s="175" t="e">
        <f>IF(ISERROR(VLOOKUP(D8,abilities!A:D,3,FALSE))=FALSE,VLOOKUP(D8,abilities!A:D,3),IF(ISERROR(VLOOKUP(D8,abilities!A:D,3,FALSE))=FALSE,VLOOKUP(D8,abilities!A:D,3),"なし"))</f>
        <v>#N/A</v>
      </c>
      <c r="F8" s="175" t="e">
        <f>IF(ISERROR(VLOOKUP(D8,abilities!A:D,4,FALSE))=FALSE,VLOOKUP(D8,abilities!A:D,4),IF(ISERROR(VLOOKUP(D8,abilities!A:D,4,FALSE))=FALSE,VLOOKUP(D8,abilities!A:D,4),"なし"))</f>
        <v>#N/A</v>
      </c>
      <c r="G8" s="176" t="s">
        <v>334</v>
      </c>
      <c r="H8" s="176" t="s">
        <v>418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B1" sqref="B1"/>
    </sheetView>
  </sheetViews>
  <sheetFormatPr baseColWidth="12" defaultRowHeight="15" x14ac:dyDescent="0.15"/>
  <sheetData>
    <row r="1" spans="1:2" x14ac:dyDescent="0.15">
      <c r="A1" t="s">
        <v>438</v>
      </c>
      <c r="B1" t="s">
        <v>457</v>
      </c>
    </row>
    <row r="2" spans="1:2" x14ac:dyDescent="0.15">
      <c r="A2" t="s">
        <v>439</v>
      </c>
      <c r="B2">
        <v>1</v>
      </c>
    </row>
    <row r="3" spans="1:2" x14ac:dyDescent="0.15">
      <c r="A3" t="s">
        <v>440</v>
      </c>
      <c r="B3">
        <v>1</v>
      </c>
    </row>
    <row r="4" spans="1:2" x14ac:dyDescent="0.15">
      <c r="A4" t="s">
        <v>441</v>
      </c>
      <c r="B4">
        <v>1</v>
      </c>
    </row>
    <row r="5" spans="1:2" x14ac:dyDescent="0.15">
      <c r="A5" t="s">
        <v>442</v>
      </c>
      <c r="B5">
        <v>1</v>
      </c>
    </row>
    <row r="6" spans="1:2" x14ac:dyDescent="0.15">
      <c r="A6" t="s">
        <v>443</v>
      </c>
      <c r="B6">
        <v>1</v>
      </c>
    </row>
    <row r="7" spans="1:2" x14ac:dyDescent="0.15">
      <c r="A7" t="s">
        <v>444</v>
      </c>
      <c r="B7">
        <v>1</v>
      </c>
    </row>
    <row r="8" spans="1:2" x14ac:dyDescent="0.15">
      <c r="A8" t="s">
        <v>445</v>
      </c>
      <c r="B8">
        <v>1</v>
      </c>
    </row>
    <row r="9" spans="1:2" x14ac:dyDescent="0.15">
      <c r="A9" t="s">
        <v>446</v>
      </c>
      <c r="B9">
        <v>1</v>
      </c>
    </row>
    <row r="10" spans="1:2" x14ac:dyDescent="0.15">
      <c r="A10" t="s">
        <v>447</v>
      </c>
      <c r="B10">
        <v>1</v>
      </c>
    </row>
    <row r="11" spans="1:2" x14ac:dyDescent="0.15">
      <c r="A11" t="s">
        <v>448</v>
      </c>
      <c r="B11">
        <v>1</v>
      </c>
    </row>
    <row r="12" spans="1:2" x14ac:dyDescent="0.15">
      <c r="A12" t="s">
        <v>449</v>
      </c>
      <c r="B12">
        <v>1</v>
      </c>
    </row>
    <row r="13" spans="1:2" x14ac:dyDescent="0.15">
      <c r="A13" t="s">
        <v>450</v>
      </c>
      <c r="B13">
        <v>0</v>
      </c>
    </row>
    <row r="14" spans="1:2" x14ac:dyDescent="0.15">
      <c r="A14" t="s">
        <v>451</v>
      </c>
      <c r="B14">
        <v>500</v>
      </c>
    </row>
    <row r="15" spans="1:2" x14ac:dyDescent="0.15">
      <c r="A15" t="s">
        <v>452</v>
      </c>
      <c r="B15">
        <v>600</v>
      </c>
    </row>
    <row r="16" spans="1:2" x14ac:dyDescent="0.15">
      <c r="A16" t="s">
        <v>453</v>
      </c>
      <c r="B16">
        <v>700</v>
      </c>
    </row>
    <row r="17" spans="1:2" x14ac:dyDescent="0.15">
      <c r="A17" t="s">
        <v>454</v>
      </c>
      <c r="B17">
        <v>5500</v>
      </c>
    </row>
    <row r="18" spans="1:2" x14ac:dyDescent="0.15">
      <c r="A18" t="s">
        <v>455</v>
      </c>
      <c r="B18">
        <v>6000</v>
      </c>
    </row>
    <row r="19" spans="1:2" x14ac:dyDescent="0.15">
      <c r="A19" t="s">
        <v>456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234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235</v>
      </c>
      <c r="B2" s="146"/>
      <c r="C2" s="147"/>
      <c r="D2" s="148" t="s">
        <v>236</v>
      </c>
      <c r="E2" s="148">
        <v>30</v>
      </c>
      <c r="F2" s="148">
        <v>40</v>
      </c>
      <c r="G2" s="148">
        <f>15+F2</f>
        <v>55</v>
      </c>
      <c r="H2" s="147"/>
      <c r="I2" s="147"/>
    </row>
    <row r="3" spans="1:9" s="4" customFormat="1" ht="21" customHeight="1" x14ac:dyDescent="0.15">
      <c r="A3" s="145" t="s">
        <v>237</v>
      </c>
      <c r="B3" s="149"/>
      <c r="C3" s="150"/>
      <c r="D3" s="151" t="s">
        <v>236</v>
      </c>
      <c r="E3" s="151">
        <v>25</v>
      </c>
      <c r="F3" s="151">
        <v>35</v>
      </c>
      <c r="G3" s="148">
        <f t="shared" ref="G3:G4" si="0">15+F3</f>
        <v>50</v>
      </c>
      <c r="H3" s="150"/>
      <c r="I3" s="150"/>
    </row>
    <row r="4" spans="1:9" s="4" customFormat="1" ht="21" customHeight="1" x14ac:dyDescent="0.15">
      <c r="A4" s="145" t="s">
        <v>238</v>
      </c>
      <c r="B4" s="152"/>
      <c r="C4" s="153"/>
      <c r="D4" s="154">
        <v>10</v>
      </c>
      <c r="E4" s="154">
        <v>20</v>
      </c>
      <c r="F4" s="154">
        <v>30</v>
      </c>
      <c r="G4" s="154">
        <f t="shared" si="0"/>
        <v>45</v>
      </c>
      <c r="H4" s="153"/>
      <c r="I4" s="153"/>
    </row>
    <row r="5" spans="1:9" s="4" customFormat="1" ht="21" customHeight="1" x14ac:dyDescent="0.15">
      <c r="A5" s="164" t="s">
        <v>239</v>
      </c>
      <c r="B5" s="159"/>
      <c r="C5" s="160"/>
      <c r="D5" s="28">
        <v>9</v>
      </c>
      <c r="E5" s="28">
        <v>18</v>
      </c>
      <c r="F5" s="28">
        <v>28</v>
      </c>
      <c r="G5" s="38">
        <v>38</v>
      </c>
      <c r="H5" s="160"/>
      <c r="I5" s="160"/>
    </row>
    <row r="6" spans="1:9" s="4" customFormat="1" ht="21" customHeight="1" x14ac:dyDescent="0.15">
      <c r="A6" s="164" t="s">
        <v>240</v>
      </c>
      <c r="B6" s="159"/>
      <c r="C6" s="160"/>
      <c r="D6" s="28">
        <v>7</v>
      </c>
      <c r="E6" s="28">
        <v>16</v>
      </c>
      <c r="F6" s="68" t="s">
        <v>11</v>
      </c>
      <c r="G6" s="68" t="s">
        <v>11</v>
      </c>
      <c r="H6" s="160"/>
      <c r="I6" s="160"/>
    </row>
    <row r="7" spans="1:9" ht="21" customHeight="1" x14ac:dyDescent="0.15">
      <c r="A7" s="73" t="s">
        <v>241</v>
      </c>
      <c r="B7" s="46" t="s">
        <v>11</v>
      </c>
      <c r="C7" s="46" t="s">
        <v>11</v>
      </c>
      <c r="D7" s="38" t="s">
        <v>236</v>
      </c>
      <c r="E7" s="38" t="s">
        <v>236</v>
      </c>
      <c r="F7" s="38" t="s">
        <v>236</v>
      </c>
      <c r="G7" s="38" t="s">
        <v>236</v>
      </c>
      <c r="H7" s="38" t="s">
        <v>236</v>
      </c>
      <c r="I7" s="38" t="s">
        <v>236</v>
      </c>
    </row>
    <row r="8" spans="1:9" ht="21" customHeight="1" x14ac:dyDescent="0.15">
      <c r="A8" s="74" t="s">
        <v>242</v>
      </c>
      <c r="B8" s="46" t="s">
        <v>11</v>
      </c>
      <c r="C8" s="46" t="s">
        <v>11</v>
      </c>
      <c r="D8" s="38" t="s">
        <v>236</v>
      </c>
      <c r="E8" s="38">
        <v>30</v>
      </c>
      <c r="F8" s="38">
        <v>40</v>
      </c>
      <c r="G8" s="38">
        <f>15+F8</f>
        <v>55</v>
      </c>
      <c r="H8" s="38" t="s">
        <v>236</v>
      </c>
      <c r="I8" s="38" t="s">
        <v>236</v>
      </c>
    </row>
    <row r="9" spans="1:9" s="45" customFormat="1" ht="21" customHeight="1" x14ac:dyDescent="0.15">
      <c r="A9" s="75" t="s">
        <v>243</v>
      </c>
      <c r="B9" s="28" t="s">
        <v>11</v>
      </c>
      <c r="C9" s="28" t="s">
        <v>11</v>
      </c>
      <c r="D9" s="105" t="s">
        <v>236</v>
      </c>
      <c r="E9" s="105">
        <v>25</v>
      </c>
      <c r="F9" s="105">
        <v>35</v>
      </c>
      <c r="G9" s="38">
        <f t="shared" ref="G9:G10" si="1">15+F9</f>
        <v>50</v>
      </c>
      <c r="H9" s="105" t="s">
        <v>236</v>
      </c>
      <c r="I9" s="105" t="s">
        <v>236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8">
        <v>10</v>
      </c>
      <c r="E10" s="28">
        <v>20</v>
      </c>
      <c r="F10" s="28">
        <v>30</v>
      </c>
      <c r="G10" s="38">
        <f t="shared" si="1"/>
        <v>45</v>
      </c>
      <c r="H10" s="68" t="s">
        <v>11</v>
      </c>
      <c r="I10" s="68" t="s">
        <v>11</v>
      </c>
    </row>
    <row r="11" spans="1:9" ht="21" customHeight="1" x14ac:dyDescent="0.15">
      <c r="A11" s="75" t="s">
        <v>244</v>
      </c>
      <c r="B11" s="68" t="s">
        <v>11</v>
      </c>
      <c r="C11" s="68" t="s">
        <v>11</v>
      </c>
      <c r="D11" s="28">
        <v>9</v>
      </c>
      <c r="E11" s="28">
        <v>18</v>
      </c>
      <c r="F11" s="28">
        <v>28</v>
      </c>
      <c r="G11" s="38">
        <v>38</v>
      </c>
      <c r="H11" s="68" t="s">
        <v>11</v>
      </c>
      <c r="I11" s="68" t="s">
        <v>11</v>
      </c>
    </row>
    <row r="12" spans="1:9" ht="21" customHeight="1" x14ac:dyDescent="0.15">
      <c r="A12" s="75" t="s">
        <v>245</v>
      </c>
      <c r="B12" s="68" t="s">
        <v>11</v>
      </c>
      <c r="C12" s="68" t="s">
        <v>11</v>
      </c>
      <c r="D12" s="28">
        <v>7</v>
      </c>
      <c r="E12" s="28">
        <v>16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104" t="s">
        <v>246</v>
      </c>
      <c r="B13" s="68" t="s">
        <v>11</v>
      </c>
      <c r="C13" s="68" t="s">
        <v>11</v>
      </c>
      <c r="D13" s="28">
        <v>8</v>
      </c>
      <c r="E13" s="28">
        <v>17</v>
      </c>
      <c r="F13" s="28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247</v>
      </c>
      <c r="B14" s="68" t="s">
        <v>11</v>
      </c>
      <c r="C14" s="68" t="s">
        <v>11</v>
      </c>
      <c r="D14" s="28">
        <v>8</v>
      </c>
      <c r="E14" s="28">
        <v>17</v>
      </c>
      <c r="F14" s="28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248</v>
      </c>
      <c r="B15" s="68" t="s">
        <v>11</v>
      </c>
      <c r="C15" s="68" t="s">
        <v>11</v>
      </c>
      <c r="D15" s="28">
        <v>6</v>
      </c>
      <c r="E15" s="28">
        <v>14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249</v>
      </c>
      <c r="B16" s="68" t="s">
        <v>11</v>
      </c>
      <c r="C16" s="28">
        <v>4</v>
      </c>
      <c r="D16" s="28">
        <v>6</v>
      </c>
      <c r="E16" s="28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8">
        <v>2</v>
      </c>
      <c r="C17" s="28">
        <v>4</v>
      </c>
      <c r="D17" s="28">
        <v>6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31">
        <v>1</v>
      </c>
      <c r="C18" s="31">
        <v>2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250</v>
      </c>
      <c r="B19" s="26">
        <v>1</v>
      </c>
      <c r="C19" s="26">
        <v>1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7" t="s">
        <v>251</v>
      </c>
      <c r="B20" s="36">
        <v>99</v>
      </c>
      <c r="C20" s="36">
        <v>99</v>
      </c>
      <c r="D20" s="36">
        <v>99</v>
      </c>
      <c r="E20" s="36">
        <v>99</v>
      </c>
      <c r="F20" s="36">
        <v>99</v>
      </c>
      <c r="G20" s="36">
        <v>99</v>
      </c>
      <c r="H20" s="36">
        <v>99</v>
      </c>
      <c r="I20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5" t="s">
        <v>235</v>
      </c>
      <c r="B2" s="161"/>
      <c r="C2" s="147"/>
      <c r="D2" s="155" t="s">
        <v>109</v>
      </c>
      <c r="E2" s="155">
        <v>60</v>
      </c>
      <c r="F2" s="155">
        <v>80</v>
      </c>
      <c r="G2" s="155">
        <v>99</v>
      </c>
      <c r="H2" s="147"/>
      <c r="I2" s="147"/>
    </row>
    <row r="3" spans="1:9" s="4" customFormat="1" ht="21" customHeight="1" x14ac:dyDescent="0.15">
      <c r="A3" s="145" t="s">
        <v>237</v>
      </c>
      <c r="B3" s="162"/>
      <c r="C3" s="150"/>
      <c r="D3" s="155" t="s">
        <v>109</v>
      </c>
      <c r="E3" s="155">
        <v>60</v>
      </c>
      <c r="F3" s="155">
        <v>80</v>
      </c>
      <c r="G3" s="155">
        <v>99</v>
      </c>
      <c r="H3" s="150"/>
      <c r="I3" s="150"/>
    </row>
    <row r="4" spans="1:9" s="4" customFormat="1" ht="21" customHeight="1" x14ac:dyDescent="0.15">
      <c r="A4" s="145" t="s">
        <v>231</v>
      </c>
      <c r="B4" s="163"/>
      <c r="C4" s="153"/>
      <c r="D4" s="155">
        <v>40</v>
      </c>
      <c r="E4" s="155">
        <v>60</v>
      </c>
      <c r="F4" s="155">
        <v>80</v>
      </c>
      <c r="G4" s="155">
        <v>99</v>
      </c>
      <c r="H4" s="153"/>
      <c r="I4" s="153"/>
    </row>
    <row r="5" spans="1:9" s="4" customFormat="1" ht="21" customHeight="1" x14ac:dyDescent="0.15">
      <c r="A5" s="164" t="s">
        <v>239</v>
      </c>
      <c r="B5" s="159"/>
      <c r="C5" s="160"/>
      <c r="D5" s="155">
        <v>40</v>
      </c>
      <c r="E5" s="155">
        <v>60</v>
      </c>
      <c r="F5" s="155">
        <v>80</v>
      </c>
      <c r="G5" s="155">
        <v>99</v>
      </c>
      <c r="H5" s="160"/>
      <c r="I5" s="160"/>
    </row>
    <row r="6" spans="1:9" s="4" customFormat="1" ht="21" customHeight="1" x14ac:dyDescent="0.15">
      <c r="A6" s="164" t="s">
        <v>240</v>
      </c>
      <c r="B6" s="159"/>
      <c r="C6" s="160"/>
      <c r="D6" s="155">
        <v>40</v>
      </c>
      <c r="E6" s="155">
        <v>60</v>
      </c>
      <c r="F6" s="155" t="s">
        <v>109</v>
      </c>
      <c r="G6" s="155" t="s">
        <v>109</v>
      </c>
      <c r="H6" s="160"/>
      <c r="I6" s="160"/>
    </row>
    <row r="7" spans="1:9" ht="21" customHeight="1" x14ac:dyDescent="0.15">
      <c r="A7" s="73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9" ht="21" customHeight="1" x14ac:dyDescent="0.15">
      <c r="A8" s="74" t="s">
        <v>242</v>
      </c>
      <c r="B8" s="39" t="s">
        <v>109</v>
      </c>
      <c r="C8" s="39" t="s">
        <v>109</v>
      </c>
      <c r="D8" s="39" t="s">
        <v>109</v>
      </c>
      <c r="E8" s="39">
        <v>60</v>
      </c>
      <c r="F8" s="39">
        <v>80</v>
      </c>
      <c r="G8" s="39">
        <v>99</v>
      </c>
      <c r="H8" s="39" t="s">
        <v>109</v>
      </c>
      <c r="I8" s="39" t="s">
        <v>109</v>
      </c>
    </row>
    <row r="9" spans="1:9" s="45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65">
        <v>60</v>
      </c>
      <c r="F9" s="65">
        <v>80</v>
      </c>
      <c r="G9" s="65">
        <v>99</v>
      </c>
      <c r="H9" s="65" t="s">
        <v>109</v>
      </c>
      <c r="I9" s="65" t="s">
        <v>109</v>
      </c>
    </row>
    <row r="10" spans="1:9" ht="21" customHeight="1" x14ac:dyDescent="0.15">
      <c r="A10" s="75" t="s">
        <v>9</v>
      </c>
      <c r="B10" s="70" t="s">
        <v>109</v>
      </c>
      <c r="C10" s="70" t="s">
        <v>109</v>
      </c>
      <c r="D10" s="36">
        <v>40</v>
      </c>
      <c r="E10" s="36">
        <v>60</v>
      </c>
      <c r="F10" s="36">
        <v>80</v>
      </c>
      <c r="G10" s="39">
        <v>99</v>
      </c>
      <c r="H10" s="70" t="s">
        <v>109</v>
      </c>
      <c r="I10" s="70" t="s">
        <v>109</v>
      </c>
    </row>
    <row r="11" spans="1:9" ht="21" customHeight="1" x14ac:dyDescent="0.15">
      <c r="A11" s="75" t="s">
        <v>210</v>
      </c>
      <c r="B11" s="70" t="s">
        <v>109</v>
      </c>
      <c r="C11" s="70" t="s">
        <v>109</v>
      </c>
      <c r="D11" s="36">
        <v>40</v>
      </c>
      <c r="E11" s="36">
        <v>60</v>
      </c>
      <c r="F11" s="36">
        <v>80</v>
      </c>
      <c r="G11" s="65">
        <v>99</v>
      </c>
      <c r="H11" s="70" t="s">
        <v>109</v>
      </c>
      <c r="I11" s="70" t="s">
        <v>109</v>
      </c>
    </row>
    <row r="12" spans="1:9" ht="21" customHeight="1" x14ac:dyDescent="0.15">
      <c r="A12" s="75" t="s">
        <v>206</v>
      </c>
      <c r="B12" s="70" t="s">
        <v>109</v>
      </c>
      <c r="C12" s="70" t="s">
        <v>109</v>
      </c>
      <c r="D12" s="36">
        <v>40</v>
      </c>
      <c r="E12" s="36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</row>
    <row r="13" spans="1:9" ht="21" customHeight="1" x14ac:dyDescent="0.15">
      <c r="A13" s="104" t="s">
        <v>246</v>
      </c>
      <c r="B13" s="70" t="s">
        <v>109</v>
      </c>
      <c r="C13" s="70" t="s">
        <v>109</v>
      </c>
      <c r="D13" s="36">
        <v>40</v>
      </c>
      <c r="E13" s="36">
        <v>60</v>
      </c>
      <c r="F13" s="36">
        <v>80</v>
      </c>
      <c r="G13" s="70" t="s">
        <v>109</v>
      </c>
      <c r="H13" s="70" t="s">
        <v>109</v>
      </c>
      <c r="I13" s="70" t="s">
        <v>109</v>
      </c>
    </row>
    <row r="14" spans="1:9" ht="21" customHeight="1" x14ac:dyDescent="0.15">
      <c r="A14" s="75" t="s">
        <v>247</v>
      </c>
      <c r="B14" s="70" t="s">
        <v>109</v>
      </c>
      <c r="C14" s="70" t="s">
        <v>109</v>
      </c>
      <c r="D14" s="36">
        <v>40</v>
      </c>
      <c r="E14" s="36">
        <v>60</v>
      </c>
      <c r="F14" s="36">
        <v>80</v>
      </c>
      <c r="G14" s="70" t="s">
        <v>109</v>
      </c>
      <c r="H14" s="70" t="s">
        <v>109</v>
      </c>
      <c r="I14" s="70" t="s">
        <v>109</v>
      </c>
    </row>
    <row r="15" spans="1:9" ht="21" customHeight="1" x14ac:dyDescent="0.15">
      <c r="A15" s="75" t="s">
        <v>105</v>
      </c>
      <c r="B15" s="70" t="s">
        <v>109</v>
      </c>
      <c r="C15" s="36">
        <v>30</v>
      </c>
      <c r="D15" s="36">
        <v>40</v>
      </c>
      <c r="E15" s="36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9" ht="21" customHeight="1" x14ac:dyDescent="0.15">
      <c r="A16" s="75" t="s">
        <v>249</v>
      </c>
      <c r="B16" s="70" t="s">
        <v>109</v>
      </c>
      <c r="C16" s="36">
        <v>30</v>
      </c>
      <c r="D16" s="36">
        <v>40</v>
      </c>
      <c r="E16" s="36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36">
        <v>15</v>
      </c>
      <c r="C17" s="36">
        <v>30</v>
      </c>
      <c r="D17" s="36">
        <v>40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36">
        <v>15</v>
      </c>
      <c r="C18" s="36">
        <v>30</v>
      </c>
      <c r="D18" s="36">
        <v>40</v>
      </c>
      <c r="E18" s="70" t="s">
        <v>216</v>
      </c>
      <c r="F18" s="70" t="s">
        <v>216</v>
      </c>
      <c r="G18" s="70" t="s">
        <v>216</v>
      </c>
      <c r="H18" s="70" t="s">
        <v>216</v>
      </c>
      <c r="I18" s="70" t="s">
        <v>216</v>
      </c>
    </row>
    <row r="19" spans="1:9" ht="21" customHeight="1" x14ac:dyDescent="0.15">
      <c r="A19" s="77" t="s">
        <v>250</v>
      </c>
      <c r="B19" s="36">
        <v>10</v>
      </c>
      <c r="C19" s="36">
        <v>20</v>
      </c>
      <c r="D19" s="70" t="s">
        <v>216</v>
      </c>
      <c r="E19" s="70" t="s">
        <v>216</v>
      </c>
      <c r="F19" s="70" t="s">
        <v>216</v>
      </c>
      <c r="G19" s="70" t="s">
        <v>216</v>
      </c>
      <c r="H19" s="70" t="s">
        <v>216</v>
      </c>
      <c r="I19" s="70" t="s">
        <v>216</v>
      </c>
    </row>
    <row r="20" spans="1:9" ht="21" customHeight="1" x14ac:dyDescent="0.15">
      <c r="A20" s="37" t="s">
        <v>251</v>
      </c>
      <c r="B20" s="36">
        <v>1</v>
      </c>
      <c r="C20" s="36">
        <v>1</v>
      </c>
      <c r="D20" s="36">
        <v>1</v>
      </c>
      <c r="E20" s="36">
        <v>1</v>
      </c>
      <c r="F20" s="36">
        <v>1</v>
      </c>
      <c r="G20" s="36">
        <v>1</v>
      </c>
      <c r="H20" s="36">
        <v>1</v>
      </c>
      <c r="I20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8" t="s">
        <v>10</v>
      </c>
      <c r="B1" s="49">
        <v>1</v>
      </c>
      <c r="C1" s="49">
        <v>2</v>
      </c>
      <c r="D1" s="49">
        <v>3</v>
      </c>
      <c r="E1" s="49">
        <v>4</v>
      </c>
      <c r="F1" s="49">
        <v>5</v>
      </c>
      <c r="G1" s="49">
        <v>6</v>
      </c>
      <c r="H1" s="49">
        <v>7</v>
      </c>
      <c r="I1" s="49">
        <v>8</v>
      </c>
    </row>
    <row r="2" spans="1:11" s="4" customFormat="1" ht="21" customHeight="1" x14ac:dyDescent="0.15">
      <c r="A2" s="145" t="s">
        <v>235</v>
      </c>
      <c r="B2" s="146"/>
      <c r="C2" s="147"/>
      <c r="D2" s="155" t="s">
        <v>109</v>
      </c>
      <c r="E2" s="156" t="s">
        <v>59</v>
      </c>
      <c r="F2" s="156" t="s">
        <v>59</v>
      </c>
      <c r="G2" s="156" t="s">
        <v>252</v>
      </c>
      <c r="H2" s="147"/>
      <c r="I2" s="147"/>
    </row>
    <row r="3" spans="1:11" s="4" customFormat="1" ht="21" customHeight="1" x14ac:dyDescent="0.15">
      <c r="A3" s="145" t="s">
        <v>237</v>
      </c>
      <c r="B3" s="149"/>
      <c r="C3" s="150"/>
      <c r="D3" s="156" t="s">
        <v>59</v>
      </c>
      <c r="E3" s="156" t="s">
        <v>59</v>
      </c>
      <c r="F3" s="156" t="s">
        <v>59</v>
      </c>
      <c r="G3" s="156" t="s">
        <v>230</v>
      </c>
      <c r="H3" s="150"/>
      <c r="I3" s="150"/>
    </row>
    <row r="4" spans="1:11" s="4" customFormat="1" ht="21" customHeight="1" x14ac:dyDescent="0.15">
      <c r="A4" s="145" t="s">
        <v>231</v>
      </c>
      <c r="B4" s="152"/>
      <c r="C4" s="153"/>
      <c r="D4" s="157" t="s">
        <v>59</v>
      </c>
      <c r="E4" s="157" t="s">
        <v>59</v>
      </c>
      <c r="F4" s="157" t="s">
        <v>59</v>
      </c>
      <c r="G4" s="156" t="s">
        <v>230</v>
      </c>
      <c r="H4" s="153"/>
      <c r="I4" s="153"/>
    </row>
    <row r="5" spans="1:11" s="4" customFormat="1" ht="21" customHeight="1" x14ac:dyDescent="0.15">
      <c r="A5" s="164" t="s">
        <v>239</v>
      </c>
      <c r="B5" s="159"/>
      <c r="C5" s="160"/>
      <c r="D5" s="157" t="s">
        <v>59</v>
      </c>
      <c r="E5" s="157" t="s">
        <v>59</v>
      </c>
      <c r="F5" s="157" t="s">
        <v>59</v>
      </c>
      <c r="G5" s="156" t="s">
        <v>220</v>
      </c>
      <c r="H5" s="160"/>
      <c r="I5" s="160"/>
    </row>
    <row r="6" spans="1:11" s="4" customFormat="1" ht="21" customHeight="1" x14ac:dyDescent="0.15">
      <c r="A6" s="164" t="s">
        <v>240</v>
      </c>
      <c r="B6" s="159"/>
      <c r="C6" s="160"/>
      <c r="D6" s="165" t="s">
        <v>60</v>
      </c>
      <c r="E6" s="165" t="s">
        <v>60</v>
      </c>
      <c r="F6" s="155" t="s">
        <v>109</v>
      </c>
      <c r="G6" s="155" t="s">
        <v>109</v>
      </c>
      <c r="H6" s="160"/>
      <c r="I6" s="160"/>
    </row>
    <row r="7" spans="1:11" ht="21" customHeight="1" x14ac:dyDescent="0.15">
      <c r="A7" s="73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11" ht="21" customHeight="1" x14ac:dyDescent="0.15">
      <c r="A8" s="74" t="s">
        <v>242</v>
      </c>
      <c r="B8" s="39" t="s">
        <v>109</v>
      </c>
      <c r="C8" s="39" t="s">
        <v>109</v>
      </c>
      <c r="D8" s="39" t="s">
        <v>217</v>
      </c>
      <c r="E8" s="51" t="s">
        <v>115</v>
      </c>
      <c r="F8" s="51" t="s">
        <v>115</v>
      </c>
      <c r="G8" s="51" t="s">
        <v>218</v>
      </c>
      <c r="H8" s="39" t="s">
        <v>217</v>
      </c>
      <c r="I8" s="39" t="s">
        <v>109</v>
      </c>
    </row>
    <row r="9" spans="1:11" s="45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51" t="s">
        <v>59</v>
      </c>
      <c r="F9" s="51" t="s">
        <v>59</v>
      </c>
      <c r="G9" s="51" t="s">
        <v>115</v>
      </c>
      <c r="H9" s="65" t="s">
        <v>219</v>
      </c>
      <c r="I9" s="65" t="s">
        <v>219</v>
      </c>
    </row>
    <row r="10" spans="1:11" ht="21" customHeight="1" x14ac:dyDescent="0.15">
      <c r="A10" s="75" t="s">
        <v>9</v>
      </c>
      <c r="B10" s="70" t="s">
        <v>109</v>
      </c>
      <c r="C10" s="70" t="s">
        <v>109</v>
      </c>
      <c r="D10" s="51" t="s">
        <v>59</v>
      </c>
      <c r="E10" s="51" t="s">
        <v>59</v>
      </c>
      <c r="F10" s="51" t="s">
        <v>59</v>
      </c>
      <c r="G10" s="51" t="s">
        <v>220</v>
      </c>
      <c r="H10" s="70" t="s">
        <v>219</v>
      </c>
      <c r="I10" s="70" t="s">
        <v>219</v>
      </c>
      <c r="K10" s="27" t="s">
        <v>12</v>
      </c>
    </row>
    <row r="11" spans="1:11" ht="21" customHeight="1" x14ac:dyDescent="0.15">
      <c r="A11" s="75" t="s">
        <v>210</v>
      </c>
      <c r="B11" s="70" t="s">
        <v>109</v>
      </c>
      <c r="C11" s="70" t="s">
        <v>109</v>
      </c>
      <c r="D11" s="52" t="s">
        <v>59</v>
      </c>
      <c r="E11" s="52" t="s">
        <v>59</v>
      </c>
      <c r="F11" s="52" t="s">
        <v>59</v>
      </c>
      <c r="G11" s="51" t="s">
        <v>220</v>
      </c>
      <c r="H11" s="70" t="s">
        <v>219</v>
      </c>
      <c r="I11" s="70" t="s">
        <v>219</v>
      </c>
      <c r="K11" s="29" t="s">
        <v>13</v>
      </c>
    </row>
    <row r="12" spans="1:11" ht="21" customHeight="1" x14ac:dyDescent="0.15">
      <c r="A12" s="75" t="s">
        <v>206</v>
      </c>
      <c r="B12" s="70" t="s">
        <v>109</v>
      </c>
      <c r="C12" s="70" t="s">
        <v>109</v>
      </c>
      <c r="D12" s="53" t="s">
        <v>60</v>
      </c>
      <c r="E12" s="53" t="s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  <c r="K12" s="71" t="s">
        <v>35</v>
      </c>
    </row>
    <row r="13" spans="1:11" ht="21" customHeight="1" x14ac:dyDescent="0.15">
      <c r="A13" s="104" t="s">
        <v>246</v>
      </c>
      <c r="B13" s="70" t="s">
        <v>109</v>
      </c>
      <c r="C13" s="70" t="s">
        <v>109</v>
      </c>
      <c r="D13" s="54" t="s">
        <v>59</v>
      </c>
      <c r="E13" s="54" t="s">
        <v>59</v>
      </c>
      <c r="F13" s="54" t="s">
        <v>59</v>
      </c>
      <c r="G13" s="70" t="s">
        <v>109</v>
      </c>
      <c r="H13" s="70" t="s">
        <v>109</v>
      </c>
      <c r="I13" s="70" t="s">
        <v>109</v>
      </c>
      <c r="K13" s="72"/>
    </row>
    <row r="14" spans="1:11" ht="21" customHeight="1" x14ac:dyDescent="0.15">
      <c r="A14" s="75" t="s">
        <v>247</v>
      </c>
      <c r="B14" s="70" t="s">
        <v>109</v>
      </c>
      <c r="C14" s="70" t="s">
        <v>109</v>
      </c>
      <c r="D14" s="54" t="s">
        <v>59</v>
      </c>
      <c r="E14" s="54" t="s">
        <v>59</v>
      </c>
      <c r="F14" s="54" t="s">
        <v>59</v>
      </c>
      <c r="G14" s="70" t="s">
        <v>109</v>
      </c>
      <c r="H14" s="70" t="s">
        <v>109</v>
      </c>
      <c r="I14" s="70" t="s">
        <v>109</v>
      </c>
    </row>
    <row r="15" spans="1:11" ht="21" customHeight="1" x14ac:dyDescent="0.15">
      <c r="A15" s="75" t="s">
        <v>105</v>
      </c>
      <c r="B15" s="70" t="s">
        <v>109</v>
      </c>
      <c r="C15" s="70" t="s">
        <v>109</v>
      </c>
      <c r="D15" s="54" t="s">
        <v>60</v>
      </c>
      <c r="E15" s="54" t="s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11" ht="21" customHeight="1" x14ac:dyDescent="0.15">
      <c r="A16" s="75" t="s">
        <v>249</v>
      </c>
      <c r="B16" s="70" t="s">
        <v>109</v>
      </c>
      <c r="C16" s="54" t="s">
        <v>60</v>
      </c>
      <c r="D16" s="54" t="s">
        <v>60</v>
      </c>
      <c r="E16" s="54" t="s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55" t="s">
        <v>61</v>
      </c>
      <c r="C17" s="55" t="s">
        <v>61</v>
      </c>
      <c r="D17" s="55" t="s">
        <v>61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50" t="s">
        <v>62</v>
      </c>
      <c r="C18" s="50" t="s">
        <v>62</v>
      </c>
      <c r="D18" s="70" t="s">
        <v>109</v>
      </c>
      <c r="E18" s="70" t="s">
        <v>109</v>
      </c>
      <c r="F18" s="70" t="s">
        <v>109</v>
      </c>
      <c r="G18" s="70" t="s">
        <v>109</v>
      </c>
      <c r="H18" s="70" t="s">
        <v>109</v>
      </c>
      <c r="I18" s="70" t="s">
        <v>109</v>
      </c>
    </row>
    <row r="19" spans="1:9" ht="21" customHeight="1" x14ac:dyDescent="0.15">
      <c r="A19" s="77" t="s">
        <v>250</v>
      </c>
      <c r="B19" s="52" t="s">
        <v>63</v>
      </c>
      <c r="C19" s="52" t="s">
        <v>63</v>
      </c>
      <c r="D19" s="70" t="s">
        <v>109</v>
      </c>
      <c r="E19" s="70" t="s">
        <v>109</v>
      </c>
      <c r="F19" s="70" t="s">
        <v>109</v>
      </c>
      <c r="G19" s="70" t="s">
        <v>109</v>
      </c>
      <c r="H19" s="70" t="s">
        <v>109</v>
      </c>
      <c r="I19" s="70" t="s">
        <v>109</v>
      </c>
    </row>
    <row r="20" spans="1:9" ht="21" customHeight="1" x14ac:dyDescent="0.15">
      <c r="A20" s="37" t="s">
        <v>251</v>
      </c>
      <c r="B20" s="78" t="s">
        <v>47</v>
      </c>
      <c r="C20" s="78" t="s">
        <v>47</v>
      </c>
      <c r="D20" s="78" t="s">
        <v>47</v>
      </c>
      <c r="E20" s="78" t="s">
        <v>47</v>
      </c>
      <c r="F20" s="78" t="s">
        <v>47</v>
      </c>
      <c r="G20" s="78" t="s">
        <v>47</v>
      </c>
      <c r="H20" s="78" t="s">
        <v>47</v>
      </c>
      <c r="I20" s="78" t="s">
        <v>47</v>
      </c>
    </row>
    <row r="25" spans="1:9" ht="21" customHeight="1" x14ac:dyDescent="0.15">
      <c r="A25" s="23" t="s">
        <v>14</v>
      </c>
    </row>
    <row r="26" spans="1:9" ht="21" customHeight="1" x14ac:dyDescent="0.15">
      <c r="A26" s="21" t="s">
        <v>64</v>
      </c>
      <c r="B26" s="21" t="s">
        <v>65</v>
      </c>
    </row>
    <row r="27" spans="1:9" ht="21" customHeight="1" x14ac:dyDescent="0.15">
      <c r="A27" s="24">
        <v>1</v>
      </c>
      <c r="B27" s="24">
        <v>200</v>
      </c>
    </row>
    <row r="28" spans="1:9" ht="21" customHeight="1" x14ac:dyDescent="0.15">
      <c r="A28" s="24">
        <v>2</v>
      </c>
      <c r="B28" s="24">
        <v>600</v>
      </c>
    </row>
    <row r="29" spans="1:9" ht="21" customHeight="1" x14ac:dyDescent="0.15">
      <c r="A29" s="24">
        <v>3</v>
      </c>
      <c r="B29" s="24">
        <v>1500</v>
      </c>
    </row>
    <row r="30" spans="1:9" ht="21" customHeight="1" x14ac:dyDescent="0.15">
      <c r="A30" s="24">
        <v>4</v>
      </c>
      <c r="B30" s="24">
        <v>3400</v>
      </c>
    </row>
    <row r="31" spans="1:9" ht="21" customHeight="1" x14ac:dyDescent="0.15">
      <c r="A31" s="24">
        <v>5</v>
      </c>
      <c r="B31" s="24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228</v>
      </c>
      <c r="B2" s="146"/>
      <c r="C2" s="147"/>
      <c r="D2" s="158" t="s">
        <v>11</v>
      </c>
      <c r="E2" s="158">
        <v>8000</v>
      </c>
      <c r="F2" s="158">
        <v>10000</v>
      </c>
      <c r="G2" s="158">
        <v>14000</v>
      </c>
      <c r="H2" s="147"/>
      <c r="I2" s="147"/>
    </row>
    <row r="3" spans="1:9" s="4" customFormat="1" ht="21" customHeight="1" x14ac:dyDescent="0.15">
      <c r="A3" s="145" t="s">
        <v>229</v>
      </c>
      <c r="B3" s="149"/>
      <c r="C3" s="150"/>
      <c r="D3" s="158" t="s">
        <v>11</v>
      </c>
      <c r="E3" s="158">
        <v>7500</v>
      </c>
      <c r="F3" s="158">
        <v>9500</v>
      </c>
      <c r="G3" s="158">
        <v>13000</v>
      </c>
      <c r="H3" s="150"/>
      <c r="I3" s="150"/>
    </row>
    <row r="4" spans="1:9" s="4" customFormat="1" ht="21" customHeight="1" x14ac:dyDescent="0.15">
      <c r="A4" s="145" t="s">
        <v>231</v>
      </c>
      <c r="B4" s="152"/>
      <c r="C4" s="153"/>
      <c r="D4" s="158">
        <v>5000</v>
      </c>
      <c r="E4" s="158">
        <v>7000</v>
      </c>
      <c r="F4" s="158">
        <v>9000</v>
      </c>
      <c r="G4" s="158">
        <v>12000</v>
      </c>
      <c r="H4" s="153"/>
      <c r="I4" s="153"/>
    </row>
    <row r="5" spans="1:9" s="4" customFormat="1" ht="21" customHeight="1" x14ac:dyDescent="0.15">
      <c r="A5" s="164" t="s">
        <v>232</v>
      </c>
      <c r="B5" s="159"/>
      <c r="C5" s="160"/>
      <c r="D5" s="158">
        <v>4900</v>
      </c>
      <c r="E5" s="158">
        <v>6700</v>
      </c>
      <c r="F5" s="158">
        <v>8500</v>
      </c>
      <c r="G5" s="158">
        <v>11000</v>
      </c>
      <c r="H5" s="160"/>
      <c r="I5" s="160"/>
    </row>
    <row r="6" spans="1:9" s="4" customFormat="1" ht="21" customHeight="1" x14ac:dyDescent="0.15">
      <c r="A6" s="164" t="s">
        <v>233</v>
      </c>
      <c r="B6" s="159"/>
      <c r="C6" s="160"/>
      <c r="D6" s="158">
        <v>4800</v>
      </c>
      <c r="E6" s="158">
        <v>6600</v>
      </c>
      <c r="F6" s="158" t="s">
        <v>11</v>
      </c>
      <c r="G6" s="158" t="s">
        <v>11</v>
      </c>
      <c r="H6" s="160"/>
      <c r="I6" s="160"/>
    </row>
    <row r="7" spans="1:9" ht="21" customHeight="1" x14ac:dyDescent="0.15">
      <c r="A7" s="73" t="s">
        <v>207</v>
      </c>
      <c r="B7" s="46" t="s">
        <v>11</v>
      </c>
      <c r="C7" s="46" t="s">
        <v>11</v>
      </c>
      <c r="D7" s="46" t="s">
        <v>11</v>
      </c>
      <c r="E7" s="46" t="s">
        <v>11</v>
      </c>
      <c r="F7" s="46" t="s">
        <v>11</v>
      </c>
      <c r="G7" s="46" t="s">
        <v>11</v>
      </c>
      <c r="H7" s="46" t="s">
        <v>11</v>
      </c>
      <c r="I7" s="46" t="s">
        <v>11</v>
      </c>
    </row>
    <row r="8" spans="1:9" ht="21" customHeight="1" x14ac:dyDescent="0.15">
      <c r="A8" s="74" t="s">
        <v>208</v>
      </c>
      <c r="B8" s="46" t="s">
        <v>11</v>
      </c>
      <c r="C8" s="46" t="s">
        <v>11</v>
      </c>
      <c r="D8" s="46" t="s">
        <v>11</v>
      </c>
      <c r="E8" s="46">
        <v>8000</v>
      </c>
      <c r="F8" s="28">
        <v>10000</v>
      </c>
      <c r="G8" s="46">
        <v>14000</v>
      </c>
      <c r="H8" s="46" t="s">
        <v>11</v>
      </c>
      <c r="I8" s="46" t="s">
        <v>11</v>
      </c>
    </row>
    <row r="9" spans="1:9" s="45" customFormat="1" ht="21" customHeight="1" x14ac:dyDescent="0.15">
      <c r="A9" s="75" t="s">
        <v>209</v>
      </c>
      <c r="B9" s="28" t="s">
        <v>11</v>
      </c>
      <c r="C9" s="28" t="s">
        <v>11</v>
      </c>
      <c r="D9" s="28" t="s">
        <v>11</v>
      </c>
      <c r="E9" s="28">
        <v>7500</v>
      </c>
      <c r="F9" s="28">
        <v>9500</v>
      </c>
      <c r="G9" s="46">
        <v>13000</v>
      </c>
      <c r="H9" s="28" t="s">
        <v>11</v>
      </c>
      <c r="I9" s="28" t="s">
        <v>11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8">
        <v>5000</v>
      </c>
      <c r="E10" s="28">
        <v>7000</v>
      </c>
      <c r="F10" s="28">
        <v>9000</v>
      </c>
      <c r="G10" s="46">
        <v>12000</v>
      </c>
      <c r="H10" s="68" t="s">
        <v>11</v>
      </c>
      <c r="I10" s="68" t="s">
        <v>11</v>
      </c>
    </row>
    <row r="11" spans="1:9" ht="21" customHeight="1" x14ac:dyDescent="0.15">
      <c r="A11" s="75" t="s">
        <v>210</v>
      </c>
      <c r="B11" s="68" t="s">
        <v>11</v>
      </c>
      <c r="C11" s="68" t="s">
        <v>11</v>
      </c>
      <c r="D11" s="28">
        <v>4900</v>
      </c>
      <c r="E11" s="28">
        <v>6700</v>
      </c>
      <c r="F11" s="28">
        <v>8500</v>
      </c>
      <c r="G11" s="46">
        <v>11000</v>
      </c>
      <c r="H11" s="68" t="s">
        <v>11</v>
      </c>
      <c r="I11" s="68" t="s">
        <v>11</v>
      </c>
    </row>
    <row r="12" spans="1:9" ht="21" customHeight="1" x14ac:dyDescent="0.15">
      <c r="A12" s="75" t="s">
        <v>106</v>
      </c>
      <c r="B12" s="68" t="s">
        <v>11</v>
      </c>
      <c r="C12" s="68" t="s">
        <v>11</v>
      </c>
      <c r="D12" s="28">
        <v>4800</v>
      </c>
      <c r="E12" s="28">
        <v>6600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75" t="s">
        <v>211</v>
      </c>
      <c r="B13" s="68" t="s">
        <v>11</v>
      </c>
      <c r="C13" s="68" t="s">
        <v>11</v>
      </c>
      <c r="D13" s="68" t="s">
        <v>11</v>
      </c>
      <c r="E13" s="28">
        <v>6300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212</v>
      </c>
      <c r="B14" s="68" t="s">
        <v>11</v>
      </c>
      <c r="C14" s="68" t="s">
        <v>11</v>
      </c>
      <c r="D14" s="28">
        <v>4600</v>
      </c>
      <c r="E14" s="28">
        <v>5800</v>
      </c>
      <c r="F14" s="28">
        <v>7600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105</v>
      </c>
      <c r="B15" s="68" t="s">
        <v>11</v>
      </c>
      <c r="C15" s="68" t="s">
        <v>11</v>
      </c>
      <c r="D15" s="28">
        <v>4400</v>
      </c>
      <c r="E15" s="28">
        <v>5600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213</v>
      </c>
      <c r="B16" s="68" t="s">
        <v>11</v>
      </c>
      <c r="C16" s="28">
        <v>3000</v>
      </c>
      <c r="D16" s="28">
        <v>4200</v>
      </c>
      <c r="E16" s="28">
        <v>5400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8">
        <v>2000</v>
      </c>
      <c r="C17" s="28">
        <v>2800</v>
      </c>
      <c r="D17" s="28">
        <v>4000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28">
        <v>1750</v>
      </c>
      <c r="C18" s="28">
        <v>2550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214</v>
      </c>
      <c r="B19" s="28">
        <v>1500</v>
      </c>
      <c r="C19" s="28">
        <v>2300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7" t="s">
        <v>215</v>
      </c>
      <c r="B20" s="36">
        <v>1000</v>
      </c>
      <c r="C20" s="36">
        <v>1000</v>
      </c>
      <c r="D20" s="36">
        <v>1000</v>
      </c>
      <c r="E20" s="36">
        <v>1000</v>
      </c>
      <c r="F20" s="36">
        <v>1000</v>
      </c>
      <c r="G20" s="36">
        <v>1000</v>
      </c>
      <c r="H20" s="36">
        <v>1000</v>
      </c>
      <c r="I20" s="36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2">
        <v>592</v>
      </c>
    </row>
    <row r="4" spans="1:4" x14ac:dyDescent="0.15">
      <c r="A4" t="s">
        <v>201</v>
      </c>
      <c r="B4" s="132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4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2017-06-06T07:45:18Z</dcterms:modified>
</cp:coreProperties>
</file>