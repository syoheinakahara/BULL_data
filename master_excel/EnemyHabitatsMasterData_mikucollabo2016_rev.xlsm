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0" yWindow="460" windowWidth="38400" windowHeight="19780" tabRatio="740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sets" sheetId="9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5" hidden="1">enemy_skill_sets!$A$1:$R$1</definedName>
    <definedName name="_xlnm._FilterDatabase" localSheetId="6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5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32" i="9" l="1"/>
  <c r="N332" i="9"/>
  <c r="M332" i="9"/>
  <c r="L332" i="9"/>
  <c r="K332" i="9"/>
  <c r="J332" i="9"/>
  <c r="I332" i="9"/>
  <c r="H332" i="9"/>
  <c r="G332" i="9"/>
  <c r="E332" i="9"/>
  <c r="D332" i="9"/>
  <c r="A332" i="9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J132" i="11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J125" i="11"/>
  <c r="O331" i="9"/>
  <c r="N331" i="9"/>
  <c r="M331" i="9"/>
  <c r="L331" i="9"/>
  <c r="K331" i="9"/>
  <c r="J331" i="9"/>
  <c r="I331" i="9"/>
  <c r="H331" i="9"/>
  <c r="G331" i="9"/>
  <c r="E331" i="9"/>
  <c r="D331" i="9"/>
  <c r="A331" i="9"/>
  <c r="J124" i="11"/>
  <c r="O330" i="9"/>
  <c r="N330" i="9"/>
  <c r="M330" i="9"/>
  <c r="L330" i="9"/>
  <c r="K330" i="9"/>
  <c r="J330" i="9"/>
  <c r="I330" i="9"/>
  <c r="H330" i="9"/>
  <c r="G330" i="9"/>
  <c r="E330" i="9"/>
  <c r="D330" i="9"/>
  <c r="A330" i="9"/>
  <c r="J123" i="11"/>
  <c r="O329" i="9"/>
  <c r="N329" i="9"/>
  <c r="M329" i="9"/>
  <c r="L329" i="9"/>
  <c r="K329" i="9"/>
  <c r="J329" i="9"/>
  <c r="I329" i="9"/>
  <c r="H329" i="9"/>
  <c r="G329" i="9"/>
  <c r="E329" i="9"/>
  <c r="D329" i="9"/>
  <c r="A329" i="9"/>
  <c r="J122" i="11"/>
  <c r="O328" i="9"/>
  <c r="N328" i="9"/>
  <c r="M328" i="9"/>
  <c r="L328" i="9"/>
  <c r="K328" i="9"/>
  <c r="J328" i="9"/>
  <c r="I328" i="9"/>
  <c r="H328" i="9"/>
  <c r="G328" i="9"/>
  <c r="E328" i="9"/>
  <c r="D328" i="9"/>
  <c r="A328" i="9"/>
  <c r="J121" i="11"/>
  <c r="O327" i="9"/>
  <c r="N327" i="9"/>
  <c r="M327" i="9"/>
  <c r="L327" i="9"/>
  <c r="K327" i="9"/>
  <c r="J327" i="9"/>
  <c r="I327" i="9"/>
  <c r="H327" i="9"/>
  <c r="G327" i="9"/>
  <c r="E327" i="9"/>
  <c r="D327" i="9"/>
  <c r="A327" i="9"/>
  <c r="J120" i="11"/>
  <c r="O326" i="9"/>
  <c r="N326" i="9"/>
  <c r="M326" i="9"/>
  <c r="L326" i="9"/>
  <c r="K326" i="9"/>
  <c r="J326" i="9"/>
  <c r="I326" i="9"/>
  <c r="H326" i="9"/>
  <c r="G326" i="9"/>
  <c r="E326" i="9"/>
  <c r="D326" i="9"/>
  <c r="A326" i="9"/>
  <c r="J119" i="11"/>
  <c r="O325" i="9"/>
  <c r="N325" i="9"/>
  <c r="M325" i="9"/>
  <c r="L325" i="9"/>
  <c r="K325" i="9"/>
  <c r="J325" i="9"/>
  <c r="I325" i="9"/>
  <c r="H325" i="9"/>
  <c r="G325" i="9"/>
  <c r="E325" i="9"/>
  <c r="D325" i="9"/>
  <c r="A325" i="9"/>
  <c r="J118" i="11"/>
  <c r="O324" i="9"/>
  <c r="N324" i="9"/>
  <c r="M324" i="9"/>
  <c r="L324" i="9"/>
  <c r="K324" i="9"/>
  <c r="J324" i="9"/>
  <c r="I324" i="9"/>
  <c r="H324" i="9"/>
  <c r="G324" i="9"/>
  <c r="E324" i="9"/>
  <c r="D324" i="9"/>
  <c r="A324" i="9"/>
  <c r="J117" i="11"/>
  <c r="O323" i="9"/>
  <c r="N323" i="9"/>
  <c r="M323" i="9"/>
  <c r="L323" i="9"/>
  <c r="K323" i="9"/>
  <c r="J323" i="9"/>
  <c r="I323" i="9"/>
  <c r="H323" i="9"/>
  <c r="G323" i="9"/>
  <c r="E323" i="9"/>
  <c r="D323" i="9"/>
  <c r="A323" i="9"/>
  <c r="J116" i="11"/>
  <c r="O322" i="9"/>
  <c r="N322" i="9"/>
  <c r="M322" i="9"/>
  <c r="L322" i="9"/>
  <c r="K322" i="9"/>
  <c r="J322" i="9"/>
  <c r="I322" i="9"/>
  <c r="H322" i="9"/>
  <c r="G322" i="9"/>
  <c r="E322" i="9"/>
  <c r="D322" i="9"/>
  <c r="A322" i="9"/>
  <c r="J115" i="11"/>
  <c r="O321" i="9"/>
  <c r="N321" i="9"/>
  <c r="M321" i="9"/>
  <c r="L321" i="9"/>
  <c r="K321" i="9"/>
  <c r="J321" i="9"/>
  <c r="I321" i="9"/>
  <c r="H321" i="9"/>
  <c r="G321" i="9"/>
  <c r="E321" i="9"/>
  <c r="D321" i="9"/>
  <c r="A321" i="9"/>
  <c r="J114" i="11"/>
  <c r="O320" i="9"/>
  <c r="N320" i="9"/>
  <c r="M320" i="9"/>
  <c r="L320" i="9"/>
  <c r="K320" i="9"/>
  <c r="J320" i="9"/>
  <c r="I320" i="9"/>
  <c r="H320" i="9"/>
  <c r="G320" i="9"/>
  <c r="E320" i="9"/>
  <c r="D320" i="9"/>
  <c r="A320" i="9"/>
  <c r="J113" i="11"/>
  <c r="O319" i="9"/>
  <c r="N319" i="9"/>
  <c r="M319" i="9"/>
  <c r="L319" i="9"/>
  <c r="K319" i="9"/>
  <c r="J319" i="9"/>
  <c r="I319" i="9"/>
  <c r="H319" i="9"/>
  <c r="G319" i="9"/>
  <c r="E319" i="9"/>
  <c r="D319" i="9"/>
  <c r="A319" i="9"/>
  <c r="J112" i="11"/>
  <c r="O318" i="9"/>
  <c r="N318" i="9"/>
  <c r="M318" i="9"/>
  <c r="L318" i="9"/>
  <c r="K318" i="9"/>
  <c r="J318" i="9"/>
  <c r="I318" i="9"/>
  <c r="H318" i="9"/>
  <c r="G318" i="9"/>
  <c r="E318" i="9"/>
  <c r="D318" i="9"/>
  <c r="A318" i="9"/>
  <c r="J111" i="11"/>
  <c r="O317" i="9"/>
  <c r="N317" i="9"/>
  <c r="M317" i="9"/>
  <c r="L317" i="9"/>
  <c r="K317" i="9"/>
  <c r="J317" i="9"/>
  <c r="I317" i="9"/>
  <c r="H317" i="9"/>
  <c r="G317" i="9"/>
  <c r="E317" i="9"/>
  <c r="D317" i="9"/>
  <c r="A317" i="9"/>
  <c r="J110" i="11"/>
  <c r="O316" i="9"/>
  <c r="N316" i="9"/>
  <c r="M316" i="9"/>
  <c r="L316" i="9"/>
  <c r="K316" i="9"/>
  <c r="J316" i="9"/>
  <c r="I316" i="9"/>
  <c r="H316" i="9"/>
  <c r="G316" i="9"/>
  <c r="E316" i="9"/>
  <c r="D316" i="9"/>
  <c r="A316" i="9"/>
  <c r="J109" i="11"/>
  <c r="O315" i="9"/>
  <c r="N315" i="9"/>
  <c r="M315" i="9"/>
  <c r="L315" i="9"/>
  <c r="K315" i="9"/>
  <c r="J315" i="9"/>
  <c r="I315" i="9"/>
  <c r="H315" i="9"/>
  <c r="G315" i="9"/>
  <c r="E315" i="9"/>
  <c r="D315" i="9"/>
  <c r="A315" i="9"/>
  <c r="J108" i="11"/>
  <c r="O314" i="9"/>
  <c r="N314" i="9"/>
  <c r="M314" i="9"/>
  <c r="L314" i="9"/>
  <c r="K314" i="9"/>
  <c r="J314" i="9"/>
  <c r="I314" i="9"/>
  <c r="H314" i="9"/>
  <c r="G314" i="9"/>
  <c r="E314" i="9"/>
  <c r="D314" i="9"/>
  <c r="A314" i="9"/>
  <c r="J107" i="11"/>
  <c r="O313" i="9"/>
  <c r="N313" i="9"/>
  <c r="M313" i="9"/>
  <c r="L313" i="9"/>
  <c r="K313" i="9"/>
  <c r="J313" i="9"/>
  <c r="I313" i="9"/>
  <c r="H313" i="9"/>
  <c r="G313" i="9"/>
  <c r="E313" i="9"/>
  <c r="D313" i="9"/>
  <c r="A313" i="9"/>
  <c r="J106" i="11"/>
  <c r="O312" i="9"/>
  <c r="N312" i="9"/>
  <c r="M312" i="9"/>
  <c r="L312" i="9"/>
  <c r="K312" i="9"/>
  <c r="J312" i="9"/>
  <c r="I312" i="9"/>
  <c r="H312" i="9"/>
  <c r="G312" i="9"/>
  <c r="E312" i="9"/>
  <c r="D312" i="9"/>
  <c r="A312" i="9"/>
  <c r="J105" i="11"/>
  <c r="O311" i="9"/>
  <c r="N311" i="9"/>
  <c r="M311" i="9"/>
  <c r="L311" i="9"/>
  <c r="K311" i="9"/>
  <c r="J311" i="9"/>
  <c r="I311" i="9"/>
  <c r="H311" i="9"/>
  <c r="G311" i="9"/>
  <c r="E311" i="9"/>
  <c r="D311" i="9"/>
  <c r="A311" i="9"/>
  <c r="J104" i="11"/>
  <c r="O310" i="9"/>
  <c r="N310" i="9"/>
  <c r="M310" i="9"/>
  <c r="L310" i="9"/>
  <c r="K310" i="9"/>
  <c r="J310" i="9"/>
  <c r="I310" i="9"/>
  <c r="H310" i="9"/>
  <c r="G310" i="9"/>
  <c r="E310" i="9"/>
  <c r="D310" i="9"/>
  <c r="A310" i="9"/>
  <c r="J103" i="11"/>
  <c r="O309" i="9"/>
  <c r="N309" i="9"/>
  <c r="M309" i="9"/>
  <c r="L309" i="9"/>
  <c r="K309" i="9"/>
  <c r="J309" i="9"/>
  <c r="I309" i="9"/>
  <c r="H309" i="9"/>
  <c r="G309" i="9"/>
  <c r="E309" i="9"/>
  <c r="D309" i="9"/>
  <c r="A309" i="9"/>
  <c r="J102" i="11"/>
  <c r="O308" i="9"/>
  <c r="N308" i="9"/>
  <c r="M308" i="9"/>
  <c r="L308" i="9"/>
  <c r="K308" i="9"/>
  <c r="J308" i="9"/>
  <c r="I308" i="9"/>
  <c r="H308" i="9"/>
  <c r="G308" i="9"/>
  <c r="E308" i="9"/>
  <c r="D308" i="9"/>
  <c r="A308" i="9"/>
  <c r="J101" i="11"/>
  <c r="O307" i="9"/>
  <c r="N307" i="9"/>
  <c r="M307" i="9"/>
  <c r="L307" i="9"/>
  <c r="K307" i="9"/>
  <c r="J307" i="9"/>
  <c r="I307" i="9"/>
  <c r="H307" i="9"/>
  <c r="G307" i="9"/>
  <c r="E307" i="9"/>
  <c r="D307" i="9"/>
  <c r="A307" i="9"/>
  <c r="J100" i="11"/>
  <c r="O306" i="9"/>
  <c r="N306" i="9"/>
  <c r="M306" i="9"/>
  <c r="L306" i="9"/>
  <c r="K306" i="9"/>
  <c r="J306" i="9"/>
  <c r="I306" i="9"/>
  <c r="H306" i="9"/>
  <c r="G306" i="9"/>
  <c r="E306" i="9"/>
  <c r="D306" i="9"/>
  <c r="A306" i="9"/>
  <c r="J99" i="11"/>
  <c r="O305" i="9"/>
  <c r="N305" i="9"/>
  <c r="M305" i="9"/>
  <c r="L305" i="9"/>
  <c r="K305" i="9"/>
  <c r="J305" i="9"/>
  <c r="I305" i="9"/>
  <c r="H305" i="9"/>
  <c r="G305" i="9"/>
  <c r="E305" i="9"/>
  <c r="D305" i="9"/>
  <c r="A305" i="9"/>
  <c r="J98" i="11"/>
  <c r="O304" i="9"/>
  <c r="N304" i="9"/>
  <c r="M304" i="9"/>
  <c r="L304" i="9"/>
  <c r="K304" i="9"/>
  <c r="J304" i="9"/>
  <c r="I304" i="9"/>
  <c r="H304" i="9"/>
  <c r="G304" i="9"/>
  <c r="E304" i="9"/>
  <c r="D304" i="9"/>
  <c r="A304" i="9"/>
  <c r="J97" i="11"/>
  <c r="O303" i="9"/>
  <c r="N303" i="9"/>
  <c r="M303" i="9"/>
  <c r="L303" i="9"/>
  <c r="K303" i="9"/>
  <c r="J303" i="9"/>
  <c r="I303" i="9"/>
  <c r="H303" i="9"/>
  <c r="G303" i="9"/>
  <c r="E303" i="9"/>
  <c r="D303" i="9"/>
  <c r="A303" i="9"/>
  <c r="J96" i="11"/>
  <c r="O302" i="9"/>
  <c r="N302" i="9"/>
  <c r="M302" i="9"/>
  <c r="L302" i="9"/>
  <c r="K302" i="9"/>
  <c r="J302" i="9"/>
  <c r="I302" i="9"/>
  <c r="H302" i="9"/>
  <c r="G302" i="9"/>
  <c r="E302" i="9"/>
  <c r="D302" i="9"/>
  <c r="A302" i="9"/>
  <c r="J95" i="11"/>
  <c r="O301" i="9"/>
  <c r="N301" i="9"/>
  <c r="M301" i="9"/>
  <c r="L301" i="9"/>
  <c r="K301" i="9"/>
  <c r="J301" i="9"/>
  <c r="I301" i="9"/>
  <c r="H301" i="9"/>
  <c r="G301" i="9"/>
  <c r="E301" i="9"/>
  <c r="D301" i="9"/>
  <c r="A301" i="9"/>
  <c r="J94" i="11"/>
  <c r="O300" i="9"/>
  <c r="N300" i="9"/>
  <c r="M300" i="9"/>
  <c r="L300" i="9"/>
  <c r="K300" i="9"/>
  <c r="J300" i="9"/>
  <c r="I300" i="9"/>
  <c r="H300" i="9"/>
  <c r="G300" i="9"/>
  <c r="E300" i="9"/>
  <c r="D300" i="9"/>
  <c r="A300" i="9"/>
  <c r="J93" i="11"/>
  <c r="O299" i="9"/>
  <c r="N299" i="9"/>
  <c r="M299" i="9"/>
  <c r="L299" i="9"/>
  <c r="K299" i="9"/>
  <c r="J299" i="9"/>
  <c r="I299" i="9"/>
  <c r="H299" i="9"/>
  <c r="G299" i="9"/>
  <c r="E299" i="9"/>
  <c r="D299" i="9"/>
  <c r="A299" i="9"/>
  <c r="J92" i="11"/>
  <c r="O298" i="9"/>
  <c r="N298" i="9"/>
  <c r="M298" i="9"/>
  <c r="L298" i="9"/>
  <c r="K298" i="9"/>
  <c r="J298" i="9"/>
  <c r="I298" i="9"/>
  <c r="H298" i="9"/>
  <c r="G298" i="9"/>
  <c r="E298" i="9"/>
  <c r="D298" i="9"/>
  <c r="A298" i="9"/>
  <c r="J91" i="11"/>
  <c r="O297" i="9"/>
  <c r="N297" i="9"/>
  <c r="M297" i="9"/>
  <c r="L297" i="9"/>
  <c r="K297" i="9"/>
  <c r="J297" i="9"/>
  <c r="I297" i="9"/>
  <c r="H297" i="9"/>
  <c r="G297" i="9"/>
  <c r="E297" i="9"/>
  <c r="D297" i="9"/>
  <c r="A297" i="9"/>
  <c r="J90" i="11"/>
  <c r="O296" i="9"/>
  <c r="N296" i="9"/>
  <c r="M296" i="9"/>
  <c r="L296" i="9"/>
  <c r="K296" i="9"/>
  <c r="J296" i="9"/>
  <c r="I296" i="9"/>
  <c r="H296" i="9"/>
  <c r="G296" i="9"/>
  <c r="E296" i="9"/>
  <c r="D296" i="9"/>
  <c r="A296" i="9"/>
  <c r="J89" i="11"/>
  <c r="O295" i="9"/>
  <c r="N295" i="9"/>
  <c r="M295" i="9"/>
  <c r="L295" i="9"/>
  <c r="K295" i="9"/>
  <c r="J295" i="9"/>
  <c r="I295" i="9"/>
  <c r="H295" i="9"/>
  <c r="G295" i="9"/>
  <c r="E295" i="9"/>
  <c r="D295" i="9"/>
  <c r="A295" i="9"/>
  <c r="J88" i="11"/>
  <c r="O294" i="9"/>
  <c r="N294" i="9"/>
  <c r="M294" i="9"/>
  <c r="L294" i="9"/>
  <c r="K294" i="9"/>
  <c r="J294" i="9"/>
  <c r="I294" i="9"/>
  <c r="H294" i="9"/>
  <c r="G294" i="9"/>
  <c r="E294" i="9"/>
  <c r="D294" i="9"/>
  <c r="A294" i="9"/>
  <c r="J87" i="11"/>
  <c r="O293" i="9"/>
  <c r="N293" i="9"/>
  <c r="M293" i="9"/>
  <c r="L293" i="9"/>
  <c r="K293" i="9"/>
  <c r="J293" i="9"/>
  <c r="I293" i="9"/>
  <c r="H293" i="9"/>
  <c r="G293" i="9"/>
  <c r="E293" i="9"/>
  <c r="D293" i="9"/>
  <c r="A293" i="9"/>
  <c r="J86" i="11"/>
  <c r="O292" i="9"/>
  <c r="N292" i="9"/>
  <c r="M292" i="9"/>
  <c r="L292" i="9"/>
  <c r="K292" i="9"/>
  <c r="J292" i="9"/>
  <c r="I292" i="9"/>
  <c r="H292" i="9"/>
  <c r="G292" i="9"/>
  <c r="E292" i="9"/>
  <c r="D292" i="9"/>
  <c r="A292" i="9"/>
  <c r="J85" i="11"/>
  <c r="O291" i="9"/>
  <c r="N291" i="9"/>
  <c r="M291" i="9"/>
  <c r="L291" i="9"/>
  <c r="K291" i="9"/>
  <c r="J291" i="9"/>
  <c r="I291" i="9"/>
  <c r="H291" i="9"/>
  <c r="G291" i="9"/>
  <c r="E291" i="9"/>
  <c r="D291" i="9"/>
  <c r="A291" i="9"/>
  <c r="J84" i="11"/>
  <c r="O290" i="9"/>
  <c r="N290" i="9"/>
  <c r="M290" i="9"/>
  <c r="L290" i="9"/>
  <c r="K290" i="9"/>
  <c r="J290" i="9"/>
  <c r="I290" i="9"/>
  <c r="H290" i="9"/>
  <c r="G290" i="9"/>
  <c r="E290" i="9"/>
  <c r="D290" i="9"/>
  <c r="A290" i="9"/>
  <c r="J83" i="11"/>
  <c r="O289" i="9"/>
  <c r="N289" i="9"/>
  <c r="M289" i="9"/>
  <c r="L289" i="9"/>
  <c r="K289" i="9"/>
  <c r="J289" i="9"/>
  <c r="I289" i="9"/>
  <c r="H289" i="9"/>
  <c r="G289" i="9"/>
  <c r="E289" i="9"/>
  <c r="D289" i="9"/>
  <c r="A289" i="9"/>
  <c r="J82" i="11"/>
  <c r="O288" i="9"/>
  <c r="N288" i="9"/>
  <c r="M288" i="9"/>
  <c r="L288" i="9"/>
  <c r="K288" i="9"/>
  <c r="J288" i="9"/>
  <c r="I288" i="9"/>
  <c r="H288" i="9"/>
  <c r="G288" i="9"/>
  <c r="E288" i="9"/>
  <c r="D288" i="9"/>
  <c r="A288" i="9"/>
  <c r="J81" i="11"/>
  <c r="O287" i="9"/>
  <c r="N287" i="9"/>
  <c r="M287" i="9"/>
  <c r="L287" i="9"/>
  <c r="K287" i="9"/>
  <c r="J287" i="9"/>
  <c r="I287" i="9"/>
  <c r="H287" i="9"/>
  <c r="G287" i="9"/>
  <c r="E287" i="9"/>
  <c r="D287" i="9"/>
  <c r="A287" i="9"/>
  <c r="J80" i="11"/>
  <c r="O286" i="9"/>
  <c r="N286" i="9"/>
  <c r="M286" i="9"/>
  <c r="L286" i="9"/>
  <c r="K286" i="9"/>
  <c r="J286" i="9"/>
  <c r="I286" i="9"/>
  <c r="H286" i="9"/>
  <c r="G286" i="9"/>
  <c r="E286" i="9"/>
  <c r="D286" i="9"/>
  <c r="A286" i="9"/>
  <c r="J79" i="11"/>
  <c r="O285" i="9"/>
  <c r="N285" i="9"/>
  <c r="M285" i="9"/>
  <c r="L285" i="9"/>
  <c r="K285" i="9"/>
  <c r="J285" i="9"/>
  <c r="I285" i="9"/>
  <c r="H285" i="9"/>
  <c r="G285" i="9"/>
  <c r="E285" i="9"/>
  <c r="D285" i="9"/>
  <c r="A285" i="9"/>
  <c r="O280" i="9"/>
  <c r="N280" i="9"/>
  <c r="M280" i="9"/>
  <c r="L280" i="9"/>
  <c r="K280" i="9"/>
  <c r="J280" i="9"/>
  <c r="I280" i="9"/>
  <c r="H280" i="9"/>
  <c r="G280" i="9"/>
  <c r="E280" i="9"/>
  <c r="D280" i="9"/>
  <c r="A280" i="9"/>
  <c r="O279" i="9"/>
  <c r="N279" i="9"/>
  <c r="M279" i="9"/>
  <c r="L279" i="9"/>
  <c r="K279" i="9"/>
  <c r="J279" i="9"/>
  <c r="I279" i="9"/>
  <c r="H279" i="9"/>
  <c r="G279" i="9"/>
  <c r="E279" i="9"/>
  <c r="D279" i="9"/>
  <c r="A279" i="9"/>
  <c r="O278" i="9"/>
  <c r="N278" i="9"/>
  <c r="M278" i="9"/>
  <c r="L278" i="9"/>
  <c r="K278" i="9"/>
  <c r="J278" i="9"/>
  <c r="I278" i="9"/>
  <c r="H278" i="9"/>
  <c r="G278" i="9"/>
  <c r="E278" i="9"/>
  <c r="D278" i="9"/>
  <c r="A278" i="9"/>
  <c r="O277" i="9"/>
  <c r="N277" i="9"/>
  <c r="M277" i="9"/>
  <c r="L277" i="9"/>
  <c r="K277" i="9"/>
  <c r="J277" i="9"/>
  <c r="I277" i="9"/>
  <c r="H277" i="9"/>
  <c r="G277" i="9"/>
  <c r="E277" i="9"/>
  <c r="D277" i="9"/>
  <c r="A277" i="9"/>
  <c r="O276" i="9"/>
  <c r="N276" i="9"/>
  <c r="M276" i="9"/>
  <c r="L276" i="9"/>
  <c r="K276" i="9"/>
  <c r="J276" i="9"/>
  <c r="I276" i="9"/>
  <c r="H276" i="9"/>
  <c r="G276" i="9"/>
  <c r="E276" i="9"/>
  <c r="D276" i="9"/>
  <c r="A276" i="9"/>
  <c r="O275" i="9"/>
  <c r="N275" i="9"/>
  <c r="M275" i="9"/>
  <c r="L275" i="9"/>
  <c r="K275" i="9"/>
  <c r="J275" i="9"/>
  <c r="I275" i="9"/>
  <c r="H275" i="9"/>
  <c r="G275" i="9"/>
  <c r="E275" i="9"/>
  <c r="D275" i="9"/>
  <c r="A275" i="9"/>
  <c r="O274" i="9"/>
  <c r="N274" i="9"/>
  <c r="M274" i="9"/>
  <c r="L274" i="9"/>
  <c r="K274" i="9"/>
  <c r="J274" i="9"/>
  <c r="I274" i="9"/>
  <c r="H274" i="9"/>
  <c r="G274" i="9"/>
  <c r="E274" i="9"/>
  <c r="D274" i="9"/>
  <c r="A274" i="9"/>
  <c r="O273" i="9"/>
  <c r="N273" i="9"/>
  <c r="M273" i="9"/>
  <c r="L273" i="9"/>
  <c r="K273" i="9"/>
  <c r="J273" i="9"/>
  <c r="I273" i="9"/>
  <c r="H273" i="9"/>
  <c r="G273" i="9"/>
  <c r="E273" i="9"/>
  <c r="D273" i="9"/>
  <c r="A273" i="9"/>
  <c r="O272" i="9"/>
  <c r="N272" i="9"/>
  <c r="M272" i="9"/>
  <c r="L272" i="9"/>
  <c r="K272" i="9"/>
  <c r="J272" i="9"/>
  <c r="I272" i="9"/>
  <c r="H272" i="9"/>
  <c r="G272" i="9"/>
  <c r="E272" i="9"/>
  <c r="D272" i="9"/>
  <c r="A272" i="9"/>
  <c r="O271" i="9"/>
  <c r="N271" i="9"/>
  <c r="M271" i="9"/>
  <c r="L271" i="9"/>
  <c r="K271" i="9"/>
  <c r="J271" i="9"/>
  <c r="I271" i="9"/>
  <c r="H271" i="9"/>
  <c r="G271" i="9"/>
  <c r="E271" i="9"/>
  <c r="D271" i="9"/>
  <c r="A271" i="9"/>
  <c r="O270" i="9"/>
  <c r="N270" i="9"/>
  <c r="M270" i="9"/>
  <c r="L270" i="9"/>
  <c r="K270" i="9"/>
  <c r="J270" i="9"/>
  <c r="I270" i="9"/>
  <c r="H270" i="9"/>
  <c r="G270" i="9"/>
  <c r="E270" i="9"/>
  <c r="D270" i="9"/>
  <c r="A270" i="9"/>
  <c r="O269" i="9"/>
  <c r="N269" i="9"/>
  <c r="M269" i="9"/>
  <c r="L269" i="9"/>
  <c r="K269" i="9"/>
  <c r="J269" i="9"/>
  <c r="I269" i="9"/>
  <c r="H269" i="9"/>
  <c r="G269" i="9"/>
  <c r="E269" i="9"/>
  <c r="D269" i="9"/>
  <c r="A269" i="9"/>
  <c r="O268" i="9"/>
  <c r="N268" i="9"/>
  <c r="M268" i="9"/>
  <c r="L268" i="9"/>
  <c r="K268" i="9"/>
  <c r="J268" i="9"/>
  <c r="I268" i="9"/>
  <c r="H268" i="9"/>
  <c r="G268" i="9"/>
  <c r="E268" i="9"/>
  <c r="D268" i="9"/>
  <c r="A268" i="9"/>
  <c r="O267" i="9"/>
  <c r="N267" i="9"/>
  <c r="M267" i="9"/>
  <c r="L267" i="9"/>
  <c r="K267" i="9"/>
  <c r="J267" i="9"/>
  <c r="I267" i="9"/>
  <c r="H267" i="9"/>
  <c r="G267" i="9"/>
  <c r="E267" i="9"/>
  <c r="D267" i="9"/>
  <c r="A267" i="9"/>
  <c r="O266" i="9"/>
  <c r="N266" i="9"/>
  <c r="M266" i="9"/>
  <c r="L266" i="9"/>
  <c r="K266" i="9"/>
  <c r="J266" i="9"/>
  <c r="I266" i="9"/>
  <c r="H266" i="9"/>
  <c r="G266" i="9"/>
  <c r="E266" i="9"/>
  <c r="D266" i="9"/>
  <c r="A266" i="9"/>
  <c r="O265" i="9"/>
  <c r="N265" i="9"/>
  <c r="M265" i="9"/>
  <c r="L265" i="9"/>
  <c r="K265" i="9"/>
  <c r="J265" i="9"/>
  <c r="I265" i="9"/>
  <c r="H265" i="9"/>
  <c r="G265" i="9"/>
  <c r="E265" i="9"/>
  <c r="D265" i="9"/>
  <c r="A265" i="9"/>
  <c r="O264" i="9"/>
  <c r="N264" i="9"/>
  <c r="M264" i="9"/>
  <c r="L264" i="9"/>
  <c r="K264" i="9"/>
  <c r="J264" i="9"/>
  <c r="I264" i="9"/>
  <c r="H264" i="9"/>
  <c r="G264" i="9"/>
  <c r="E264" i="9"/>
  <c r="D264" i="9"/>
  <c r="A264" i="9"/>
  <c r="O263" i="9"/>
  <c r="N263" i="9"/>
  <c r="M263" i="9"/>
  <c r="L263" i="9"/>
  <c r="K263" i="9"/>
  <c r="J263" i="9"/>
  <c r="I263" i="9"/>
  <c r="H263" i="9"/>
  <c r="G263" i="9"/>
  <c r="E263" i="9"/>
  <c r="D263" i="9"/>
  <c r="A263" i="9"/>
  <c r="O262" i="9"/>
  <c r="N262" i="9"/>
  <c r="M262" i="9"/>
  <c r="L262" i="9"/>
  <c r="K262" i="9"/>
  <c r="J262" i="9"/>
  <c r="I262" i="9"/>
  <c r="H262" i="9"/>
  <c r="G262" i="9"/>
  <c r="E262" i="9"/>
  <c r="D262" i="9"/>
  <c r="A262" i="9"/>
  <c r="O261" i="9"/>
  <c r="N261" i="9"/>
  <c r="M261" i="9"/>
  <c r="L261" i="9"/>
  <c r="K261" i="9"/>
  <c r="J261" i="9"/>
  <c r="I261" i="9"/>
  <c r="H261" i="9"/>
  <c r="G261" i="9"/>
  <c r="E261" i="9"/>
  <c r="D261" i="9"/>
  <c r="A261" i="9"/>
  <c r="O260" i="9"/>
  <c r="N260" i="9"/>
  <c r="M260" i="9"/>
  <c r="L260" i="9"/>
  <c r="K260" i="9"/>
  <c r="J260" i="9"/>
  <c r="I260" i="9"/>
  <c r="H260" i="9"/>
  <c r="G260" i="9"/>
  <c r="E260" i="9"/>
  <c r="D260" i="9"/>
  <c r="A260" i="9"/>
  <c r="O259" i="9"/>
  <c r="N259" i="9"/>
  <c r="M259" i="9"/>
  <c r="L259" i="9"/>
  <c r="K259" i="9"/>
  <c r="J259" i="9"/>
  <c r="I259" i="9"/>
  <c r="H259" i="9"/>
  <c r="G259" i="9"/>
  <c r="E259" i="9"/>
  <c r="D259" i="9"/>
  <c r="A259" i="9"/>
  <c r="O258" i="9"/>
  <c r="N258" i="9"/>
  <c r="M258" i="9"/>
  <c r="L258" i="9"/>
  <c r="K258" i="9"/>
  <c r="J258" i="9"/>
  <c r="I258" i="9"/>
  <c r="H258" i="9"/>
  <c r="G258" i="9"/>
  <c r="E258" i="9"/>
  <c r="D258" i="9"/>
  <c r="A258" i="9"/>
  <c r="O257" i="9"/>
  <c r="N257" i="9"/>
  <c r="M257" i="9"/>
  <c r="L257" i="9"/>
  <c r="K257" i="9"/>
  <c r="J257" i="9"/>
  <c r="I257" i="9"/>
  <c r="H257" i="9"/>
  <c r="G257" i="9"/>
  <c r="E257" i="9"/>
  <c r="D257" i="9"/>
  <c r="A257" i="9"/>
  <c r="O256" i="9"/>
  <c r="N256" i="9"/>
  <c r="M256" i="9"/>
  <c r="L256" i="9"/>
  <c r="K256" i="9"/>
  <c r="J256" i="9"/>
  <c r="I256" i="9"/>
  <c r="H256" i="9"/>
  <c r="G256" i="9"/>
  <c r="E256" i="9"/>
  <c r="D256" i="9"/>
  <c r="A256" i="9"/>
  <c r="O255" i="9"/>
  <c r="N255" i="9"/>
  <c r="M255" i="9"/>
  <c r="L255" i="9"/>
  <c r="K255" i="9"/>
  <c r="J255" i="9"/>
  <c r="I255" i="9"/>
  <c r="H255" i="9"/>
  <c r="G255" i="9"/>
  <c r="E255" i="9"/>
  <c r="D255" i="9"/>
  <c r="A255" i="9"/>
  <c r="O254" i="9"/>
  <c r="N254" i="9"/>
  <c r="M254" i="9"/>
  <c r="L254" i="9"/>
  <c r="K254" i="9"/>
  <c r="J254" i="9"/>
  <c r="I254" i="9"/>
  <c r="H254" i="9"/>
  <c r="G254" i="9"/>
  <c r="E254" i="9"/>
  <c r="D254" i="9"/>
  <c r="A254" i="9"/>
  <c r="O253" i="9"/>
  <c r="N253" i="9"/>
  <c r="M253" i="9"/>
  <c r="L253" i="9"/>
  <c r="K253" i="9"/>
  <c r="J253" i="9"/>
  <c r="I253" i="9"/>
  <c r="H253" i="9"/>
  <c r="G253" i="9"/>
  <c r="E253" i="9"/>
  <c r="D253" i="9"/>
  <c r="A253" i="9"/>
  <c r="O252" i="9"/>
  <c r="N252" i="9"/>
  <c r="M252" i="9"/>
  <c r="L252" i="9"/>
  <c r="K252" i="9"/>
  <c r="J252" i="9"/>
  <c r="I252" i="9"/>
  <c r="H252" i="9"/>
  <c r="G252" i="9"/>
  <c r="E252" i="9"/>
  <c r="D252" i="9"/>
  <c r="A252" i="9"/>
  <c r="O251" i="9"/>
  <c r="N251" i="9"/>
  <c r="M251" i="9"/>
  <c r="L251" i="9"/>
  <c r="K251" i="9"/>
  <c r="J251" i="9"/>
  <c r="I251" i="9"/>
  <c r="H251" i="9"/>
  <c r="G251" i="9"/>
  <c r="E251" i="9"/>
  <c r="D251" i="9"/>
  <c r="A251" i="9"/>
  <c r="O250" i="9"/>
  <c r="N250" i="9"/>
  <c r="M250" i="9"/>
  <c r="L250" i="9"/>
  <c r="K250" i="9"/>
  <c r="J250" i="9"/>
  <c r="I250" i="9"/>
  <c r="H250" i="9"/>
  <c r="G250" i="9"/>
  <c r="E250" i="9"/>
  <c r="D250" i="9"/>
  <c r="A250" i="9"/>
  <c r="O249" i="9"/>
  <c r="N249" i="9"/>
  <c r="M249" i="9"/>
  <c r="L249" i="9"/>
  <c r="K249" i="9"/>
  <c r="J249" i="9"/>
  <c r="I249" i="9"/>
  <c r="H249" i="9"/>
  <c r="G249" i="9"/>
  <c r="E249" i="9"/>
  <c r="D249" i="9"/>
  <c r="A249" i="9"/>
  <c r="O248" i="9"/>
  <c r="N248" i="9"/>
  <c r="M248" i="9"/>
  <c r="L248" i="9"/>
  <c r="K248" i="9"/>
  <c r="J248" i="9"/>
  <c r="I248" i="9"/>
  <c r="H248" i="9"/>
  <c r="G248" i="9"/>
  <c r="E248" i="9"/>
  <c r="D248" i="9"/>
  <c r="A248" i="9"/>
  <c r="O247" i="9"/>
  <c r="N247" i="9"/>
  <c r="M247" i="9"/>
  <c r="L247" i="9"/>
  <c r="K247" i="9"/>
  <c r="J247" i="9"/>
  <c r="I247" i="9"/>
  <c r="H247" i="9"/>
  <c r="G247" i="9"/>
  <c r="E247" i="9"/>
  <c r="D247" i="9"/>
  <c r="A247" i="9"/>
  <c r="O246" i="9"/>
  <c r="N246" i="9"/>
  <c r="M246" i="9"/>
  <c r="L246" i="9"/>
  <c r="K246" i="9"/>
  <c r="J246" i="9"/>
  <c r="I246" i="9"/>
  <c r="H246" i="9"/>
  <c r="G246" i="9"/>
  <c r="E246" i="9"/>
  <c r="D246" i="9"/>
  <c r="A246" i="9"/>
  <c r="O245" i="9"/>
  <c r="N245" i="9"/>
  <c r="M245" i="9"/>
  <c r="L245" i="9"/>
  <c r="K245" i="9"/>
  <c r="J245" i="9"/>
  <c r="I245" i="9"/>
  <c r="H245" i="9"/>
  <c r="G245" i="9"/>
  <c r="E245" i="9"/>
  <c r="D245" i="9"/>
  <c r="A245" i="9"/>
  <c r="O244" i="9"/>
  <c r="N244" i="9"/>
  <c r="M244" i="9"/>
  <c r="L244" i="9"/>
  <c r="K244" i="9"/>
  <c r="J244" i="9"/>
  <c r="I244" i="9"/>
  <c r="H244" i="9"/>
  <c r="G244" i="9"/>
  <c r="E244" i="9"/>
  <c r="D244" i="9"/>
  <c r="A244" i="9"/>
  <c r="O243" i="9"/>
  <c r="N243" i="9"/>
  <c r="M243" i="9"/>
  <c r="L243" i="9"/>
  <c r="K243" i="9"/>
  <c r="J243" i="9"/>
  <c r="I243" i="9"/>
  <c r="H243" i="9"/>
  <c r="G243" i="9"/>
  <c r="E243" i="9"/>
  <c r="D243" i="9"/>
  <c r="A243" i="9"/>
  <c r="O242" i="9"/>
  <c r="N242" i="9"/>
  <c r="M242" i="9"/>
  <c r="L242" i="9"/>
  <c r="K242" i="9"/>
  <c r="J242" i="9"/>
  <c r="I242" i="9"/>
  <c r="H242" i="9"/>
  <c r="G242" i="9"/>
  <c r="E242" i="9"/>
  <c r="D242" i="9"/>
  <c r="A242" i="9"/>
  <c r="O241" i="9"/>
  <c r="N241" i="9"/>
  <c r="M241" i="9"/>
  <c r="L241" i="9"/>
  <c r="K241" i="9"/>
  <c r="J241" i="9"/>
  <c r="I241" i="9"/>
  <c r="H241" i="9"/>
  <c r="G241" i="9"/>
  <c r="E241" i="9"/>
  <c r="D241" i="9"/>
  <c r="A241" i="9"/>
  <c r="O240" i="9"/>
  <c r="N240" i="9"/>
  <c r="M240" i="9"/>
  <c r="L240" i="9"/>
  <c r="K240" i="9"/>
  <c r="J240" i="9"/>
  <c r="I240" i="9"/>
  <c r="H240" i="9"/>
  <c r="G240" i="9"/>
  <c r="E240" i="9"/>
  <c r="D240" i="9"/>
  <c r="A240" i="9"/>
  <c r="O239" i="9"/>
  <c r="N239" i="9"/>
  <c r="M239" i="9"/>
  <c r="L239" i="9"/>
  <c r="K239" i="9"/>
  <c r="J239" i="9"/>
  <c r="I239" i="9"/>
  <c r="H239" i="9"/>
  <c r="G239" i="9"/>
  <c r="E239" i="9"/>
  <c r="D239" i="9"/>
  <c r="A239" i="9"/>
  <c r="O238" i="9"/>
  <c r="N238" i="9"/>
  <c r="M238" i="9"/>
  <c r="L238" i="9"/>
  <c r="K238" i="9"/>
  <c r="J238" i="9"/>
  <c r="I238" i="9"/>
  <c r="H238" i="9"/>
  <c r="G238" i="9"/>
  <c r="E238" i="9"/>
  <c r="D238" i="9"/>
  <c r="A238" i="9"/>
  <c r="O237" i="9"/>
  <c r="N237" i="9"/>
  <c r="M237" i="9"/>
  <c r="L237" i="9"/>
  <c r="K237" i="9"/>
  <c r="J237" i="9"/>
  <c r="I237" i="9"/>
  <c r="H237" i="9"/>
  <c r="G237" i="9"/>
  <c r="E237" i="9"/>
  <c r="D237" i="9"/>
  <c r="A237" i="9"/>
  <c r="O236" i="9"/>
  <c r="N236" i="9"/>
  <c r="M236" i="9"/>
  <c r="L236" i="9"/>
  <c r="K236" i="9"/>
  <c r="J236" i="9"/>
  <c r="I236" i="9"/>
  <c r="H236" i="9"/>
  <c r="G236" i="9"/>
  <c r="E236" i="9"/>
  <c r="D236" i="9"/>
  <c r="A236" i="9"/>
  <c r="O235" i="9"/>
  <c r="N235" i="9"/>
  <c r="M235" i="9"/>
  <c r="L235" i="9"/>
  <c r="K235" i="9"/>
  <c r="J235" i="9"/>
  <c r="I235" i="9"/>
  <c r="H235" i="9"/>
  <c r="G235" i="9"/>
  <c r="E235" i="9"/>
  <c r="D235" i="9"/>
  <c r="A235" i="9"/>
  <c r="O234" i="9"/>
  <c r="N234" i="9"/>
  <c r="M234" i="9"/>
  <c r="L234" i="9"/>
  <c r="K234" i="9"/>
  <c r="J234" i="9"/>
  <c r="I234" i="9"/>
  <c r="H234" i="9"/>
  <c r="G234" i="9"/>
  <c r="E234" i="9"/>
  <c r="D234" i="9"/>
  <c r="A234" i="9"/>
  <c r="O225" i="9"/>
  <c r="N225" i="9"/>
  <c r="M225" i="9"/>
  <c r="L225" i="9"/>
  <c r="K225" i="9"/>
  <c r="J225" i="9"/>
  <c r="I225" i="9"/>
  <c r="H225" i="9"/>
  <c r="G225" i="9"/>
  <c r="E225" i="9"/>
  <c r="D225" i="9"/>
  <c r="A225" i="9"/>
  <c r="O224" i="9"/>
  <c r="N224" i="9"/>
  <c r="M224" i="9"/>
  <c r="L224" i="9"/>
  <c r="K224" i="9"/>
  <c r="J224" i="9"/>
  <c r="I224" i="9"/>
  <c r="H224" i="9"/>
  <c r="G224" i="9"/>
  <c r="E224" i="9"/>
  <c r="D224" i="9"/>
  <c r="A224" i="9"/>
  <c r="O223" i="9"/>
  <c r="N223" i="9"/>
  <c r="M223" i="9"/>
  <c r="L223" i="9"/>
  <c r="K223" i="9"/>
  <c r="J223" i="9"/>
  <c r="I223" i="9"/>
  <c r="H223" i="9"/>
  <c r="G223" i="9"/>
  <c r="E223" i="9"/>
  <c r="D223" i="9"/>
  <c r="A223" i="9"/>
  <c r="O222" i="9"/>
  <c r="N222" i="9"/>
  <c r="M222" i="9"/>
  <c r="L222" i="9"/>
  <c r="K222" i="9"/>
  <c r="J222" i="9"/>
  <c r="I222" i="9"/>
  <c r="H222" i="9"/>
  <c r="G222" i="9"/>
  <c r="E222" i="9"/>
  <c r="D222" i="9"/>
  <c r="A222" i="9"/>
  <c r="O221" i="9"/>
  <c r="N221" i="9"/>
  <c r="M221" i="9"/>
  <c r="L221" i="9"/>
  <c r="K221" i="9"/>
  <c r="J221" i="9"/>
  <c r="I221" i="9"/>
  <c r="H221" i="9"/>
  <c r="G221" i="9"/>
  <c r="E221" i="9"/>
  <c r="D221" i="9"/>
  <c r="A221" i="9"/>
  <c r="O220" i="9"/>
  <c r="N220" i="9"/>
  <c r="M220" i="9"/>
  <c r="L220" i="9"/>
  <c r="K220" i="9"/>
  <c r="J220" i="9"/>
  <c r="I220" i="9"/>
  <c r="H220" i="9"/>
  <c r="G220" i="9"/>
  <c r="E220" i="9"/>
  <c r="D220" i="9"/>
  <c r="A220" i="9"/>
  <c r="O219" i="9"/>
  <c r="N219" i="9"/>
  <c r="M219" i="9"/>
  <c r="L219" i="9"/>
  <c r="K219" i="9"/>
  <c r="J219" i="9"/>
  <c r="I219" i="9"/>
  <c r="H219" i="9"/>
  <c r="G219" i="9"/>
  <c r="E219" i="9"/>
  <c r="D219" i="9"/>
  <c r="A219" i="9"/>
  <c r="O218" i="9"/>
  <c r="N218" i="9"/>
  <c r="M218" i="9"/>
  <c r="L218" i="9"/>
  <c r="K218" i="9"/>
  <c r="J218" i="9"/>
  <c r="I218" i="9"/>
  <c r="H218" i="9"/>
  <c r="G218" i="9"/>
  <c r="E218" i="9"/>
  <c r="D218" i="9"/>
  <c r="A218" i="9"/>
  <c r="O217" i="9"/>
  <c r="N217" i="9"/>
  <c r="M217" i="9"/>
  <c r="L217" i="9"/>
  <c r="K217" i="9"/>
  <c r="J217" i="9"/>
  <c r="I217" i="9"/>
  <c r="H217" i="9"/>
  <c r="G217" i="9"/>
  <c r="E217" i="9"/>
  <c r="D217" i="9"/>
  <c r="A217" i="9"/>
  <c r="O216" i="9"/>
  <c r="N216" i="9"/>
  <c r="M216" i="9"/>
  <c r="L216" i="9"/>
  <c r="K216" i="9"/>
  <c r="J216" i="9"/>
  <c r="I216" i="9"/>
  <c r="H216" i="9"/>
  <c r="G216" i="9"/>
  <c r="E216" i="9"/>
  <c r="D216" i="9"/>
  <c r="A216" i="9"/>
  <c r="O215" i="9"/>
  <c r="N215" i="9"/>
  <c r="M215" i="9"/>
  <c r="L215" i="9"/>
  <c r="K215" i="9"/>
  <c r="J215" i="9"/>
  <c r="I215" i="9"/>
  <c r="H215" i="9"/>
  <c r="G215" i="9"/>
  <c r="E215" i="9"/>
  <c r="D215" i="9"/>
  <c r="A215" i="9"/>
  <c r="O214" i="9"/>
  <c r="N214" i="9"/>
  <c r="M214" i="9"/>
  <c r="L214" i="9"/>
  <c r="K214" i="9"/>
  <c r="J214" i="9"/>
  <c r="I214" i="9"/>
  <c r="H214" i="9"/>
  <c r="G214" i="9"/>
  <c r="E214" i="9"/>
  <c r="D214" i="9"/>
  <c r="A214" i="9"/>
  <c r="O213" i="9"/>
  <c r="N213" i="9"/>
  <c r="M213" i="9"/>
  <c r="L213" i="9"/>
  <c r="K213" i="9"/>
  <c r="J213" i="9"/>
  <c r="I213" i="9"/>
  <c r="H213" i="9"/>
  <c r="G213" i="9"/>
  <c r="E213" i="9"/>
  <c r="D213" i="9"/>
  <c r="A213" i="9"/>
  <c r="O212" i="9"/>
  <c r="N212" i="9"/>
  <c r="M212" i="9"/>
  <c r="L212" i="9"/>
  <c r="K212" i="9"/>
  <c r="J212" i="9"/>
  <c r="I212" i="9"/>
  <c r="H212" i="9"/>
  <c r="G212" i="9"/>
  <c r="E212" i="9"/>
  <c r="D212" i="9"/>
  <c r="A212" i="9"/>
  <c r="O211" i="9"/>
  <c r="N211" i="9"/>
  <c r="M211" i="9"/>
  <c r="L211" i="9"/>
  <c r="K211" i="9"/>
  <c r="J211" i="9"/>
  <c r="I211" i="9"/>
  <c r="H211" i="9"/>
  <c r="G211" i="9"/>
  <c r="E211" i="9"/>
  <c r="D211" i="9"/>
  <c r="A211" i="9"/>
  <c r="O210" i="9"/>
  <c r="N210" i="9"/>
  <c r="M210" i="9"/>
  <c r="L210" i="9"/>
  <c r="K210" i="9"/>
  <c r="J210" i="9"/>
  <c r="I210" i="9"/>
  <c r="H210" i="9"/>
  <c r="G210" i="9"/>
  <c r="E210" i="9"/>
  <c r="D210" i="9"/>
  <c r="A210" i="9"/>
  <c r="O209" i="9"/>
  <c r="N209" i="9"/>
  <c r="M209" i="9"/>
  <c r="L209" i="9"/>
  <c r="K209" i="9"/>
  <c r="J209" i="9"/>
  <c r="I209" i="9"/>
  <c r="H209" i="9"/>
  <c r="G209" i="9"/>
  <c r="E209" i="9"/>
  <c r="D209" i="9"/>
  <c r="A209" i="9"/>
  <c r="O208" i="9"/>
  <c r="N208" i="9"/>
  <c r="M208" i="9"/>
  <c r="L208" i="9"/>
  <c r="K208" i="9"/>
  <c r="J208" i="9"/>
  <c r="I208" i="9"/>
  <c r="H208" i="9"/>
  <c r="G208" i="9"/>
  <c r="E208" i="9"/>
  <c r="D208" i="9"/>
  <c r="A208" i="9"/>
  <c r="O207" i="9"/>
  <c r="N207" i="9"/>
  <c r="M207" i="9"/>
  <c r="L207" i="9"/>
  <c r="K207" i="9"/>
  <c r="J207" i="9"/>
  <c r="I207" i="9"/>
  <c r="H207" i="9"/>
  <c r="G207" i="9"/>
  <c r="E207" i="9"/>
  <c r="D207" i="9"/>
  <c r="A207" i="9"/>
  <c r="O206" i="9"/>
  <c r="N206" i="9"/>
  <c r="M206" i="9"/>
  <c r="L206" i="9"/>
  <c r="K206" i="9"/>
  <c r="J206" i="9"/>
  <c r="I206" i="9"/>
  <c r="H206" i="9"/>
  <c r="G206" i="9"/>
  <c r="E206" i="9"/>
  <c r="D206" i="9"/>
  <c r="A206" i="9"/>
  <c r="O205" i="9"/>
  <c r="N205" i="9"/>
  <c r="M205" i="9"/>
  <c r="L205" i="9"/>
  <c r="K205" i="9"/>
  <c r="J205" i="9"/>
  <c r="I205" i="9"/>
  <c r="H205" i="9"/>
  <c r="G205" i="9"/>
  <c r="E205" i="9"/>
  <c r="D205" i="9"/>
  <c r="A205" i="9"/>
  <c r="O204" i="9"/>
  <c r="N204" i="9"/>
  <c r="M204" i="9"/>
  <c r="L204" i="9"/>
  <c r="K204" i="9"/>
  <c r="J204" i="9"/>
  <c r="I204" i="9"/>
  <c r="H204" i="9"/>
  <c r="G204" i="9"/>
  <c r="E204" i="9"/>
  <c r="D204" i="9"/>
  <c r="A204" i="9"/>
  <c r="O203" i="9"/>
  <c r="N203" i="9"/>
  <c r="M203" i="9"/>
  <c r="L203" i="9"/>
  <c r="K203" i="9"/>
  <c r="J203" i="9"/>
  <c r="I203" i="9"/>
  <c r="H203" i="9"/>
  <c r="G203" i="9"/>
  <c r="E203" i="9"/>
  <c r="D203" i="9"/>
  <c r="A203" i="9"/>
  <c r="O202" i="9"/>
  <c r="N202" i="9"/>
  <c r="M202" i="9"/>
  <c r="L202" i="9"/>
  <c r="K202" i="9"/>
  <c r="J202" i="9"/>
  <c r="I202" i="9"/>
  <c r="H202" i="9"/>
  <c r="G202" i="9"/>
  <c r="E202" i="9"/>
  <c r="D202" i="9"/>
  <c r="A202" i="9"/>
  <c r="O201" i="9"/>
  <c r="N201" i="9"/>
  <c r="M201" i="9"/>
  <c r="L201" i="9"/>
  <c r="K201" i="9"/>
  <c r="J201" i="9"/>
  <c r="I201" i="9"/>
  <c r="H201" i="9"/>
  <c r="G201" i="9"/>
  <c r="E201" i="9"/>
  <c r="D201" i="9"/>
  <c r="A201" i="9"/>
  <c r="O200" i="9"/>
  <c r="N200" i="9"/>
  <c r="M200" i="9"/>
  <c r="L200" i="9"/>
  <c r="K200" i="9"/>
  <c r="J200" i="9"/>
  <c r="I200" i="9"/>
  <c r="H200" i="9"/>
  <c r="G200" i="9"/>
  <c r="E200" i="9"/>
  <c r="D200" i="9"/>
  <c r="A200" i="9"/>
  <c r="O199" i="9"/>
  <c r="N199" i="9"/>
  <c r="M199" i="9"/>
  <c r="L199" i="9"/>
  <c r="K199" i="9"/>
  <c r="J199" i="9"/>
  <c r="I199" i="9"/>
  <c r="H199" i="9"/>
  <c r="G199" i="9"/>
  <c r="E199" i="9"/>
  <c r="D199" i="9"/>
  <c r="A199" i="9"/>
  <c r="O198" i="9"/>
  <c r="N198" i="9"/>
  <c r="M198" i="9"/>
  <c r="L198" i="9"/>
  <c r="K198" i="9"/>
  <c r="J198" i="9"/>
  <c r="I198" i="9"/>
  <c r="H198" i="9"/>
  <c r="G198" i="9"/>
  <c r="E198" i="9"/>
  <c r="D198" i="9"/>
  <c r="A198" i="9"/>
  <c r="O197" i="9"/>
  <c r="N197" i="9"/>
  <c r="M197" i="9"/>
  <c r="L197" i="9"/>
  <c r="K197" i="9"/>
  <c r="J197" i="9"/>
  <c r="I197" i="9"/>
  <c r="H197" i="9"/>
  <c r="G197" i="9"/>
  <c r="E197" i="9"/>
  <c r="D197" i="9"/>
  <c r="A197" i="9"/>
  <c r="O196" i="9"/>
  <c r="N196" i="9"/>
  <c r="M196" i="9"/>
  <c r="L196" i="9"/>
  <c r="K196" i="9"/>
  <c r="J196" i="9"/>
  <c r="I196" i="9"/>
  <c r="H196" i="9"/>
  <c r="G196" i="9"/>
  <c r="E196" i="9"/>
  <c r="D196" i="9"/>
  <c r="A196" i="9"/>
  <c r="O195" i="9"/>
  <c r="N195" i="9"/>
  <c r="M195" i="9"/>
  <c r="L195" i="9"/>
  <c r="K195" i="9"/>
  <c r="J195" i="9"/>
  <c r="I195" i="9"/>
  <c r="H195" i="9"/>
  <c r="G195" i="9"/>
  <c r="E195" i="9"/>
  <c r="D195" i="9"/>
  <c r="A195" i="9"/>
  <c r="O194" i="9"/>
  <c r="N194" i="9"/>
  <c r="M194" i="9"/>
  <c r="L194" i="9"/>
  <c r="K194" i="9"/>
  <c r="J194" i="9"/>
  <c r="I194" i="9"/>
  <c r="H194" i="9"/>
  <c r="G194" i="9"/>
  <c r="E194" i="9"/>
  <c r="D194" i="9"/>
  <c r="A194" i="9"/>
  <c r="O193" i="9"/>
  <c r="N193" i="9"/>
  <c r="M193" i="9"/>
  <c r="L193" i="9"/>
  <c r="K193" i="9"/>
  <c r="J193" i="9"/>
  <c r="I193" i="9"/>
  <c r="H193" i="9"/>
  <c r="G193" i="9"/>
  <c r="E193" i="9"/>
  <c r="D193" i="9"/>
  <c r="A193" i="9"/>
  <c r="O192" i="9"/>
  <c r="N192" i="9"/>
  <c r="M192" i="9"/>
  <c r="L192" i="9"/>
  <c r="K192" i="9"/>
  <c r="J192" i="9"/>
  <c r="I192" i="9"/>
  <c r="H192" i="9"/>
  <c r="G192" i="9"/>
  <c r="E192" i="9"/>
  <c r="D192" i="9"/>
  <c r="A192" i="9"/>
  <c r="O191" i="9"/>
  <c r="N191" i="9"/>
  <c r="M191" i="9"/>
  <c r="L191" i="9"/>
  <c r="K191" i="9"/>
  <c r="J191" i="9"/>
  <c r="I191" i="9"/>
  <c r="H191" i="9"/>
  <c r="G191" i="9"/>
  <c r="E191" i="9"/>
  <c r="D191" i="9"/>
  <c r="A191" i="9"/>
  <c r="O190" i="9"/>
  <c r="N190" i="9"/>
  <c r="M190" i="9"/>
  <c r="L190" i="9"/>
  <c r="K190" i="9"/>
  <c r="J190" i="9"/>
  <c r="I190" i="9"/>
  <c r="H190" i="9"/>
  <c r="G190" i="9"/>
  <c r="E190" i="9"/>
  <c r="D190" i="9"/>
  <c r="A190" i="9"/>
  <c r="O189" i="9"/>
  <c r="N189" i="9"/>
  <c r="M189" i="9"/>
  <c r="L189" i="9"/>
  <c r="K189" i="9"/>
  <c r="J189" i="9"/>
  <c r="I189" i="9"/>
  <c r="H189" i="9"/>
  <c r="G189" i="9"/>
  <c r="E189" i="9"/>
  <c r="D189" i="9"/>
  <c r="A189" i="9"/>
  <c r="O188" i="9"/>
  <c r="N188" i="9"/>
  <c r="M188" i="9"/>
  <c r="L188" i="9"/>
  <c r="K188" i="9"/>
  <c r="J188" i="9"/>
  <c r="I188" i="9"/>
  <c r="H188" i="9"/>
  <c r="G188" i="9"/>
  <c r="E188" i="9"/>
  <c r="D188" i="9"/>
  <c r="A188" i="9"/>
  <c r="O187" i="9"/>
  <c r="N187" i="9"/>
  <c r="M187" i="9"/>
  <c r="L187" i="9"/>
  <c r="K187" i="9"/>
  <c r="J187" i="9"/>
  <c r="I187" i="9"/>
  <c r="H187" i="9"/>
  <c r="G187" i="9"/>
  <c r="E187" i="9"/>
  <c r="D187" i="9"/>
  <c r="A187" i="9"/>
  <c r="O186" i="9"/>
  <c r="N186" i="9"/>
  <c r="M186" i="9"/>
  <c r="L186" i="9"/>
  <c r="K186" i="9"/>
  <c r="J186" i="9"/>
  <c r="I186" i="9"/>
  <c r="H186" i="9"/>
  <c r="G186" i="9"/>
  <c r="E186" i="9"/>
  <c r="D186" i="9"/>
  <c r="A186" i="9"/>
  <c r="O185" i="9"/>
  <c r="N185" i="9"/>
  <c r="M185" i="9"/>
  <c r="L185" i="9"/>
  <c r="K185" i="9"/>
  <c r="J185" i="9"/>
  <c r="I185" i="9"/>
  <c r="H185" i="9"/>
  <c r="G185" i="9"/>
  <c r="E185" i="9"/>
  <c r="D185" i="9"/>
  <c r="A185" i="9"/>
  <c r="O184" i="9"/>
  <c r="N184" i="9"/>
  <c r="M184" i="9"/>
  <c r="L184" i="9"/>
  <c r="K184" i="9"/>
  <c r="J184" i="9"/>
  <c r="I184" i="9"/>
  <c r="H184" i="9"/>
  <c r="G184" i="9"/>
  <c r="E184" i="9"/>
  <c r="D184" i="9"/>
  <c r="A184" i="9"/>
  <c r="O183" i="9"/>
  <c r="N183" i="9"/>
  <c r="M183" i="9"/>
  <c r="L183" i="9"/>
  <c r="K183" i="9"/>
  <c r="J183" i="9"/>
  <c r="I183" i="9"/>
  <c r="H183" i="9"/>
  <c r="G183" i="9"/>
  <c r="E183" i="9"/>
  <c r="D183" i="9"/>
  <c r="A183" i="9"/>
  <c r="O182" i="9"/>
  <c r="N182" i="9"/>
  <c r="M182" i="9"/>
  <c r="L182" i="9"/>
  <c r="K182" i="9"/>
  <c r="J182" i="9"/>
  <c r="I182" i="9"/>
  <c r="H182" i="9"/>
  <c r="G182" i="9"/>
  <c r="E182" i="9"/>
  <c r="D182" i="9"/>
  <c r="A182" i="9"/>
  <c r="O181" i="9"/>
  <c r="N181" i="9"/>
  <c r="M181" i="9"/>
  <c r="L181" i="9"/>
  <c r="K181" i="9"/>
  <c r="J181" i="9"/>
  <c r="I181" i="9"/>
  <c r="H181" i="9"/>
  <c r="G181" i="9"/>
  <c r="E181" i="9"/>
  <c r="D181" i="9"/>
  <c r="A181" i="9"/>
  <c r="O180" i="9"/>
  <c r="N180" i="9"/>
  <c r="M180" i="9"/>
  <c r="L180" i="9"/>
  <c r="K180" i="9"/>
  <c r="J180" i="9"/>
  <c r="I180" i="9"/>
  <c r="H180" i="9"/>
  <c r="G180" i="9"/>
  <c r="E180" i="9"/>
  <c r="D180" i="9"/>
  <c r="A180" i="9"/>
  <c r="O179" i="9"/>
  <c r="N179" i="9"/>
  <c r="M179" i="9"/>
  <c r="L179" i="9"/>
  <c r="K179" i="9"/>
  <c r="J179" i="9"/>
  <c r="I179" i="9"/>
  <c r="H179" i="9"/>
  <c r="G179" i="9"/>
  <c r="E179" i="9"/>
  <c r="D179" i="9"/>
  <c r="A179" i="9"/>
  <c r="J21" i="11"/>
  <c r="O284" i="9"/>
  <c r="N284" i="9"/>
  <c r="M284" i="9"/>
  <c r="L284" i="9"/>
  <c r="K284" i="9"/>
  <c r="J284" i="9"/>
  <c r="I284" i="9"/>
  <c r="H284" i="9"/>
  <c r="G284" i="9"/>
  <c r="E284" i="9"/>
  <c r="D284" i="9"/>
  <c r="A284" i="9"/>
  <c r="J20" i="11"/>
  <c r="O283" i="9"/>
  <c r="N283" i="9"/>
  <c r="M283" i="9"/>
  <c r="L283" i="9"/>
  <c r="K283" i="9"/>
  <c r="J283" i="9"/>
  <c r="I283" i="9"/>
  <c r="H283" i="9"/>
  <c r="G283" i="9"/>
  <c r="E283" i="9"/>
  <c r="D283" i="9"/>
  <c r="A283" i="9"/>
  <c r="J19" i="11"/>
  <c r="O282" i="9"/>
  <c r="N282" i="9"/>
  <c r="M282" i="9"/>
  <c r="L282" i="9"/>
  <c r="K282" i="9"/>
  <c r="J282" i="9"/>
  <c r="I282" i="9"/>
  <c r="H282" i="9"/>
  <c r="G282" i="9"/>
  <c r="E282" i="9"/>
  <c r="D282" i="9"/>
  <c r="A282" i="9"/>
  <c r="J18" i="11"/>
  <c r="O281" i="9"/>
  <c r="N281" i="9"/>
  <c r="M281" i="9"/>
  <c r="L281" i="9"/>
  <c r="K281" i="9"/>
  <c r="J281" i="9"/>
  <c r="I281" i="9"/>
  <c r="H281" i="9"/>
  <c r="G281" i="9"/>
  <c r="E281" i="9"/>
  <c r="D281" i="9"/>
  <c r="A281" i="9"/>
  <c r="A18" i="9"/>
  <c r="D18" i="9"/>
  <c r="E18" i="9"/>
  <c r="G18" i="9"/>
  <c r="H18" i="9"/>
  <c r="I18" i="9"/>
  <c r="J18" i="9"/>
  <c r="K18" i="9"/>
  <c r="L18" i="9"/>
  <c r="M18" i="9"/>
  <c r="N18" i="9"/>
  <c r="O18" i="9"/>
  <c r="A19" i="9"/>
  <c r="D19" i="9"/>
  <c r="E19" i="9"/>
  <c r="G19" i="9"/>
  <c r="H19" i="9"/>
  <c r="I19" i="9"/>
  <c r="J19" i="9"/>
  <c r="K19" i="9"/>
  <c r="L19" i="9"/>
  <c r="M19" i="9"/>
  <c r="N19" i="9"/>
  <c r="O19" i="9"/>
  <c r="A20" i="9"/>
  <c r="D20" i="9"/>
  <c r="E20" i="9"/>
  <c r="G20" i="9"/>
  <c r="H20" i="9"/>
  <c r="I20" i="9"/>
  <c r="J20" i="9"/>
  <c r="K20" i="9"/>
  <c r="L20" i="9"/>
  <c r="M20" i="9"/>
  <c r="N20" i="9"/>
  <c r="O20" i="9"/>
  <c r="A21" i="9"/>
  <c r="D21" i="9"/>
  <c r="E21" i="9"/>
  <c r="G21" i="9"/>
  <c r="H21" i="9"/>
  <c r="I21" i="9"/>
  <c r="J21" i="9"/>
  <c r="K21" i="9"/>
  <c r="L21" i="9"/>
  <c r="M21" i="9"/>
  <c r="N21" i="9"/>
  <c r="O21" i="9"/>
  <c r="A22" i="9"/>
  <c r="D22" i="9"/>
  <c r="E22" i="9"/>
  <c r="G22" i="9"/>
  <c r="H22" i="9"/>
  <c r="I22" i="9"/>
  <c r="J22" i="9"/>
  <c r="K22" i="9"/>
  <c r="L22" i="9"/>
  <c r="M22" i="9"/>
  <c r="N22" i="9"/>
  <c r="J22" i="11"/>
  <c r="O22" i="9"/>
  <c r="A23" i="9"/>
  <c r="D23" i="9"/>
  <c r="E23" i="9"/>
  <c r="G23" i="9"/>
  <c r="H23" i="9"/>
  <c r="I23" i="9"/>
  <c r="J23" i="9"/>
  <c r="K23" i="9"/>
  <c r="L23" i="9"/>
  <c r="M23" i="9"/>
  <c r="N23" i="9"/>
  <c r="J23" i="11"/>
  <c r="O23" i="9"/>
  <c r="A24" i="9"/>
  <c r="D24" i="9"/>
  <c r="E24" i="9"/>
  <c r="G24" i="9"/>
  <c r="H24" i="9"/>
  <c r="I24" i="9"/>
  <c r="J24" i="9"/>
  <c r="K24" i="9"/>
  <c r="L24" i="9"/>
  <c r="M24" i="9"/>
  <c r="N24" i="9"/>
  <c r="J24" i="11"/>
  <c r="O24" i="9"/>
  <c r="A25" i="9"/>
  <c r="D25" i="9"/>
  <c r="E25" i="9"/>
  <c r="G25" i="9"/>
  <c r="H25" i="9"/>
  <c r="I25" i="9"/>
  <c r="J25" i="9"/>
  <c r="K25" i="9"/>
  <c r="L25" i="9"/>
  <c r="M25" i="9"/>
  <c r="N25" i="9"/>
  <c r="J25" i="11"/>
  <c r="O25" i="9"/>
  <c r="J9" i="11"/>
  <c r="O233" i="9"/>
  <c r="N233" i="9"/>
  <c r="M233" i="9"/>
  <c r="L233" i="9"/>
  <c r="K233" i="9"/>
  <c r="J233" i="9"/>
  <c r="I233" i="9"/>
  <c r="H233" i="9"/>
  <c r="G233" i="9"/>
  <c r="E233" i="9"/>
  <c r="D233" i="9"/>
  <c r="A233" i="9"/>
  <c r="J8" i="11"/>
  <c r="O232" i="9"/>
  <c r="N232" i="9"/>
  <c r="M232" i="9"/>
  <c r="L232" i="9"/>
  <c r="K232" i="9"/>
  <c r="J232" i="9"/>
  <c r="I232" i="9"/>
  <c r="H232" i="9"/>
  <c r="G232" i="9"/>
  <c r="E232" i="9"/>
  <c r="D232" i="9"/>
  <c r="A232" i="9"/>
  <c r="J7" i="11"/>
  <c r="O231" i="9"/>
  <c r="N231" i="9"/>
  <c r="M231" i="9"/>
  <c r="L231" i="9"/>
  <c r="K231" i="9"/>
  <c r="J231" i="9"/>
  <c r="I231" i="9"/>
  <c r="H231" i="9"/>
  <c r="G231" i="9"/>
  <c r="E231" i="9"/>
  <c r="D231" i="9"/>
  <c r="A231" i="9"/>
  <c r="J6" i="11"/>
  <c r="O230" i="9"/>
  <c r="N230" i="9"/>
  <c r="M230" i="9"/>
  <c r="L230" i="9"/>
  <c r="K230" i="9"/>
  <c r="J230" i="9"/>
  <c r="I230" i="9"/>
  <c r="H230" i="9"/>
  <c r="G230" i="9"/>
  <c r="E230" i="9"/>
  <c r="D230" i="9"/>
  <c r="A230" i="9"/>
  <c r="J5" i="11"/>
  <c r="O229" i="9"/>
  <c r="N229" i="9"/>
  <c r="M229" i="9"/>
  <c r="L229" i="9"/>
  <c r="K229" i="9"/>
  <c r="J229" i="9"/>
  <c r="I229" i="9"/>
  <c r="H229" i="9"/>
  <c r="G229" i="9"/>
  <c r="E229" i="9"/>
  <c r="D229" i="9"/>
  <c r="A229" i="9"/>
  <c r="J4" i="11"/>
  <c r="O228" i="9"/>
  <c r="N228" i="9"/>
  <c r="M228" i="9"/>
  <c r="L228" i="9"/>
  <c r="K228" i="9"/>
  <c r="J228" i="9"/>
  <c r="I228" i="9"/>
  <c r="H228" i="9"/>
  <c r="G228" i="9"/>
  <c r="E228" i="9"/>
  <c r="D228" i="9"/>
  <c r="A228" i="9"/>
  <c r="J3" i="11"/>
  <c r="O227" i="9"/>
  <c r="N227" i="9"/>
  <c r="M227" i="9"/>
  <c r="L227" i="9"/>
  <c r="K227" i="9"/>
  <c r="J227" i="9"/>
  <c r="I227" i="9"/>
  <c r="H227" i="9"/>
  <c r="G227" i="9"/>
  <c r="E227" i="9"/>
  <c r="D227" i="9"/>
  <c r="A227" i="9"/>
  <c r="J2" i="11"/>
  <c r="O226" i="9"/>
  <c r="N226" i="9"/>
  <c r="M226" i="9"/>
  <c r="L226" i="9"/>
  <c r="K226" i="9"/>
  <c r="J226" i="9"/>
  <c r="I226" i="9"/>
  <c r="H226" i="9"/>
  <c r="G226" i="9"/>
  <c r="E226" i="9"/>
  <c r="D226" i="9"/>
  <c r="A226" i="9"/>
  <c r="O176" i="9"/>
  <c r="N176" i="9"/>
  <c r="M176" i="9"/>
  <c r="L176" i="9"/>
  <c r="K176" i="9"/>
  <c r="J176" i="9"/>
  <c r="I176" i="9"/>
  <c r="H176" i="9"/>
  <c r="G176" i="9"/>
  <c r="E176" i="9"/>
  <c r="D176" i="9"/>
  <c r="A176" i="9"/>
  <c r="O175" i="9"/>
  <c r="N175" i="9"/>
  <c r="M175" i="9"/>
  <c r="L175" i="9"/>
  <c r="K175" i="9"/>
  <c r="J175" i="9"/>
  <c r="I175" i="9"/>
  <c r="H175" i="9"/>
  <c r="G175" i="9"/>
  <c r="E175" i="9"/>
  <c r="D175" i="9"/>
  <c r="A175" i="9"/>
  <c r="O174" i="9"/>
  <c r="N174" i="9"/>
  <c r="M174" i="9"/>
  <c r="L174" i="9"/>
  <c r="K174" i="9"/>
  <c r="J174" i="9"/>
  <c r="I174" i="9"/>
  <c r="H174" i="9"/>
  <c r="G174" i="9"/>
  <c r="E174" i="9"/>
  <c r="D174" i="9"/>
  <c r="A174" i="9"/>
  <c r="O173" i="9"/>
  <c r="N173" i="9"/>
  <c r="M173" i="9"/>
  <c r="L173" i="9"/>
  <c r="K173" i="9"/>
  <c r="J173" i="9"/>
  <c r="I173" i="9"/>
  <c r="H173" i="9"/>
  <c r="G173" i="9"/>
  <c r="E173" i="9"/>
  <c r="D173" i="9"/>
  <c r="A173" i="9"/>
  <c r="O172" i="9"/>
  <c r="N172" i="9"/>
  <c r="M172" i="9"/>
  <c r="L172" i="9"/>
  <c r="K172" i="9"/>
  <c r="J172" i="9"/>
  <c r="I172" i="9"/>
  <c r="H172" i="9"/>
  <c r="G172" i="9"/>
  <c r="E172" i="9"/>
  <c r="D172" i="9"/>
  <c r="A172" i="9"/>
  <c r="O171" i="9"/>
  <c r="N171" i="9"/>
  <c r="M171" i="9"/>
  <c r="L171" i="9"/>
  <c r="K171" i="9"/>
  <c r="J171" i="9"/>
  <c r="I171" i="9"/>
  <c r="H171" i="9"/>
  <c r="G171" i="9"/>
  <c r="E171" i="9"/>
  <c r="D171" i="9"/>
  <c r="A171" i="9"/>
  <c r="O170" i="9"/>
  <c r="N170" i="9"/>
  <c r="M170" i="9"/>
  <c r="L170" i="9"/>
  <c r="K170" i="9"/>
  <c r="J170" i="9"/>
  <c r="I170" i="9"/>
  <c r="H170" i="9"/>
  <c r="G170" i="9"/>
  <c r="E170" i="9"/>
  <c r="D170" i="9"/>
  <c r="A170" i="9"/>
  <c r="O169" i="9"/>
  <c r="N169" i="9"/>
  <c r="M169" i="9"/>
  <c r="L169" i="9"/>
  <c r="K169" i="9"/>
  <c r="J169" i="9"/>
  <c r="I169" i="9"/>
  <c r="H169" i="9"/>
  <c r="G169" i="9"/>
  <c r="E169" i="9"/>
  <c r="D169" i="9"/>
  <c r="A169" i="9"/>
  <c r="O168" i="9"/>
  <c r="N168" i="9"/>
  <c r="M168" i="9"/>
  <c r="L168" i="9"/>
  <c r="K168" i="9"/>
  <c r="J168" i="9"/>
  <c r="I168" i="9"/>
  <c r="H168" i="9"/>
  <c r="G168" i="9"/>
  <c r="E168" i="9"/>
  <c r="D168" i="9"/>
  <c r="A168" i="9"/>
  <c r="O167" i="9"/>
  <c r="N167" i="9"/>
  <c r="M167" i="9"/>
  <c r="L167" i="9"/>
  <c r="K167" i="9"/>
  <c r="J167" i="9"/>
  <c r="I167" i="9"/>
  <c r="H167" i="9"/>
  <c r="G167" i="9"/>
  <c r="E167" i="9"/>
  <c r="D167" i="9"/>
  <c r="A167" i="9"/>
  <c r="O166" i="9"/>
  <c r="N166" i="9"/>
  <c r="M166" i="9"/>
  <c r="L166" i="9"/>
  <c r="K166" i="9"/>
  <c r="J166" i="9"/>
  <c r="I166" i="9"/>
  <c r="H166" i="9"/>
  <c r="G166" i="9"/>
  <c r="E166" i="9"/>
  <c r="D166" i="9"/>
  <c r="A166" i="9"/>
  <c r="O165" i="9"/>
  <c r="N165" i="9"/>
  <c r="M165" i="9"/>
  <c r="L165" i="9"/>
  <c r="K165" i="9"/>
  <c r="J165" i="9"/>
  <c r="I165" i="9"/>
  <c r="H165" i="9"/>
  <c r="G165" i="9"/>
  <c r="E165" i="9"/>
  <c r="D165" i="9"/>
  <c r="A165" i="9"/>
  <c r="O164" i="9"/>
  <c r="N164" i="9"/>
  <c r="M164" i="9"/>
  <c r="L164" i="9"/>
  <c r="K164" i="9"/>
  <c r="J164" i="9"/>
  <c r="I164" i="9"/>
  <c r="H164" i="9"/>
  <c r="G164" i="9"/>
  <c r="E164" i="9"/>
  <c r="D164" i="9"/>
  <c r="A164" i="9"/>
  <c r="O163" i="9"/>
  <c r="N163" i="9"/>
  <c r="M163" i="9"/>
  <c r="L163" i="9"/>
  <c r="K163" i="9"/>
  <c r="J163" i="9"/>
  <c r="I163" i="9"/>
  <c r="H163" i="9"/>
  <c r="G163" i="9"/>
  <c r="E163" i="9"/>
  <c r="D163" i="9"/>
  <c r="A163" i="9"/>
  <c r="O162" i="9"/>
  <c r="N162" i="9"/>
  <c r="M162" i="9"/>
  <c r="L162" i="9"/>
  <c r="K162" i="9"/>
  <c r="J162" i="9"/>
  <c r="I162" i="9"/>
  <c r="H162" i="9"/>
  <c r="G162" i="9"/>
  <c r="E162" i="9"/>
  <c r="D162" i="9"/>
  <c r="A162" i="9"/>
  <c r="O161" i="9"/>
  <c r="N161" i="9"/>
  <c r="M161" i="9"/>
  <c r="L161" i="9"/>
  <c r="K161" i="9"/>
  <c r="J161" i="9"/>
  <c r="I161" i="9"/>
  <c r="H161" i="9"/>
  <c r="G161" i="9"/>
  <c r="E161" i="9"/>
  <c r="D161" i="9"/>
  <c r="A161" i="9"/>
  <c r="O160" i="9"/>
  <c r="N160" i="9"/>
  <c r="M160" i="9"/>
  <c r="L160" i="9"/>
  <c r="K160" i="9"/>
  <c r="J160" i="9"/>
  <c r="I160" i="9"/>
  <c r="H160" i="9"/>
  <c r="G160" i="9"/>
  <c r="E160" i="9"/>
  <c r="D160" i="9"/>
  <c r="A160" i="9"/>
  <c r="O159" i="9"/>
  <c r="N159" i="9"/>
  <c r="M159" i="9"/>
  <c r="L159" i="9"/>
  <c r="K159" i="9"/>
  <c r="J159" i="9"/>
  <c r="I159" i="9"/>
  <c r="H159" i="9"/>
  <c r="G159" i="9"/>
  <c r="E159" i="9"/>
  <c r="D159" i="9"/>
  <c r="A159" i="9"/>
  <c r="O158" i="9"/>
  <c r="N158" i="9"/>
  <c r="M158" i="9"/>
  <c r="L158" i="9"/>
  <c r="K158" i="9"/>
  <c r="J158" i="9"/>
  <c r="I158" i="9"/>
  <c r="H158" i="9"/>
  <c r="G158" i="9"/>
  <c r="E158" i="9"/>
  <c r="D158" i="9"/>
  <c r="A158" i="9"/>
  <c r="O157" i="9"/>
  <c r="N157" i="9"/>
  <c r="M157" i="9"/>
  <c r="L157" i="9"/>
  <c r="K157" i="9"/>
  <c r="J157" i="9"/>
  <c r="I157" i="9"/>
  <c r="H157" i="9"/>
  <c r="G157" i="9"/>
  <c r="E157" i="9"/>
  <c r="D157" i="9"/>
  <c r="A157" i="9"/>
  <c r="O156" i="9"/>
  <c r="N156" i="9"/>
  <c r="M156" i="9"/>
  <c r="L156" i="9"/>
  <c r="K156" i="9"/>
  <c r="J156" i="9"/>
  <c r="I156" i="9"/>
  <c r="H156" i="9"/>
  <c r="G156" i="9"/>
  <c r="E156" i="9"/>
  <c r="D156" i="9"/>
  <c r="A156" i="9"/>
  <c r="O155" i="9"/>
  <c r="N155" i="9"/>
  <c r="M155" i="9"/>
  <c r="L155" i="9"/>
  <c r="K155" i="9"/>
  <c r="J155" i="9"/>
  <c r="I155" i="9"/>
  <c r="H155" i="9"/>
  <c r="G155" i="9"/>
  <c r="E155" i="9"/>
  <c r="D155" i="9"/>
  <c r="A155" i="9"/>
  <c r="O154" i="9"/>
  <c r="N154" i="9"/>
  <c r="M154" i="9"/>
  <c r="L154" i="9"/>
  <c r="K154" i="9"/>
  <c r="J154" i="9"/>
  <c r="I154" i="9"/>
  <c r="H154" i="9"/>
  <c r="G154" i="9"/>
  <c r="E154" i="9"/>
  <c r="D154" i="9"/>
  <c r="A154" i="9"/>
  <c r="O153" i="9"/>
  <c r="N153" i="9"/>
  <c r="M153" i="9"/>
  <c r="L153" i="9"/>
  <c r="K153" i="9"/>
  <c r="J153" i="9"/>
  <c r="I153" i="9"/>
  <c r="H153" i="9"/>
  <c r="G153" i="9"/>
  <c r="E153" i="9"/>
  <c r="D153" i="9"/>
  <c r="A153" i="9"/>
  <c r="O152" i="9"/>
  <c r="N152" i="9"/>
  <c r="M152" i="9"/>
  <c r="L152" i="9"/>
  <c r="K152" i="9"/>
  <c r="J152" i="9"/>
  <c r="I152" i="9"/>
  <c r="H152" i="9"/>
  <c r="G152" i="9"/>
  <c r="E152" i="9"/>
  <c r="D152" i="9"/>
  <c r="A152" i="9"/>
  <c r="O151" i="9"/>
  <c r="N151" i="9"/>
  <c r="M151" i="9"/>
  <c r="L151" i="9"/>
  <c r="K151" i="9"/>
  <c r="J151" i="9"/>
  <c r="I151" i="9"/>
  <c r="H151" i="9"/>
  <c r="G151" i="9"/>
  <c r="E151" i="9"/>
  <c r="D151" i="9"/>
  <c r="A151" i="9"/>
  <c r="O150" i="9"/>
  <c r="N150" i="9"/>
  <c r="M150" i="9"/>
  <c r="L150" i="9"/>
  <c r="K150" i="9"/>
  <c r="J150" i="9"/>
  <c r="I150" i="9"/>
  <c r="H150" i="9"/>
  <c r="G150" i="9"/>
  <c r="E150" i="9"/>
  <c r="D150" i="9"/>
  <c r="A150" i="9"/>
  <c r="O149" i="9"/>
  <c r="N149" i="9"/>
  <c r="M149" i="9"/>
  <c r="L149" i="9"/>
  <c r="K149" i="9"/>
  <c r="J149" i="9"/>
  <c r="I149" i="9"/>
  <c r="H149" i="9"/>
  <c r="G149" i="9"/>
  <c r="E149" i="9"/>
  <c r="D149" i="9"/>
  <c r="A149" i="9"/>
  <c r="O148" i="9"/>
  <c r="N148" i="9"/>
  <c r="M148" i="9"/>
  <c r="L148" i="9"/>
  <c r="K148" i="9"/>
  <c r="J148" i="9"/>
  <c r="I148" i="9"/>
  <c r="H148" i="9"/>
  <c r="G148" i="9"/>
  <c r="E148" i="9"/>
  <c r="D148" i="9"/>
  <c r="A148" i="9"/>
  <c r="O147" i="9"/>
  <c r="N147" i="9"/>
  <c r="M147" i="9"/>
  <c r="L147" i="9"/>
  <c r="K147" i="9"/>
  <c r="J147" i="9"/>
  <c r="I147" i="9"/>
  <c r="H147" i="9"/>
  <c r="G147" i="9"/>
  <c r="E147" i="9"/>
  <c r="D147" i="9"/>
  <c r="A147" i="9"/>
  <c r="O146" i="9"/>
  <c r="N146" i="9"/>
  <c r="M146" i="9"/>
  <c r="L146" i="9"/>
  <c r="K146" i="9"/>
  <c r="J146" i="9"/>
  <c r="I146" i="9"/>
  <c r="H146" i="9"/>
  <c r="G146" i="9"/>
  <c r="E146" i="9"/>
  <c r="D146" i="9"/>
  <c r="A146" i="9"/>
  <c r="O145" i="9"/>
  <c r="N145" i="9"/>
  <c r="M145" i="9"/>
  <c r="L145" i="9"/>
  <c r="K145" i="9"/>
  <c r="J145" i="9"/>
  <c r="I145" i="9"/>
  <c r="H145" i="9"/>
  <c r="G145" i="9"/>
  <c r="E145" i="9"/>
  <c r="D145" i="9"/>
  <c r="A145" i="9"/>
  <c r="O144" i="9"/>
  <c r="N144" i="9"/>
  <c r="M144" i="9"/>
  <c r="L144" i="9"/>
  <c r="K144" i="9"/>
  <c r="J144" i="9"/>
  <c r="I144" i="9"/>
  <c r="H144" i="9"/>
  <c r="G144" i="9"/>
  <c r="E144" i="9"/>
  <c r="D144" i="9"/>
  <c r="A144" i="9"/>
  <c r="O143" i="9"/>
  <c r="N143" i="9"/>
  <c r="M143" i="9"/>
  <c r="L143" i="9"/>
  <c r="K143" i="9"/>
  <c r="J143" i="9"/>
  <c r="I143" i="9"/>
  <c r="H143" i="9"/>
  <c r="G143" i="9"/>
  <c r="E143" i="9"/>
  <c r="D143" i="9"/>
  <c r="A143" i="9"/>
  <c r="O142" i="9"/>
  <c r="N142" i="9"/>
  <c r="M142" i="9"/>
  <c r="L142" i="9"/>
  <c r="K142" i="9"/>
  <c r="J142" i="9"/>
  <c r="I142" i="9"/>
  <c r="H142" i="9"/>
  <c r="G142" i="9"/>
  <c r="E142" i="9"/>
  <c r="D142" i="9"/>
  <c r="A142" i="9"/>
  <c r="O141" i="9"/>
  <c r="N141" i="9"/>
  <c r="M141" i="9"/>
  <c r="L141" i="9"/>
  <c r="K141" i="9"/>
  <c r="J141" i="9"/>
  <c r="I141" i="9"/>
  <c r="H141" i="9"/>
  <c r="G141" i="9"/>
  <c r="E141" i="9"/>
  <c r="D141" i="9"/>
  <c r="A141" i="9"/>
  <c r="O140" i="9"/>
  <c r="N140" i="9"/>
  <c r="M140" i="9"/>
  <c r="L140" i="9"/>
  <c r="K140" i="9"/>
  <c r="J140" i="9"/>
  <c r="I140" i="9"/>
  <c r="H140" i="9"/>
  <c r="G140" i="9"/>
  <c r="E140" i="9"/>
  <c r="D140" i="9"/>
  <c r="A140" i="9"/>
  <c r="O139" i="9"/>
  <c r="N139" i="9"/>
  <c r="M139" i="9"/>
  <c r="L139" i="9"/>
  <c r="K139" i="9"/>
  <c r="J139" i="9"/>
  <c r="I139" i="9"/>
  <c r="H139" i="9"/>
  <c r="G139" i="9"/>
  <c r="E139" i="9"/>
  <c r="D139" i="9"/>
  <c r="A139" i="9"/>
  <c r="O138" i="9"/>
  <c r="N138" i="9"/>
  <c r="M138" i="9"/>
  <c r="L138" i="9"/>
  <c r="K138" i="9"/>
  <c r="J138" i="9"/>
  <c r="I138" i="9"/>
  <c r="H138" i="9"/>
  <c r="G138" i="9"/>
  <c r="E138" i="9"/>
  <c r="D138" i="9"/>
  <c r="A138" i="9"/>
  <c r="O137" i="9"/>
  <c r="N137" i="9"/>
  <c r="M137" i="9"/>
  <c r="L137" i="9"/>
  <c r="K137" i="9"/>
  <c r="J137" i="9"/>
  <c r="I137" i="9"/>
  <c r="H137" i="9"/>
  <c r="G137" i="9"/>
  <c r="E137" i="9"/>
  <c r="D137" i="9"/>
  <c r="A137" i="9"/>
  <c r="O136" i="9"/>
  <c r="N136" i="9"/>
  <c r="M136" i="9"/>
  <c r="L136" i="9"/>
  <c r="K136" i="9"/>
  <c r="J136" i="9"/>
  <c r="I136" i="9"/>
  <c r="H136" i="9"/>
  <c r="G136" i="9"/>
  <c r="E136" i="9"/>
  <c r="D136" i="9"/>
  <c r="A136" i="9"/>
  <c r="O135" i="9"/>
  <c r="N135" i="9"/>
  <c r="M135" i="9"/>
  <c r="L135" i="9"/>
  <c r="K135" i="9"/>
  <c r="J135" i="9"/>
  <c r="I135" i="9"/>
  <c r="H135" i="9"/>
  <c r="G135" i="9"/>
  <c r="E135" i="9"/>
  <c r="D135" i="9"/>
  <c r="A135" i="9"/>
  <c r="O134" i="9"/>
  <c r="N134" i="9"/>
  <c r="M134" i="9"/>
  <c r="L134" i="9"/>
  <c r="K134" i="9"/>
  <c r="J134" i="9"/>
  <c r="I134" i="9"/>
  <c r="H134" i="9"/>
  <c r="G134" i="9"/>
  <c r="E134" i="9"/>
  <c r="D134" i="9"/>
  <c r="A134" i="9"/>
  <c r="O133" i="9"/>
  <c r="N133" i="9"/>
  <c r="M133" i="9"/>
  <c r="L133" i="9"/>
  <c r="K133" i="9"/>
  <c r="J133" i="9"/>
  <c r="I133" i="9"/>
  <c r="H133" i="9"/>
  <c r="G133" i="9"/>
  <c r="E133" i="9"/>
  <c r="D133" i="9"/>
  <c r="A133" i="9"/>
  <c r="O132" i="9"/>
  <c r="N132" i="9"/>
  <c r="M132" i="9"/>
  <c r="L132" i="9"/>
  <c r="K132" i="9"/>
  <c r="J132" i="9"/>
  <c r="I132" i="9"/>
  <c r="H132" i="9"/>
  <c r="G132" i="9"/>
  <c r="E132" i="9"/>
  <c r="D132" i="9"/>
  <c r="A132" i="9"/>
  <c r="O131" i="9"/>
  <c r="N131" i="9"/>
  <c r="M131" i="9"/>
  <c r="L131" i="9"/>
  <c r="K131" i="9"/>
  <c r="J131" i="9"/>
  <c r="I131" i="9"/>
  <c r="H131" i="9"/>
  <c r="G131" i="9"/>
  <c r="E131" i="9"/>
  <c r="D131" i="9"/>
  <c r="A131" i="9"/>
  <c r="O130" i="9"/>
  <c r="N130" i="9"/>
  <c r="M130" i="9"/>
  <c r="L130" i="9"/>
  <c r="K130" i="9"/>
  <c r="J130" i="9"/>
  <c r="I130" i="9"/>
  <c r="H130" i="9"/>
  <c r="G130" i="9"/>
  <c r="E130" i="9"/>
  <c r="D130" i="9"/>
  <c r="A130" i="9"/>
  <c r="J10" i="11"/>
  <c r="J11" i="11"/>
  <c r="J12" i="11"/>
  <c r="J13" i="11"/>
  <c r="J14" i="11"/>
  <c r="J15" i="11"/>
  <c r="J16" i="11"/>
  <c r="J17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126" i="11"/>
  <c r="J127" i="11"/>
  <c r="J128" i="11"/>
  <c r="J129" i="11"/>
  <c r="J130" i="11"/>
  <c r="J131" i="11"/>
  <c r="G3" i="9"/>
  <c r="H3" i="9"/>
  <c r="I3" i="9"/>
  <c r="J3" i="9"/>
  <c r="K3" i="9"/>
  <c r="L3" i="9"/>
  <c r="M3" i="9"/>
  <c r="N3" i="9"/>
  <c r="O3" i="9"/>
  <c r="G4" i="9"/>
  <c r="H4" i="9"/>
  <c r="I4" i="9"/>
  <c r="J4" i="9"/>
  <c r="K4" i="9"/>
  <c r="L4" i="9"/>
  <c r="M4" i="9"/>
  <c r="N4" i="9"/>
  <c r="O4" i="9"/>
  <c r="G5" i="9"/>
  <c r="H5" i="9"/>
  <c r="I5" i="9"/>
  <c r="J5" i="9"/>
  <c r="K5" i="9"/>
  <c r="L5" i="9"/>
  <c r="M5" i="9"/>
  <c r="N5" i="9"/>
  <c r="O5" i="9"/>
  <c r="G6" i="9"/>
  <c r="H6" i="9"/>
  <c r="I6" i="9"/>
  <c r="J6" i="9"/>
  <c r="K6" i="9"/>
  <c r="L6" i="9"/>
  <c r="M6" i="9"/>
  <c r="N6" i="9"/>
  <c r="O6" i="9"/>
  <c r="G7" i="9"/>
  <c r="H7" i="9"/>
  <c r="I7" i="9"/>
  <c r="J7" i="9"/>
  <c r="K7" i="9"/>
  <c r="L7" i="9"/>
  <c r="M7" i="9"/>
  <c r="N7" i="9"/>
  <c r="O7" i="9"/>
  <c r="G8" i="9"/>
  <c r="H8" i="9"/>
  <c r="I8" i="9"/>
  <c r="J8" i="9"/>
  <c r="K8" i="9"/>
  <c r="L8" i="9"/>
  <c r="M8" i="9"/>
  <c r="N8" i="9"/>
  <c r="O8" i="9"/>
  <c r="G9" i="9"/>
  <c r="H9" i="9"/>
  <c r="I9" i="9"/>
  <c r="J9" i="9"/>
  <c r="K9" i="9"/>
  <c r="L9" i="9"/>
  <c r="M9" i="9"/>
  <c r="N9" i="9"/>
  <c r="O9" i="9"/>
  <c r="G10" i="9"/>
  <c r="H10" i="9"/>
  <c r="I10" i="9"/>
  <c r="J10" i="9"/>
  <c r="K10" i="9"/>
  <c r="L10" i="9"/>
  <c r="M10" i="9"/>
  <c r="N10" i="9"/>
  <c r="O10" i="9"/>
  <c r="G11" i="9"/>
  <c r="H11" i="9"/>
  <c r="I11" i="9"/>
  <c r="J11" i="9"/>
  <c r="K11" i="9"/>
  <c r="L11" i="9"/>
  <c r="M11" i="9"/>
  <c r="N11" i="9"/>
  <c r="O11" i="9"/>
  <c r="G12" i="9"/>
  <c r="H12" i="9"/>
  <c r="I12" i="9"/>
  <c r="J12" i="9"/>
  <c r="K12" i="9"/>
  <c r="L12" i="9"/>
  <c r="M12" i="9"/>
  <c r="N12" i="9"/>
  <c r="O12" i="9"/>
  <c r="G13" i="9"/>
  <c r="H13" i="9"/>
  <c r="I13" i="9"/>
  <c r="J13" i="9"/>
  <c r="K13" i="9"/>
  <c r="L13" i="9"/>
  <c r="M13" i="9"/>
  <c r="N13" i="9"/>
  <c r="O13" i="9"/>
  <c r="G14" i="9"/>
  <c r="H14" i="9"/>
  <c r="I14" i="9"/>
  <c r="J14" i="9"/>
  <c r="K14" i="9"/>
  <c r="L14" i="9"/>
  <c r="M14" i="9"/>
  <c r="N14" i="9"/>
  <c r="O14" i="9"/>
  <c r="G15" i="9"/>
  <c r="H15" i="9"/>
  <c r="I15" i="9"/>
  <c r="J15" i="9"/>
  <c r="K15" i="9"/>
  <c r="L15" i="9"/>
  <c r="M15" i="9"/>
  <c r="N15" i="9"/>
  <c r="O15" i="9"/>
  <c r="G16" i="9"/>
  <c r="H16" i="9"/>
  <c r="I16" i="9"/>
  <c r="J16" i="9"/>
  <c r="K16" i="9"/>
  <c r="L16" i="9"/>
  <c r="M16" i="9"/>
  <c r="N16" i="9"/>
  <c r="O16" i="9"/>
  <c r="G17" i="9"/>
  <c r="H17" i="9"/>
  <c r="I17" i="9"/>
  <c r="J17" i="9"/>
  <c r="K17" i="9"/>
  <c r="L17" i="9"/>
  <c r="M17" i="9"/>
  <c r="N17" i="9"/>
  <c r="O17" i="9"/>
  <c r="G26" i="9"/>
  <c r="H26" i="9"/>
  <c r="I26" i="9"/>
  <c r="J26" i="9"/>
  <c r="K26" i="9"/>
  <c r="L26" i="9"/>
  <c r="M26" i="9"/>
  <c r="N26" i="9"/>
  <c r="O26" i="9"/>
  <c r="G27" i="9"/>
  <c r="H27" i="9"/>
  <c r="I27" i="9"/>
  <c r="J27" i="9"/>
  <c r="K27" i="9"/>
  <c r="L27" i="9"/>
  <c r="M27" i="9"/>
  <c r="N27" i="9"/>
  <c r="O27" i="9"/>
  <c r="G28" i="9"/>
  <c r="H28" i="9"/>
  <c r="I28" i="9"/>
  <c r="J28" i="9"/>
  <c r="K28" i="9"/>
  <c r="L28" i="9"/>
  <c r="M28" i="9"/>
  <c r="N28" i="9"/>
  <c r="O28" i="9"/>
  <c r="G29" i="9"/>
  <c r="H29" i="9"/>
  <c r="I29" i="9"/>
  <c r="J29" i="9"/>
  <c r="K29" i="9"/>
  <c r="L29" i="9"/>
  <c r="M29" i="9"/>
  <c r="N29" i="9"/>
  <c r="O29" i="9"/>
  <c r="G30" i="9"/>
  <c r="H30" i="9"/>
  <c r="I30" i="9"/>
  <c r="J30" i="9"/>
  <c r="K30" i="9"/>
  <c r="L30" i="9"/>
  <c r="M30" i="9"/>
  <c r="N30" i="9"/>
  <c r="O30" i="9"/>
  <c r="G31" i="9"/>
  <c r="H31" i="9"/>
  <c r="I31" i="9"/>
  <c r="J31" i="9"/>
  <c r="K31" i="9"/>
  <c r="L31" i="9"/>
  <c r="M31" i="9"/>
  <c r="N31" i="9"/>
  <c r="O31" i="9"/>
  <c r="G32" i="9"/>
  <c r="H32" i="9"/>
  <c r="I32" i="9"/>
  <c r="J32" i="9"/>
  <c r="K32" i="9"/>
  <c r="L32" i="9"/>
  <c r="M32" i="9"/>
  <c r="N32" i="9"/>
  <c r="O32" i="9"/>
  <c r="G33" i="9"/>
  <c r="H33" i="9"/>
  <c r="I33" i="9"/>
  <c r="J33" i="9"/>
  <c r="K33" i="9"/>
  <c r="L33" i="9"/>
  <c r="M33" i="9"/>
  <c r="N33" i="9"/>
  <c r="O33" i="9"/>
  <c r="G34" i="9"/>
  <c r="H34" i="9"/>
  <c r="I34" i="9"/>
  <c r="J34" i="9"/>
  <c r="K34" i="9"/>
  <c r="L34" i="9"/>
  <c r="M34" i="9"/>
  <c r="N34" i="9"/>
  <c r="O34" i="9"/>
  <c r="G35" i="9"/>
  <c r="H35" i="9"/>
  <c r="I35" i="9"/>
  <c r="J35" i="9"/>
  <c r="K35" i="9"/>
  <c r="L35" i="9"/>
  <c r="M35" i="9"/>
  <c r="N35" i="9"/>
  <c r="O35" i="9"/>
  <c r="G36" i="9"/>
  <c r="H36" i="9"/>
  <c r="I36" i="9"/>
  <c r="J36" i="9"/>
  <c r="K36" i="9"/>
  <c r="L36" i="9"/>
  <c r="M36" i="9"/>
  <c r="N36" i="9"/>
  <c r="O36" i="9"/>
  <c r="G37" i="9"/>
  <c r="H37" i="9"/>
  <c r="I37" i="9"/>
  <c r="J37" i="9"/>
  <c r="K37" i="9"/>
  <c r="L37" i="9"/>
  <c r="M37" i="9"/>
  <c r="N37" i="9"/>
  <c r="O37" i="9"/>
  <c r="G38" i="9"/>
  <c r="H38" i="9"/>
  <c r="I38" i="9"/>
  <c r="J38" i="9"/>
  <c r="K38" i="9"/>
  <c r="L38" i="9"/>
  <c r="M38" i="9"/>
  <c r="N38" i="9"/>
  <c r="O38" i="9"/>
  <c r="G39" i="9"/>
  <c r="H39" i="9"/>
  <c r="I39" i="9"/>
  <c r="J39" i="9"/>
  <c r="K39" i="9"/>
  <c r="L39" i="9"/>
  <c r="M39" i="9"/>
  <c r="N39" i="9"/>
  <c r="O39" i="9"/>
  <c r="G40" i="9"/>
  <c r="H40" i="9"/>
  <c r="I40" i="9"/>
  <c r="J40" i="9"/>
  <c r="K40" i="9"/>
  <c r="L40" i="9"/>
  <c r="M40" i="9"/>
  <c r="N40" i="9"/>
  <c r="O40" i="9"/>
  <c r="G41" i="9"/>
  <c r="H41" i="9"/>
  <c r="I41" i="9"/>
  <c r="J41" i="9"/>
  <c r="K41" i="9"/>
  <c r="L41" i="9"/>
  <c r="M41" i="9"/>
  <c r="N41" i="9"/>
  <c r="O41" i="9"/>
  <c r="G42" i="9"/>
  <c r="H42" i="9"/>
  <c r="I42" i="9"/>
  <c r="J42" i="9"/>
  <c r="K42" i="9"/>
  <c r="L42" i="9"/>
  <c r="M42" i="9"/>
  <c r="N42" i="9"/>
  <c r="O42" i="9"/>
  <c r="G43" i="9"/>
  <c r="H43" i="9"/>
  <c r="I43" i="9"/>
  <c r="J43" i="9"/>
  <c r="K43" i="9"/>
  <c r="L43" i="9"/>
  <c r="M43" i="9"/>
  <c r="N43" i="9"/>
  <c r="O43" i="9"/>
  <c r="G44" i="9"/>
  <c r="H44" i="9"/>
  <c r="I44" i="9"/>
  <c r="J44" i="9"/>
  <c r="K44" i="9"/>
  <c r="L44" i="9"/>
  <c r="M44" i="9"/>
  <c r="N44" i="9"/>
  <c r="O44" i="9"/>
  <c r="G45" i="9"/>
  <c r="H45" i="9"/>
  <c r="I45" i="9"/>
  <c r="J45" i="9"/>
  <c r="K45" i="9"/>
  <c r="L45" i="9"/>
  <c r="M45" i="9"/>
  <c r="N45" i="9"/>
  <c r="O45" i="9"/>
  <c r="G46" i="9"/>
  <c r="H46" i="9"/>
  <c r="I46" i="9"/>
  <c r="J46" i="9"/>
  <c r="K46" i="9"/>
  <c r="L46" i="9"/>
  <c r="M46" i="9"/>
  <c r="N46" i="9"/>
  <c r="O46" i="9"/>
  <c r="G47" i="9"/>
  <c r="H47" i="9"/>
  <c r="I47" i="9"/>
  <c r="J47" i="9"/>
  <c r="K47" i="9"/>
  <c r="L47" i="9"/>
  <c r="M47" i="9"/>
  <c r="N47" i="9"/>
  <c r="O47" i="9"/>
  <c r="G48" i="9"/>
  <c r="H48" i="9"/>
  <c r="I48" i="9"/>
  <c r="J48" i="9"/>
  <c r="K48" i="9"/>
  <c r="L48" i="9"/>
  <c r="M48" i="9"/>
  <c r="N48" i="9"/>
  <c r="O48" i="9"/>
  <c r="G49" i="9"/>
  <c r="H49" i="9"/>
  <c r="I49" i="9"/>
  <c r="J49" i="9"/>
  <c r="K49" i="9"/>
  <c r="L49" i="9"/>
  <c r="M49" i="9"/>
  <c r="N49" i="9"/>
  <c r="O49" i="9"/>
  <c r="G50" i="9"/>
  <c r="H50" i="9"/>
  <c r="I50" i="9"/>
  <c r="J50" i="9"/>
  <c r="K50" i="9"/>
  <c r="L50" i="9"/>
  <c r="M50" i="9"/>
  <c r="N50" i="9"/>
  <c r="O50" i="9"/>
  <c r="G51" i="9"/>
  <c r="H51" i="9"/>
  <c r="I51" i="9"/>
  <c r="J51" i="9"/>
  <c r="K51" i="9"/>
  <c r="L51" i="9"/>
  <c r="M51" i="9"/>
  <c r="N51" i="9"/>
  <c r="O51" i="9"/>
  <c r="G52" i="9"/>
  <c r="H52" i="9"/>
  <c r="I52" i="9"/>
  <c r="J52" i="9"/>
  <c r="K52" i="9"/>
  <c r="L52" i="9"/>
  <c r="M52" i="9"/>
  <c r="N52" i="9"/>
  <c r="O52" i="9"/>
  <c r="G53" i="9"/>
  <c r="H53" i="9"/>
  <c r="I53" i="9"/>
  <c r="J53" i="9"/>
  <c r="K53" i="9"/>
  <c r="L53" i="9"/>
  <c r="M53" i="9"/>
  <c r="N53" i="9"/>
  <c r="O53" i="9"/>
  <c r="G54" i="9"/>
  <c r="H54" i="9"/>
  <c r="I54" i="9"/>
  <c r="J54" i="9"/>
  <c r="K54" i="9"/>
  <c r="L54" i="9"/>
  <c r="M54" i="9"/>
  <c r="N54" i="9"/>
  <c r="O54" i="9"/>
  <c r="G55" i="9"/>
  <c r="H55" i="9"/>
  <c r="I55" i="9"/>
  <c r="J55" i="9"/>
  <c r="K55" i="9"/>
  <c r="L55" i="9"/>
  <c r="M55" i="9"/>
  <c r="N55" i="9"/>
  <c r="O55" i="9"/>
  <c r="G56" i="9"/>
  <c r="H56" i="9"/>
  <c r="I56" i="9"/>
  <c r="J56" i="9"/>
  <c r="K56" i="9"/>
  <c r="L56" i="9"/>
  <c r="M56" i="9"/>
  <c r="N56" i="9"/>
  <c r="O56" i="9"/>
  <c r="G57" i="9"/>
  <c r="H57" i="9"/>
  <c r="I57" i="9"/>
  <c r="J57" i="9"/>
  <c r="K57" i="9"/>
  <c r="L57" i="9"/>
  <c r="M57" i="9"/>
  <c r="N57" i="9"/>
  <c r="O57" i="9"/>
  <c r="G58" i="9"/>
  <c r="H58" i="9"/>
  <c r="I58" i="9"/>
  <c r="J58" i="9"/>
  <c r="K58" i="9"/>
  <c r="L58" i="9"/>
  <c r="M58" i="9"/>
  <c r="N58" i="9"/>
  <c r="O58" i="9"/>
  <c r="G59" i="9"/>
  <c r="H59" i="9"/>
  <c r="I59" i="9"/>
  <c r="J59" i="9"/>
  <c r="K59" i="9"/>
  <c r="L59" i="9"/>
  <c r="M59" i="9"/>
  <c r="N59" i="9"/>
  <c r="O59" i="9"/>
  <c r="G60" i="9"/>
  <c r="H60" i="9"/>
  <c r="I60" i="9"/>
  <c r="J60" i="9"/>
  <c r="K60" i="9"/>
  <c r="L60" i="9"/>
  <c r="M60" i="9"/>
  <c r="N60" i="9"/>
  <c r="O60" i="9"/>
  <c r="G61" i="9"/>
  <c r="H61" i="9"/>
  <c r="I61" i="9"/>
  <c r="J61" i="9"/>
  <c r="K61" i="9"/>
  <c r="L61" i="9"/>
  <c r="M61" i="9"/>
  <c r="N61" i="9"/>
  <c r="O61" i="9"/>
  <c r="G62" i="9"/>
  <c r="H62" i="9"/>
  <c r="I62" i="9"/>
  <c r="J62" i="9"/>
  <c r="K62" i="9"/>
  <c r="L62" i="9"/>
  <c r="M62" i="9"/>
  <c r="N62" i="9"/>
  <c r="O62" i="9"/>
  <c r="G63" i="9"/>
  <c r="H63" i="9"/>
  <c r="I63" i="9"/>
  <c r="J63" i="9"/>
  <c r="K63" i="9"/>
  <c r="L63" i="9"/>
  <c r="M63" i="9"/>
  <c r="N63" i="9"/>
  <c r="O63" i="9"/>
  <c r="G64" i="9"/>
  <c r="H64" i="9"/>
  <c r="I64" i="9"/>
  <c r="J64" i="9"/>
  <c r="K64" i="9"/>
  <c r="L64" i="9"/>
  <c r="M64" i="9"/>
  <c r="N64" i="9"/>
  <c r="O64" i="9"/>
  <c r="G65" i="9"/>
  <c r="H65" i="9"/>
  <c r="I65" i="9"/>
  <c r="J65" i="9"/>
  <c r="K65" i="9"/>
  <c r="L65" i="9"/>
  <c r="M65" i="9"/>
  <c r="N65" i="9"/>
  <c r="O65" i="9"/>
  <c r="G66" i="9"/>
  <c r="H66" i="9"/>
  <c r="I66" i="9"/>
  <c r="J66" i="9"/>
  <c r="K66" i="9"/>
  <c r="L66" i="9"/>
  <c r="M66" i="9"/>
  <c r="N66" i="9"/>
  <c r="O66" i="9"/>
  <c r="G67" i="9"/>
  <c r="H67" i="9"/>
  <c r="I67" i="9"/>
  <c r="J67" i="9"/>
  <c r="K67" i="9"/>
  <c r="L67" i="9"/>
  <c r="M67" i="9"/>
  <c r="N67" i="9"/>
  <c r="O67" i="9"/>
  <c r="G68" i="9"/>
  <c r="H68" i="9"/>
  <c r="I68" i="9"/>
  <c r="J68" i="9"/>
  <c r="K68" i="9"/>
  <c r="L68" i="9"/>
  <c r="M68" i="9"/>
  <c r="N68" i="9"/>
  <c r="O68" i="9"/>
  <c r="G69" i="9"/>
  <c r="H69" i="9"/>
  <c r="I69" i="9"/>
  <c r="J69" i="9"/>
  <c r="K69" i="9"/>
  <c r="L69" i="9"/>
  <c r="M69" i="9"/>
  <c r="N69" i="9"/>
  <c r="O69" i="9"/>
  <c r="G70" i="9"/>
  <c r="H70" i="9"/>
  <c r="I70" i="9"/>
  <c r="J70" i="9"/>
  <c r="K70" i="9"/>
  <c r="L70" i="9"/>
  <c r="M70" i="9"/>
  <c r="N70" i="9"/>
  <c r="O70" i="9"/>
  <c r="G71" i="9"/>
  <c r="H71" i="9"/>
  <c r="I71" i="9"/>
  <c r="J71" i="9"/>
  <c r="K71" i="9"/>
  <c r="L71" i="9"/>
  <c r="M71" i="9"/>
  <c r="N71" i="9"/>
  <c r="O71" i="9"/>
  <c r="G72" i="9"/>
  <c r="H72" i="9"/>
  <c r="I72" i="9"/>
  <c r="J72" i="9"/>
  <c r="K72" i="9"/>
  <c r="L72" i="9"/>
  <c r="M72" i="9"/>
  <c r="N72" i="9"/>
  <c r="O72" i="9"/>
  <c r="G73" i="9"/>
  <c r="H73" i="9"/>
  <c r="I73" i="9"/>
  <c r="J73" i="9"/>
  <c r="K73" i="9"/>
  <c r="L73" i="9"/>
  <c r="M73" i="9"/>
  <c r="N73" i="9"/>
  <c r="O73" i="9"/>
  <c r="G74" i="9"/>
  <c r="H74" i="9"/>
  <c r="I74" i="9"/>
  <c r="J74" i="9"/>
  <c r="K74" i="9"/>
  <c r="L74" i="9"/>
  <c r="M74" i="9"/>
  <c r="N74" i="9"/>
  <c r="O74" i="9"/>
  <c r="G75" i="9"/>
  <c r="H75" i="9"/>
  <c r="I75" i="9"/>
  <c r="J75" i="9"/>
  <c r="K75" i="9"/>
  <c r="L75" i="9"/>
  <c r="M75" i="9"/>
  <c r="N75" i="9"/>
  <c r="O75" i="9"/>
  <c r="G76" i="9"/>
  <c r="H76" i="9"/>
  <c r="I76" i="9"/>
  <c r="J76" i="9"/>
  <c r="K76" i="9"/>
  <c r="L76" i="9"/>
  <c r="M76" i="9"/>
  <c r="N76" i="9"/>
  <c r="O76" i="9"/>
  <c r="G77" i="9"/>
  <c r="H77" i="9"/>
  <c r="I77" i="9"/>
  <c r="J77" i="9"/>
  <c r="K77" i="9"/>
  <c r="L77" i="9"/>
  <c r="M77" i="9"/>
  <c r="N77" i="9"/>
  <c r="O77" i="9"/>
  <c r="G78" i="9"/>
  <c r="H78" i="9"/>
  <c r="I78" i="9"/>
  <c r="J78" i="9"/>
  <c r="K78" i="9"/>
  <c r="L78" i="9"/>
  <c r="M78" i="9"/>
  <c r="N78" i="9"/>
  <c r="O78" i="9"/>
  <c r="G79" i="9"/>
  <c r="H79" i="9"/>
  <c r="I79" i="9"/>
  <c r="J79" i="9"/>
  <c r="K79" i="9"/>
  <c r="L79" i="9"/>
  <c r="M79" i="9"/>
  <c r="N79" i="9"/>
  <c r="O79" i="9"/>
  <c r="G80" i="9"/>
  <c r="H80" i="9"/>
  <c r="I80" i="9"/>
  <c r="J80" i="9"/>
  <c r="K80" i="9"/>
  <c r="L80" i="9"/>
  <c r="M80" i="9"/>
  <c r="N80" i="9"/>
  <c r="O80" i="9"/>
  <c r="G81" i="9"/>
  <c r="H81" i="9"/>
  <c r="I81" i="9"/>
  <c r="J81" i="9"/>
  <c r="K81" i="9"/>
  <c r="L81" i="9"/>
  <c r="M81" i="9"/>
  <c r="N81" i="9"/>
  <c r="O81" i="9"/>
  <c r="G82" i="9"/>
  <c r="H82" i="9"/>
  <c r="I82" i="9"/>
  <c r="J82" i="9"/>
  <c r="K82" i="9"/>
  <c r="L82" i="9"/>
  <c r="M82" i="9"/>
  <c r="N82" i="9"/>
  <c r="O82" i="9"/>
  <c r="G83" i="9"/>
  <c r="H83" i="9"/>
  <c r="I83" i="9"/>
  <c r="J83" i="9"/>
  <c r="K83" i="9"/>
  <c r="L83" i="9"/>
  <c r="M83" i="9"/>
  <c r="N83" i="9"/>
  <c r="O83" i="9"/>
  <c r="G84" i="9"/>
  <c r="H84" i="9"/>
  <c r="I84" i="9"/>
  <c r="J84" i="9"/>
  <c r="K84" i="9"/>
  <c r="L84" i="9"/>
  <c r="M84" i="9"/>
  <c r="N84" i="9"/>
  <c r="O84" i="9"/>
  <c r="G85" i="9"/>
  <c r="H85" i="9"/>
  <c r="I85" i="9"/>
  <c r="J85" i="9"/>
  <c r="K85" i="9"/>
  <c r="L85" i="9"/>
  <c r="M85" i="9"/>
  <c r="N85" i="9"/>
  <c r="O85" i="9"/>
  <c r="G86" i="9"/>
  <c r="H86" i="9"/>
  <c r="I86" i="9"/>
  <c r="J86" i="9"/>
  <c r="K86" i="9"/>
  <c r="L86" i="9"/>
  <c r="M86" i="9"/>
  <c r="N86" i="9"/>
  <c r="O86" i="9"/>
  <c r="G87" i="9"/>
  <c r="H87" i="9"/>
  <c r="I87" i="9"/>
  <c r="J87" i="9"/>
  <c r="K87" i="9"/>
  <c r="L87" i="9"/>
  <c r="M87" i="9"/>
  <c r="N87" i="9"/>
  <c r="O87" i="9"/>
  <c r="G88" i="9"/>
  <c r="H88" i="9"/>
  <c r="I88" i="9"/>
  <c r="J88" i="9"/>
  <c r="K88" i="9"/>
  <c r="L88" i="9"/>
  <c r="M88" i="9"/>
  <c r="N88" i="9"/>
  <c r="O88" i="9"/>
  <c r="G89" i="9"/>
  <c r="H89" i="9"/>
  <c r="I89" i="9"/>
  <c r="J89" i="9"/>
  <c r="K89" i="9"/>
  <c r="L89" i="9"/>
  <c r="M89" i="9"/>
  <c r="N89" i="9"/>
  <c r="O89" i="9"/>
  <c r="G90" i="9"/>
  <c r="H90" i="9"/>
  <c r="I90" i="9"/>
  <c r="J90" i="9"/>
  <c r="K90" i="9"/>
  <c r="L90" i="9"/>
  <c r="M90" i="9"/>
  <c r="N90" i="9"/>
  <c r="O90" i="9"/>
  <c r="G91" i="9"/>
  <c r="H91" i="9"/>
  <c r="I91" i="9"/>
  <c r="J91" i="9"/>
  <c r="K91" i="9"/>
  <c r="L91" i="9"/>
  <c r="M91" i="9"/>
  <c r="N91" i="9"/>
  <c r="O91" i="9"/>
  <c r="G92" i="9"/>
  <c r="H92" i="9"/>
  <c r="I92" i="9"/>
  <c r="J92" i="9"/>
  <c r="K92" i="9"/>
  <c r="L92" i="9"/>
  <c r="M92" i="9"/>
  <c r="N92" i="9"/>
  <c r="O92" i="9"/>
  <c r="G93" i="9"/>
  <c r="H93" i="9"/>
  <c r="I93" i="9"/>
  <c r="J93" i="9"/>
  <c r="K93" i="9"/>
  <c r="L93" i="9"/>
  <c r="M93" i="9"/>
  <c r="N93" i="9"/>
  <c r="O93" i="9"/>
  <c r="G94" i="9"/>
  <c r="H94" i="9"/>
  <c r="I94" i="9"/>
  <c r="J94" i="9"/>
  <c r="K94" i="9"/>
  <c r="L94" i="9"/>
  <c r="M94" i="9"/>
  <c r="N94" i="9"/>
  <c r="O94" i="9"/>
  <c r="G95" i="9"/>
  <c r="H95" i="9"/>
  <c r="I95" i="9"/>
  <c r="J95" i="9"/>
  <c r="K95" i="9"/>
  <c r="L95" i="9"/>
  <c r="M95" i="9"/>
  <c r="N95" i="9"/>
  <c r="O95" i="9"/>
  <c r="G96" i="9"/>
  <c r="H96" i="9"/>
  <c r="I96" i="9"/>
  <c r="J96" i="9"/>
  <c r="K96" i="9"/>
  <c r="L96" i="9"/>
  <c r="M96" i="9"/>
  <c r="N96" i="9"/>
  <c r="O96" i="9"/>
  <c r="G97" i="9"/>
  <c r="H97" i="9"/>
  <c r="I97" i="9"/>
  <c r="J97" i="9"/>
  <c r="K97" i="9"/>
  <c r="L97" i="9"/>
  <c r="M97" i="9"/>
  <c r="N97" i="9"/>
  <c r="O97" i="9"/>
  <c r="G98" i="9"/>
  <c r="H98" i="9"/>
  <c r="I98" i="9"/>
  <c r="J98" i="9"/>
  <c r="K98" i="9"/>
  <c r="L98" i="9"/>
  <c r="M98" i="9"/>
  <c r="N98" i="9"/>
  <c r="O98" i="9"/>
  <c r="G99" i="9"/>
  <c r="H99" i="9"/>
  <c r="I99" i="9"/>
  <c r="J99" i="9"/>
  <c r="K99" i="9"/>
  <c r="L99" i="9"/>
  <c r="M99" i="9"/>
  <c r="N99" i="9"/>
  <c r="O99" i="9"/>
  <c r="G100" i="9"/>
  <c r="H100" i="9"/>
  <c r="I100" i="9"/>
  <c r="J100" i="9"/>
  <c r="K100" i="9"/>
  <c r="L100" i="9"/>
  <c r="M100" i="9"/>
  <c r="N100" i="9"/>
  <c r="O100" i="9"/>
  <c r="G101" i="9"/>
  <c r="H101" i="9"/>
  <c r="I101" i="9"/>
  <c r="J101" i="9"/>
  <c r="K101" i="9"/>
  <c r="L101" i="9"/>
  <c r="M101" i="9"/>
  <c r="N101" i="9"/>
  <c r="O101" i="9"/>
  <c r="G102" i="9"/>
  <c r="H102" i="9"/>
  <c r="I102" i="9"/>
  <c r="J102" i="9"/>
  <c r="K102" i="9"/>
  <c r="L102" i="9"/>
  <c r="M102" i="9"/>
  <c r="N102" i="9"/>
  <c r="O102" i="9"/>
  <c r="G103" i="9"/>
  <c r="H103" i="9"/>
  <c r="I103" i="9"/>
  <c r="J103" i="9"/>
  <c r="K103" i="9"/>
  <c r="L103" i="9"/>
  <c r="M103" i="9"/>
  <c r="N103" i="9"/>
  <c r="O103" i="9"/>
  <c r="G104" i="9"/>
  <c r="H104" i="9"/>
  <c r="I104" i="9"/>
  <c r="J104" i="9"/>
  <c r="K104" i="9"/>
  <c r="L104" i="9"/>
  <c r="M104" i="9"/>
  <c r="N104" i="9"/>
  <c r="O104" i="9"/>
  <c r="G105" i="9"/>
  <c r="H105" i="9"/>
  <c r="I105" i="9"/>
  <c r="J105" i="9"/>
  <c r="K105" i="9"/>
  <c r="L105" i="9"/>
  <c r="M105" i="9"/>
  <c r="N105" i="9"/>
  <c r="O105" i="9"/>
  <c r="G106" i="9"/>
  <c r="H106" i="9"/>
  <c r="I106" i="9"/>
  <c r="J106" i="9"/>
  <c r="K106" i="9"/>
  <c r="L106" i="9"/>
  <c r="M106" i="9"/>
  <c r="N106" i="9"/>
  <c r="O106" i="9"/>
  <c r="G107" i="9"/>
  <c r="H107" i="9"/>
  <c r="I107" i="9"/>
  <c r="J107" i="9"/>
  <c r="K107" i="9"/>
  <c r="L107" i="9"/>
  <c r="M107" i="9"/>
  <c r="N107" i="9"/>
  <c r="O107" i="9"/>
  <c r="G108" i="9"/>
  <c r="H108" i="9"/>
  <c r="I108" i="9"/>
  <c r="J108" i="9"/>
  <c r="K108" i="9"/>
  <c r="L108" i="9"/>
  <c r="M108" i="9"/>
  <c r="N108" i="9"/>
  <c r="O108" i="9"/>
  <c r="G109" i="9"/>
  <c r="H109" i="9"/>
  <c r="I109" i="9"/>
  <c r="J109" i="9"/>
  <c r="K109" i="9"/>
  <c r="L109" i="9"/>
  <c r="M109" i="9"/>
  <c r="N109" i="9"/>
  <c r="O109" i="9"/>
  <c r="G110" i="9"/>
  <c r="H110" i="9"/>
  <c r="I110" i="9"/>
  <c r="J110" i="9"/>
  <c r="K110" i="9"/>
  <c r="L110" i="9"/>
  <c r="M110" i="9"/>
  <c r="N110" i="9"/>
  <c r="O110" i="9"/>
  <c r="G111" i="9"/>
  <c r="H111" i="9"/>
  <c r="I111" i="9"/>
  <c r="J111" i="9"/>
  <c r="K111" i="9"/>
  <c r="L111" i="9"/>
  <c r="M111" i="9"/>
  <c r="N111" i="9"/>
  <c r="O111" i="9"/>
  <c r="G112" i="9"/>
  <c r="H112" i="9"/>
  <c r="I112" i="9"/>
  <c r="J112" i="9"/>
  <c r="K112" i="9"/>
  <c r="L112" i="9"/>
  <c r="M112" i="9"/>
  <c r="N112" i="9"/>
  <c r="O112" i="9"/>
  <c r="G113" i="9"/>
  <c r="H113" i="9"/>
  <c r="I113" i="9"/>
  <c r="J113" i="9"/>
  <c r="K113" i="9"/>
  <c r="L113" i="9"/>
  <c r="M113" i="9"/>
  <c r="N113" i="9"/>
  <c r="O113" i="9"/>
  <c r="G114" i="9"/>
  <c r="H114" i="9"/>
  <c r="I114" i="9"/>
  <c r="J114" i="9"/>
  <c r="K114" i="9"/>
  <c r="L114" i="9"/>
  <c r="M114" i="9"/>
  <c r="N114" i="9"/>
  <c r="O114" i="9"/>
  <c r="G115" i="9"/>
  <c r="H115" i="9"/>
  <c r="I115" i="9"/>
  <c r="J115" i="9"/>
  <c r="K115" i="9"/>
  <c r="L115" i="9"/>
  <c r="M115" i="9"/>
  <c r="N115" i="9"/>
  <c r="O115" i="9"/>
  <c r="G116" i="9"/>
  <c r="H116" i="9"/>
  <c r="I116" i="9"/>
  <c r="J116" i="9"/>
  <c r="K116" i="9"/>
  <c r="L116" i="9"/>
  <c r="M116" i="9"/>
  <c r="N116" i="9"/>
  <c r="O116" i="9"/>
  <c r="G117" i="9"/>
  <c r="H117" i="9"/>
  <c r="I117" i="9"/>
  <c r="J117" i="9"/>
  <c r="K117" i="9"/>
  <c r="L117" i="9"/>
  <c r="M117" i="9"/>
  <c r="N117" i="9"/>
  <c r="O117" i="9"/>
  <c r="G118" i="9"/>
  <c r="H118" i="9"/>
  <c r="I118" i="9"/>
  <c r="J118" i="9"/>
  <c r="K118" i="9"/>
  <c r="L118" i="9"/>
  <c r="M118" i="9"/>
  <c r="N118" i="9"/>
  <c r="O118" i="9"/>
  <c r="G119" i="9"/>
  <c r="H119" i="9"/>
  <c r="I119" i="9"/>
  <c r="J119" i="9"/>
  <c r="K119" i="9"/>
  <c r="L119" i="9"/>
  <c r="M119" i="9"/>
  <c r="N119" i="9"/>
  <c r="O119" i="9"/>
  <c r="G120" i="9"/>
  <c r="H120" i="9"/>
  <c r="I120" i="9"/>
  <c r="J120" i="9"/>
  <c r="K120" i="9"/>
  <c r="L120" i="9"/>
  <c r="M120" i="9"/>
  <c r="N120" i="9"/>
  <c r="O120" i="9"/>
  <c r="G121" i="9"/>
  <c r="H121" i="9"/>
  <c r="I121" i="9"/>
  <c r="J121" i="9"/>
  <c r="K121" i="9"/>
  <c r="L121" i="9"/>
  <c r="M121" i="9"/>
  <c r="N121" i="9"/>
  <c r="O121" i="9"/>
  <c r="G122" i="9"/>
  <c r="H122" i="9"/>
  <c r="I122" i="9"/>
  <c r="J122" i="9"/>
  <c r="K122" i="9"/>
  <c r="L122" i="9"/>
  <c r="M122" i="9"/>
  <c r="N122" i="9"/>
  <c r="O122" i="9"/>
  <c r="G123" i="9"/>
  <c r="H123" i="9"/>
  <c r="I123" i="9"/>
  <c r="J123" i="9"/>
  <c r="K123" i="9"/>
  <c r="L123" i="9"/>
  <c r="M123" i="9"/>
  <c r="N123" i="9"/>
  <c r="O123" i="9"/>
  <c r="G124" i="9"/>
  <c r="H124" i="9"/>
  <c r="I124" i="9"/>
  <c r="J124" i="9"/>
  <c r="K124" i="9"/>
  <c r="L124" i="9"/>
  <c r="M124" i="9"/>
  <c r="N124" i="9"/>
  <c r="O124" i="9"/>
  <c r="G125" i="9"/>
  <c r="H125" i="9"/>
  <c r="I125" i="9"/>
  <c r="J125" i="9"/>
  <c r="K125" i="9"/>
  <c r="L125" i="9"/>
  <c r="M125" i="9"/>
  <c r="N125" i="9"/>
  <c r="O125" i="9"/>
  <c r="G126" i="9"/>
  <c r="H126" i="9"/>
  <c r="I126" i="9"/>
  <c r="J126" i="9"/>
  <c r="K126" i="9"/>
  <c r="L126" i="9"/>
  <c r="M126" i="9"/>
  <c r="N126" i="9"/>
  <c r="O126" i="9"/>
  <c r="G127" i="9"/>
  <c r="H127" i="9"/>
  <c r="I127" i="9"/>
  <c r="J127" i="9"/>
  <c r="K127" i="9"/>
  <c r="L127" i="9"/>
  <c r="M127" i="9"/>
  <c r="N127" i="9"/>
  <c r="O127" i="9"/>
  <c r="G128" i="9"/>
  <c r="H128" i="9"/>
  <c r="I128" i="9"/>
  <c r="J128" i="9"/>
  <c r="K128" i="9"/>
  <c r="L128" i="9"/>
  <c r="M128" i="9"/>
  <c r="N128" i="9"/>
  <c r="O128" i="9"/>
  <c r="G129" i="9"/>
  <c r="H129" i="9"/>
  <c r="I129" i="9"/>
  <c r="J129" i="9"/>
  <c r="K129" i="9"/>
  <c r="L129" i="9"/>
  <c r="M129" i="9"/>
  <c r="N129" i="9"/>
  <c r="O129" i="9"/>
  <c r="G177" i="9"/>
  <c r="H177" i="9"/>
  <c r="I177" i="9"/>
  <c r="J177" i="9"/>
  <c r="K177" i="9"/>
  <c r="L177" i="9"/>
  <c r="M177" i="9"/>
  <c r="N177" i="9"/>
  <c r="O177" i="9"/>
  <c r="G178" i="9"/>
  <c r="H178" i="9"/>
  <c r="I178" i="9"/>
  <c r="J178" i="9"/>
  <c r="K178" i="9"/>
  <c r="L178" i="9"/>
  <c r="M178" i="9"/>
  <c r="N178" i="9"/>
  <c r="O178" i="9"/>
  <c r="A101" i="9"/>
  <c r="D101" i="9"/>
  <c r="E101" i="9"/>
  <c r="A102" i="9"/>
  <c r="D102" i="9"/>
  <c r="E102" i="9"/>
  <c r="A103" i="9"/>
  <c r="D103" i="9"/>
  <c r="E103" i="9"/>
  <c r="A104" i="9"/>
  <c r="D104" i="9"/>
  <c r="E104" i="9"/>
  <c r="A105" i="9"/>
  <c r="D105" i="9"/>
  <c r="E105" i="9"/>
  <c r="A106" i="9"/>
  <c r="D106" i="9"/>
  <c r="E106" i="9"/>
  <c r="A107" i="9"/>
  <c r="D107" i="9"/>
  <c r="E107" i="9"/>
  <c r="A108" i="9"/>
  <c r="D108" i="9"/>
  <c r="E108" i="9"/>
  <c r="A109" i="9"/>
  <c r="D109" i="9"/>
  <c r="E109" i="9"/>
  <c r="A110" i="9"/>
  <c r="D110" i="9"/>
  <c r="E110" i="9"/>
  <c r="A111" i="9"/>
  <c r="D111" i="9"/>
  <c r="E111" i="9"/>
  <c r="A112" i="9"/>
  <c r="D112" i="9"/>
  <c r="E112" i="9"/>
  <c r="A113" i="9"/>
  <c r="D113" i="9"/>
  <c r="E113" i="9"/>
  <c r="A114" i="9"/>
  <c r="D114" i="9"/>
  <c r="E114" i="9"/>
  <c r="A115" i="9"/>
  <c r="D115" i="9"/>
  <c r="E115" i="9"/>
  <c r="A116" i="9"/>
  <c r="D116" i="9"/>
  <c r="E116" i="9"/>
  <c r="A117" i="9"/>
  <c r="D117" i="9"/>
  <c r="E117" i="9"/>
  <c r="A118" i="9"/>
  <c r="D118" i="9"/>
  <c r="E118" i="9"/>
  <c r="A119" i="9"/>
  <c r="D119" i="9"/>
  <c r="E119" i="9"/>
  <c r="A120" i="9"/>
  <c r="D120" i="9"/>
  <c r="E120" i="9"/>
  <c r="A121" i="9"/>
  <c r="D121" i="9"/>
  <c r="E121" i="9"/>
  <c r="A122" i="9"/>
  <c r="D122" i="9"/>
  <c r="E122" i="9"/>
  <c r="A123" i="9"/>
  <c r="D123" i="9"/>
  <c r="E123" i="9"/>
  <c r="A124" i="9"/>
  <c r="D124" i="9"/>
  <c r="E124" i="9"/>
  <c r="N3" i="22"/>
  <c r="G3" i="22"/>
  <c r="F3" i="22"/>
  <c r="D3" i="22"/>
  <c r="C3" i="22"/>
  <c r="A3" i="22"/>
  <c r="N2" i="22"/>
  <c r="G2" i="22"/>
  <c r="F2" i="22"/>
  <c r="D2" i="22"/>
  <c r="C2" i="22"/>
  <c r="A2" i="22"/>
  <c r="C51" i="18"/>
  <c r="D51" i="18"/>
  <c r="C52" i="18"/>
  <c r="D52" i="18"/>
  <c r="C53" i="18"/>
  <c r="D53" i="18"/>
  <c r="A100" i="9"/>
  <c r="D100" i="9"/>
  <c r="E100" i="9"/>
  <c r="E99" i="9"/>
  <c r="D99" i="9"/>
  <c r="A99" i="9"/>
  <c r="E98" i="9"/>
  <c r="D98" i="9"/>
  <c r="A98" i="9"/>
  <c r="E97" i="9"/>
  <c r="D97" i="9"/>
  <c r="A97" i="9"/>
  <c r="E96" i="9"/>
  <c r="D96" i="9"/>
  <c r="A96" i="9"/>
  <c r="E95" i="9"/>
  <c r="D95" i="9"/>
  <c r="A95" i="9"/>
  <c r="E94" i="9"/>
  <c r="D94" i="9"/>
  <c r="A94" i="9"/>
  <c r="E93" i="9"/>
  <c r="D93" i="9"/>
  <c r="A93" i="9"/>
  <c r="E92" i="9"/>
  <c r="D92" i="9"/>
  <c r="A92" i="9"/>
  <c r="E91" i="9"/>
  <c r="D91" i="9"/>
  <c r="A91" i="9"/>
  <c r="E90" i="9"/>
  <c r="D90" i="9"/>
  <c r="A90" i="9"/>
  <c r="E89" i="9"/>
  <c r="D89" i="9"/>
  <c r="A89" i="9"/>
  <c r="E88" i="9"/>
  <c r="D88" i="9"/>
  <c r="A88" i="9"/>
  <c r="E87" i="9"/>
  <c r="D87" i="9"/>
  <c r="A87" i="9"/>
  <c r="E86" i="9"/>
  <c r="D86" i="9"/>
  <c r="A86" i="9"/>
  <c r="E85" i="9"/>
  <c r="D85" i="9"/>
  <c r="A85" i="9"/>
  <c r="E84" i="9"/>
  <c r="D84" i="9"/>
  <c r="A84" i="9"/>
  <c r="E83" i="9"/>
  <c r="D83" i="9"/>
  <c r="A83" i="9"/>
  <c r="E82" i="9"/>
  <c r="D82" i="9"/>
  <c r="A82" i="9"/>
  <c r="E81" i="9"/>
  <c r="D81" i="9"/>
  <c r="A81" i="9"/>
  <c r="E80" i="9"/>
  <c r="D80" i="9"/>
  <c r="A80" i="9"/>
  <c r="E79" i="9"/>
  <c r="D79" i="9"/>
  <c r="A79" i="9"/>
  <c r="E125" i="9"/>
  <c r="D125" i="9"/>
  <c r="A125" i="9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I33" i="21"/>
  <c r="J33" i="21"/>
  <c r="G33" i="21"/>
  <c r="F33" i="21"/>
  <c r="D33" i="21"/>
  <c r="C33" i="21"/>
  <c r="I32" i="21"/>
  <c r="J32" i="21"/>
  <c r="G32" i="21"/>
  <c r="F32" i="21"/>
  <c r="D32" i="21"/>
  <c r="C32" i="21"/>
  <c r="I31" i="21"/>
  <c r="J31" i="21"/>
  <c r="G31" i="21"/>
  <c r="F31" i="21"/>
  <c r="D31" i="21"/>
  <c r="C31" i="21"/>
  <c r="I30" i="21"/>
  <c r="J30" i="21"/>
  <c r="G30" i="21"/>
  <c r="F30" i="21"/>
  <c r="D30" i="21"/>
  <c r="C30" i="21"/>
  <c r="I29" i="21"/>
  <c r="J29" i="21"/>
  <c r="G29" i="21"/>
  <c r="F29" i="21"/>
  <c r="D29" i="21"/>
  <c r="C29" i="21"/>
  <c r="I28" i="21"/>
  <c r="J28" i="21"/>
  <c r="G28" i="21"/>
  <c r="F28" i="21"/>
  <c r="D28" i="21"/>
  <c r="C28" i="21"/>
  <c r="I27" i="21"/>
  <c r="J27" i="21"/>
  <c r="G27" i="21"/>
  <c r="F27" i="21"/>
  <c r="D27" i="21"/>
  <c r="C27" i="21"/>
  <c r="I26" i="21"/>
  <c r="J26" i="21"/>
  <c r="G26" i="21"/>
  <c r="F26" i="21"/>
  <c r="D26" i="21"/>
  <c r="C26" i="21"/>
  <c r="I25" i="21"/>
  <c r="J25" i="21"/>
  <c r="G25" i="21"/>
  <c r="F25" i="21"/>
  <c r="D25" i="21"/>
  <c r="C25" i="21"/>
  <c r="I24" i="21"/>
  <c r="J24" i="21"/>
  <c r="G24" i="21"/>
  <c r="F24" i="21"/>
  <c r="D24" i="21"/>
  <c r="C24" i="21"/>
  <c r="I23" i="21"/>
  <c r="J23" i="21"/>
  <c r="G23" i="21"/>
  <c r="F23" i="21"/>
  <c r="D23" i="21"/>
  <c r="C23" i="21"/>
  <c r="I22" i="21"/>
  <c r="J22" i="21"/>
  <c r="G22" i="21"/>
  <c r="F22" i="21"/>
  <c r="D22" i="21"/>
  <c r="C22" i="21"/>
  <c r="C19" i="21"/>
  <c r="D19" i="21"/>
  <c r="F19" i="21"/>
  <c r="G19" i="21"/>
  <c r="I19" i="21"/>
  <c r="J19" i="21"/>
  <c r="C20" i="21"/>
  <c r="D20" i="21"/>
  <c r="F20" i="21"/>
  <c r="G20" i="21"/>
  <c r="I20" i="21"/>
  <c r="J20" i="21"/>
  <c r="C21" i="21"/>
  <c r="D21" i="21"/>
  <c r="F21" i="21"/>
  <c r="G21" i="21"/>
  <c r="I21" i="21"/>
  <c r="J21" i="21"/>
  <c r="G18" i="21"/>
  <c r="F18" i="21"/>
  <c r="G17" i="21"/>
  <c r="F17" i="21"/>
  <c r="G16" i="21"/>
  <c r="F16" i="21"/>
  <c r="G15" i="21"/>
  <c r="F15" i="21"/>
  <c r="G14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G3" i="21"/>
  <c r="F3" i="21"/>
  <c r="G2" i="21"/>
  <c r="F2" i="21"/>
  <c r="C56" i="18"/>
  <c r="D56" i="18"/>
  <c r="C55" i="18"/>
  <c r="D55" i="18"/>
  <c r="C54" i="18"/>
  <c r="D54" i="18"/>
  <c r="C50" i="18"/>
  <c r="D50" i="18"/>
  <c r="C49" i="18"/>
  <c r="D49" i="18"/>
  <c r="C48" i="18"/>
  <c r="D48" i="18"/>
  <c r="C47" i="18"/>
  <c r="D47" i="18"/>
  <c r="C46" i="18"/>
  <c r="D46" i="18"/>
  <c r="C45" i="18"/>
  <c r="D45" i="18"/>
  <c r="C44" i="18"/>
  <c r="D44" i="18"/>
  <c r="C43" i="18"/>
  <c r="D43" i="18"/>
  <c r="C42" i="18"/>
  <c r="D42" i="18"/>
  <c r="C41" i="18"/>
  <c r="D41" i="18"/>
  <c r="C40" i="18"/>
  <c r="D40" i="18"/>
  <c r="C39" i="18"/>
  <c r="D39" i="18"/>
  <c r="C38" i="18"/>
  <c r="D38" i="18"/>
  <c r="C37" i="18"/>
  <c r="D37" i="18"/>
  <c r="C36" i="18"/>
  <c r="D36" i="18"/>
  <c r="C35" i="18"/>
  <c r="D35" i="18"/>
  <c r="C34" i="18"/>
  <c r="D34" i="18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D4" i="7"/>
  <c r="F4" i="7"/>
  <c r="D3" i="7"/>
  <c r="F3" i="7"/>
  <c r="D2" i="7"/>
  <c r="F2" i="7"/>
  <c r="D110" i="1"/>
  <c r="F110" i="1"/>
  <c r="D109" i="1"/>
  <c r="F109" i="1"/>
  <c r="D108" i="1"/>
  <c r="F108" i="1"/>
  <c r="D107" i="1"/>
  <c r="F107" i="1"/>
  <c r="D106" i="1"/>
  <c r="F106" i="1"/>
  <c r="D105" i="1"/>
  <c r="F105" i="1"/>
  <c r="D104" i="1"/>
  <c r="F104" i="1"/>
  <c r="D103" i="1"/>
  <c r="F103" i="1"/>
  <c r="D102" i="1"/>
  <c r="F102" i="1"/>
  <c r="D101" i="1"/>
  <c r="F101" i="1"/>
  <c r="D100" i="1"/>
  <c r="F100" i="1"/>
  <c r="D99" i="1"/>
  <c r="F99" i="1"/>
  <c r="D98" i="1"/>
  <c r="F98" i="1"/>
  <c r="D97" i="1"/>
  <c r="F97" i="1"/>
  <c r="D96" i="1"/>
  <c r="F96" i="1"/>
  <c r="D95" i="1"/>
  <c r="F95" i="1"/>
  <c r="D94" i="1"/>
  <c r="F94" i="1"/>
  <c r="D93" i="1"/>
  <c r="F93" i="1"/>
  <c r="D92" i="1"/>
  <c r="F92" i="1"/>
  <c r="D91" i="1"/>
  <c r="F91" i="1"/>
  <c r="D90" i="1"/>
  <c r="F90" i="1"/>
  <c r="D89" i="1"/>
  <c r="F89" i="1"/>
  <c r="D88" i="1"/>
  <c r="F88" i="1"/>
  <c r="D87" i="1"/>
  <c r="F87" i="1"/>
  <c r="D86" i="1"/>
  <c r="F86" i="1"/>
  <c r="D85" i="1"/>
  <c r="F85" i="1"/>
  <c r="D84" i="1"/>
  <c r="F84" i="1"/>
  <c r="D83" i="1"/>
  <c r="F83" i="1"/>
  <c r="D82" i="1"/>
  <c r="F82" i="1"/>
  <c r="D81" i="1"/>
  <c r="F81" i="1"/>
  <c r="D80" i="1"/>
  <c r="F80" i="1"/>
  <c r="D79" i="1"/>
  <c r="F79" i="1"/>
  <c r="D78" i="1"/>
  <c r="F78" i="1"/>
  <c r="D77" i="1"/>
  <c r="F77" i="1"/>
  <c r="D76" i="1"/>
  <c r="F76" i="1"/>
  <c r="D75" i="1"/>
  <c r="F75" i="1"/>
  <c r="D74" i="1"/>
  <c r="F74" i="1"/>
  <c r="D73" i="1"/>
  <c r="F73" i="1"/>
  <c r="D72" i="1"/>
  <c r="F72" i="1"/>
  <c r="D71" i="1"/>
  <c r="F71" i="1"/>
  <c r="D70" i="1"/>
  <c r="F70" i="1"/>
  <c r="D69" i="1"/>
  <c r="F69" i="1"/>
  <c r="D68" i="1"/>
  <c r="F68" i="1"/>
  <c r="D67" i="1"/>
  <c r="F67" i="1"/>
  <c r="D66" i="1"/>
  <c r="F66" i="1"/>
  <c r="D65" i="1"/>
  <c r="F65" i="1"/>
  <c r="D64" i="1"/>
  <c r="F64" i="1"/>
  <c r="D63" i="1"/>
  <c r="F63" i="1"/>
  <c r="D62" i="1"/>
  <c r="F62" i="1"/>
  <c r="D61" i="1"/>
  <c r="F61" i="1"/>
  <c r="D60" i="1"/>
  <c r="F60" i="1"/>
  <c r="D59" i="1"/>
  <c r="F59" i="1"/>
  <c r="D58" i="1"/>
  <c r="F58" i="1"/>
  <c r="D57" i="1"/>
  <c r="F57" i="1"/>
  <c r="D56" i="1"/>
  <c r="F56" i="1"/>
  <c r="D55" i="1"/>
  <c r="F55" i="1"/>
  <c r="D54" i="1"/>
  <c r="F54" i="1"/>
  <c r="D53" i="1"/>
  <c r="F53" i="1"/>
  <c r="D52" i="1"/>
  <c r="F52" i="1"/>
  <c r="D51" i="1"/>
  <c r="F51" i="1"/>
  <c r="D50" i="1"/>
  <c r="F50" i="1"/>
  <c r="D49" i="1"/>
  <c r="F49" i="1"/>
  <c r="D48" i="1"/>
  <c r="F48" i="1"/>
  <c r="D47" i="1"/>
  <c r="F47" i="1"/>
  <c r="D46" i="1"/>
  <c r="F46" i="1"/>
  <c r="D45" i="1"/>
  <c r="F45" i="1"/>
  <c r="D44" i="1"/>
  <c r="F44" i="1"/>
  <c r="D43" i="1"/>
  <c r="F43" i="1"/>
  <c r="D42" i="1"/>
  <c r="F42" i="1"/>
  <c r="D41" i="1"/>
  <c r="F41" i="1"/>
  <c r="D40" i="1"/>
  <c r="F40" i="1"/>
  <c r="D39" i="1"/>
  <c r="F39" i="1"/>
  <c r="D38" i="1"/>
  <c r="F38" i="1"/>
  <c r="D37" i="1"/>
  <c r="F37" i="1"/>
  <c r="D36" i="1"/>
  <c r="F36" i="1"/>
  <c r="D35" i="1"/>
  <c r="F35" i="1"/>
  <c r="D34" i="1"/>
  <c r="F34" i="1"/>
  <c r="D33" i="1"/>
  <c r="F33" i="1"/>
  <c r="D32" i="1"/>
  <c r="F32" i="1"/>
  <c r="D31" i="1"/>
  <c r="F31" i="1"/>
  <c r="D30" i="1"/>
  <c r="F30" i="1"/>
  <c r="D29" i="1"/>
  <c r="F29" i="1"/>
  <c r="D28" i="1"/>
  <c r="F28" i="1"/>
  <c r="D27" i="1"/>
  <c r="F27" i="1"/>
  <c r="D26" i="1"/>
  <c r="F26" i="1"/>
  <c r="D25" i="1"/>
  <c r="F25" i="1"/>
  <c r="D24" i="1"/>
  <c r="F24" i="1"/>
  <c r="D23" i="1"/>
  <c r="F23" i="1"/>
  <c r="D22" i="1"/>
  <c r="F22" i="1"/>
  <c r="D21" i="1"/>
  <c r="F21" i="1"/>
  <c r="D20" i="1"/>
  <c r="F20" i="1"/>
  <c r="D19" i="1"/>
  <c r="F19" i="1"/>
  <c r="D18" i="1"/>
  <c r="F18" i="1"/>
  <c r="D17" i="1"/>
  <c r="F17" i="1"/>
  <c r="D16" i="1"/>
  <c r="F16" i="1"/>
  <c r="D15" i="1"/>
  <c r="F15" i="1"/>
  <c r="D14" i="1"/>
  <c r="F14" i="1"/>
  <c r="D13" i="1"/>
  <c r="F13" i="1"/>
  <c r="D12" i="1"/>
  <c r="F12" i="1"/>
  <c r="D11" i="1"/>
  <c r="F11" i="1"/>
  <c r="D10" i="1"/>
  <c r="F10" i="1"/>
  <c r="D9" i="1"/>
  <c r="F9" i="1"/>
  <c r="D8" i="1"/>
  <c r="F8" i="1"/>
  <c r="D7" i="1"/>
  <c r="F7" i="1"/>
  <c r="D6" i="1"/>
  <c r="F6" i="1"/>
  <c r="D5" i="1"/>
  <c r="F5" i="1"/>
  <c r="D4" i="1"/>
  <c r="F4" i="1"/>
  <c r="D3" i="1"/>
  <c r="F3" i="1"/>
  <c r="D2" i="1"/>
  <c r="F2" i="1"/>
  <c r="G18" i="2"/>
  <c r="H18" i="2"/>
  <c r="G17" i="2"/>
  <c r="H17" i="2"/>
  <c r="G16" i="2"/>
  <c r="H16" i="2"/>
  <c r="G15" i="2"/>
  <c r="H15" i="2"/>
  <c r="G14" i="2"/>
  <c r="H14" i="2"/>
  <c r="G13" i="2"/>
  <c r="H13" i="2"/>
  <c r="G12" i="2"/>
  <c r="H12" i="2"/>
  <c r="G11" i="2"/>
  <c r="H11" i="2"/>
  <c r="G10" i="2"/>
  <c r="H10" i="2"/>
  <c r="G9" i="2"/>
  <c r="H9" i="2"/>
  <c r="G8" i="2"/>
  <c r="H8" i="2"/>
  <c r="G7" i="2"/>
  <c r="H7" i="2"/>
  <c r="G6" i="2"/>
  <c r="H6" i="2"/>
  <c r="G5" i="2"/>
  <c r="H5" i="2"/>
  <c r="G4" i="2"/>
  <c r="H4" i="2"/>
  <c r="G3" i="2"/>
  <c r="H3" i="2"/>
  <c r="G2" i="2"/>
  <c r="H2" i="2"/>
  <c r="D18" i="21"/>
  <c r="C18" i="21"/>
  <c r="D17" i="21"/>
  <c r="C17" i="21"/>
  <c r="D16" i="21"/>
  <c r="C16" i="21"/>
  <c r="D15" i="21"/>
  <c r="C15" i="21"/>
  <c r="D14" i="21"/>
  <c r="C14" i="21"/>
  <c r="D13" i="21"/>
  <c r="C13" i="21"/>
  <c r="D12" i="21"/>
  <c r="C12" i="21"/>
  <c r="D11" i="21"/>
  <c r="C11" i="21"/>
  <c r="D10" i="21"/>
  <c r="C10" i="21"/>
  <c r="D9" i="21"/>
  <c r="C9" i="21"/>
  <c r="D8" i="21"/>
  <c r="C8" i="21"/>
  <c r="D7" i="21"/>
  <c r="C7" i="21"/>
  <c r="D6" i="21"/>
  <c r="C6" i="21"/>
  <c r="D5" i="21"/>
  <c r="C5" i="21"/>
  <c r="D4" i="21"/>
  <c r="C4" i="21"/>
  <c r="D3" i="21"/>
  <c r="C3" i="21"/>
  <c r="D2" i="21"/>
  <c r="C2" i="21"/>
  <c r="E4" i="7"/>
  <c r="E3" i="7"/>
  <c r="E2" i="7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E18" i="2"/>
  <c r="D18" i="2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E9" i="2"/>
  <c r="D9" i="2"/>
  <c r="E8" i="2"/>
  <c r="D8" i="2"/>
  <c r="E7" i="2"/>
  <c r="D7" i="2"/>
  <c r="E6" i="2"/>
  <c r="D6" i="2"/>
  <c r="E5" i="2"/>
  <c r="D5" i="2"/>
  <c r="E4" i="2"/>
  <c r="D4" i="2"/>
  <c r="E3" i="2"/>
  <c r="D3" i="2"/>
  <c r="E2" i="2"/>
  <c r="D2" i="2"/>
  <c r="X110" i="1"/>
  <c r="H110" i="1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J110" i="1"/>
  <c r="I110" i="1"/>
  <c r="Y109" i="1"/>
  <c r="X109" i="1"/>
  <c r="H109" i="1"/>
  <c r="J109" i="1"/>
  <c r="I109" i="1"/>
  <c r="Y108" i="1"/>
  <c r="X108" i="1"/>
  <c r="H108" i="1"/>
  <c r="J108" i="1"/>
  <c r="I108" i="1"/>
  <c r="Y107" i="1"/>
  <c r="X107" i="1"/>
  <c r="H107" i="1"/>
  <c r="J107" i="1"/>
  <c r="I107" i="1"/>
  <c r="Y106" i="1"/>
  <c r="X106" i="1"/>
  <c r="H106" i="1"/>
  <c r="J106" i="1"/>
  <c r="I106" i="1"/>
  <c r="Y105" i="1"/>
  <c r="X105" i="1"/>
  <c r="H105" i="1"/>
  <c r="J105" i="1"/>
  <c r="I105" i="1"/>
  <c r="Y104" i="1"/>
  <c r="X104" i="1"/>
  <c r="H104" i="1"/>
  <c r="J104" i="1"/>
  <c r="I104" i="1"/>
  <c r="Y103" i="1"/>
  <c r="X103" i="1"/>
  <c r="H103" i="1"/>
  <c r="J103" i="1"/>
  <c r="I103" i="1"/>
  <c r="Y102" i="1"/>
  <c r="X102" i="1"/>
  <c r="H102" i="1"/>
  <c r="J102" i="1"/>
  <c r="I102" i="1"/>
  <c r="Y101" i="1"/>
  <c r="X101" i="1"/>
  <c r="H101" i="1"/>
  <c r="J101" i="1"/>
  <c r="I101" i="1"/>
  <c r="Y100" i="1"/>
  <c r="X100" i="1"/>
  <c r="H100" i="1"/>
  <c r="J100" i="1"/>
  <c r="I100" i="1"/>
  <c r="Y99" i="1"/>
  <c r="X99" i="1"/>
  <c r="H99" i="1"/>
  <c r="J99" i="1"/>
  <c r="I99" i="1"/>
  <c r="X98" i="1"/>
  <c r="H98" i="1"/>
  <c r="J98" i="1"/>
  <c r="I98" i="1"/>
  <c r="Y97" i="1"/>
  <c r="X97" i="1"/>
  <c r="H97" i="1"/>
  <c r="J97" i="1"/>
  <c r="I97" i="1"/>
  <c r="Y96" i="1"/>
  <c r="X96" i="1"/>
  <c r="H96" i="1"/>
  <c r="J96" i="1"/>
  <c r="I96" i="1"/>
  <c r="E2" i="9"/>
  <c r="X95" i="1"/>
  <c r="H95" i="1"/>
  <c r="J95" i="1"/>
  <c r="I95" i="1"/>
  <c r="Y94" i="1"/>
  <c r="X94" i="1"/>
  <c r="H94" i="1"/>
  <c r="J94" i="1"/>
  <c r="I94" i="1"/>
  <c r="Y93" i="1"/>
  <c r="X93" i="1"/>
  <c r="H93" i="1"/>
  <c r="J93" i="1"/>
  <c r="I93" i="1"/>
  <c r="X92" i="1"/>
  <c r="H92" i="1"/>
  <c r="J92" i="1"/>
  <c r="I92" i="1"/>
  <c r="Y91" i="1"/>
  <c r="X91" i="1"/>
  <c r="H91" i="1"/>
  <c r="J91" i="1"/>
  <c r="I91" i="1"/>
  <c r="Y90" i="1"/>
  <c r="X90" i="1"/>
  <c r="H90" i="1"/>
  <c r="J90" i="1"/>
  <c r="I90" i="1"/>
  <c r="Y89" i="1"/>
  <c r="X89" i="1"/>
  <c r="H89" i="1"/>
  <c r="J89" i="1"/>
  <c r="I89" i="1"/>
  <c r="Y88" i="1"/>
  <c r="X88" i="1"/>
  <c r="H88" i="1"/>
  <c r="J88" i="1"/>
  <c r="I88" i="1"/>
  <c r="Y87" i="1"/>
  <c r="X87" i="1"/>
  <c r="H87" i="1"/>
  <c r="J87" i="1"/>
  <c r="I87" i="1"/>
  <c r="X86" i="1"/>
  <c r="H86" i="1"/>
  <c r="J86" i="1"/>
  <c r="I86" i="1"/>
  <c r="Y85" i="1"/>
  <c r="X85" i="1"/>
  <c r="H85" i="1"/>
  <c r="J85" i="1"/>
  <c r="I85" i="1"/>
  <c r="Y84" i="1"/>
  <c r="X84" i="1"/>
  <c r="H84" i="1"/>
  <c r="J84" i="1"/>
  <c r="I84" i="1"/>
  <c r="Y83" i="1"/>
  <c r="X83" i="1"/>
  <c r="H83" i="1"/>
  <c r="J83" i="1"/>
  <c r="I83" i="1"/>
  <c r="Y82" i="1"/>
  <c r="X82" i="1"/>
  <c r="H82" i="1"/>
  <c r="J82" i="1"/>
  <c r="I82" i="1"/>
  <c r="Y81" i="1"/>
  <c r="X81" i="1"/>
  <c r="H81" i="1"/>
  <c r="J81" i="1"/>
  <c r="I81" i="1"/>
  <c r="Y80" i="1"/>
  <c r="X80" i="1"/>
  <c r="H80" i="1"/>
  <c r="J80" i="1"/>
  <c r="I80" i="1"/>
  <c r="Y79" i="1"/>
  <c r="X79" i="1"/>
  <c r="H79" i="1"/>
  <c r="J79" i="1"/>
  <c r="I79" i="1"/>
  <c r="Y78" i="1"/>
  <c r="X78" i="1"/>
  <c r="H78" i="1"/>
  <c r="J78" i="1"/>
  <c r="I78" i="1"/>
  <c r="Y77" i="1"/>
  <c r="X77" i="1"/>
  <c r="H77" i="1"/>
  <c r="J77" i="1"/>
  <c r="I77" i="1"/>
  <c r="Y76" i="1"/>
  <c r="X76" i="1"/>
  <c r="H76" i="1"/>
  <c r="J76" i="1"/>
  <c r="I76" i="1"/>
  <c r="Y75" i="1"/>
  <c r="X75" i="1"/>
  <c r="H75" i="1"/>
  <c r="J75" i="1"/>
  <c r="I75" i="1"/>
  <c r="X74" i="1"/>
  <c r="H74" i="1"/>
  <c r="J74" i="1"/>
  <c r="I74" i="1"/>
  <c r="Y73" i="1"/>
  <c r="X73" i="1"/>
  <c r="H73" i="1"/>
  <c r="J73" i="1"/>
  <c r="I73" i="1"/>
  <c r="Y72" i="1"/>
  <c r="X72" i="1"/>
  <c r="H72" i="1"/>
  <c r="J72" i="1"/>
  <c r="I72" i="1"/>
  <c r="X71" i="1"/>
  <c r="H71" i="1"/>
  <c r="J71" i="1"/>
  <c r="I71" i="1"/>
  <c r="Y70" i="1"/>
  <c r="X70" i="1"/>
  <c r="H70" i="1"/>
  <c r="J70" i="1"/>
  <c r="I70" i="1"/>
  <c r="Y69" i="1"/>
  <c r="X69" i="1"/>
  <c r="H69" i="1"/>
  <c r="J69" i="1"/>
  <c r="I69" i="1"/>
  <c r="Y68" i="1"/>
  <c r="X68" i="1"/>
  <c r="H68" i="1"/>
  <c r="J68" i="1"/>
  <c r="I68" i="1"/>
  <c r="Y67" i="1"/>
  <c r="X67" i="1"/>
  <c r="H67" i="1"/>
  <c r="J67" i="1"/>
  <c r="I67" i="1"/>
  <c r="Y66" i="1"/>
  <c r="X66" i="1"/>
  <c r="H66" i="1"/>
  <c r="J66" i="1"/>
  <c r="I66" i="1"/>
  <c r="Y65" i="1"/>
  <c r="X65" i="1"/>
  <c r="H65" i="1"/>
  <c r="J65" i="1"/>
  <c r="I65" i="1"/>
  <c r="Y64" i="1"/>
  <c r="X64" i="1"/>
  <c r="H64" i="1"/>
  <c r="J64" i="1"/>
  <c r="I64" i="1"/>
  <c r="Y63" i="1"/>
  <c r="X63" i="1"/>
  <c r="H63" i="1"/>
  <c r="J63" i="1"/>
  <c r="I63" i="1"/>
  <c r="Y62" i="1"/>
  <c r="X62" i="1"/>
  <c r="H62" i="1"/>
  <c r="J62" i="1"/>
  <c r="I62" i="1"/>
  <c r="Y61" i="1"/>
  <c r="X61" i="1"/>
  <c r="H61" i="1"/>
  <c r="J61" i="1"/>
  <c r="I61" i="1"/>
  <c r="Y60" i="1"/>
  <c r="X60" i="1"/>
  <c r="H60" i="1"/>
  <c r="J60" i="1"/>
  <c r="I60" i="1"/>
  <c r="Y59" i="1"/>
  <c r="X59" i="1"/>
  <c r="H59" i="1"/>
  <c r="J59" i="1"/>
  <c r="I59" i="1"/>
  <c r="X58" i="1"/>
  <c r="H58" i="1"/>
  <c r="J58" i="1"/>
  <c r="I58" i="1"/>
  <c r="Y57" i="1"/>
  <c r="X57" i="1"/>
  <c r="H57" i="1"/>
  <c r="J57" i="1"/>
  <c r="I57" i="1"/>
  <c r="Y56" i="1"/>
  <c r="X56" i="1"/>
  <c r="H56" i="1"/>
  <c r="J56" i="1"/>
  <c r="I56" i="1"/>
  <c r="Y55" i="1"/>
  <c r="X55" i="1"/>
  <c r="H55" i="1"/>
  <c r="J55" i="1"/>
  <c r="I55" i="1"/>
  <c r="Y54" i="1"/>
  <c r="X54" i="1"/>
  <c r="H54" i="1"/>
  <c r="J54" i="1"/>
  <c r="I54" i="1"/>
  <c r="Y53" i="1"/>
  <c r="X53" i="1"/>
  <c r="H53" i="1"/>
  <c r="J53" i="1"/>
  <c r="I53" i="1"/>
  <c r="Y52" i="1"/>
  <c r="X52" i="1"/>
  <c r="H52" i="1"/>
  <c r="J52" i="1"/>
  <c r="I52" i="1"/>
  <c r="Y51" i="1"/>
  <c r="X51" i="1"/>
  <c r="H51" i="1"/>
  <c r="J51" i="1"/>
  <c r="I51" i="1"/>
  <c r="Y50" i="1"/>
  <c r="X50" i="1"/>
  <c r="H50" i="1"/>
  <c r="J50" i="1"/>
  <c r="I50" i="1"/>
  <c r="Y49" i="1"/>
  <c r="X49" i="1"/>
  <c r="H49" i="1"/>
  <c r="J49" i="1"/>
  <c r="I49" i="1"/>
  <c r="Y48" i="1"/>
  <c r="X48" i="1"/>
  <c r="H48" i="1"/>
  <c r="J48" i="1"/>
  <c r="I48" i="1"/>
  <c r="Y47" i="1"/>
  <c r="X47" i="1"/>
  <c r="H47" i="1"/>
  <c r="J47" i="1"/>
  <c r="I47" i="1"/>
  <c r="Y46" i="1"/>
  <c r="X46" i="1"/>
  <c r="H46" i="1"/>
  <c r="J46" i="1"/>
  <c r="I46" i="1"/>
  <c r="Y45" i="1"/>
  <c r="X45" i="1"/>
  <c r="H45" i="1"/>
  <c r="J45" i="1"/>
  <c r="I45" i="1"/>
  <c r="Y44" i="1"/>
  <c r="X44" i="1"/>
  <c r="H44" i="1"/>
  <c r="J44" i="1"/>
  <c r="I44" i="1"/>
  <c r="Y43" i="1"/>
  <c r="X43" i="1"/>
  <c r="H43" i="1"/>
  <c r="J43" i="1"/>
  <c r="I43" i="1"/>
  <c r="Y42" i="1"/>
  <c r="X42" i="1"/>
  <c r="H42" i="1"/>
  <c r="J42" i="1"/>
  <c r="I42" i="1"/>
  <c r="Y41" i="1"/>
  <c r="X41" i="1"/>
  <c r="H41" i="1"/>
  <c r="J41" i="1"/>
  <c r="I41" i="1"/>
  <c r="Y40" i="1"/>
  <c r="X40" i="1"/>
  <c r="H40" i="1"/>
  <c r="J40" i="1"/>
  <c r="I40" i="1"/>
  <c r="E126" i="9"/>
  <c r="X39" i="1"/>
  <c r="H39" i="1"/>
  <c r="J39" i="1"/>
  <c r="I39" i="1"/>
  <c r="Y38" i="1"/>
  <c r="X38" i="1"/>
  <c r="H38" i="1"/>
  <c r="J38" i="1"/>
  <c r="I38" i="1"/>
  <c r="Y37" i="1"/>
  <c r="X37" i="1"/>
  <c r="H37" i="1"/>
  <c r="J37" i="1"/>
  <c r="I37" i="1"/>
  <c r="Y36" i="1"/>
  <c r="X36" i="1"/>
  <c r="H36" i="1"/>
  <c r="J36" i="1"/>
  <c r="I36" i="1"/>
  <c r="Y35" i="1"/>
  <c r="X35" i="1"/>
  <c r="H35" i="1"/>
  <c r="J35" i="1"/>
  <c r="I35" i="1"/>
  <c r="Y34" i="1"/>
  <c r="X34" i="1"/>
  <c r="H34" i="1"/>
  <c r="J34" i="1"/>
  <c r="I34" i="1"/>
  <c r="Y33" i="1"/>
  <c r="X33" i="1"/>
  <c r="H33" i="1"/>
  <c r="J33" i="1"/>
  <c r="I33" i="1"/>
  <c r="Y32" i="1"/>
  <c r="X32" i="1"/>
  <c r="H32" i="1"/>
  <c r="J32" i="1"/>
  <c r="I32" i="1"/>
  <c r="Y31" i="1"/>
  <c r="X31" i="1"/>
  <c r="H31" i="1"/>
  <c r="J31" i="1"/>
  <c r="I31" i="1"/>
  <c r="Y30" i="1"/>
  <c r="X30" i="1"/>
  <c r="H30" i="1"/>
  <c r="J30" i="1"/>
  <c r="I30" i="1"/>
  <c r="Y29" i="1"/>
  <c r="X29" i="1"/>
  <c r="H29" i="1"/>
  <c r="J29" i="1"/>
  <c r="I29" i="1"/>
  <c r="Y28" i="1"/>
  <c r="X28" i="1"/>
  <c r="H28" i="1"/>
  <c r="J28" i="1"/>
  <c r="I28" i="1"/>
  <c r="Y27" i="1"/>
  <c r="X27" i="1"/>
  <c r="H27" i="1"/>
  <c r="J27" i="1"/>
  <c r="I27" i="1"/>
  <c r="Y26" i="1"/>
  <c r="X26" i="1"/>
  <c r="H26" i="1"/>
  <c r="J26" i="1"/>
  <c r="I26" i="1"/>
  <c r="Y25" i="1"/>
  <c r="X25" i="1"/>
  <c r="H25" i="1"/>
  <c r="J25" i="1"/>
  <c r="I25" i="1"/>
  <c r="Y24" i="1"/>
  <c r="X24" i="1"/>
  <c r="H24" i="1"/>
  <c r="J24" i="1"/>
  <c r="I24" i="1"/>
  <c r="Y23" i="1"/>
  <c r="X23" i="1"/>
  <c r="H23" i="1"/>
  <c r="J23" i="1"/>
  <c r="I23" i="1"/>
  <c r="Y22" i="1"/>
  <c r="X22" i="1"/>
  <c r="H22" i="1"/>
  <c r="J22" i="1"/>
  <c r="I22" i="1"/>
  <c r="Y21" i="1"/>
  <c r="X21" i="1"/>
  <c r="H21" i="1"/>
  <c r="J21" i="1"/>
  <c r="I21" i="1"/>
  <c r="E177" i="9"/>
  <c r="X20" i="1"/>
  <c r="H20" i="1"/>
  <c r="J20" i="1"/>
  <c r="I20" i="1"/>
  <c r="Y19" i="1"/>
  <c r="X19" i="1"/>
  <c r="H19" i="1"/>
  <c r="J19" i="1"/>
  <c r="I19" i="1"/>
  <c r="Y18" i="1"/>
  <c r="X18" i="1"/>
  <c r="H18" i="1"/>
  <c r="J18" i="1"/>
  <c r="I18" i="1"/>
  <c r="Y17" i="1"/>
  <c r="X17" i="1"/>
  <c r="H17" i="1"/>
  <c r="J17" i="1"/>
  <c r="I17" i="1"/>
  <c r="Y16" i="1"/>
  <c r="X16" i="1"/>
  <c r="H16" i="1"/>
  <c r="J16" i="1"/>
  <c r="I16" i="1"/>
  <c r="Y15" i="1"/>
  <c r="X15" i="1"/>
  <c r="H15" i="1"/>
  <c r="J15" i="1"/>
  <c r="I15" i="1"/>
  <c r="Y14" i="1"/>
  <c r="X14" i="1"/>
  <c r="H14" i="1"/>
  <c r="J14" i="1"/>
  <c r="I14" i="1"/>
  <c r="Y13" i="1"/>
  <c r="X13" i="1"/>
  <c r="H13" i="1"/>
  <c r="J13" i="1"/>
  <c r="I13" i="1"/>
  <c r="Y12" i="1"/>
  <c r="X12" i="1"/>
  <c r="H12" i="1"/>
  <c r="J12" i="1"/>
  <c r="I12" i="1"/>
  <c r="Y11" i="1"/>
  <c r="X11" i="1"/>
  <c r="H11" i="1"/>
  <c r="J11" i="1"/>
  <c r="I11" i="1"/>
  <c r="Y10" i="1"/>
  <c r="X10" i="1"/>
  <c r="H10" i="1"/>
  <c r="J10" i="1"/>
  <c r="I10" i="1"/>
  <c r="Y9" i="1"/>
  <c r="X9" i="1"/>
  <c r="H9" i="1"/>
  <c r="J9" i="1"/>
  <c r="I9" i="1"/>
  <c r="Y8" i="1"/>
  <c r="X8" i="1"/>
  <c r="H8" i="1"/>
  <c r="J8" i="1"/>
  <c r="I8" i="1"/>
  <c r="Y7" i="1"/>
  <c r="X7" i="1"/>
  <c r="H7" i="1"/>
  <c r="J7" i="1"/>
  <c r="I7" i="1"/>
  <c r="Y6" i="1"/>
  <c r="X6" i="1"/>
  <c r="H6" i="1"/>
  <c r="J6" i="1"/>
  <c r="I6" i="1"/>
  <c r="Y5" i="1"/>
  <c r="X5" i="1"/>
  <c r="H5" i="1"/>
  <c r="J5" i="1"/>
  <c r="I5" i="1"/>
  <c r="Y4" i="1"/>
  <c r="X4" i="1"/>
  <c r="H4" i="1"/>
  <c r="J4" i="1"/>
  <c r="I4" i="1"/>
  <c r="Y3" i="1"/>
  <c r="X3" i="1"/>
  <c r="H3" i="1"/>
  <c r="J3" i="1"/>
  <c r="I3" i="1"/>
  <c r="H2" i="1"/>
  <c r="J2" i="1"/>
  <c r="I2" i="1"/>
  <c r="A3" i="7"/>
  <c r="H3" i="7"/>
  <c r="N3" i="7"/>
  <c r="O3" i="7"/>
  <c r="P3" i="7"/>
  <c r="Q3" i="7"/>
  <c r="R3" i="7"/>
  <c r="U3" i="7"/>
  <c r="W3" i="7"/>
  <c r="Y3" i="7"/>
  <c r="A4" i="7"/>
  <c r="H4" i="7"/>
  <c r="N4" i="7"/>
  <c r="O4" i="7"/>
  <c r="P4" i="7"/>
  <c r="Q4" i="7"/>
  <c r="R4" i="7"/>
  <c r="U4" i="7"/>
  <c r="W4" i="7"/>
  <c r="Y4" i="7"/>
  <c r="Y2" i="7"/>
  <c r="W2" i="7"/>
  <c r="U2" i="7"/>
  <c r="R2" i="7"/>
  <c r="Q2" i="7"/>
  <c r="P2" i="7"/>
  <c r="O2" i="7"/>
  <c r="N2" i="7"/>
  <c r="H2" i="7"/>
  <c r="A2" i="7"/>
  <c r="Y2" i="1"/>
  <c r="M67" i="1"/>
  <c r="N67" i="1"/>
  <c r="O67" i="1"/>
  <c r="P67" i="1"/>
  <c r="Q67" i="1"/>
  <c r="T67" i="1"/>
  <c r="V67" i="1"/>
  <c r="AD67" i="1"/>
  <c r="AE67" i="1"/>
  <c r="AF67" i="1"/>
  <c r="AG67" i="1"/>
  <c r="AI67" i="1"/>
  <c r="M68" i="1"/>
  <c r="N68" i="1"/>
  <c r="O68" i="1"/>
  <c r="P68" i="1"/>
  <c r="Q68" i="1"/>
  <c r="T68" i="1"/>
  <c r="V68" i="1"/>
  <c r="AD68" i="1"/>
  <c r="AE68" i="1"/>
  <c r="AF68" i="1"/>
  <c r="AG68" i="1"/>
  <c r="AI68" i="1"/>
  <c r="M69" i="1"/>
  <c r="N69" i="1"/>
  <c r="O69" i="1"/>
  <c r="P69" i="1"/>
  <c r="Q69" i="1"/>
  <c r="T69" i="1"/>
  <c r="V69" i="1"/>
  <c r="AD69" i="1"/>
  <c r="AE69" i="1"/>
  <c r="AF69" i="1"/>
  <c r="AG69" i="1"/>
  <c r="AI69" i="1"/>
  <c r="M70" i="1"/>
  <c r="N70" i="1"/>
  <c r="O70" i="1"/>
  <c r="P70" i="1"/>
  <c r="Q70" i="1"/>
  <c r="T70" i="1"/>
  <c r="V70" i="1"/>
  <c r="AD70" i="1"/>
  <c r="AE70" i="1"/>
  <c r="AF70" i="1"/>
  <c r="AG70" i="1"/>
  <c r="AI70" i="1"/>
  <c r="M71" i="1"/>
  <c r="N71" i="1"/>
  <c r="O71" i="1"/>
  <c r="P71" i="1"/>
  <c r="Q71" i="1"/>
  <c r="T71" i="1"/>
  <c r="V71" i="1"/>
  <c r="AD71" i="1"/>
  <c r="AE71" i="1"/>
  <c r="AF71" i="1"/>
  <c r="AG71" i="1"/>
  <c r="AI71" i="1"/>
  <c r="M72" i="1"/>
  <c r="N72" i="1"/>
  <c r="O72" i="1"/>
  <c r="P72" i="1"/>
  <c r="Q72" i="1"/>
  <c r="T72" i="1"/>
  <c r="V72" i="1"/>
  <c r="AD72" i="1"/>
  <c r="AE72" i="1"/>
  <c r="AF72" i="1"/>
  <c r="AG72" i="1"/>
  <c r="AI72" i="1"/>
  <c r="M73" i="1"/>
  <c r="N73" i="1"/>
  <c r="O73" i="1"/>
  <c r="P73" i="1"/>
  <c r="Q73" i="1"/>
  <c r="T73" i="1"/>
  <c r="V73" i="1"/>
  <c r="AD73" i="1"/>
  <c r="AE73" i="1"/>
  <c r="AF73" i="1"/>
  <c r="AG73" i="1"/>
  <c r="AI73" i="1"/>
  <c r="M74" i="1"/>
  <c r="N74" i="1"/>
  <c r="O74" i="1"/>
  <c r="P74" i="1"/>
  <c r="Q74" i="1"/>
  <c r="T74" i="1"/>
  <c r="V74" i="1"/>
  <c r="AD74" i="1"/>
  <c r="AE74" i="1"/>
  <c r="AF74" i="1"/>
  <c r="AG74" i="1"/>
  <c r="AI74" i="1"/>
  <c r="M75" i="1"/>
  <c r="N75" i="1"/>
  <c r="O75" i="1"/>
  <c r="P75" i="1"/>
  <c r="Q75" i="1"/>
  <c r="T75" i="1"/>
  <c r="V75" i="1"/>
  <c r="AD75" i="1"/>
  <c r="AE75" i="1"/>
  <c r="AF75" i="1"/>
  <c r="AG75" i="1"/>
  <c r="AI75" i="1"/>
  <c r="M76" i="1"/>
  <c r="N76" i="1"/>
  <c r="O76" i="1"/>
  <c r="P76" i="1"/>
  <c r="Q76" i="1"/>
  <c r="T76" i="1"/>
  <c r="V76" i="1"/>
  <c r="AD76" i="1"/>
  <c r="AE76" i="1"/>
  <c r="AF76" i="1"/>
  <c r="AG76" i="1"/>
  <c r="AI76" i="1"/>
  <c r="M77" i="1"/>
  <c r="N77" i="1"/>
  <c r="O77" i="1"/>
  <c r="P77" i="1"/>
  <c r="Q77" i="1"/>
  <c r="T77" i="1"/>
  <c r="V77" i="1"/>
  <c r="AD77" i="1"/>
  <c r="AE77" i="1"/>
  <c r="AF77" i="1"/>
  <c r="AG77" i="1"/>
  <c r="AI77" i="1"/>
  <c r="M78" i="1"/>
  <c r="N78" i="1"/>
  <c r="O78" i="1"/>
  <c r="P78" i="1"/>
  <c r="Q78" i="1"/>
  <c r="T78" i="1"/>
  <c r="V78" i="1"/>
  <c r="AD78" i="1"/>
  <c r="AE78" i="1"/>
  <c r="AF78" i="1"/>
  <c r="AG78" i="1"/>
  <c r="AI78" i="1"/>
  <c r="M79" i="1"/>
  <c r="N79" i="1"/>
  <c r="O79" i="1"/>
  <c r="P79" i="1"/>
  <c r="Q79" i="1"/>
  <c r="T79" i="1"/>
  <c r="V79" i="1"/>
  <c r="AD79" i="1"/>
  <c r="AE79" i="1"/>
  <c r="AF79" i="1"/>
  <c r="AG79" i="1"/>
  <c r="AI79" i="1"/>
  <c r="M80" i="1"/>
  <c r="N80" i="1"/>
  <c r="O80" i="1"/>
  <c r="P80" i="1"/>
  <c r="Q80" i="1"/>
  <c r="T80" i="1"/>
  <c r="V80" i="1"/>
  <c r="AD80" i="1"/>
  <c r="AE80" i="1"/>
  <c r="AF80" i="1"/>
  <c r="AG80" i="1"/>
  <c r="AI80" i="1"/>
  <c r="M81" i="1"/>
  <c r="N81" i="1"/>
  <c r="O81" i="1"/>
  <c r="P81" i="1"/>
  <c r="Q81" i="1"/>
  <c r="T81" i="1"/>
  <c r="V81" i="1"/>
  <c r="AD81" i="1"/>
  <c r="AE81" i="1"/>
  <c r="AF81" i="1"/>
  <c r="AG81" i="1"/>
  <c r="AI81" i="1"/>
  <c r="M82" i="1"/>
  <c r="N82" i="1"/>
  <c r="O82" i="1"/>
  <c r="P82" i="1"/>
  <c r="Q82" i="1"/>
  <c r="T82" i="1"/>
  <c r="V82" i="1"/>
  <c r="AD82" i="1"/>
  <c r="AE82" i="1"/>
  <c r="AF82" i="1"/>
  <c r="AG82" i="1"/>
  <c r="AI82" i="1"/>
  <c r="M83" i="1"/>
  <c r="N83" i="1"/>
  <c r="O83" i="1"/>
  <c r="P83" i="1"/>
  <c r="Q83" i="1"/>
  <c r="T83" i="1"/>
  <c r="V83" i="1"/>
  <c r="AD83" i="1"/>
  <c r="AE83" i="1"/>
  <c r="AF83" i="1"/>
  <c r="AG83" i="1"/>
  <c r="AI83" i="1"/>
  <c r="M84" i="1"/>
  <c r="N84" i="1"/>
  <c r="O84" i="1"/>
  <c r="P84" i="1"/>
  <c r="Q84" i="1"/>
  <c r="T84" i="1"/>
  <c r="V84" i="1"/>
  <c r="AD84" i="1"/>
  <c r="AE84" i="1"/>
  <c r="AF84" i="1"/>
  <c r="AG84" i="1"/>
  <c r="AI84" i="1"/>
  <c r="M85" i="1"/>
  <c r="N85" i="1"/>
  <c r="O85" i="1"/>
  <c r="P85" i="1"/>
  <c r="Q85" i="1"/>
  <c r="T85" i="1"/>
  <c r="V85" i="1"/>
  <c r="AD85" i="1"/>
  <c r="AE85" i="1"/>
  <c r="AF85" i="1"/>
  <c r="AG85" i="1"/>
  <c r="AI85" i="1"/>
  <c r="M86" i="1"/>
  <c r="N86" i="1"/>
  <c r="O86" i="1"/>
  <c r="P86" i="1"/>
  <c r="Q86" i="1"/>
  <c r="T86" i="1"/>
  <c r="V86" i="1"/>
  <c r="AD86" i="1"/>
  <c r="AE86" i="1"/>
  <c r="AF86" i="1"/>
  <c r="AG86" i="1"/>
  <c r="AI86" i="1"/>
  <c r="M87" i="1"/>
  <c r="N87" i="1"/>
  <c r="O87" i="1"/>
  <c r="P87" i="1"/>
  <c r="Q87" i="1"/>
  <c r="T87" i="1"/>
  <c r="V87" i="1"/>
  <c r="AD87" i="1"/>
  <c r="AE87" i="1"/>
  <c r="AF87" i="1"/>
  <c r="AG87" i="1"/>
  <c r="AI87" i="1"/>
  <c r="M88" i="1"/>
  <c r="N88" i="1"/>
  <c r="O88" i="1"/>
  <c r="P88" i="1"/>
  <c r="Q88" i="1"/>
  <c r="T88" i="1"/>
  <c r="V88" i="1"/>
  <c r="AD88" i="1"/>
  <c r="AE88" i="1"/>
  <c r="AF88" i="1"/>
  <c r="AG88" i="1"/>
  <c r="AI88" i="1"/>
  <c r="M89" i="1"/>
  <c r="N89" i="1"/>
  <c r="O89" i="1"/>
  <c r="P89" i="1"/>
  <c r="Q89" i="1"/>
  <c r="T89" i="1"/>
  <c r="V89" i="1"/>
  <c r="AD89" i="1"/>
  <c r="AE89" i="1"/>
  <c r="AF89" i="1"/>
  <c r="AG89" i="1"/>
  <c r="AI89" i="1"/>
  <c r="M90" i="1"/>
  <c r="N90" i="1"/>
  <c r="O90" i="1"/>
  <c r="P90" i="1"/>
  <c r="Q90" i="1"/>
  <c r="T90" i="1"/>
  <c r="V90" i="1"/>
  <c r="AD90" i="1"/>
  <c r="AE90" i="1"/>
  <c r="AF90" i="1"/>
  <c r="AG90" i="1"/>
  <c r="AI90" i="1"/>
  <c r="M91" i="1"/>
  <c r="N91" i="1"/>
  <c r="O91" i="1"/>
  <c r="P91" i="1"/>
  <c r="Q91" i="1"/>
  <c r="T91" i="1"/>
  <c r="V91" i="1"/>
  <c r="AD91" i="1"/>
  <c r="AE91" i="1"/>
  <c r="AF91" i="1"/>
  <c r="AG91" i="1"/>
  <c r="AI91" i="1"/>
  <c r="M92" i="1"/>
  <c r="N92" i="1"/>
  <c r="O92" i="1"/>
  <c r="P92" i="1"/>
  <c r="Q92" i="1"/>
  <c r="T92" i="1"/>
  <c r="V92" i="1"/>
  <c r="AD92" i="1"/>
  <c r="AE92" i="1"/>
  <c r="AF92" i="1"/>
  <c r="AG92" i="1"/>
  <c r="AI92" i="1"/>
  <c r="M93" i="1"/>
  <c r="N93" i="1"/>
  <c r="O93" i="1"/>
  <c r="P93" i="1"/>
  <c r="Q93" i="1"/>
  <c r="T93" i="1"/>
  <c r="V93" i="1"/>
  <c r="AD93" i="1"/>
  <c r="AE93" i="1"/>
  <c r="AF93" i="1"/>
  <c r="AG93" i="1"/>
  <c r="AI93" i="1"/>
  <c r="M94" i="1"/>
  <c r="N94" i="1"/>
  <c r="O94" i="1"/>
  <c r="P94" i="1"/>
  <c r="Q94" i="1"/>
  <c r="T94" i="1"/>
  <c r="V94" i="1"/>
  <c r="AD94" i="1"/>
  <c r="AE94" i="1"/>
  <c r="AF94" i="1"/>
  <c r="AG94" i="1"/>
  <c r="AI94" i="1"/>
  <c r="M95" i="1"/>
  <c r="N95" i="1"/>
  <c r="O95" i="1"/>
  <c r="P95" i="1"/>
  <c r="Q95" i="1"/>
  <c r="T95" i="1"/>
  <c r="V95" i="1"/>
  <c r="AD95" i="1"/>
  <c r="AE95" i="1"/>
  <c r="AF95" i="1"/>
  <c r="AG95" i="1"/>
  <c r="AI95" i="1"/>
  <c r="M96" i="1"/>
  <c r="N96" i="1"/>
  <c r="O96" i="1"/>
  <c r="P96" i="1"/>
  <c r="Q96" i="1"/>
  <c r="T96" i="1"/>
  <c r="V96" i="1"/>
  <c r="AD96" i="1"/>
  <c r="AE96" i="1"/>
  <c r="AF96" i="1"/>
  <c r="AG96" i="1"/>
  <c r="AI96" i="1"/>
  <c r="M97" i="1"/>
  <c r="N97" i="1"/>
  <c r="O97" i="1"/>
  <c r="P97" i="1"/>
  <c r="Q97" i="1"/>
  <c r="T97" i="1"/>
  <c r="V97" i="1"/>
  <c r="AD97" i="1"/>
  <c r="AE97" i="1"/>
  <c r="AF97" i="1"/>
  <c r="AG97" i="1"/>
  <c r="AI97" i="1"/>
  <c r="M98" i="1"/>
  <c r="N98" i="1"/>
  <c r="O98" i="1"/>
  <c r="P98" i="1"/>
  <c r="Q98" i="1"/>
  <c r="T98" i="1"/>
  <c r="V98" i="1"/>
  <c r="AD98" i="1"/>
  <c r="AE98" i="1"/>
  <c r="AF98" i="1"/>
  <c r="AG98" i="1"/>
  <c r="AI98" i="1"/>
  <c r="M99" i="1"/>
  <c r="N99" i="1"/>
  <c r="O99" i="1"/>
  <c r="P99" i="1"/>
  <c r="Q99" i="1"/>
  <c r="T99" i="1"/>
  <c r="V99" i="1"/>
  <c r="AD99" i="1"/>
  <c r="AE99" i="1"/>
  <c r="AF99" i="1"/>
  <c r="AG99" i="1"/>
  <c r="AI99" i="1"/>
  <c r="M100" i="1"/>
  <c r="N100" i="1"/>
  <c r="O100" i="1"/>
  <c r="P100" i="1"/>
  <c r="Q100" i="1"/>
  <c r="T100" i="1"/>
  <c r="V100" i="1"/>
  <c r="AD100" i="1"/>
  <c r="AE100" i="1"/>
  <c r="AF100" i="1"/>
  <c r="AG100" i="1"/>
  <c r="AI100" i="1"/>
  <c r="M101" i="1"/>
  <c r="N101" i="1"/>
  <c r="O101" i="1"/>
  <c r="P101" i="1"/>
  <c r="Q101" i="1"/>
  <c r="T101" i="1"/>
  <c r="V101" i="1"/>
  <c r="AD101" i="1"/>
  <c r="AE101" i="1"/>
  <c r="AF101" i="1"/>
  <c r="AG101" i="1"/>
  <c r="AI101" i="1"/>
  <c r="M102" i="1"/>
  <c r="N102" i="1"/>
  <c r="O102" i="1"/>
  <c r="P102" i="1"/>
  <c r="Q102" i="1"/>
  <c r="T102" i="1"/>
  <c r="V102" i="1"/>
  <c r="AD102" i="1"/>
  <c r="AE102" i="1"/>
  <c r="AF102" i="1"/>
  <c r="AG102" i="1"/>
  <c r="AI102" i="1"/>
  <c r="M103" i="1"/>
  <c r="N103" i="1"/>
  <c r="O103" i="1"/>
  <c r="P103" i="1"/>
  <c r="Q103" i="1"/>
  <c r="T103" i="1"/>
  <c r="V103" i="1"/>
  <c r="AD103" i="1"/>
  <c r="AE103" i="1"/>
  <c r="AF103" i="1"/>
  <c r="AG103" i="1"/>
  <c r="AI103" i="1"/>
  <c r="M104" i="1"/>
  <c r="N104" i="1"/>
  <c r="O104" i="1"/>
  <c r="P104" i="1"/>
  <c r="Q104" i="1"/>
  <c r="T104" i="1"/>
  <c r="V104" i="1"/>
  <c r="AD104" i="1"/>
  <c r="AE104" i="1"/>
  <c r="AF104" i="1"/>
  <c r="AG104" i="1"/>
  <c r="AI104" i="1"/>
  <c r="M105" i="1"/>
  <c r="N105" i="1"/>
  <c r="O105" i="1"/>
  <c r="P105" i="1"/>
  <c r="Q105" i="1"/>
  <c r="T105" i="1"/>
  <c r="V105" i="1"/>
  <c r="AD105" i="1"/>
  <c r="AE105" i="1"/>
  <c r="AF105" i="1"/>
  <c r="AG105" i="1"/>
  <c r="AI105" i="1"/>
  <c r="M106" i="1"/>
  <c r="N106" i="1"/>
  <c r="O106" i="1"/>
  <c r="P106" i="1"/>
  <c r="Q106" i="1"/>
  <c r="T106" i="1"/>
  <c r="V106" i="1"/>
  <c r="AD106" i="1"/>
  <c r="AE106" i="1"/>
  <c r="AF106" i="1"/>
  <c r="AG106" i="1"/>
  <c r="AI106" i="1"/>
  <c r="M107" i="1"/>
  <c r="N107" i="1"/>
  <c r="O107" i="1"/>
  <c r="P107" i="1"/>
  <c r="Q107" i="1"/>
  <c r="T107" i="1"/>
  <c r="V107" i="1"/>
  <c r="AD107" i="1"/>
  <c r="AE107" i="1"/>
  <c r="AF107" i="1"/>
  <c r="AG107" i="1"/>
  <c r="AI107" i="1"/>
  <c r="M108" i="1"/>
  <c r="N108" i="1"/>
  <c r="O108" i="1"/>
  <c r="P108" i="1"/>
  <c r="Q108" i="1"/>
  <c r="T108" i="1"/>
  <c r="V108" i="1"/>
  <c r="AD108" i="1"/>
  <c r="AE108" i="1"/>
  <c r="AF108" i="1"/>
  <c r="AG108" i="1"/>
  <c r="AI108" i="1"/>
  <c r="M109" i="1"/>
  <c r="N109" i="1"/>
  <c r="O109" i="1"/>
  <c r="P109" i="1"/>
  <c r="Q109" i="1"/>
  <c r="T109" i="1"/>
  <c r="V109" i="1"/>
  <c r="AD109" i="1"/>
  <c r="AE109" i="1"/>
  <c r="AF109" i="1"/>
  <c r="AG109" i="1"/>
  <c r="AI109" i="1"/>
  <c r="M110" i="1"/>
  <c r="N110" i="1"/>
  <c r="O110" i="1"/>
  <c r="P110" i="1"/>
  <c r="Q110" i="1"/>
  <c r="T110" i="1"/>
  <c r="V110" i="1"/>
  <c r="AE110" i="1"/>
  <c r="AF110" i="1"/>
  <c r="AG110" i="1"/>
  <c r="AI110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50" i="1"/>
  <c r="M50" i="1"/>
  <c r="N50" i="1"/>
  <c r="O50" i="1"/>
  <c r="P50" i="1"/>
  <c r="Q50" i="1"/>
  <c r="T50" i="1"/>
  <c r="V50" i="1"/>
  <c r="AD50" i="1"/>
  <c r="AE50" i="1"/>
  <c r="AF50" i="1"/>
  <c r="AG50" i="1"/>
  <c r="AI50" i="1"/>
  <c r="A51" i="1"/>
  <c r="M51" i="1"/>
  <c r="N51" i="1"/>
  <c r="O51" i="1"/>
  <c r="P51" i="1"/>
  <c r="Q51" i="1"/>
  <c r="T51" i="1"/>
  <c r="V51" i="1"/>
  <c r="AD51" i="1"/>
  <c r="AE51" i="1"/>
  <c r="AF51" i="1"/>
  <c r="AG51" i="1"/>
  <c r="AI51" i="1"/>
  <c r="A52" i="1"/>
  <c r="M52" i="1"/>
  <c r="N52" i="1"/>
  <c r="O52" i="1"/>
  <c r="P52" i="1"/>
  <c r="Q52" i="1"/>
  <c r="T52" i="1"/>
  <c r="V52" i="1"/>
  <c r="AD52" i="1"/>
  <c r="AE52" i="1"/>
  <c r="AF52" i="1"/>
  <c r="AG52" i="1"/>
  <c r="AI52" i="1"/>
  <c r="A53" i="1"/>
  <c r="M53" i="1"/>
  <c r="N53" i="1"/>
  <c r="O53" i="1"/>
  <c r="P53" i="1"/>
  <c r="Q53" i="1"/>
  <c r="T53" i="1"/>
  <c r="V53" i="1"/>
  <c r="AD53" i="1"/>
  <c r="AE53" i="1"/>
  <c r="AF53" i="1"/>
  <c r="AG53" i="1"/>
  <c r="AI53" i="1"/>
  <c r="A54" i="1"/>
  <c r="M54" i="1"/>
  <c r="N54" i="1"/>
  <c r="O54" i="1"/>
  <c r="P54" i="1"/>
  <c r="Q54" i="1"/>
  <c r="T54" i="1"/>
  <c r="V54" i="1"/>
  <c r="AD54" i="1"/>
  <c r="AE54" i="1"/>
  <c r="AF54" i="1"/>
  <c r="AG54" i="1"/>
  <c r="AI54" i="1"/>
  <c r="A55" i="1"/>
  <c r="M55" i="1"/>
  <c r="N55" i="1"/>
  <c r="O55" i="1"/>
  <c r="P55" i="1"/>
  <c r="Q55" i="1"/>
  <c r="T55" i="1"/>
  <c r="V55" i="1"/>
  <c r="AD55" i="1"/>
  <c r="AE55" i="1"/>
  <c r="AF55" i="1"/>
  <c r="AG55" i="1"/>
  <c r="AI55" i="1"/>
  <c r="A56" i="1"/>
  <c r="M56" i="1"/>
  <c r="N56" i="1"/>
  <c r="O56" i="1"/>
  <c r="P56" i="1"/>
  <c r="Q56" i="1"/>
  <c r="T56" i="1"/>
  <c r="V56" i="1"/>
  <c r="AD56" i="1"/>
  <c r="AE56" i="1"/>
  <c r="AF56" i="1"/>
  <c r="AG56" i="1"/>
  <c r="AI56" i="1"/>
  <c r="A57" i="1"/>
  <c r="M57" i="1"/>
  <c r="N57" i="1"/>
  <c r="O57" i="1"/>
  <c r="P57" i="1"/>
  <c r="Q57" i="1"/>
  <c r="T57" i="1"/>
  <c r="V57" i="1"/>
  <c r="AD57" i="1"/>
  <c r="AE57" i="1"/>
  <c r="AF57" i="1"/>
  <c r="AG57" i="1"/>
  <c r="AI57" i="1"/>
  <c r="A58" i="1"/>
  <c r="M58" i="1"/>
  <c r="N58" i="1"/>
  <c r="O58" i="1"/>
  <c r="P58" i="1"/>
  <c r="Q58" i="1"/>
  <c r="T58" i="1"/>
  <c r="V58" i="1"/>
  <c r="AD58" i="1"/>
  <c r="AE58" i="1"/>
  <c r="AF58" i="1"/>
  <c r="AG58" i="1"/>
  <c r="AI58" i="1"/>
  <c r="A59" i="1"/>
  <c r="M59" i="1"/>
  <c r="N59" i="1"/>
  <c r="O59" i="1"/>
  <c r="P59" i="1"/>
  <c r="Q59" i="1"/>
  <c r="T59" i="1"/>
  <c r="V59" i="1"/>
  <c r="AD59" i="1"/>
  <c r="AE59" i="1"/>
  <c r="AF59" i="1"/>
  <c r="AG59" i="1"/>
  <c r="AI59" i="1"/>
  <c r="A60" i="1"/>
  <c r="M60" i="1"/>
  <c r="N60" i="1"/>
  <c r="O60" i="1"/>
  <c r="P60" i="1"/>
  <c r="Q60" i="1"/>
  <c r="T60" i="1"/>
  <c r="V60" i="1"/>
  <c r="AD60" i="1"/>
  <c r="AE60" i="1"/>
  <c r="AF60" i="1"/>
  <c r="AG60" i="1"/>
  <c r="AI60" i="1"/>
  <c r="A61" i="1"/>
  <c r="M61" i="1"/>
  <c r="N61" i="1"/>
  <c r="O61" i="1"/>
  <c r="P61" i="1"/>
  <c r="Q61" i="1"/>
  <c r="T61" i="1"/>
  <c r="V61" i="1"/>
  <c r="AD61" i="1"/>
  <c r="AE61" i="1"/>
  <c r="AF61" i="1"/>
  <c r="AG61" i="1"/>
  <c r="AI61" i="1"/>
  <c r="A62" i="1"/>
  <c r="M62" i="1"/>
  <c r="N62" i="1"/>
  <c r="O62" i="1"/>
  <c r="P62" i="1"/>
  <c r="Q62" i="1"/>
  <c r="T62" i="1"/>
  <c r="V62" i="1"/>
  <c r="AD62" i="1"/>
  <c r="AE62" i="1"/>
  <c r="AF62" i="1"/>
  <c r="AG62" i="1"/>
  <c r="AI62" i="1"/>
  <c r="A63" i="1"/>
  <c r="M63" i="1"/>
  <c r="N63" i="1"/>
  <c r="O63" i="1"/>
  <c r="P63" i="1"/>
  <c r="Q63" i="1"/>
  <c r="T63" i="1"/>
  <c r="V63" i="1"/>
  <c r="AD63" i="1"/>
  <c r="AE63" i="1"/>
  <c r="AF63" i="1"/>
  <c r="AG63" i="1"/>
  <c r="AI63" i="1"/>
  <c r="A64" i="1"/>
  <c r="M64" i="1"/>
  <c r="N64" i="1"/>
  <c r="O64" i="1"/>
  <c r="P64" i="1"/>
  <c r="Q64" i="1"/>
  <c r="T64" i="1"/>
  <c r="V64" i="1"/>
  <c r="AD64" i="1"/>
  <c r="AE64" i="1"/>
  <c r="AF64" i="1"/>
  <c r="AG64" i="1"/>
  <c r="AI64" i="1"/>
  <c r="A65" i="1"/>
  <c r="M65" i="1"/>
  <c r="N65" i="1"/>
  <c r="O65" i="1"/>
  <c r="P65" i="1"/>
  <c r="Q65" i="1"/>
  <c r="T65" i="1"/>
  <c r="V65" i="1"/>
  <c r="AD65" i="1"/>
  <c r="AE65" i="1"/>
  <c r="AF65" i="1"/>
  <c r="AG65" i="1"/>
  <c r="AI65" i="1"/>
  <c r="A66" i="1"/>
  <c r="M66" i="1"/>
  <c r="N66" i="1"/>
  <c r="O66" i="1"/>
  <c r="P66" i="1"/>
  <c r="Q66" i="1"/>
  <c r="T66" i="1"/>
  <c r="V66" i="1"/>
  <c r="AD66" i="1"/>
  <c r="AE66" i="1"/>
  <c r="AF66" i="1"/>
  <c r="AG66" i="1"/>
  <c r="AI66" i="1"/>
  <c r="A4" i="1"/>
  <c r="M4" i="1"/>
  <c r="N4" i="1"/>
  <c r="O4" i="1"/>
  <c r="P4" i="1"/>
  <c r="Q4" i="1"/>
  <c r="T4" i="1"/>
  <c r="V4" i="1"/>
  <c r="AD4" i="1"/>
  <c r="AE4" i="1"/>
  <c r="AF4" i="1"/>
  <c r="AG4" i="1"/>
  <c r="AI4" i="1"/>
  <c r="A5" i="1"/>
  <c r="M5" i="1"/>
  <c r="N5" i="1"/>
  <c r="O5" i="1"/>
  <c r="P5" i="1"/>
  <c r="Q5" i="1"/>
  <c r="T5" i="1"/>
  <c r="V5" i="1"/>
  <c r="AD5" i="1"/>
  <c r="AE5" i="1"/>
  <c r="AF5" i="1"/>
  <c r="AG5" i="1"/>
  <c r="AI5" i="1"/>
  <c r="A6" i="1"/>
  <c r="M6" i="1"/>
  <c r="N6" i="1"/>
  <c r="O6" i="1"/>
  <c r="P6" i="1"/>
  <c r="Q6" i="1"/>
  <c r="T6" i="1"/>
  <c r="V6" i="1"/>
  <c r="AD6" i="1"/>
  <c r="AE6" i="1"/>
  <c r="AF6" i="1"/>
  <c r="AG6" i="1"/>
  <c r="AI6" i="1"/>
  <c r="A7" i="1"/>
  <c r="M7" i="1"/>
  <c r="N7" i="1"/>
  <c r="O7" i="1"/>
  <c r="P7" i="1"/>
  <c r="Q7" i="1"/>
  <c r="T7" i="1"/>
  <c r="V7" i="1"/>
  <c r="AD7" i="1"/>
  <c r="AE7" i="1"/>
  <c r="AF7" i="1"/>
  <c r="AG7" i="1"/>
  <c r="AI7" i="1"/>
  <c r="A8" i="1"/>
  <c r="M8" i="1"/>
  <c r="N8" i="1"/>
  <c r="O8" i="1"/>
  <c r="P8" i="1"/>
  <c r="Q8" i="1"/>
  <c r="T8" i="1"/>
  <c r="V8" i="1"/>
  <c r="AD8" i="1"/>
  <c r="AE8" i="1"/>
  <c r="AF8" i="1"/>
  <c r="AG8" i="1"/>
  <c r="AI8" i="1"/>
  <c r="A9" i="1"/>
  <c r="M9" i="1"/>
  <c r="N9" i="1"/>
  <c r="O9" i="1"/>
  <c r="P9" i="1"/>
  <c r="Q9" i="1"/>
  <c r="T9" i="1"/>
  <c r="V9" i="1"/>
  <c r="AD9" i="1"/>
  <c r="AE9" i="1"/>
  <c r="AF9" i="1"/>
  <c r="AG9" i="1"/>
  <c r="AI9" i="1"/>
  <c r="A10" i="1"/>
  <c r="M10" i="1"/>
  <c r="N10" i="1"/>
  <c r="O10" i="1"/>
  <c r="P10" i="1"/>
  <c r="Q10" i="1"/>
  <c r="T10" i="1"/>
  <c r="V10" i="1"/>
  <c r="AD10" i="1"/>
  <c r="AE10" i="1"/>
  <c r="AF10" i="1"/>
  <c r="AG10" i="1"/>
  <c r="AI10" i="1"/>
  <c r="A11" i="1"/>
  <c r="M11" i="1"/>
  <c r="N11" i="1"/>
  <c r="O11" i="1"/>
  <c r="P11" i="1"/>
  <c r="Q11" i="1"/>
  <c r="T11" i="1"/>
  <c r="V11" i="1"/>
  <c r="AD11" i="1"/>
  <c r="AE11" i="1"/>
  <c r="AF11" i="1"/>
  <c r="AG11" i="1"/>
  <c r="AI11" i="1"/>
  <c r="A12" i="1"/>
  <c r="M12" i="1"/>
  <c r="N12" i="1"/>
  <c r="O12" i="1"/>
  <c r="P12" i="1"/>
  <c r="Q12" i="1"/>
  <c r="T12" i="1"/>
  <c r="V12" i="1"/>
  <c r="AD12" i="1"/>
  <c r="AE12" i="1"/>
  <c r="AF12" i="1"/>
  <c r="AG12" i="1"/>
  <c r="AI12" i="1"/>
  <c r="A13" i="1"/>
  <c r="M13" i="1"/>
  <c r="N13" i="1"/>
  <c r="O13" i="1"/>
  <c r="P13" i="1"/>
  <c r="Q13" i="1"/>
  <c r="T13" i="1"/>
  <c r="V13" i="1"/>
  <c r="AD13" i="1"/>
  <c r="AE13" i="1"/>
  <c r="AF13" i="1"/>
  <c r="AG13" i="1"/>
  <c r="AI13" i="1"/>
  <c r="A14" i="1"/>
  <c r="M14" i="1"/>
  <c r="N14" i="1"/>
  <c r="O14" i="1"/>
  <c r="P14" i="1"/>
  <c r="Q14" i="1"/>
  <c r="T14" i="1"/>
  <c r="V14" i="1"/>
  <c r="AD14" i="1"/>
  <c r="AE14" i="1"/>
  <c r="AF14" i="1"/>
  <c r="AG14" i="1"/>
  <c r="AI14" i="1"/>
  <c r="A15" i="1"/>
  <c r="M15" i="1"/>
  <c r="N15" i="1"/>
  <c r="O15" i="1"/>
  <c r="P15" i="1"/>
  <c r="Q15" i="1"/>
  <c r="T15" i="1"/>
  <c r="V15" i="1"/>
  <c r="AD15" i="1"/>
  <c r="AE15" i="1"/>
  <c r="AF15" i="1"/>
  <c r="AG15" i="1"/>
  <c r="AI15" i="1"/>
  <c r="A16" i="1"/>
  <c r="M16" i="1"/>
  <c r="N16" i="1"/>
  <c r="O16" i="1"/>
  <c r="P16" i="1"/>
  <c r="Q16" i="1"/>
  <c r="T16" i="1"/>
  <c r="V16" i="1"/>
  <c r="AD16" i="1"/>
  <c r="AE16" i="1"/>
  <c r="AF16" i="1"/>
  <c r="AG16" i="1"/>
  <c r="AI16" i="1"/>
  <c r="A17" i="1"/>
  <c r="M17" i="1"/>
  <c r="N17" i="1"/>
  <c r="O17" i="1"/>
  <c r="P17" i="1"/>
  <c r="Q17" i="1"/>
  <c r="T17" i="1"/>
  <c r="V17" i="1"/>
  <c r="AD17" i="1"/>
  <c r="AE17" i="1"/>
  <c r="AF17" i="1"/>
  <c r="AG17" i="1"/>
  <c r="AI17" i="1"/>
  <c r="A18" i="1"/>
  <c r="M18" i="1"/>
  <c r="N18" i="1"/>
  <c r="O18" i="1"/>
  <c r="P18" i="1"/>
  <c r="Q18" i="1"/>
  <c r="T18" i="1"/>
  <c r="V18" i="1"/>
  <c r="AD18" i="1"/>
  <c r="AE18" i="1"/>
  <c r="AF18" i="1"/>
  <c r="AG18" i="1"/>
  <c r="AI18" i="1"/>
  <c r="A19" i="1"/>
  <c r="M19" i="1"/>
  <c r="N19" i="1"/>
  <c r="O19" i="1"/>
  <c r="P19" i="1"/>
  <c r="Q19" i="1"/>
  <c r="T19" i="1"/>
  <c r="V19" i="1"/>
  <c r="AD19" i="1"/>
  <c r="AE19" i="1"/>
  <c r="AF19" i="1"/>
  <c r="AG19" i="1"/>
  <c r="AI19" i="1"/>
  <c r="A20" i="1"/>
  <c r="M20" i="1"/>
  <c r="N20" i="1"/>
  <c r="O20" i="1"/>
  <c r="P20" i="1"/>
  <c r="Q20" i="1"/>
  <c r="T20" i="1"/>
  <c r="V20" i="1"/>
  <c r="AD20" i="1"/>
  <c r="AE20" i="1"/>
  <c r="AF20" i="1"/>
  <c r="AG20" i="1"/>
  <c r="AI20" i="1"/>
  <c r="A21" i="1"/>
  <c r="M21" i="1"/>
  <c r="N21" i="1"/>
  <c r="O21" i="1"/>
  <c r="P21" i="1"/>
  <c r="Q21" i="1"/>
  <c r="T21" i="1"/>
  <c r="V21" i="1"/>
  <c r="AD21" i="1"/>
  <c r="AE21" i="1"/>
  <c r="AF21" i="1"/>
  <c r="AG21" i="1"/>
  <c r="AI21" i="1"/>
  <c r="A22" i="1"/>
  <c r="M22" i="1"/>
  <c r="N22" i="1"/>
  <c r="O22" i="1"/>
  <c r="P22" i="1"/>
  <c r="Q22" i="1"/>
  <c r="T22" i="1"/>
  <c r="V22" i="1"/>
  <c r="AD22" i="1"/>
  <c r="AE22" i="1"/>
  <c r="AF22" i="1"/>
  <c r="AG22" i="1"/>
  <c r="AI22" i="1"/>
  <c r="A23" i="1"/>
  <c r="M23" i="1"/>
  <c r="N23" i="1"/>
  <c r="O23" i="1"/>
  <c r="P23" i="1"/>
  <c r="Q23" i="1"/>
  <c r="T23" i="1"/>
  <c r="V23" i="1"/>
  <c r="AD23" i="1"/>
  <c r="AE23" i="1"/>
  <c r="AF23" i="1"/>
  <c r="AG23" i="1"/>
  <c r="AI23" i="1"/>
  <c r="A24" i="1"/>
  <c r="M24" i="1"/>
  <c r="N24" i="1"/>
  <c r="O24" i="1"/>
  <c r="P24" i="1"/>
  <c r="Q24" i="1"/>
  <c r="T24" i="1"/>
  <c r="V24" i="1"/>
  <c r="AD24" i="1"/>
  <c r="AE24" i="1"/>
  <c r="AF24" i="1"/>
  <c r="AG24" i="1"/>
  <c r="AI24" i="1"/>
  <c r="A25" i="1"/>
  <c r="M25" i="1"/>
  <c r="N25" i="1"/>
  <c r="O25" i="1"/>
  <c r="P25" i="1"/>
  <c r="Q25" i="1"/>
  <c r="T25" i="1"/>
  <c r="V25" i="1"/>
  <c r="AD25" i="1"/>
  <c r="AE25" i="1"/>
  <c r="AF25" i="1"/>
  <c r="AG25" i="1"/>
  <c r="AI25" i="1"/>
  <c r="A26" i="1"/>
  <c r="M26" i="1"/>
  <c r="N26" i="1"/>
  <c r="O26" i="1"/>
  <c r="P26" i="1"/>
  <c r="Q26" i="1"/>
  <c r="T26" i="1"/>
  <c r="V26" i="1"/>
  <c r="AD26" i="1"/>
  <c r="AE26" i="1"/>
  <c r="AF26" i="1"/>
  <c r="AG26" i="1"/>
  <c r="AI26" i="1"/>
  <c r="A27" i="1"/>
  <c r="M27" i="1"/>
  <c r="N27" i="1"/>
  <c r="O27" i="1"/>
  <c r="P27" i="1"/>
  <c r="Q27" i="1"/>
  <c r="T27" i="1"/>
  <c r="V27" i="1"/>
  <c r="AD27" i="1"/>
  <c r="AE27" i="1"/>
  <c r="AF27" i="1"/>
  <c r="AG27" i="1"/>
  <c r="AI27" i="1"/>
  <c r="A28" i="1"/>
  <c r="M28" i="1"/>
  <c r="N28" i="1"/>
  <c r="O28" i="1"/>
  <c r="P28" i="1"/>
  <c r="Q28" i="1"/>
  <c r="T28" i="1"/>
  <c r="V28" i="1"/>
  <c r="AD28" i="1"/>
  <c r="AE28" i="1"/>
  <c r="AF28" i="1"/>
  <c r="AG28" i="1"/>
  <c r="AI28" i="1"/>
  <c r="A29" i="1"/>
  <c r="M29" i="1"/>
  <c r="N29" i="1"/>
  <c r="O29" i="1"/>
  <c r="P29" i="1"/>
  <c r="Q29" i="1"/>
  <c r="T29" i="1"/>
  <c r="V29" i="1"/>
  <c r="AD29" i="1"/>
  <c r="AE29" i="1"/>
  <c r="AF29" i="1"/>
  <c r="AG29" i="1"/>
  <c r="AI29" i="1"/>
  <c r="A30" i="1"/>
  <c r="M30" i="1"/>
  <c r="N30" i="1"/>
  <c r="O30" i="1"/>
  <c r="P30" i="1"/>
  <c r="Q30" i="1"/>
  <c r="T30" i="1"/>
  <c r="V30" i="1"/>
  <c r="AD30" i="1"/>
  <c r="AE30" i="1"/>
  <c r="AF30" i="1"/>
  <c r="AG30" i="1"/>
  <c r="AI30" i="1"/>
  <c r="A31" i="1"/>
  <c r="M31" i="1"/>
  <c r="N31" i="1"/>
  <c r="O31" i="1"/>
  <c r="P31" i="1"/>
  <c r="Q31" i="1"/>
  <c r="T31" i="1"/>
  <c r="V31" i="1"/>
  <c r="AD31" i="1"/>
  <c r="AE31" i="1"/>
  <c r="AF31" i="1"/>
  <c r="AG31" i="1"/>
  <c r="AI31" i="1"/>
  <c r="A32" i="1"/>
  <c r="M32" i="1"/>
  <c r="N32" i="1"/>
  <c r="O32" i="1"/>
  <c r="P32" i="1"/>
  <c r="Q32" i="1"/>
  <c r="T32" i="1"/>
  <c r="V32" i="1"/>
  <c r="AD32" i="1"/>
  <c r="AE32" i="1"/>
  <c r="AF32" i="1"/>
  <c r="AG32" i="1"/>
  <c r="AI32" i="1"/>
  <c r="A33" i="1"/>
  <c r="M33" i="1"/>
  <c r="N33" i="1"/>
  <c r="O33" i="1"/>
  <c r="P33" i="1"/>
  <c r="Q33" i="1"/>
  <c r="T33" i="1"/>
  <c r="V33" i="1"/>
  <c r="AD33" i="1"/>
  <c r="AE33" i="1"/>
  <c r="AF33" i="1"/>
  <c r="AG33" i="1"/>
  <c r="AI33" i="1"/>
  <c r="A34" i="1"/>
  <c r="M34" i="1"/>
  <c r="N34" i="1"/>
  <c r="O34" i="1"/>
  <c r="P34" i="1"/>
  <c r="Q34" i="1"/>
  <c r="T34" i="1"/>
  <c r="V34" i="1"/>
  <c r="AD34" i="1"/>
  <c r="AE34" i="1"/>
  <c r="AF34" i="1"/>
  <c r="AG34" i="1"/>
  <c r="AI34" i="1"/>
  <c r="A35" i="1"/>
  <c r="M35" i="1"/>
  <c r="N35" i="1"/>
  <c r="O35" i="1"/>
  <c r="P35" i="1"/>
  <c r="Q35" i="1"/>
  <c r="T35" i="1"/>
  <c r="V35" i="1"/>
  <c r="AD35" i="1"/>
  <c r="AE35" i="1"/>
  <c r="AF35" i="1"/>
  <c r="AG35" i="1"/>
  <c r="AI35" i="1"/>
  <c r="A36" i="1"/>
  <c r="M36" i="1"/>
  <c r="N36" i="1"/>
  <c r="O36" i="1"/>
  <c r="P36" i="1"/>
  <c r="Q36" i="1"/>
  <c r="T36" i="1"/>
  <c r="V36" i="1"/>
  <c r="AD36" i="1"/>
  <c r="AE36" i="1"/>
  <c r="AF36" i="1"/>
  <c r="AG36" i="1"/>
  <c r="AI36" i="1"/>
  <c r="A37" i="1"/>
  <c r="M37" i="1"/>
  <c r="N37" i="1"/>
  <c r="O37" i="1"/>
  <c r="P37" i="1"/>
  <c r="Q37" i="1"/>
  <c r="T37" i="1"/>
  <c r="V37" i="1"/>
  <c r="AD37" i="1"/>
  <c r="AE37" i="1"/>
  <c r="AF37" i="1"/>
  <c r="AG37" i="1"/>
  <c r="AI37" i="1"/>
  <c r="A38" i="1"/>
  <c r="M38" i="1"/>
  <c r="N38" i="1"/>
  <c r="O38" i="1"/>
  <c r="P38" i="1"/>
  <c r="Q38" i="1"/>
  <c r="T38" i="1"/>
  <c r="V38" i="1"/>
  <c r="AD38" i="1"/>
  <c r="AE38" i="1"/>
  <c r="AF38" i="1"/>
  <c r="AG38" i="1"/>
  <c r="AI38" i="1"/>
  <c r="A39" i="1"/>
  <c r="M39" i="1"/>
  <c r="N39" i="1"/>
  <c r="O39" i="1"/>
  <c r="P39" i="1"/>
  <c r="Q39" i="1"/>
  <c r="T39" i="1"/>
  <c r="V39" i="1"/>
  <c r="AD39" i="1"/>
  <c r="AE39" i="1"/>
  <c r="AF39" i="1"/>
  <c r="AG39" i="1"/>
  <c r="AI39" i="1"/>
  <c r="A40" i="1"/>
  <c r="M40" i="1"/>
  <c r="N40" i="1"/>
  <c r="O40" i="1"/>
  <c r="P40" i="1"/>
  <c r="Q40" i="1"/>
  <c r="T40" i="1"/>
  <c r="V40" i="1"/>
  <c r="AD40" i="1"/>
  <c r="AE40" i="1"/>
  <c r="AF40" i="1"/>
  <c r="AG40" i="1"/>
  <c r="AI40" i="1"/>
  <c r="A41" i="1"/>
  <c r="M41" i="1"/>
  <c r="N41" i="1"/>
  <c r="O41" i="1"/>
  <c r="P41" i="1"/>
  <c r="Q41" i="1"/>
  <c r="T41" i="1"/>
  <c r="V41" i="1"/>
  <c r="AD41" i="1"/>
  <c r="AE41" i="1"/>
  <c r="AF41" i="1"/>
  <c r="AG41" i="1"/>
  <c r="AI41" i="1"/>
  <c r="A42" i="1"/>
  <c r="M42" i="1"/>
  <c r="N42" i="1"/>
  <c r="O42" i="1"/>
  <c r="P42" i="1"/>
  <c r="Q42" i="1"/>
  <c r="T42" i="1"/>
  <c r="V42" i="1"/>
  <c r="AD42" i="1"/>
  <c r="AE42" i="1"/>
  <c r="AF42" i="1"/>
  <c r="AG42" i="1"/>
  <c r="AI42" i="1"/>
  <c r="A43" i="1"/>
  <c r="M43" i="1"/>
  <c r="N43" i="1"/>
  <c r="O43" i="1"/>
  <c r="P43" i="1"/>
  <c r="Q43" i="1"/>
  <c r="T43" i="1"/>
  <c r="V43" i="1"/>
  <c r="AD43" i="1"/>
  <c r="AE43" i="1"/>
  <c r="AF43" i="1"/>
  <c r="AG43" i="1"/>
  <c r="AI43" i="1"/>
  <c r="A44" i="1"/>
  <c r="M44" i="1"/>
  <c r="N44" i="1"/>
  <c r="O44" i="1"/>
  <c r="P44" i="1"/>
  <c r="Q44" i="1"/>
  <c r="T44" i="1"/>
  <c r="V44" i="1"/>
  <c r="AD44" i="1"/>
  <c r="AE44" i="1"/>
  <c r="AF44" i="1"/>
  <c r="AG44" i="1"/>
  <c r="AI44" i="1"/>
  <c r="A45" i="1"/>
  <c r="M45" i="1"/>
  <c r="N45" i="1"/>
  <c r="O45" i="1"/>
  <c r="P45" i="1"/>
  <c r="Q45" i="1"/>
  <c r="T45" i="1"/>
  <c r="V45" i="1"/>
  <c r="AD45" i="1"/>
  <c r="AE45" i="1"/>
  <c r="AF45" i="1"/>
  <c r="AG45" i="1"/>
  <c r="AI45" i="1"/>
  <c r="A46" i="1"/>
  <c r="M46" i="1"/>
  <c r="N46" i="1"/>
  <c r="O46" i="1"/>
  <c r="P46" i="1"/>
  <c r="Q46" i="1"/>
  <c r="T46" i="1"/>
  <c r="V46" i="1"/>
  <c r="AD46" i="1"/>
  <c r="AE46" i="1"/>
  <c r="AF46" i="1"/>
  <c r="AG46" i="1"/>
  <c r="AI46" i="1"/>
  <c r="A47" i="1"/>
  <c r="M47" i="1"/>
  <c r="N47" i="1"/>
  <c r="O47" i="1"/>
  <c r="P47" i="1"/>
  <c r="Q47" i="1"/>
  <c r="T47" i="1"/>
  <c r="V47" i="1"/>
  <c r="AD47" i="1"/>
  <c r="AE47" i="1"/>
  <c r="AF47" i="1"/>
  <c r="AG47" i="1"/>
  <c r="AI47" i="1"/>
  <c r="A48" i="1"/>
  <c r="M48" i="1"/>
  <c r="N48" i="1"/>
  <c r="O48" i="1"/>
  <c r="P48" i="1"/>
  <c r="Q48" i="1"/>
  <c r="T48" i="1"/>
  <c r="V48" i="1"/>
  <c r="AD48" i="1"/>
  <c r="AE48" i="1"/>
  <c r="AF48" i="1"/>
  <c r="AG48" i="1"/>
  <c r="AI48" i="1"/>
  <c r="A49" i="1"/>
  <c r="M49" i="1"/>
  <c r="N49" i="1"/>
  <c r="O49" i="1"/>
  <c r="P49" i="1"/>
  <c r="Q49" i="1"/>
  <c r="T49" i="1"/>
  <c r="V49" i="1"/>
  <c r="AD49" i="1"/>
  <c r="AE49" i="1"/>
  <c r="AF49" i="1"/>
  <c r="AG49" i="1"/>
  <c r="AI49" i="1"/>
  <c r="AD3" i="1"/>
  <c r="AF3" i="1"/>
  <c r="AI3" i="1"/>
  <c r="AG3" i="1"/>
  <c r="AE3" i="1"/>
  <c r="V3" i="1"/>
  <c r="T3" i="1"/>
  <c r="Q3" i="1"/>
  <c r="P3" i="1"/>
  <c r="O3" i="1"/>
  <c r="N3" i="1"/>
  <c r="M3" i="1"/>
  <c r="A3" i="1"/>
  <c r="AD2" i="1"/>
  <c r="AF2" i="1"/>
  <c r="AI2" i="1"/>
  <c r="AG2" i="1"/>
  <c r="AE2" i="1"/>
  <c r="X2" i="1"/>
  <c r="V2" i="1"/>
  <c r="T2" i="1"/>
  <c r="Q2" i="1"/>
  <c r="P2" i="1"/>
  <c r="O2" i="1"/>
  <c r="N2" i="1"/>
  <c r="M2" i="1"/>
  <c r="A2" i="1"/>
  <c r="I3" i="21"/>
  <c r="J3" i="21"/>
  <c r="I4" i="21"/>
  <c r="J4" i="21"/>
  <c r="I5" i="21"/>
  <c r="J5" i="21"/>
  <c r="I6" i="21"/>
  <c r="J6" i="21"/>
  <c r="I7" i="21"/>
  <c r="J7" i="21"/>
  <c r="I8" i="21"/>
  <c r="J8" i="21"/>
  <c r="I9" i="21"/>
  <c r="J9" i="21"/>
  <c r="I10" i="21"/>
  <c r="J10" i="21"/>
  <c r="I11" i="21"/>
  <c r="J11" i="21"/>
  <c r="I12" i="21"/>
  <c r="J12" i="21"/>
  <c r="I13" i="21"/>
  <c r="J13" i="21"/>
  <c r="I14" i="21"/>
  <c r="J14" i="21"/>
  <c r="I15" i="21"/>
  <c r="J15" i="21"/>
  <c r="I16" i="21"/>
  <c r="J16" i="21"/>
  <c r="I17" i="21"/>
  <c r="J17" i="21"/>
  <c r="I18" i="21"/>
  <c r="J18" i="21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E55" i="9"/>
  <c r="D55" i="9"/>
  <c r="E178" i="9"/>
  <c r="D178" i="9"/>
  <c r="D177" i="9"/>
  <c r="E129" i="9"/>
  <c r="D129" i="9"/>
  <c r="E128" i="9"/>
  <c r="D128" i="9"/>
  <c r="E127" i="9"/>
  <c r="D127" i="9"/>
  <c r="D126" i="9"/>
  <c r="E78" i="9"/>
  <c r="D78" i="9"/>
  <c r="E77" i="9"/>
  <c r="D77" i="9"/>
  <c r="E76" i="9"/>
  <c r="D76" i="9"/>
  <c r="E75" i="9"/>
  <c r="D75" i="9"/>
  <c r="E74" i="9"/>
  <c r="D74" i="9"/>
  <c r="E73" i="9"/>
  <c r="D73" i="9"/>
  <c r="E72" i="9"/>
  <c r="D72" i="9"/>
  <c r="E71" i="9"/>
  <c r="D71" i="9"/>
  <c r="E70" i="9"/>
  <c r="D70" i="9"/>
  <c r="E69" i="9"/>
  <c r="D69" i="9"/>
  <c r="E68" i="9"/>
  <c r="D68" i="9"/>
  <c r="E67" i="9"/>
  <c r="D67" i="9"/>
  <c r="E66" i="9"/>
  <c r="D66" i="9"/>
  <c r="E65" i="9"/>
  <c r="D65" i="9"/>
  <c r="E64" i="9"/>
  <c r="D64" i="9"/>
  <c r="E63" i="9"/>
  <c r="D63" i="9"/>
  <c r="E62" i="9"/>
  <c r="D62" i="9"/>
  <c r="E61" i="9"/>
  <c r="D61" i="9"/>
  <c r="E60" i="9"/>
  <c r="D60" i="9"/>
  <c r="E59" i="9"/>
  <c r="D59" i="9"/>
  <c r="E58" i="9"/>
  <c r="D58" i="9"/>
  <c r="E57" i="9"/>
  <c r="D57" i="9"/>
  <c r="E56" i="9"/>
  <c r="D56" i="9"/>
  <c r="E54" i="9"/>
  <c r="D54" i="9"/>
  <c r="E53" i="9"/>
  <c r="D53" i="9"/>
  <c r="E52" i="9"/>
  <c r="D52" i="9"/>
  <c r="E51" i="9"/>
  <c r="D51" i="9"/>
  <c r="E50" i="9"/>
  <c r="D50" i="9"/>
  <c r="E49" i="9"/>
  <c r="D49" i="9"/>
  <c r="E48" i="9"/>
  <c r="D48" i="9"/>
  <c r="E47" i="9"/>
  <c r="D47" i="9"/>
  <c r="E46" i="9"/>
  <c r="D46" i="9"/>
  <c r="E45" i="9"/>
  <c r="D45" i="9"/>
  <c r="E44" i="9"/>
  <c r="D44" i="9"/>
  <c r="E43" i="9"/>
  <c r="D43" i="9"/>
  <c r="E42" i="9"/>
  <c r="D42" i="9"/>
  <c r="E41" i="9"/>
  <c r="D41" i="9"/>
  <c r="E40" i="9"/>
  <c r="D40" i="9"/>
  <c r="E39" i="9"/>
  <c r="D39" i="9"/>
  <c r="E38" i="9"/>
  <c r="D38" i="9"/>
  <c r="E37" i="9"/>
  <c r="D37" i="9"/>
  <c r="E36" i="9"/>
  <c r="D36" i="9"/>
  <c r="E35" i="9"/>
  <c r="D35" i="9"/>
  <c r="E34" i="9"/>
  <c r="D34" i="9"/>
  <c r="E33" i="9"/>
  <c r="D33" i="9"/>
  <c r="E32" i="9"/>
  <c r="D32" i="9"/>
  <c r="E31" i="9"/>
  <c r="D31" i="9"/>
  <c r="E30" i="9"/>
  <c r="D30" i="9"/>
  <c r="E29" i="9"/>
  <c r="D29" i="9"/>
  <c r="E28" i="9"/>
  <c r="D28" i="9"/>
  <c r="E27" i="9"/>
  <c r="D27" i="9"/>
  <c r="E26" i="9"/>
  <c r="D26" i="9"/>
  <c r="E17" i="9"/>
  <c r="D17" i="9"/>
  <c r="E16" i="9"/>
  <c r="D16" i="9"/>
  <c r="E15" i="9"/>
  <c r="D15" i="9"/>
  <c r="E14" i="9"/>
  <c r="D14" i="9"/>
  <c r="E13" i="9"/>
  <c r="D13" i="9"/>
  <c r="E12" i="9"/>
  <c r="D12" i="9"/>
  <c r="E11" i="9"/>
  <c r="D11" i="9"/>
  <c r="E10" i="9"/>
  <c r="D10" i="9"/>
  <c r="E9" i="9"/>
  <c r="D9" i="9"/>
  <c r="E8" i="9"/>
  <c r="D8" i="9"/>
  <c r="E7" i="9"/>
  <c r="D7" i="9"/>
  <c r="E6" i="9"/>
  <c r="D6" i="9"/>
  <c r="E5" i="9"/>
  <c r="D5" i="9"/>
  <c r="E4" i="9"/>
  <c r="D4" i="9"/>
  <c r="E3" i="9"/>
  <c r="D3" i="9"/>
  <c r="O2" i="9"/>
  <c r="N2" i="9"/>
  <c r="M2" i="9"/>
  <c r="L2" i="9"/>
  <c r="K2" i="9"/>
  <c r="J2" i="9"/>
  <c r="I2" i="9"/>
  <c r="H2" i="9"/>
  <c r="G2" i="9"/>
  <c r="D2" i="9"/>
  <c r="A55" i="9"/>
  <c r="A178" i="9"/>
  <c r="A177" i="9"/>
  <c r="A129" i="9"/>
  <c r="A128" i="9"/>
  <c r="A127" i="9"/>
  <c r="A126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G2" i="10"/>
  <c r="H2" i="10"/>
  <c r="I2" i="10"/>
  <c r="J2" i="10"/>
  <c r="K2" i="10"/>
  <c r="L2" i="10"/>
  <c r="M2" i="10"/>
  <c r="M16" i="10"/>
  <c r="M26" i="10"/>
  <c r="N26" i="10"/>
  <c r="Q26" i="10"/>
  <c r="P26" i="10"/>
  <c r="R26" i="10"/>
  <c r="O26" i="10"/>
  <c r="S26" i="10"/>
  <c r="N16" i="10"/>
  <c r="Q16" i="10"/>
  <c r="P16" i="10"/>
  <c r="R16" i="10"/>
  <c r="O16" i="10"/>
  <c r="S16" i="10"/>
  <c r="N2" i="10"/>
  <c r="O2" i="10"/>
  <c r="P2" i="10"/>
  <c r="Q2" i="10"/>
  <c r="R2" i="10"/>
  <c r="S2" i="10"/>
  <c r="T2" i="10"/>
  <c r="U2" i="10"/>
  <c r="V2" i="10"/>
  <c r="W2" i="10"/>
  <c r="X2" i="10"/>
  <c r="Y2" i="10"/>
  <c r="G3" i="10"/>
  <c r="H3" i="10"/>
  <c r="I3" i="10"/>
  <c r="J3" i="10"/>
  <c r="K3" i="10"/>
  <c r="L3" i="10"/>
  <c r="M3" i="10"/>
  <c r="M17" i="10"/>
  <c r="M27" i="10"/>
  <c r="N27" i="10"/>
  <c r="Q27" i="10"/>
  <c r="P27" i="10"/>
  <c r="R27" i="10"/>
  <c r="O27" i="10"/>
  <c r="S27" i="10"/>
  <c r="N17" i="10"/>
  <c r="Q17" i="10"/>
  <c r="P17" i="10"/>
  <c r="R17" i="10"/>
  <c r="O17" i="10"/>
  <c r="S17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8" i="10"/>
  <c r="M28" i="10"/>
  <c r="N28" i="10"/>
  <c r="Q28" i="10"/>
  <c r="P28" i="10"/>
  <c r="R28" i="10"/>
  <c r="O28" i="10"/>
  <c r="S28" i="10"/>
  <c r="N18" i="10"/>
  <c r="Q18" i="10"/>
  <c r="P18" i="10"/>
  <c r="R18" i="10"/>
  <c r="O18" i="10"/>
  <c r="S18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9" i="10"/>
  <c r="M29" i="10"/>
  <c r="N29" i="10"/>
  <c r="Q29" i="10"/>
  <c r="P29" i="10"/>
  <c r="R29" i="10"/>
  <c r="O29" i="10"/>
  <c r="S29" i="10"/>
  <c r="N19" i="10"/>
  <c r="Q19" i="10"/>
  <c r="P19" i="10"/>
  <c r="R19" i="10"/>
  <c r="O19" i="10"/>
  <c r="S19" i="10"/>
  <c r="N5" i="10"/>
  <c r="O5" i="10"/>
  <c r="P5" i="10"/>
  <c r="Q5" i="10"/>
  <c r="R5" i="10"/>
  <c r="S5" i="10"/>
  <c r="T5" i="10"/>
  <c r="U5" i="10"/>
  <c r="V5" i="10"/>
  <c r="W5" i="10"/>
  <c r="X5" i="10"/>
  <c r="Y5" i="10"/>
  <c r="L6" i="10"/>
  <c r="M6" i="10"/>
  <c r="M20" i="10"/>
  <c r="N20" i="10"/>
  <c r="Q20" i="10"/>
  <c r="P20" i="10"/>
  <c r="R20" i="10"/>
  <c r="O20" i="10"/>
  <c r="S20" i="10"/>
  <c r="N6" i="10"/>
  <c r="O6" i="10"/>
  <c r="P6" i="10"/>
  <c r="Q6" i="10"/>
  <c r="R6" i="10"/>
  <c r="S6" i="10"/>
  <c r="T6" i="10"/>
  <c r="U6" i="10"/>
  <c r="V6" i="10"/>
  <c r="W6" i="10"/>
  <c r="X6" i="10"/>
  <c r="Y6" i="10"/>
  <c r="L7" i="10"/>
  <c r="M7" i="10"/>
  <c r="M21" i="10"/>
  <c r="N21" i="10"/>
  <c r="Q21" i="10"/>
  <c r="P21" i="10"/>
  <c r="R21" i="10"/>
  <c r="O21" i="10"/>
  <c r="S21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22" i="10"/>
  <c r="N22" i="10"/>
  <c r="Q22" i="10"/>
  <c r="P22" i="10"/>
  <c r="R22" i="10"/>
  <c r="O22" i="10"/>
  <c r="S22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23" i="10"/>
  <c r="N23" i="10"/>
  <c r="Q23" i="10"/>
  <c r="P23" i="10"/>
  <c r="R23" i="10"/>
  <c r="O23" i="10"/>
  <c r="S23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4" i="10"/>
  <c r="N24" i="10"/>
  <c r="Q24" i="10"/>
  <c r="P24" i="10"/>
  <c r="R24" i="10"/>
  <c r="O24" i="10"/>
  <c r="S24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25" i="10"/>
  <c r="N25" i="10"/>
  <c r="Q25" i="10"/>
  <c r="P25" i="10"/>
  <c r="R25" i="10"/>
  <c r="O25" i="10"/>
  <c r="S25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M31" i="10"/>
  <c r="N31" i="10"/>
  <c r="Q31" i="10"/>
  <c r="P31" i="10"/>
  <c r="R31" i="10"/>
  <c r="O31" i="10"/>
  <c r="S31" i="10"/>
  <c r="G31" i="10"/>
  <c r="H31" i="10"/>
  <c r="I31" i="10"/>
  <c r="J31" i="10"/>
  <c r="K31" i="10"/>
  <c r="L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E13" i="16"/>
  <c r="I2" i="21"/>
  <c r="J2" i="21"/>
  <c r="E12" i="16"/>
  <c r="E11" i="16"/>
  <c r="E10" i="16"/>
  <c r="E9" i="16"/>
  <c r="E8" i="16"/>
  <c r="E7" i="16"/>
  <c r="E6" i="16"/>
  <c r="E5" i="16"/>
  <c r="E4" i="16"/>
  <c r="E3" i="16"/>
  <c r="E2" i="16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<sst xmlns="http://schemas.openxmlformats.org/spreadsheetml/2006/main" count="1660" uniqueCount="428">
  <si>
    <t>quest_id</t>
  </si>
  <si>
    <t>stage_id</t>
  </si>
  <si>
    <t>character_id</t>
  </si>
  <si>
    <t>level</t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</si>
  <si>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</si>
  <si>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</si>
  <si>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</si>
  <si>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</si>
  <si>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</si>
  <si>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</si>
  <si>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</si>
  <si>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</si>
  <si>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</si>
  <si>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</si>
  <si>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</si>
  <si>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</si>
  <si>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</si>
  <si>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</si>
  <si>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</si>
  <si>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</si>
  <si>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</si>
  <si>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</si>
  <si>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</si>
  <si>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</si>
  <si>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</si>
  <si>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</si>
  <si>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</si>
  <si>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</si>
  <si>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</si>
  <si>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</si>
  <si>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</si>
  <si>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</si>
  <si>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</si>
  <si>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</si>
  <si>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</si>
  <si>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</si>
  <si>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</si>
  <si>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</si>
  <si>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</si>
  <si>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</si>
  <si>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</si>
  <si>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</si>
  <si>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</si>
  <si>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</si>
  <si>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</si>
  <si>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</si>
  <si>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</si>
  <si>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</si>
  <si>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</si>
  <si>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</si>
  <si>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</si>
  <si>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</si>
  <si>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</si>
  <si>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</si>
  <si>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</si>
  <si>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</si>
  <si>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</si>
  <si>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</si>
  <si>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</si>
  <si>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</si>
  <si>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</si>
  <si>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</si>
  <si>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</si>
  <si>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</si>
  <si>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</si>
  <si>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</si>
  <si>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</si>
  <si>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</si>
  <si>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</si>
  <si>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</si>
  <si>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</si>
  <si>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</si>
  <si>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</si>
  <si>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</si>
  <si>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</si>
  <si>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</si>
  <si>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</si>
  <si>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</si>
  <si>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</si>
  <si>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</si>
  <si>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</si>
  <si>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</si>
  <si>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</si>
  <si>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</si>
  <si>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</si>
  <si>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</si>
  <si>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</si>
  <si>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</si>
  <si>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</si>
  <si>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</si>
  <si>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</si>
  <si>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</si>
  <si>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</si>
  <si>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</si>
  <si>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</si>
  <si>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</si>
  <si>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</si>
  <si>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</si>
  <si>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</si>
  <si>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</si>
  <si>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</si>
  <si>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</si>
  <si>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</si>
  <si>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</si>
  <si>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</si>
  <si>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</si>
  <si>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</si>
  <si>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</si>
  <si>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</si>
  <si>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</si>
  <si>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</si>
  <si>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</si>
  <si>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</si>
  <si>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</si>
  <si>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</si>
  <si>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</si>
  <si>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</si>
  <si>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</si>
  <si>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</si>
  <si>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</si>
  <si>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</si>
  <si>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</si>
  <si>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</si>
  <si>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</si>
  <si>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</si>
  <si>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</si>
  <si>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</si>
  <si>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</si>
  <si>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</si>
  <si>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</si>
  <si>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</si>
  <si>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</si>
  <si>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</si>
  <si>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</si>
  <si>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</si>
  <si>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</si>
  <si>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</si>
  <si>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</si>
  <si>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</si>
  <si>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</si>
  <si>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</si>
  <si>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</si>
  <si>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</si>
  <si>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</si>
  <si>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</si>
  <si>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</si>
  <si>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</si>
  <si>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</si>
  <si>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</si>
  <si>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</si>
  <si>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</si>
  <si>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</si>
  <si>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</si>
  <si>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</si>
  <si>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</si>
  <si>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</si>
  <si>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</si>
  <si>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</si>
  <si>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</si>
  <si>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</si>
  <si>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</si>
  <si>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</si>
  <si>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</si>
  <si>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</si>
  <si>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</si>
  <si>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</si>
  <si>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</si>
  <si>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</si>
  <si>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</si>
  <si>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</si>
  <si>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</si>
  <si>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</si>
  <si>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</si>
  <si>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</si>
  <si>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</si>
  <si>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</si>
  <si>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</si>
  <si>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</si>
  <si>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</si>
  <si>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</si>
  <si>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</si>
  <si>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</si>
  <si>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</si>
  <si>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</si>
  <si>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</si>
  <si>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</si>
  <si>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</si>
  <si>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</si>
  <si>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</si>
  <si>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</si>
  <si>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</si>
  <si>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</si>
  <si>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</si>
  <si>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</si>
  <si>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</si>
  <si>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</si>
  <si>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</si>
  <si>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</si>
  <si>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</si>
  <si>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</si>
  <si>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</si>
  <si>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</si>
  <si>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</si>
  <si>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</si>
  <si>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</si>
  <si>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</si>
  <si>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</si>
  <si>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</si>
  <si>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</si>
  <si>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</si>
  <si>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</si>
  <si>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</si>
  <si>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</si>
  <si>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</si>
  <si>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</si>
  <si>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</si>
  <si>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</si>
  <si>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</si>
  <si>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</si>
  <si>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</si>
  <si>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</si>
  <si>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</si>
  <si>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</si>
  <si>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</si>
  <si>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</si>
  <si>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</si>
  <si>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</si>
  <si>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</si>
  <si>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</si>
  <si>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</si>
  <si>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</si>
  <si>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</si>
  <si>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</si>
  <si>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</si>
  <si>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</si>
  <si>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</si>
  <si>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</si>
  <si>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</si>
  <si>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</si>
  <si>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</si>
  <si>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</si>
  <si>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</si>
  <si>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</si>
  <si>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</si>
  <si>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</si>
  <si>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</si>
  <si>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null</t>
    <phoneticPr fontId="5"/>
  </si>
  <si>
    <t>ja</t>
    <phoneticPr fontId="5"/>
  </si>
  <si>
    <t>ラピッドエッジ</t>
    <phoneticPr fontId="5"/>
  </si>
  <si>
    <t>3回連続攻撃</t>
    <rPh sb="1" eb="2">
      <t>カイ</t>
    </rPh>
    <rPh sb="2" eb="6">
      <t>レンゾクコウゲキ</t>
    </rPh>
    <phoneticPr fontId="5"/>
  </si>
  <si>
    <t>アイシクルターン</t>
    <phoneticPr fontId="5"/>
  </si>
  <si>
    <t>センタリングandターンアタック</t>
    <phoneticPr fontId="5"/>
  </si>
  <si>
    <t>エッジケア</t>
    <phoneticPr fontId="5"/>
  </si>
  <si>
    <t>ジェントルステップ</t>
    <phoneticPr fontId="5"/>
  </si>
  <si>
    <t>準備運動かんりょーだよ！</t>
    <rPh sb="0" eb="2">
      <t>ジュンビ</t>
    </rPh>
    <rPh sb="2" eb="4">
      <t>ウンドウ</t>
    </rPh>
    <phoneticPr fontId="5"/>
  </si>
  <si>
    <t>アイスバーン</t>
    <phoneticPr fontId="5"/>
  </si>
  <si>
    <t>センタリング</t>
    <phoneticPr fontId="5"/>
  </si>
  <si>
    <t>ワイルドステップ</t>
    <phoneticPr fontId="5"/>
  </si>
  <si>
    <t>クレイジーターンアタック</t>
    <phoneticPr fontId="5"/>
  </si>
  <si>
    <t>コンビネーションエッジ</t>
    <phoneticPr fontId="5"/>
  </si>
  <si>
    <t>全体攻撃</t>
    <phoneticPr fontId="5"/>
  </si>
  <si>
    <t>ラピッドファイヤーエッジ</t>
    <phoneticPr fontId="5"/>
  </si>
  <si>
    <t>SNOWMIKU-オーヴァーチュア-</t>
    <phoneticPr fontId="5"/>
  </si>
  <si>
    <t>SNOWMIKU-スケルツォ-</t>
    <phoneticPr fontId="5"/>
  </si>
  <si>
    <t>SNOWMIKU-フィナーレ-</t>
    <phoneticPr fontId="5"/>
  </si>
  <si>
    <t>ストールサウンド</t>
    <phoneticPr fontId="5"/>
  </si>
  <si>
    <t>どっちが速いか競走だ！</t>
    <rPh sb="4" eb="5">
      <t>ハヤ</t>
    </rPh>
    <rPh sb="7" eb="9">
      <t>キョウソウ</t>
    </rPh>
    <phoneticPr fontId="5"/>
  </si>
  <si>
    <t>アイシクルボイス</t>
    <phoneticPr fontId="5"/>
  </si>
  <si>
    <t>リズムブレイク</t>
    <phoneticPr fontId="5"/>
  </si>
  <si>
    <t>ジェントルエッジ</t>
    <phoneticPr fontId="5"/>
  </si>
  <si>
    <t>ローテーションジャンプ</t>
    <phoneticPr fontId="5"/>
  </si>
  <si>
    <t>ローテーションジャンプ</t>
  </si>
  <si>
    <t>ボスミク3ゲージ目</t>
    <rPh sb="8" eb="9">
      <t>メ</t>
    </rPh>
    <phoneticPr fontId="5"/>
  </si>
  <si>
    <t>もうすぐクライマックスだよ！</t>
    <phoneticPr fontId="5"/>
  </si>
  <si>
    <t>あたし達の歌を届けよう！</t>
    <rPh sb="3" eb="4">
      <t>タチ</t>
    </rPh>
    <rPh sb="5" eb="6">
      <t>ウタ</t>
    </rPh>
    <rPh sb="7" eb="8">
      <t>トド</t>
    </rPh>
    <phoneticPr fontId="5"/>
  </si>
  <si>
    <t>もっともっと響かせよう！
　　あたし達の歌で！</t>
    <rPh sb="6" eb="7">
      <t>ヒビ</t>
    </rPh>
    <rPh sb="18" eb="19">
      <t>タチ</t>
    </rPh>
    <rPh sb="20" eb="21">
      <t>ウタ</t>
    </rPh>
    <phoneticPr fontId="5"/>
  </si>
  <si>
    <t>ja</t>
    <phoneticPr fontId="5"/>
  </si>
  <si>
    <t>link</t>
    <phoneticPr fontId="5"/>
  </si>
  <si>
    <t>null</t>
    <phoneticPr fontId="5"/>
  </si>
  <si>
    <t>unit</t>
    <phoneticPr fontId="5"/>
  </si>
  <si>
    <t>link</t>
    <phoneticPr fontId="5"/>
  </si>
  <si>
    <t>unit</t>
    <phoneticPr fontId="5"/>
  </si>
  <si>
    <t>unit</t>
    <phoneticPr fontId="5"/>
  </si>
  <si>
    <t>2970-01-01 09:00:00</t>
    <phoneticPr fontId="5"/>
  </si>
  <si>
    <t>行動頻度が速いユニットから
先に倒しましょう</t>
    <rPh sb="0" eb="2">
      <t>コウドウ</t>
    </rPh>
    <rPh sb="2" eb="4">
      <t>ヒンド</t>
    </rPh>
    <rPh sb="5" eb="6">
      <t>ハヤ</t>
    </rPh>
    <rPh sb="11" eb="13">
      <t>ゾクセ</t>
    </rPh>
    <rPh sb="14" eb="16">
      <t>サk</t>
    </rPh>
    <rPh sb="16" eb="17">
      <t>タオソ</t>
    </rPh>
    <phoneticPr fontId="6"/>
  </si>
  <si>
    <t>雪ミクはハートパネル無効スキルを
使ってきます
解除スキルを持つユニットを
連れて行きましょう</t>
    <rPh sb="0" eb="1">
      <t>ユキ</t>
    </rPh>
    <rPh sb="10" eb="12">
      <t>ムコウ</t>
    </rPh>
    <rPh sb="17" eb="18">
      <t>ツカ</t>
    </rPh>
    <rPh sb="25" eb="27">
      <t>カイジョ</t>
    </rPh>
    <rPh sb="31" eb="32">
      <t>モ</t>
    </rPh>
    <rPh sb="39" eb="40">
      <t>ツ</t>
    </rPh>
    <rPh sb="42" eb="43">
      <t>イ</t>
    </rPh>
    <phoneticPr fontId="6"/>
  </si>
  <si>
    <t>skill_set_id</t>
    <phoneticPr fontId="5"/>
  </si>
  <si>
    <t>よ〜し！
雪まつり盛り上げちゃうぞッ！</t>
    <rPh sb="5" eb="6">
      <t>ユキ</t>
    </rPh>
    <rPh sb="9" eb="10">
      <t>モ</t>
    </rPh>
    <rPh sb="11" eb="12">
      <t>ア</t>
    </rPh>
    <phoneticPr fontId="5"/>
  </si>
  <si>
    <t>ユキネみっけ！
本番はこれからだよ！</t>
    <rPh sb="8" eb="10">
      <t>ホンバン</t>
    </rPh>
    <phoneticPr fontId="5"/>
  </si>
  <si>
    <t>クリティカル！</t>
    <phoneticPr fontId="5"/>
  </si>
  <si>
    <t>old</t>
  </si>
  <si>
    <t>雪ミクは種族Unknown以外の
ユニットに大ダメージを与えてきます
種族Unknownで編成を固めましょう</t>
    <rPh sb="0" eb="1">
      <t>ユキ</t>
    </rPh>
    <rPh sb="13" eb="15">
      <t>イガイ</t>
    </rPh>
    <rPh sb="22" eb="23">
      <t>ダイ</t>
    </rPh>
    <rPh sb="28" eb="29">
      <t>アタ</t>
    </rPh>
    <phoneticPr fontId="6"/>
  </si>
  <si>
    <t>勝てない時はユニットを強化して
レベルを上げてから挑みましょう</t>
    <rPh sb="0" eb="1">
      <t>カ</t>
    </rPh>
    <rPh sb="4" eb="5">
      <t>トキ</t>
    </rPh>
    <rPh sb="11" eb="13">
      <t>キョウカ</t>
    </rPh>
    <rPh sb="20" eb="21">
      <t>ア</t>
    </rPh>
    <rPh sb="25" eb="26">
      <t>イドミ</t>
    </rPh>
    <phoneticPr fontId="6"/>
  </si>
  <si>
    <t>complete</t>
  </si>
  <si>
    <t>雪ミクはハートパネル無効や
回復力DOWNのスキルを使ってきます
解除できるスキルを持つユニットを
連れて行きましょう</t>
    <rPh sb="0" eb="1">
      <t>ユキ</t>
    </rPh>
    <rPh sb="10" eb="12">
      <t>ムコウ</t>
    </rPh>
    <rPh sb="14" eb="17">
      <t>カイフクリョク</t>
    </rPh>
    <rPh sb="26" eb="27">
      <t>ツカイマス</t>
    </rPh>
    <rPh sb="33" eb="35">
      <t>カイジョ</t>
    </rPh>
    <rPh sb="42" eb="43">
      <t>モ</t>
    </rPh>
    <rPh sb="50" eb="51">
      <t>ツ</t>
    </rPh>
    <rPh sb="53" eb="54">
      <t>イ</t>
    </rPh>
    <phoneticPr fontId="6"/>
  </si>
  <si>
    <t>個人的にですが…</t>
    <phoneticPr fontId="5"/>
  </si>
  <si>
    <t>大滑走！</t>
    <phoneticPr fontId="5"/>
  </si>
  <si>
    <t>雪ミク</t>
    <phoneticPr fontId="5"/>
  </si>
  <si>
    <t>アナタの協力によって救出された雪ミクは
ラビットユキネと一緒に
白く輝くゲレンデへ戻っていきました</t>
    <phoneticPr fontId="5"/>
  </si>
  <si>
    <t>雪ミクは雪まつりを応援する
初音ミクのもう一つの姿です
毎年様々なコスチュームを披露して
雪まつりを盛り上げています</t>
    <phoneticPr fontId="5"/>
  </si>
  <si>
    <t>ワタクシUsagi-Chanはウサギです
なのでラビットユキネさんとはウサギ同士
なんだか仲良くなれる気がします</t>
    <phoneticPr fontId="5"/>
  </si>
  <si>
    <t>…あれ…あたし…どうしたんだろう？</t>
    <phoneticPr fontId="5"/>
  </si>
  <si>
    <t>そっか！アナタが助けてくれたんだね！ありがとうっ！</t>
    <phoneticPr fontId="5"/>
  </si>
  <si>
    <t>そっか！ミクちゃんが助けてくれたんだね！ありがとうっ！</t>
    <phoneticPr fontId="5"/>
  </si>
  <si>
    <t>そっかー！ユキネが助けてくれたんだねー！すっごーい！</t>
    <phoneticPr fontId="5"/>
  </si>
  <si>
    <t>そっか！リンちゃんが助けてくれたんだね！ありがとうっ！</t>
    <phoneticPr fontId="5"/>
  </si>
  <si>
    <t>そっか！レンきゅんが助けてくれたんだね！ありがとうっ！</t>
    <phoneticPr fontId="5"/>
  </si>
  <si>
    <t>そっか！ルカねぇが助けてくれたんだね！ありがとうっ！</t>
    <phoneticPr fontId="5"/>
  </si>
  <si>
    <t>そっか！めーちゃんが助けてくれたんだね！ありがとうっ！</t>
    <phoneticPr fontId="5"/>
  </si>
  <si>
    <t>そっか！KAITOにぃが助けてくれたんだね！ありがとうっ！</t>
    <phoneticPr fontId="5"/>
  </si>
  <si>
    <t>全体回復</t>
    <rPh sb="2" eb="4">
      <t>カイフク</t>
    </rPh>
    <phoneticPr fontId="5"/>
  </si>
  <si>
    <t>ラストスパートだよ！</t>
    <phoneticPr fontId="5"/>
  </si>
  <si>
    <t>全体回復+2回連続攻撃</t>
    <phoneticPr fontId="5"/>
  </si>
  <si>
    <t>8ターンハートパネル無効</t>
    <phoneticPr fontId="5"/>
  </si>
  <si>
    <t>状態異常耐性+ランダムでハートパネルに5個変換</t>
    <rPh sb="0" eb="2">
      <t>ジョウタイ</t>
    </rPh>
    <rPh sb="2" eb="4">
      <t>イジョウ</t>
    </rPh>
    <rPh sb="4" eb="6">
      <t>タイセイ</t>
    </rPh>
    <phoneticPr fontId="5"/>
  </si>
  <si>
    <t>7ターンハートパネル無効</t>
    <phoneticPr fontId="5"/>
  </si>
  <si>
    <t>自身の攻撃頻度UP</t>
    <rPh sb="5" eb="7">
      <t>ヒンド</t>
    </rPh>
    <phoneticPr fontId="5"/>
  </si>
  <si>
    <t>敵HPが低いほど強力な攻撃</t>
    <phoneticPr fontId="5"/>
  </si>
  <si>
    <t>敵HPが低いほど強力な攻撃</t>
    <phoneticPr fontId="5"/>
  </si>
  <si>
    <t>3ターン回復力100%DOWN+
単体攻撃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</si>
  <si>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</si>
  <si>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</si>
  <si>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</si>
  <si>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</si>
  <si>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</si>
  <si>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</si>
  <si>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</si>
  <si>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</si>
  <si>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</si>
  <si>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full_member</t>
    <phoneticPr fontId="5"/>
  </si>
  <si>
    <t>ja</t>
    <phoneticPr fontId="5"/>
  </si>
  <si>
    <t>null</t>
  </si>
  <si>
    <t>るか</t>
    <phoneticPr fontId="5"/>
  </si>
  <si>
    <t>るか</t>
    <phoneticPr fontId="5"/>
  </si>
  <si>
    <t>めいこ</t>
    <phoneticPr fontId="5"/>
  </si>
  <si>
    <t>るか</t>
    <phoneticPr fontId="5"/>
  </si>
  <si>
    <t>めいこ</t>
    <phoneticPr fontId="5"/>
  </si>
  <si>
    <t>めいこ</t>
    <phoneticPr fontId="5"/>
  </si>
  <si>
    <t>るか４</t>
    <phoneticPr fontId="5"/>
  </si>
  <si>
    <t>るか４</t>
    <phoneticPr fontId="5"/>
  </si>
  <si>
    <t>みく</t>
    <phoneticPr fontId="5"/>
  </si>
  <si>
    <t>かいと</t>
    <phoneticPr fontId="5"/>
  </si>
  <si>
    <t>かいと</t>
    <phoneticPr fontId="5"/>
  </si>
  <si>
    <t>かいと</t>
    <phoneticPr fontId="5"/>
  </si>
  <si>
    <t>ゆきね</t>
    <phoneticPr fontId="5"/>
  </si>
  <si>
    <t>ゆきね</t>
    <phoneticPr fontId="5"/>
  </si>
  <si>
    <t>ゆきね</t>
    <phoneticPr fontId="5"/>
  </si>
  <si>
    <t>ゆきね</t>
    <phoneticPr fontId="5"/>
  </si>
  <si>
    <t>ゆきね</t>
    <phoneticPr fontId="5"/>
  </si>
  <si>
    <t>みく</t>
    <phoneticPr fontId="5"/>
  </si>
  <si>
    <t>みく</t>
    <phoneticPr fontId="5"/>
  </si>
  <si>
    <t>みく</t>
    <phoneticPr fontId="5"/>
  </si>
  <si>
    <t>みく</t>
    <phoneticPr fontId="5"/>
  </si>
  <si>
    <t>みく</t>
    <phoneticPr fontId="5"/>
  </si>
  <si>
    <t>みく</t>
    <phoneticPr fontId="5"/>
  </si>
  <si>
    <t>りん</t>
    <phoneticPr fontId="5"/>
  </si>
  <si>
    <t>りん</t>
    <phoneticPr fontId="5"/>
  </si>
  <si>
    <t>りん</t>
    <phoneticPr fontId="5"/>
  </si>
  <si>
    <t>れん</t>
    <phoneticPr fontId="5"/>
  </si>
  <si>
    <t>れん</t>
    <phoneticPr fontId="5"/>
  </si>
  <si>
    <t>れん</t>
    <phoneticPr fontId="5"/>
  </si>
  <si>
    <t>みく</t>
    <phoneticPr fontId="5"/>
  </si>
  <si>
    <t>みく</t>
    <phoneticPr fontId="5"/>
  </si>
  <si>
    <t>りん</t>
    <phoneticPr fontId="5"/>
  </si>
  <si>
    <t>りん</t>
    <phoneticPr fontId="5"/>
  </si>
  <si>
    <t>れん</t>
    <phoneticPr fontId="5"/>
  </si>
  <si>
    <t>3ターンハートパネルが出現しない+
3ターン全ユニットの回復力100%DOWN</t>
    <rPh sb="22" eb="23">
      <t>ゼンユニット</t>
    </rPh>
    <rPh sb="28" eb="30">
      <t>カイフク</t>
    </rPh>
    <rPh sb="30" eb="31">
      <t>リョク</t>
    </rPh>
    <phoneticPr fontId="5"/>
  </si>
  <si>
    <t>状態異常耐性+フィーバーゲージ100%減少</t>
    <rPh sb="0" eb="4">
      <t>ジョウタイイジョウ</t>
    </rPh>
    <rPh sb="4" eb="6">
      <t>タイセイ</t>
    </rPh>
    <phoneticPr fontId="5"/>
  </si>
  <si>
    <t>種族Unknown以外のユニットに
大ダメージの全体攻撃</t>
    <phoneticPr fontId="5"/>
  </si>
  <si>
    <t>種族Unknown以外のユニットに
大ダメージの全体攻撃</t>
    <phoneticPr fontId="5"/>
  </si>
  <si>
    <t>単体ユニットの防御力UPを解除+
2回連続攻撃</t>
    <phoneticPr fontId="5"/>
  </si>
  <si>
    <t>自己回復+単体攻撃</t>
    <rPh sb="0" eb="2">
      <t>ジコ</t>
    </rPh>
    <phoneticPr fontId="5"/>
  </si>
  <si>
    <t>3ターン自身の攻撃力UP+
2回連続攻撃</t>
    <phoneticPr fontId="5"/>
  </si>
  <si>
    <t>5ターン自身の防御力大UP+
4回連続攻撃</t>
    <phoneticPr fontId="5"/>
  </si>
  <si>
    <t>3ターン自身の防御力UP</t>
    <rPh sb="7" eb="9">
      <t>ボウギョリョウ</t>
    </rPh>
    <rPh sb="9" eb="10">
      <t>リョク</t>
    </rPh>
    <phoneticPr fontId="5"/>
  </si>
  <si>
    <t>1ターン自身の防御力UP</t>
    <rPh sb="7" eb="9">
      <t>ボウギョリョウ</t>
    </rPh>
    <rPh sb="9" eb="10">
      <t>リョク</t>
    </rPh>
    <phoneticPr fontId="5"/>
  </si>
  <si>
    <t>全体回復+単体攻撃</t>
    <phoneticPr fontId="5"/>
  </si>
  <si>
    <t>センタリングandターンアタック</t>
    <phoneticPr fontId="5"/>
  </si>
  <si>
    <t>3ターン敵全体の防御力UP</t>
    <rPh sb="8" eb="10">
      <t>ボウギョリョウ</t>
    </rPh>
    <rPh sb="10" eb="11">
      <t>リョク</t>
    </rPh>
    <phoneticPr fontId="5"/>
  </si>
  <si>
    <t>3ターン敵全体の攻撃力UP</t>
    <phoneticPr fontId="5"/>
  </si>
  <si>
    <t>3ターン敵全体の防御力UP</t>
    <phoneticPr fontId="5"/>
  </si>
  <si>
    <t>3ターン敵全体の攻撃力UP</t>
    <phoneticPr fontId="5"/>
  </si>
  <si>
    <t>3ターン敵全体の行動頻度UP</t>
    <phoneticPr fontId="5"/>
  </si>
  <si>
    <t>null</t>
    <phoneticPr fontId="5"/>
  </si>
  <si>
    <t>ヒール</t>
    <phoneticPr fontId="5"/>
  </si>
  <si>
    <t>全体回復</t>
    <rPh sb="0" eb="4">
      <t>ゼンタイカイフク</t>
    </rPh>
    <phoneticPr fontId="5"/>
  </si>
  <si>
    <t>センタリングandターンアタック</t>
    <phoneticPr fontId="5"/>
  </si>
  <si>
    <t>[effect:enemy_message, val1:1.2, val2:1.2],[effect:heal, target:enemy_all, val:0.5, animation:enemy_heal]</t>
    <phoneticPr fontId="5"/>
  </si>
  <si>
    <t>[effect:enemy_message, val1:1.2, val2:2.2],[effect:degrade_unit, target:unit_all, turn:3, status:heal, val:1, calc:mul, animation:degrade_unit_all_heal],[effect:rush, count:1, val:0.8]</t>
    <phoneticPr fontId="5"/>
  </si>
  <si>
    <t>[effect:enemy_message, val1:1.2, val2:1.2],[effect:spread, val:0.35, animation:enemy_spread]</t>
    <phoneticPr fontId="5"/>
  </si>
  <si>
    <t>[effect:enemy_message, val1:1.2, val2:2.1],[effect:enhance_enemy, target:enemy_all, turn:3, status:attack, val:0.3, animation:enemy_enhance_enemy],[effect:rush, count:2, val:0.6]</t>
    <phoneticPr fontId="5"/>
  </si>
  <si>
    <t>[effect:enemy_message, val1:1.2, val2:4.0],[effect:change_panel_ratio, turn:3, block_type:heal, val:0, animation:block_incidence04],[effect:degrade_unit, target:unit_all, turn:3, status:heal, val:1.0, calc:mul, animation:degrade_unit_all_heal]</t>
    <phoneticPr fontId="5"/>
  </si>
  <si>
    <t>[effect:enemy_message, val1:1.2, val2:1.2],[effect:critical, val:1.7, animation:enemy_critical]</t>
    <phoneticPr fontId="5"/>
  </si>
  <si>
    <t>[effect:enemy_message, val1:1.2, val2:2.2],[effect:enhance_enemy, target:enemy_all, turn:5, status:defense, val:6000, calc:add, animation:enemy_enhance_enemy],[effect:rush, count:4, val:0.35]</t>
    <phoneticPr fontId="5"/>
  </si>
  <si>
    <t>[effect:enemy_message, val1:1.2, val2:2.4],[effect:remove_enhancement, target:unit_one, target_effect:enhance, target_type:buff, status:defense, animation:frozen_wave],[effect:rush, count:2, val:0.6]</t>
    <phoneticPr fontId="5"/>
  </si>
  <si>
    <t>[effect:enemy_message, val1:1.2, val2:1.2],[effect:degrade_fever, val:1000, animation:fevergauge_down]</t>
    <phoneticPr fontId="5"/>
  </si>
  <si>
    <t>[effect:enemy_message, val1:1.2, val2:2.1],[effect:fix_speed, target:myself, turn:1],[effect:tolerance, target:myself, turn:-1, count:-1, tolerance_effect:all, animation:enemy_tolerance],[effect:degrade_fever, val:1000, animation:fevergauge_down]</t>
    <phoneticPr fontId="5"/>
  </si>
  <si>
    <t>[effect:enemy_message, val1:2.2, val2:2.3],[effect:fix_speed, target:myself, turn:1],[effect:tolerance, target:myself, turn:-1, count:-1, tolerance_effect:all, animation:enemy_tolerance],[effect:force_change_block, new_block:block_heart, target:block_all, ignore01:crash, ignore02:crack_bomb, ignore03:color_break, ignore04:magnet, count:5, val:0, animation:change_block]</t>
    <phoneticPr fontId="5"/>
  </si>
  <si>
    <t>[effect:enemy_message, val1:1.7, val2:2.5, dead_type:escape]</t>
    <phoneticPr fontId="5"/>
  </si>
  <si>
    <t>[effect:enemy_message, val1:1.7, val2:2.7, dead_type:escape]</t>
    <phoneticPr fontId="5"/>
  </si>
  <si>
    <t>[effect:enemy_message, val1:1.7, val2:2.6, dead_type:escape]</t>
    <phoneticPr fontId="5"/>
  </si>
  <si>
    <t>[effect:enemy_message, val1:1.7, val2:2.7, dead_type:escape]</t>
    <phoneticPr fontId="5"/>
  </si>
  <si>
    <t>[effect:enemy_message, val1:1.7, val2:2.7, dead_type:escape]</t>
    <phoneticPr fontId="5"/>
  </si>
  <si>
    <t>[effect:enemy_message, val1:1.7, val2:2.6, dead_type:escape]</t>
    <phoneticPr fontId="5"/>
  </si>
  <si>
    <t>[effect:enemy_message, val1:1.7, val2:2.8, dead_type:escape]</t>
    <phoneticPr fontId="5"/>
  </si>
  <si>
    <t>[effect:enemy_message, val1:1.2, val2:2.7],[effect:damage_anti_tribe, target:unit_all, tribe:unknown, val1:0.01, val2:0.38]</t>
    <phoneticPr fontId="5"/>
  </si>
  <si>
    <t>[effect:enemy_message, val1:1.2, val2:2.7],[effect:damage_anti_tribe, target:unit_all, tribe:unknown, val1:0.01, val2:0.42]</t>
    <phoneticPr fontId="5"/>
  </si>
  <si>
    <t>[effect:enemy_message, val1:1.2, val2:1.2],[effect:heal, target:enemy_all, val:0.5, animation:enemy_heal]</t>
    <phoneticPr fontId="5"/>
  </si>
  <si>
    <t>[effect:enemy_message, val1:1.4, val2:1.8],[effect:force_change_block, new_block:block_heart, target:block_all, ignore01:crash, ignore02:crack_bomb, ignore03:color_break, ignore04:magnet, count:5, val:0, animation:change_block]</t>
    <phoneticPr fontId="5"/>
  </si>
  <si>
    <t>[effect:enemy_message, val1:2, val2:1.8],[effect:enhance_enemy, target:myself, turn:1, status:defense, val:500, calc:add, animation:enemy_enhance_defense]</t>
    <phoneticPr fontId="5"/>
  </si>
  <si>
    <t>[effect:enemy_message, val1:2.0, val2:1.8],[effect:enhance_enemy, target:myself, turn:3, status:defense, val:3000, calc:add, animation:enemy_enhance_enemy]</t>
    <phoneticPr fontId="5"/>
  </si>
  <si>
    <t>[effect:enemy_message, val1:1.4, val2:1.8],[effect:heal, target:myself, val:0.1, animation:enemy_heal],[effect:rush, count:1, val:0.8]</t>
    <phoneticPr fontId="5"/>
  </si>
  <si>
    <t>[effect:enemy_message, val1:2.0, val2:1.8],[effect:enhance_enemy, target:enemy_all, turn:3, status:defense, val:3000, calc:add, animation:enemy_enhance_enemy]</t>
    <phoneticPr fontId="5"/>
  </si>
  <si>
    <t>[effect:enemy_message, val1:1.2, val2:1.7],[effect:rush, count:3, val:0.45]</t>
    <phoneticPr fontId="5"/>
  </si>
  <si>
    <t>[effect:enemy_message, val1:1.6, val2:1.7],[effect:heal, target:enemy_all, val:0.1, animation:enemy_heal],[effect:rush, count:1, val:0.8]</t>
    <phoneticPr fontId="5"/>
  </si>
  <si>
    <t>[effect:enemy_message, val1:1.2, val2:1.8],[effect:enhance_enemy, target:enemy_all, turn:3, status:attack, val:0.4, animation:enemy_enhance_enemy]</t>
    <phoneticPr fontId="5"/>
  </si>
  <si>
    <t>[effect:enemy_message, val1:1.2, val2:1.8],[effect:enhance_enemy, target:enemy_all, turn:3, status:defense, val:3000, calc:add, animation:enemy_enhance_enemy]</t>
    <phoneticPr fontId="5"/>
  </si>
  <si>
    <t>[effect:enemy_message, val1:1.5, val2:1.8],[effect:fix_speed, target:myself, turn:1],[effect:enhance_enemy, target:enemy_all, turn:3, status:attack, val:0.2, animation:enemy_enhance_enemy]</t>
    <phoneticPr fontId="5"/>
  </si>
  <si>
    <t>[effect:enemy_message, val1:1.2, val2:1.7],[effect:rush, count:3, val:0.45]</t>
    <phoneticPr fontId="5"/>
  </si>
  <si>
    <t>[effect:enemy_message, val1:1.6, val2:1.8],[effect:heal, target:enemy_all, val:0.1, animation:enemy_heal],[effect:rush, count:2, val:0.7]</t>
    <phoneticPr fontId="5"/>
  </si>
  <si>
    <t>[effect:enemy_message, val1:1.2, val2:1.8],[effect:dis_heart, turn:7, rate:1.0, animation:enemy_dis_heart]</t>
    <phoneticPr fontId="5"/>
  </si>
  <si>
    <t>[effect:enemy_message, val1:1.2, val2:1.8],[effect:freq_turn, target:enemy_all, turn:3, val:1, animation:enemy_freq_turn]</t>
    <phoneticPr fontId="5"/>
  </si>
  <si>
    <t>[effect:enemy_message, val1:1.9, val2:1.8],[effect:dis_heart, turn:8, rate:1.0, animation:enemy_dis_heart]</t>
    <phoneticPr fontId="5"/>
  </si>
  <si>
    <t>[effect:enemy_message, val1:1.8, val2:1.8],[effect:critical, val:0.6, animation:enemy_critical]</t>
    <phoneticPr fontId="5"/>
  </si>
  <si>
    <t>[effect:enemy_message, val1:1.5, val2:1.8],[effect:critical, val:1.0, animation:enemy_critical]</t>
    <phoneticPr fontId="5"/>
  </si>
  <si>
    <t>[effect:enemy_message, val1:1.5, val2:1.8],[effect:critical, val:1.3, animation:enemy_critical]</t>
    <phoneticPr fontId="5"/>
  </si>
  <si>
    <t>[effect:enemy_message, val1:1.5, val2:1.8],[effect:critical, val:1.6, animation:enemy_critical]</t>
    <phoneticPr fontId="5"/>
  </si>
  <si>
    <t>[effect:enemy_message, val1:1.2, val2:1.8],[effect:freq_turn, target:myself, turn:-1, val:1, animation:enemy_freq_turn]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</si>
</sst>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63AAFE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4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70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2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38" fontId="16" fillId="0" borderId="7" xfId="628" applyFont="1" applyFill="1" applyBorder="1" applyAlignment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32" borderId="7" xfId="0" applyFont="1" applyFill="1" applyBorder="1" applyAlignment="1">
      <alignment horizontal="center" vertical="center"/>
    </xf>
    <xf numFmtId="0" fontId="52" fillId="33" borderId="23" xfId="0" applyFont="1" applyFill="1" applyBorder="1" applyAlignment="1">
      <alignment vertical="center"/>
    </xf>
    <xf numFmtId="0" fontId="4" fillId="34" borderId="7" xfId="0" applyFont="1" applyFill="1" applyBorder="1" applyAlignment="1">
      <alignment horizontal="center" vertical="center"/>
    </xf>
    <xf numFmtId="0" fontId="16" fillId="13" borderId="7" xfId="0" applyFont="1" applyFill="1" applyBorder="1" applyAlignment="1">
      <alignment vertical="center"/>
    </xf>
    <xf numFmtId="0" fontId="4" fillId="35" borderId="6" xfId="0" applyFont="1" applyFill="1" applyBorder="1" applyAlignment="1">
      <alignment vertical="center"/>
    </xf>
    <xf numFmtId="0" fontId="4" fillId="36" borderId="7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vertical="center"/>
    </xf>
    <xf numFmtId="0" fontId="11" fillId="37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horizontal="left" vertical="center" wrapText="1"/>
    </xf>
    <xf numFmtId="0" fontId="52" fillId="0" borderId="7" xfId="0" applyFont="1" applyFill="1" applyBorder="1" applyAlignment="1">
      <alignment vertical="center"/>
    </xf>
    <xf numFmtId="0" fontId="16" fillId="38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39" borderId="7" xfId="0" applyFont="1" applyFill="1" applyBorder="1" applyAlignment="1">
      <alignment vertical="center"/>
    </xf>
    <xf numFmtId="0" fontId="11" fillId="0" borderId="7" xfId="0" applyFont="1" applyBorder="1" applyAlignment="1">
      <alignment horizontal="left" vertical="center" wrapText="1"/>
    </xf>
    <xf numFmtId="0" fontId="16" fillId="40" borderId="7" xfId="0" applyFont="1" applyFill="1" applyBorder="1" applyAlignment="1">
      <alignment vertical="center"/>
    </xf>
    <xf numFmtId="0" fontId="16" fillId="0" borderId="12" xfId="0" applyFont="1" applyBorder="1" applyAlignment="1">
      <alignment horizontal="left" vertical="center" wrapText="1"/>
    </xf>
    <xf numFmtId="0" fontId="11" fillId="0" borderId="12" xfId="0" applyFont="1" applyBorder="1" applyAlignment="1">
      <alignment horizontal="left" vertical="center" wrapText="1"/>
    </xf>
    <xf numFmtId="0" fontId="16" fillId="11" borderId="7" xfId="0" applyFont="1" applyFill="1" applyBorder="1" applyAlignment="1">
      <alignment vertical="center"/>
    </xf>
    <xf numFmtId="0" fontId="16" fillId="11" borderId="7" xfId="0" applyFont="1" applyFill="1" applyBorder="1" applyAlignment="1">
      <alignment horizontal="left" vertical="center"/>
    </xf>
    <xf numFmtId="0" fontId="16" fillId="11" borderId="7" xfId="0" applyFont="1" applyFill="1" applyBorder="1" applyAlignment="1">
      <alignment horizontal="left" vertical="center" wrapText="1"/>
    </xf>
    <xf numFmtId="0" fontId="16" fillId="41" borderId="7" xfId="0" applyFont="1" applyFill="1" applyBorder="1" applyAlignment="1">
      <alignment vertical="center"/>
    </xf>
    <xf numFmtId="0" fontId="52" fillId="32" borderId="7" xfId="0" applyFont="1" applyFill="1" applyBorder="1" applyAlignment="1">
      <alignment vertical="center"/>
    </xf>
    <xf numFmtId="0" fontId="16" fillId="0" borderId="7" xfId="0" applyFont="1" applyFill="1" applyBorder="1" applyAlignment="1">
      <alignment vertical="center" wrapText="1"/>
    </xf>
    <xf numFmtId="0" fontId="11" fillId="0" borderId="7" xfId="0" applyFont="1" applyBorder="1" applyAlignment="1">
      <alignment vertical="center"/>
    </xf>
    <xf numFmtId="0" fontId="16" fillId="42" borderId="7" xfId="0" applyFont="1" applyFill="1" applyBorder="1" applyAlignment="1">
      <alignment vertical="center"/>
    </xf>
    <xf numFmtId="0" fontId="16" fillId="43" borderId="7" xfId="0" applyFont="1" applyFill="1" applyBorder="1" applyAlignment="1">
      <alignment vertical="center"/>
    </xf>
    <xf numFmtId="0" fontId="16" fillId="44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27" fillId="35" borderId="7" xfId="0" applyFont="1" applyFill="1" applyBorder="1"/>
    <xf numFmtId="0" fontId="11" fillId="0" borderId="25" xfId="0" applyFont="1" applyBorder="1" applyAlignment="1">
      <alignment vertical="center"/>
    </xf>
    <xf numFmtId="0" fontId="27" fillId="0" borderId="26" xfId="0" applyFont="1" applyFill="1" applyBorder="1"/>
    <xf numFmtId="0" fontId="0" fillId="3" borderId="26" xfId="0" applyFill="1" applyBorder="1"/>
    <xf numFmtId="0" fontId="6" fillId="5" borderId="26" xfId="0" applyFont="1" applyFill="1" applyBorder="1" applyAlignment="1">
      <alignment vertical="center"/>
    </xf>
    <xf numFmtId="0" fontId="27" fillId="0" borderId="27" xfId="0" applyFont="1" applyFill="1" applyBorder="1"/>
    <xf numFmtId="0" fontId="11" fillId="0" borderId="28" xfId="0" applyFont="1" applyBorder="1" applyAlignment="1">
      <alignment vertical="center"/>
    </xf>
    <xf numFmtId="0" fontId="27" fillId="0" borderId="29" xfId="0" applyFont="1" applyFill="1" applyBorder="1"/>
    <xf numFmtId="0" fontId="11" fillId="0" borderId="30" xfId="0" applyFont="1" applyBorder="1" applyAlignment="1">
      <alignment vertical="center"/>
    </xf>
    <xf numFmtId="0" fontId="27" fillId="0" borderId="31" xfId="0" applyFont="1" applyFill="1" applyBorder="1"/>
    <xf numFmtId="0" fontId="0" fillId="3" borderId="31" xfId="0" applyFill="1" applyBorder="1"/>
    <xf numFmtId="0" fontId="6" fillId="5" borderId="31" xfId="0" applyFont="1" applyFill="1" applyBorder="1" applyAlignment="1">
      <alignment vertical="center"/>
    </xf>
    <xf numFmtId="0" fontId="27" fillId="0" borderId="32" xfId="0" applyFont="1" applyFill="1" applyBorder="1"/>
    <xf numFmtId="49" fontId="0" fillId="0" borderId="27" xfId="0" applyNumberFormat="1" applyFill="1" applyBorder="1"/>
    <xf numFmtId="49" fontId="0" fillId="0" borderId="29" xfId="0" applyNumberFormat="1" applyFill="1" applyBorder="1"/>
    <xf numFmtId="49" fontId="0" fillId="0" borderId="32" xfId="0" applyNumberFormat="1" applyFill="1" applyBorder="1"/>
    <xf numFmtId="0" fontId="16" fillId="6" borderId="33" xfId="614" applyFont="1" applyFill="1" applyBorder="1" applyAlignment="1">
      <alignment horizontal="left"/>
    </xf>
    <xf numFmtId="0" fontId="16" fillId="6" borderId="34" xfId="614" applyFont="1" applyFill="1" applyBorder="1" applyAlignment="1">
      <alignment horizontal="left"/>
    </xf>
    <xf numFmtId="0" fontId="14" fillId="7" borderId="35" xfId="614" applyFont="1" applyFill="1" applyBorder="1" applyAlignment="1">
      <alignment horizontal="center" vertical="center"/>
    </xf>
    <xf numFmtId="0" fontId="16" fillId="3" borderId="34" xfId="614" applyFont="1" applyFill="1" applyBorder="1" applyAlignment="1">
      <alignment horizontal="left"/>
    </xf>
    <xf numFmtId="0" fontId="0" fillId="6" borderId="34" xfId="615" applyFont="1" applyFill="1" applyBorder="1"/>
    <xf numFmtId="0" fontId="16" fillId="6" borderId="36" xfId="614" applyFont="1" applyFill="1" applyBorder="1" applyAlignment="1">
      <alignment horizontal="left"/>
    </xf>
    <xf numFmtId="38" fontId="16" fillId="0" borderId="7" xfId="628" applyFont="1" applyFill="1" applyBorder="1" applyAlignment="1">
      <alignment wrapText="1"/>
    </xf>
    <xf numFmtId="0" fontId="16" fillId="6" borderId="7" xfId="0" applyFont="1" applyFill="1" applyBorder="1" applyAlignment="1">
      <alignment horizontal="center" vertical="center" wrapText="1"/>
    </xf>
    <xf numFmtId="0" fontId="16" fillId="11" borderId="7" xfId="0" applyFont="1" applyFill="1" applyBorder="1" applyAlignment="1">
      <alignment vertical="center" wrapText="1"/>
    </xf>
    <xf numFmtId="0" fontId="16" fillId="0" borderId="0" xfId="0" applyFont="1" applyFill="1" applyAlignment="1">
      <alignment vertical="center" wrapText="1"/>
    </xf>
    <xf numFmtId="0" fontId="31" fillId="0" borderId="7" xfId="0" applyFont="1" applyFill="1" applyBorder="1" applyAlignment="1">
      <alignment wrapText="1"/>
    </xf>
    <xf numFmtId="0" fontId="16" fillId="46" borderId="7" xfId="0" applyFont="1" applyFill="1" applyBorder="1" applyAlignment="1">
      <alignment horizontal="left" vertical="center" wrapText="1"/>
    </xf>
    <xf numFmtId="0" fontId="52" fillId="45" borderId="7" xfId="0" applyFont="1" applyFill="1" applyBorder="1" applyAlignment="1">
      <alignment vertical="center" wrapText="1"/>
    </xf>
    <xf numFmtId="0" fontId="4" fillId="0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38" xfId="0" applyFont="1" applyBorder="1" applyAlignment="1">
      <alignment vertical="center"/>
    </xf>
    <xf numFmtId="177" fontId="8" fillId="0" borderId="38" xfId="0" applyNumberFormat="1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4" fillId="0" borderId="39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12" fillId="7" borderId="37" xfId="0" applyFont="1" applyFill="1" applyBorder="1" applyAlignment="1">
      <alignment vertical="center"/>
    </xf>
    <xf numFmtId="176" fontId="4" fillId="0" borderId="40" xfId="0" applyNumberFormat="1" applyFont="1" applyFill="1" applyBorder="1" applyAlignment="1">
      <alignment horizontal="center" vertical="center"/>
    </xf>
    <xf numFmtId="0" fontId="4" fillId="0" borderId="31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/>
    </xf>
    <xf numFmtId="0" fontId="6" fillId="5" borderId="40" xfId="0" applyFont="1" applyFill="1" applyBorder="1" applyAlignment="1">
      <alignment vertical="center"/>
    </xf>
    <xf numFmtId="0" fontId="4" fillId="34" borderId="31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vertical="center"/>
    </xf>
    <xf numFmtId="0" fontId="4" fillId="0" borderId="31" xfId="0" applyFont="1" applyBorder="1" applyAlignment="1">
      <alignment horizontal="center" vertical="center"/>
    </xf>
    <xf numFmtId="0" fontId="6" fillId="5" borderId="41" xfId="0" applyFont="1" applyFill="1" applyBorder="1" applyAlignment="1">
      <alignment vertical="center"/>
    </xf>
    <xf numFmtId="0" fontId="8" fillId="0" borderId="42" xfId="0" applyFont="1" applyBorder="1" applyAlignment="1">
      <alignment vertical="center"/>
    </xf>
    <xf numFmtId="177" fontId="8" fillId="0" borderId="42" xfId="0" applyNumberFormat="1" applyFont="1" applyBorder="1" applyAlignment="1">
      <alignment vertical="center"/>
    </xf>
    <xf numFmtId="1" fontId="32" fillId="31" borderId="31" xfId="0" applyNumberFormat="1" applyFont="1" applyFill="1" applyBorder="1" applyAlignment="1">
      <alignment vertical="center"/>
    </xf>
    <xf numFmtId="0" fontId="16" fillId="13" borderId="31" xfId="0" applyFont="1" applyFill="1" applyBorder="1" applyAlignment="1">
      <alignment vertical="center"/>
    </xf>
    <xf numFmtId="0" fontId="4" fillId="0" borderId="43" xfId="0" applyFont="1" applyBorder="1" applyAlignment="1">
      <alignment vertical="center"/>
    </xf>
    <xf numFmtId="0" fontId="4" fillId="3" borderId="31" xfId="0" applyFont="1" applyFill="1" applyBorder="1" applyAlignment="1">
      <alignment vertical="center"/>
    </xf>
    <xf numFmtId="0" fontId="4" fillId="0" borderId="31" xfId="0" applyFont="1" applyFill="1" applyBorder="1" applyAlignment="1">
      <alignment vertical="center"/>
    </xf>
    <xf numFmtId="0" fontId="4" fillId="35" borderId="44" xfId="0" applyFont="1" applyFill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37" xfId="0" applyFont="1" applyBorder="1" applyAlignment="1">
      <alignment vertical="center"/>
    </xf>
    <xf numFmtId="0" fontId="4" fillId="0" borderId="44" xfId="0" applyFont="1" applyBorder="1" applyAlignment="1">
      <alignment vertical="center"/>
    </xf>
    <xf numFmtId="0" fontId="16" fillId="47" borderId="7" xfId="0" applyFont="1" applyFill="1" applyBorder="1" applyAlignment="1">
      <alignment horizontal="left" vertical="center" wrapText="1"/>
    </xf>
    <xf numFmtId="0" fontId="16" fillId="47" borderId="7" xfId="0" applyFont="1" applyFill="1" applyBorder="1" applyAlignment="1">
      <alignment vertical="center"/>
    </xf>
    <xf numFmtId="0" fontId="52" fillId="47" borderId="7" xfId="0" applyFont="1" applyFill="1" applyBorder="1" applyAlignment="1">
      <alignment vertical="center" wrapText="1"/>
    </xf>
    <xf numFmtId="0" fontId="11" fillId="36" borderId="10" xfId="0" applyFont="1" applyFill="1" applyBorder="1" applyAlignment="1">
      <alignment vertical="center"/>
    </xf>
    <xf numFmtId="0" fontId="11" fillId="36" borderId="24" xfId="0" applyFont="1" applyFill="1" applyBorder="1" applyAlignment="1">
      <alignment vertical="center"/>
    </xf>
    <xf numFmtId="0" fontId="16" fillId="36" borderId="7" xfId="0" applyFont="1" applyFill="1" applyBorder="1" applyAlignment="1">
      <alignment horizontal="left" vertical="center" wrapText="1"/>
    </xf>
    <xf numFmtId="0" fontId="16" fillId="36" borderId="7" xfId="0" applyFont="1" applyFill="1" applyBorder="1" applyAlignment="1">
      <alignment vertical="center" wrapText="1"/>
    </xf>
    <xf numFmtId="0" fontId="52" fillId="36" borderId="7" xfId="0" applyFont="1" applyFill="1" applyBorder="1" applyAlignment="1">
      <alignment vertical="center"/>
    </xf>
    <xf numFmtId="0" fontId="27" fillId="13" borderId="31" xfId="0" applyFont="1" applyFill="1" applyBorder="1"/>
    <xf numFmtId="0" fontId="13" fillId="7" borderId="0" xfId="0" applyFont="1" applyFill="1" applyAlignment="1">
      <alignment horizontal="left" indent="1"/>
    </xf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30" fillId="3" borderId="7" xfId="0" applyFont="1" applyFill="1" applyBorder="1"/>
    <xf numFmtId="0" fontId="16" fillId="13" borderId="2" xfId="0" applyFont="1" applyFill="1" applyBorder="1" applyAlignment="1">
      <alignment vertical="center"/>
    </xf>
    <xf numFmtId="0" fontId="16" fillId="41" borderId="2" xfId="0" applyFont="1" applyFill="1" applyBorder="1" applyAlignment="1">
      <alignment vertical="center"/>
    </xf>
    <xf numFmtId="0" fontId="16" fillId="3" borderId="2" xfId="0" applyFont="1" applyFill="1" applyBorder="1" applyAlignment="1">
      <alignment horizontal="left" vertical="center"/>
    </xf>
    <xf numFmtId="0" fontId="11" fillId="0" borderId="2" xfId="0" applyFont="1" applyBorder="1" applyAlignment="1">
      <alignment vertical="center"/>
    </xf>
    <xf numFmtId="0" fontId="16" fillId="3" borderId="2" xfId="0" applyFont="1" applyFill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0" fontId="16" fillId="32" borderId="12" xfId="0" applyFont="1" applyFill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vertical="center"/>
    </xf>
    <xf numFmtId="0" fontId="16" fillId="0" borderId="12" xfId="0" applyFont="1" applyFill="1" applyBorder="1" applyAlignment="1">
      <alignment vertical="center"/>
    </xf>
    <xf numFmtId="0" fontId="14" fillId="7" borderId="45" xfId="0" applyFont="1" applyFill="1" applyBorder="1" applyAlignment="1">
      <alignment vertical="center"/>
    </xf>
    <xf numFmtId="0" fontId="16" fillId="13" borderId="46" xfId="0" applyFont="1" applyFill="1" applyBorder="1" applyAlignment="1">
      <alignment vertical="center"/>
    </xf>
    <xf numFmtId="0" fontId="16" fillId="0" borderId="46" xfId="0" applyFont="1" applyFill="1" applyBorder="1" applyAlignment="1">
      <alignment vertical="center"/>
    </xf>
    <xf numFmtId="0" fontId="16" fillId="3" borderId="46" xfId="0" applyFont="1" applyFill="1" applyBorder="1" applyAlignment="1">
      <alignment horizontal="left" vertical="center"/>
    </xf>
    <xf numFmtId="0" fontId="11" fillId="0" borderId="46" xfId="0" applyFont="1" applyBorder="1" applyAlignment="1">
      <alignment vertical="center"/>
    </xf>
    <xf numFmtId="0" fontId="16" fillId="3" borderId="46" xfId="0" applyFont="1" applyFill="1" applyBorder="1" applyAlignment="1">
      <alignment vertical="center"/>
    </xf>
    <xf numFmtId="0" fontId="16" fillId="0" borderId="45" xfId="0" applyFont="1" applyBorder="1" applyAlignment="1">
      <alignment vertical="center"/>
    </xf>
  </cellXfs>
  <cellStyles count="70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赤字強調" xfId="431"/>
    <cellStyle name="青字強調" xfId="430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13400</v>
          </cell>
        </row>
        <row r="96">
          <cell r="A96">
            <v>14001</v>
          </cell>
        </row>
        <row r="97">
          <cell r="A97">
            <v>14002</v>
          </cell>
        </row>
        <row r="98">
          <cell r="A98">
            <v>14003</v>
          </cell>
        </row>
        <row r="99">
          <cell r="A99">
            <v>14004</v>
          </cell>
        </row>
        <row r="100">
          <cell r="A100">
            <v>14005</v>
          </cell>
        </row>
        <row r="101">
          <cell r="A101">
            <v>14006</v>
          </cell>
        </row>
        <row r="102">
          <cell r="A102">
            <v>15027</v>
          </cell>
        </row>
        <row r="103">
          <cell r="A103">
            <v>15028</v>
          </cell>
        </row>
        <row r="104">
          <cell r="A104">
            <v>15029</v>
          </cell>
        </row>
        <row r="105">
          <cell r="A105">
            <v>15030</v>
          </cell>
        </row>
        <row r="106">
          <cell r="A106">
            <v>15031</v>
          </cell>
        </row>
        <row r="107">
          <cell r="A107">
            <v>20001</v>
          </cell>
        </row>
        <row r="108">
          <cell r="A108">
            <v>20002</v>
          </cell>
        </row>
        <row r="109">
          <cell r="A109">
            <v>20003</v>
          </cell>
        </row>
        <row r="110">
          <cell r="A110">
            <v>20004</v>
          </cell>
        </row>
        <row r="111">
          <cell r="A111">
            <v>20005</v>
          </cell>
        </row>
        <row r="112">
          <cell r="A112">
            <v>20006</v>
          </cell>
        </row>
        <row r="113">
          <cell r="A113">
            <v>20007</v>
          </cell>
        </row>
        <row r="114">
          <cell r="A114">
            <v>20008</v>
          </cell>
        </row>
        <row r="115">
          <cell r="A115">
            <v>20009</v>
          </cell>
        </row>
        <row r="116">
          <cell r="A116">
            <v>20010</v>
          </cell>
        </row>
        <row r="117">
          <cell r="A117">
            <v>20011</v>
          </cell>
        </row>
        <row r="118">
          <cell r="A118">
            <v>20012</v>
          </cell>
        </row>
        <row r="119">
          <cell r="A119">
            <v>20013</v>
          </cell>
        </row>
        <row r="120">
          <cell r="A120">
            <v>20014</v>
          </cell>
        </row>
        <row r="121">
          <cell r="A121">
            <v>20015</v>
          </cell>
        </row>
        <row r="122">
          <cell r="A122">
            <v>20016</v>
          </cell>
        </row>
        <row r="123">
          <cell r="A123">
            <v>20017</v>
          </cell>
        </row>
        <row r="124">
          <cell r="A124">
            <v>20018</v>
          </cell>
        </row>
        <row r="125">
          <cell r="A125">
            <v>20019</v>
          </cell>
        </row>
        <row r="126">
          <cell r="A126">
            <v>20020</v>
          </cell>
        </row>
        <row r="127">
          <cell r="A127">
            <v>20021</v>
          </cell>
        </row>
        <row r="128">
          <cell r="A128">
            <v>20022</v>
          </cell>
        </row>
        <row r="129">
          <cell r="A129">
            <v>30001</v>
          </cell>
        </row>
        <row r="130">
          <cell r="A130">
            <v>30002</v>
          </cell>
        </row>
        <row r="131">
          <cell r="A131">
            <v>30003</v>
          </cell>
        </row>
        <row r="132">
          <cell r="A132">
            <v>30004</v>
          </cell>
        </row>
        <row r="133">
          <cell r="A133">
            <v>30005</v>
          </cell>
        </row>
        <row r="134">
          <cell r="A134">
            <v>30006</v>
          </cell>
        </row>
        <row r="135">
          <cell r="A135">
            <v>30007</v>
          </cell>
        </row>
        <row r="136">
          <cell r="A136">
            <v>30008</v>
          </cell>
        </row>
        <row r="137">
          <cell r="A137">
            <v>30009</v>
          </cell>
        </row>
        <row r="138">
          <cell r="A138">
            <v>30010</v>
          </cell>
        </row>
        <row r="139">
          <cell r="A139">
            <v>30011</v>
          </cell>
        </row>
        <row r="140">
          <cell r="A140">
            <v>30012</v>
          </cell>
        </row>
        <row r="141">
          <cell r="A141">
            <v>30013</v>
          </cell>
        </row>
        <row r="142">
          <cell r="A142">
            <v>30014</v>
          </cell>
        </row>
        <row r="143">
          <cell r="A143">
            <v>30015</v>
          </cell>
        </row>
        <row r="144">
          <cell r="A144">
            <v>30016</v>
          </cell>
        </row>
        <row r="145">
          <cell r="A145">
            <v>30017</v>
          </cell>
        </row>
        <row r="146">
          <cell r="A146">
            <v>30018</v>
          </cell>
        </row>
        <row r="147">
          <cell r="A147">
            <v>30019</v>
          </cell>
        </row>
        <row r="148">
          <cell r="A148">
            <v>30020</v>
          </cell>
        </row>
        <row r="149">
          <cell r="A149">
            <v>30021</v>
          </cell>
        </row>
        <row r="150">
          <cell r="A150">
            <v>30022</v>
          </cell>
        </row>
        <row r="151">
          <cell r="A151">
            <v>30023</v>
          </cell>
        </row>
        <row r="152">
          <cell r="A152">
            <v>30024</v>
          </cell>
        </row>
        <row r="153">
          <cell r="A153">
            <v>30025</v>
          </cell>
        </row>
        <row r="154">
          <cell r="A154">
            <v>30026</v>
          </cell>
        </row>
        <row r="155">
          <cell r="A155">
            <v>30027</v>
          </cell>
        </row>
        <row r="156">
          <cell r="A156">
            <v>30028</v>
          </cell>
        </row>
        <row r="157">
          <cell r="A157">
            <v>30029</v>
          </cell>
        </row>
        <row r="158">
          <cell r="A158">
            <v>30030</v>
          </cell>
        </row>
        <row r="159">
          <cell r="A159">
            <v>30031</v>
          </cell>
        </row>
        <row r="160">
          <cell r="A160">
            <v>30032</v>
          </cell>
        </row>
        <row r="161">
          <cell r="A161">
            <v>30033</v>
          </cell>
        </row>
        <row r="162">
          <cell r="A162">
            <v>30034</v>
          </cell>
        </row>
        <row r="163">
          <cell r="A163">
            <v>30035</v>
          </cell>
        </row>
        <row r="164">
          <cell r="A164">
            <v>30036</v>
          </cell>
        </row>
        <row r="165">
          <cell r="A165">
            <v>30037</v>
          </cell>
        </row>
        <row r="166">
          <cell r="A166">
            <v>30038</v>
          </cell>
        </row>
        <row r="167">
          <cell r="A167">
            <v>30039</v>
          </cell>
        </row>
        <row r="168">
          <cell r="A168">
            <v>30040</v>
          </cell>
        </row>
        <row r="169">
          <cell r="A169">
            <v>30041</v>
          </cell>
        </row>
        <row r="170">
          <cell r="A170">
            <v>30042</v>
          </cell>
        </row>
        <row r="171">
          <cell r="A171">
            <v>30043</v>
          </cell>
        </row>
        <row r="172">
          <cell r="A172">
            <v>30044</v>
          </cell>
        </row>
        <row r="173">
          <cell r="A173">
            <v>30045</v>
          </cell>
        </row>
        <row r="174">
          <cell r="A174">
            <v>30046</v>
          </cell>
        </row>
        <row r="175">
          <cell r="A175">
            <v>30047</v>
          </cell>
        </row>
        <row r="176">
          <cell r="A176">
            <v>30048</v>
          </cell>
        </row>
        <row r="177">
          <cell r="A177">
            <v>39001</v>
          </cell>
        </row>
        <row r="178">
          <cell r="A178">
            <v>39002</v>
          </cell>
        </row>
        <row r="179">
          <cell r="A179">
            <v>39003</v>
          </cell>
        </row>
        <row r="180">
          <cell r="A180">
            <v>39004</v>
          </cell>
        </row>
        <row r="181">
          <cell r="A181">
            <v>39005</v>
          </cell>
        </row>
        <row r="182">
          <cell r="A182">
            <v>39006</v>
          </cell>
        </row>
        <row r="183">
          <cell r="A183">
            <v>39007</v>
          </cell>
        </row>
        <row r="184">
          <cell r="A184">
            <v>39008</v>
          </cell>
        </row>
        <row r="185">
          <cell r="A185">
            <v>39009</v>
          </cell>
        </row>
        <row r="186">
          <cell r="A186">
            <v>39010</v>
          </cell>
        </row>
        <row r="187">
          <cell r="A187">
            <v>39011</v>
          </cell>
        </row>
        <row r="188">
          <cell r="A188">
            <v>40001</v>
          </cell>
        </row>
        <row r="189">
          <cell r="A189">
            <v>40002</v>
          </cell>
        </row>
        <row r="190">
          <cell r="A190">
            <v>40003</v>
          </cell>
        </row>
        <row r="191">
          <cell r="A191">
            <v>40004</v>
          </cell>
        </row>
        <row r="192">
          <cell r="A192">
            <v>40005</v>
          </cell>
        </row>
        <row r="193">
          <cell r="A193">
            <v>40006</v>
          </cell>
        </row>
        <row r="194">
          <cell r="A194">
            <v>40007</v>
          </cell>
        </row>
        <row r="195">
          <cell r="A195">
            <v>40008</v>
          </cell>
        </row>
        <row r="196">
          <cell r="A196">
            <v>40009</v>
          </cell>
        </row>
        <row r="197">
          <cell r="A197">
            <v>40010</v>
          </cell>
        </row>
        <row r="198">
          <cell r="A198">
            <v>40011</v>
          </cell>
        </row>
        <row r="199">
          <cell r="A199">
            <v>40012</v>
          </cell>
        </row>
        <row r="200">
          <cell r="A200">
            <v>40013</v>
          </cell>
        </row>
        <row r="201">
          <cell r="A201">
            <v>40014</v>
          </cell>
        </row>
        <row r="202">
          <cell r="A202">
            <v>40015</v>
          </cell>
        </row>
        <row r="203">
          <cell r="A203">
            <v>40016</v>
          </cell>
        </row>
        <row r="204">
          <cell r="A204">
            <v>40017</v>
          </cell>
        </row>
        <row r="205">
          <cell r="A205">
            <v>40018</v>
          </cell>
        </row>
        <row r="206">
          <cell r="A206">
            <v>40019</v>
          </cell>
        </row>
        <row r="207">
          <cell r="A207">
            <v>40021</v>
          </cell>
        </row>
        <row r="208">
          <cell r="A208">
            <v>40022</v>
          </cell>
        </row>
        <row r="209">
          <cell r="A209">
            <v>40023</v>
          </cell>
        </row>
        <row r="210">
          <cell r="A210">
            <v>40024</v>
          </cell>
        </row>
        <row r="211">
          <cell r="A211">
            <v>40025</v>
          </cell>
        </row>
        <row r="212">
          <cell r="A212">
            <v>40026</v>
          </cell>
        </row>
        <row r="213">
          <cell r="A213">
            <v>40027</v>
          </cell>
        </row>
        <row r="214">
          <cell r="A214">
            <v>40028</v>
          </cell>
        </row>
        <row r="215">
          <cell r="A215">
            <v>40029</v>
          </cell>
        </row>
        <row r="216">
          <cell r="A216">
            <v>40030</v>
          </cell>
        </row>
        <row r="217">
          <cell r="A217">
            <v>40031</v>
          </cell>
        </row>
        <row r="218">
          <cell r="A218">
            <v>40032</v>
          </cell>
        </row>
        <row r="219">
          <cell r="A219">
            <v>40033</v>
          </cell>
        </row>
        <row r="220">
          <cell r="A220">
            <v>40034</v>
          </cell>
        </row>
        <row r="221">
          <cell r="A221">
            <v>40035</v>
          </cell>
        </row>
        <row r="222">
          <cell r="A222">
            <v>40036</v>
          </cell>
        </row>
        <row r="223">
          <cell r="A223">
            <v>40037</v>
          </cell>
        </row>
        <row r="224">
          <cell r="A224">
            <v>40038</v>
          </cell>
        </row>
        <row r="225">
          <cell r="A225">
            <v>40039</v>
          </cell>
        </row>
        <row r="226">
          <cell r="A226">
            <v>40040</v>
          </cell>
        </row>
        <row r="227">
          <cell r="A227">
            <v>40041</v>
          </cell>
        </row>
        <row r="228">
          <cell r="A228">
            <v>40042</v>
          </cell>
        </row>
        <row r="229">
          <cell r="A229">
            <v>40043</v>
          </cell>
        </row>
        <row r="230">
          <cell r="A230">
            <v>48001</v>
          </cell>
        </row>
        <row r="231">
          <cell r="A231">
            <v>48002</v>
          </cell>
        </row>
        <row r="232">
          <cell r="A232">
            <v>48003</v>
          </cell>
        </row>
        <row r="233">
          <cell r="A233">
            <v>48004</v>
          </cell>
        </row>
        <row r="234">
          <cell r="A234">
            <v>48005</v>
          </cell>
        </row>
        <row r="235">
          <cell r="A235">
            <v>48006</v>
          </cell>
        </row>
        <row r="236">
          <cell r="A236">
            <v>48007</v>
          </cell>
        </row>
        <row r="237">
          <cell r="A237">
            <v>48008</v>
          </cell>
        </row>
        <row r="238">
          <cell r="A238">
            <v>48009</v>
          </cell>
        </row>
        <row r="239">
          <cell r="A239">
            <v>48010</v>
          </cell>
        </row>
        <row r="240">
          <cell r="A240">
            <v>48011</v>
          </cell>
        </row>
        <row r="241">
          <cell r="A241">
            <v>48501</v>
          </cell>
        </row>
        <row r="242">
          <cell r="A242">
            <v>41001</v>
          </cell>
        </row>
        <row r="243">
          <cell r="A243">
            <v>41002</v>
          </cell>
        </row>
        <row r="244">
          <cell r="A244">
            <v>41003</v>
          </cell>
        </row>
        <row r="245">
          <cell r="A245">
            <v>41004</v>
          </cell>
        </row>
        <row r="246">
          <cell r="A246">
            <v>41005</v>
          </cell>
        </row>
        <row r="247">
          <cell r="A247">
            <v>41006</v>
          </cell>
        </row>
        <row r="248">
          <cell r="A248">
            <v>41007</v>
          </cell>
        </row>
        <row r="249">
          <cell r="A249">
            <v>41008</v>
          </cell>
        </row>
        <row r="250">
          <cell r="A250">
            <v>41009</v>
          </cell>
        </row>
        <row r="251">
          <cell r="A251">
            <v>41010</v>
          </cell>
        </row>
        <row r="252">
          <cell r="A252">
            <v>41011</v>
          </cell>
        </row>
        <row r="253">
          <cell r="A253">
            <v>41012</v>
          </cell>
        </row>
        <row r="254">
          <cell r="A254">
            <v>41013</v>
          </cell>
        </row>
        <row r="255">
          <cell r="A255">
            <v>41014</v>
          </cell>
        </row>
        <row r="256">
          <cell r="A256">
            <v>41015</v>
          </cell>
        </row>
        <row r="257">
          <cell r="A257">
            <v>47001</v>
          </cell>
        </row>
        <row r="258">
          <cell r="A258">
            <v>47002</v>
          </cell>
        </row>
        <row r="259">
          <cell r="A259">
            <v>47003</v>
          </cell>
        </row>
        <row r="260">
          <cell r="A260">
            <v>47004</v>
          </cell>
        </row>
        <row r="261">
          <cell r="A261">
            <v>47005</v>
          </cell>
        </row>
        <row r="262">
          <cell r="A262">
            <v>47006</v>
          </cell>
        </row>
        <row r="263">
          <cell r="A263">
            <v>47007</v>
          </cell>
        </row>
        <row r="264">
          <cell r="A264">
            <v>47008</v>
          </cell>
        </row>
        <row r="265">
          <cell r="A265">
            <v>49001</v>
          </cell>
        </row>
        <row r="266">
          <cell r="A266">
            <v>49002</v>
          </cell>
        </row>
        <row r="267">
          <cell r="A267">
            <v>49003</v>
          </cell>
        </row>
        <row r="268">
          <cell r="A268">
            <v>49004</v>
          </cell>
        </row>
        <row r="269">
          <cell r="A269">
            <v>49005</v>
          </cell>
        </row>
        <row r="270">
          <cell r="A270">
            <v>49006</v>
          </cell>
        </row>
        <row r="271">
          <cell r="A271">
            <v>49007</v>
          </cell>
        </row>
        <row r="272">
          <cell r="A272">
            <v>49008</v>
          </cell>
        </row>
        <row r="273">
          <cell r="A273">
            <v>49009</v>
          </cell>
        </row>
        <row r="274">
          <cell r="A274">
            <v>49010</v>
          </cell>
        </row>
        <row r="275">
          <cell r="A275">
            <v>49011</v>
          </cell>
        </row>
        <row r="276">
          <cell r="A276">
            <v>49012</v>
          </cell>
        </row>
        <row r="277">
          <cell r="A277">
            <v>49013</v>
          </cell>
        </row>
        <row r="278">
          <cell r="A278">
            <v>50001</v>
          </cell>
        </row>
        <row r="279">
          <cell r="A279">
            <v>50002</v>
          </cell>
        </row>
        <row r="280">
          <cell r="A280">
            <v>50003</v>
          </cell>
        </row>
        <row r="281">
          <cell r="A281">
            <v>50004</v>
          </cell>
        </row>
        <row r="282">
          <cell r="A282">
            <v>50005</v>
          </cell>
        </row>
        <row r="283">
          <cell r="A283">
            <v>50006</v>
          </cell>
        </row>
        <row r="284">
          <cell r="A284">
            <v>50007</v>
          </cell>
        </row>
        <row r="285">
          <cell r="A285">
            <v>50008</v>
          </cell>
        </row>
        <row r="286">
          <cell r="A286">
            <v>50009</v>
          </cell>
        </row>
        <row r="287">
          <cell r="A287">
            <v>50010</v>
          </cell>
        </row>
        <row r="288">
          <cell r="A288">
            <v>50011</v>
          </cell>
        </row>
        <row r="289">
          <cell r="A289">
            <v>50012</v>
          </cell>
        </row>
        <row r="290">
          <cell r="A290">
            <v>50013</v>
          </cell>
        </row>
        <row r="291">
          <cell r="A291">
            <v>50014</v>
          </cell>
        </row>
        <row r="292">
          <cell r="A292">
            <v>51001</v>
          </cell>
        </row>
        <row r="293">
          <cell r="A293">
            <v>51002</v>
          </cell>
        </row>
        <row r="294">
          <cell r="A294">
            <v>59001</v>
          </cell>
        </row>
        <row r="295">
          <cell r="A295">
            <v>60001</v>
          </cell>
        </row>
        <row r="296">
          <cell r="A296">
            <v>60002</v>
          </cell>
        </row>
        <row r="297">
          <cell r="A297">
            <v>60003</v>
          </cell>
        </row>
        <row r="298">
          <cell r="A298">
            <v>60004</v>
          </cell>
        </row>
        <row r="299">
          <cell r="A299">
            <v>60005</v>
          </cell>
        </row>
        <row r="300">
          <cell r="A300">
            <v>60006</v>
          </cell>
        </row>
        <row r="301">
          <cell r="A301">
            <v>60007</v>
          </cell>
        </row>
        <row r="302">
          <cell r="A302">
            <v>60010</v>
          </cell>
        </row>
        <row r="303">
          <cell r="A303">
            <v>60011</v>
          </cell>
        </row>
        <row r="304">
          <cell r="A304">
            <v>61011</v>
          </cell>
        </row>
        <row r="305">
          <cell r="A305">
            <v>60012</v>
          </cell>
        </row>
        <row r="306">
          <cell r="A306">
            <v>60013</v>
          </cell>
        </row>
        <row r="307">
          <cell r="A307">
            <v>60014</v>
          </cell>
        </row>
        <row r="308">
          <cell r="A308">
            <v>60015</v>
          </cell>
        </row>
        <row r="309">
          <cell r="A309">
            <v>60016</v>
          </cell>
        </row>
        <row r="310">
          <cell r="A310">
            <v>60017</v>
          </cell>
        </row>
        <row r="311">
          <cell r="A311">
            <v>60018</v>
          </cell>
        </row>
        <row r="312">
          <cell r="A312">
            <v>60019</v>
          </cell>
        </row>
        <row r="313">
          <cell r="A313">
            <v>60020</v>
          </cell>
        </row>
        <row r="314">
          <cell r="A314">
            <v>60025</v>
          </cell>
        </row>
        <row r="315">
          <cell r="A315">
            <v>60026</v>
          </cell>
        </row>
        <row r="316">
          <cell r="A316">
            <v>60027</v>
          </cell>
        </row>
        <row r="317">
          <cell r="A317">
            <v>65525</v>
          </cell>
        </row>
        <row r="318">
          <cell r="A318">
            <v>65526</v>
          </cell>
        </row>
        <row r="319">
          <cell r="A319">
            <v>65527</v>
          </cell>
        </row>
        <row r="320">
          <cell r="A320">
            <v>65528</v>
          </cell>
        </row>
        <row r="321">
          <cell r="A321">
            <v>65529</v>
          </cell>
        </row>
        <row r="322">
          <cell r="A322">
            <v>65530</v>
          </cell>
        </row>
        <row r="323">
          <cell r="A323">
            <v>65531</v>
          </cell>
        </row>
        <row r="324">
          <cell r="A324">
            <v>65532</v>
          </cell>
        </row>
        <row r="325">
          <cell r="A325">
            <v>65533</v>
          </cell>
        </row>
        <row r="326">
          <cell r="A326">
            <v>65534</v>
          </cell>
        </row>
        <row r="327">
          <cell r="A327">
            <v>65535</v>
          </cell>
        </row>
        <row r="328">
          <cell r="A328">
            <v>60021</v>
          </cell>
        </row>
        <row r="329">
          <cell r="A329">
            <v>60022</v>
          </cell>
        </row>
        <row r="330">
          <cell r="A330">
            <v>60023</v>
          </cell>
        </row>
        <row r="331">
          <cell r="A33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13400_1</v>
          </cell>
        </row>
        <row r="402">
          <cell r="A402" t="str">
            <v>13400_2</v>
          </cell>
        </row>
        <row r="403">
          <cell r="A403" t="str">
            <v>13400_3</v>
          </cell>
        </row>
        <row r="404">
          <cell r="A404" t="str">
            <v>13400_4</v>
          </cell>
        </row>
        <row r="405">
          <cell r="A405" t="str">
            <v>13400_5</v>
          </cell>
        </row>
        <row r="406">
          <cell r="A406" t="str">
            <v>13400_6</v>
          </cell>
        </row>
        <row r="407">
          <cell r="A407" t="str">
            <v>13400_7</v>
          </cell>
        </row>
        <row r="408">
          <cell r="A408" t="str">
            <v>13400_8</v>
          </cell>
        </row>
        <row r="409">
          <cell r="A409" t="str">
            <v>13400_9</v>
          </cell>
        </row>
        <row r="410">
          <cell r="A410" t="str">
            <v>13400_10</v>
          </cell>
        </row>
        <row r="411">
          <cell r="A411" t="str">
            <v>13400_11</v>
          </cell>
        </row>
        <row r="412">
          <cell r="A412" t="str">
            <v>13400_12</v>
          </cell>
        </row>
        <row r="413">
          <cell r="A413" t="str">
            <v>13400_13</v>
          </cell>
        </row>
        <row r="414">
          <cell r="A414" t="str">
            <v>13400_14</v>
          </cell>
        </row>
        <row r="415">
          <cell r="A415" t="str">
            <v>13400_15</v>
          </cell>
        </row>
        <row r="416">
          <cell r="A416" t="str">
            <v>14001_1</v>
          </cell>
        </row>
        <row r="417">
          <cell r="A417" t="str">
            <v>14001_2</v>
          </cell>
        </row>
        <row r="418">
          <cell r="A418" t="str">
            <v>14001_3</v>
          </cell>
        </row>
        <row r="419">
          <cell r="A419" t="str">
            <v>14001_4</v>
          </cell>
        </row>
        <row r="420">
          <cell r="A420" t="str">
            <v>14001_5</v>
          </cell>
        </row>
        <row r="421">
          <cell r="A421" t="str">
            <v>14001_6</v>
          </cell>
        </row>
        <row r="422">
          <cell r="A422" t="str">
            <v>14001_7</v>
          </cell>
        </row>
        <row r="423">
          <cell r="A423" t="str">
            <v>14001_8</v>
          </cell>
        </row>
        <row r="424">
          <cell r="A424" t="str">
            <v>14002_1</v>
          </cell>
        </row>
        <row r="425">
          <cell r="A425" t="str">
            <v>14002_2</v>
          </cell>
        </row>
        <row r="426">
          <cell r="A426" t="str">
            <v>14003_1</v>
          </cell>
        </row>
        <row r="427">
          <cell r="A427" t="str">
            <v>14003_2</v>
          </cell>
        </row>
        <row r="428">
          <cell r="A428" t="str">
            <v>14003_3</v>
          </cell>
        </row>
        <row r="429">
          <cell r="A429" t="str">
            <v>14003_4</v>
          </cell>
        </row>
        <row r="430">
          <cell r="A430" t="str">
            <v>14004_1</v>
          </cell>
        </row>
        <row r="431">
          <cell r="A431" t="str">
            <v>14004_2</v>
          </cell>
        </row>
        <row r="432">
          <cell r="A432" t="str">
            <v>14004_3</v>
          </cell>
        </row>
        <row r="433">
          <cell r="A433" t="str">
            <v>14004_4</v>
          </cell>
        </row>
        <row r="434">
          <cell r="A434" t="str">
            <v>14005_1</v>
          </cell>
        </row>
        <row r="435">
          <cell r="A435" t="str">
            <v>14006_1</v>
          </cell>
        </row>
        <row r="436">
          <cell r="A436" t="str">
            <v>15027_1</v>
          </cell>
        </row>
        <row r="437">
          <cell r="A437" t="str">
            <v>15027_2</v>
          </cell>
        </row>
        <row r="438">
          <cell r="A438" t="str">
            <v>15027_3</v>
          </cell>
        </row>
        <row r="439">
          <cell r="A439" t="str">
            <v>15027_4</v>
          </cell>
        </row>
        <row r="440">
          <cell r="A440" t="str">
            <v>15028_1</v>
          </cell>
        </row>
        <row r="441">
          <cell r="A441" t="str">
            <v>15028_2</v>
          </cell>
        </row>
        <row r="442">
          <cell r="A442" t="str">
            <v>15028_3</v>
          </cell>
        </row>
        <row r="443">
          <cell r="A443" t="str">
            <v>15028_4</v>
          </cell>
        </row>
        <row r="444">
          <cell r="A444" t="str">
            <v>15029_1</v>
          </cell>
        </row>
        <row r="445">
          <cell r="A445" t="str">
            <v>15029_2</v>
          </cell>
        </row>
        <row r="446">
          <cell r="A446" t="str">
            <v>15029_3</v>
          </cell>
        </row>
        <row r="447">
          <cell r="A447" t="str">
            <v>15029_4</v>
          </cell>
        </row>
        <row r="448">
          <cell r="A448" t="str">
            <v>15030_1</v>
          </cell>
        </row>
        <row r="449">
          <cell r="A449" t="str">
            <v>15030_2</v>
          </cell>
        </row>
        <row r="450">
          <cell r="A450" t="str">
            <v>15030_3</v>
          </cell>
        </row>
        <row r="451">
          <cell r="A451" t="str">
            <v>15030_4</v>
          </cell>
        </row>
        <row r="452">
          <cell r="A452" t="str">
            <v>15031_1</v>
          </cell>
        </row>
        <row r="453">
          <cell r="A453" t="str">
            <v>15031_2</v>
          </cell>
        </row>
        <row r="454">
          <cell r="A454" t="str">
            <v>15031_3</v>
          </cell>
        </row>
        <row r="455">
          <cell r="A455" t="str">
            <v>15031_4</v>
          </cell>
        </row>
        <row r="456">
          <cell r="A456" t="str">
            <v>20001_1</v>
          </cell>
        </row>
        <row r="457">
          <cell r="A457" t="str">
            <v>20001_2</v>
          </cell>
        </row>
        <row r="458">
          <cell r="A458" t="str">
            <v>20001_3</v>
          </cell>
        </row>
        <row r="459">
          <cell r="A459" t="str">
            <v>20002_1</v>
          </cell>
        </row>
        <row r="460">
          <cell r="A460" t="str">
            <v>20002_2</v>
          </cell>
        </row>
        <row r="461">
          <cell r="A461" t="str">
            <v>20002_3</v>
          </cell>
        </row>
        <row r="462">
          <cell r="A462" t="str">
            <v>20003_1</v>
          </cell>
        </row>
        <row r="463">
          <cell r="A463" t="str">
            <v>20003_2</v>
          </cell>
        </row>
        <row r="464">
          <cell r="A464" t="str">
            <v>20003_3</v>
          </cell>
        </row>
        <row r="465">
          <cell r="A465" t="str">
            <v>20004_1</v>
          </cell>
        </row>
        <row r="466">
          <cell r="A466" t="str">
            <v>20004_2</v>
          </cell>
        </row>
        <row r="467">
          <cell r="A467" t="str">
            <v>20004_3</v>
          </cell>
        </row>
        <row r="468">
          <cell r="A468" t="str">
            <v>20005_1</v>
          </cell>
        </row>
        <row r="469">
          <cell r="A469" t="str">
            <v>20005_2</v>
          </cell>
        </row>
        <row r="470">
          <cell r="A470" t="str">
            <v>20005_3</v>
          </cell>
        </row>
        <row r="471">
          <cell r="A471" t="str">
            <v>20006_1</v>
          </cell>
        </row>
        <row r="472">
          <cell r="A472" t="str">
            <v>20006_2</v>
          </cell>
        </row>
        <row r="473">
          <cell r="A473" t="str">
            <v>20006_3</v>
          </cell>
        </row>
        <row r="474">
          <cell r="A474" t="str">
            <v>20007_1</v>
          </cell>
        </row>
        <row r="475">
          <cell r="A475" t="str">
            <v>20007_2</v>
          </cell>
        </row>
        <row r="476">
          <cell r="A476" t="str">
            <v>20007_3</v>
          </cell>
        </row>
        <row r="477">
          <cell r="A477" t="str">
            <v>20008_1</v>
          </cell>
        </row>
        <row r="478">
          <cell r="A478" t="str">
            <v>20008_2</v>
          </cell>
        </row>
        <row r="479">
          <cell r="A479" t="str">
            <v>20008_3</v>
          </cell>
        </row>
        <row r="480">
          <cell r="A480" t="str">
            <v>20009_1</v>
          </cell>
        </row>
        <row r="481">
          <cell r="A481" t="str">
            <v>20009_2</v>
          </cell>
        </row>
        <row r="482">
          <cell r="A482" t="str">
            <v>20009_3</v>
          </cell>
        </row>
        <row r="483">
          <cell r="A483" t="str">
            <v>20010_1</v>
          </cell>
        </row>
        <row r="484">
          <cell r="A484" t="str">
            <v>20010_2</v>
          </cell>
        </row>
        <row r="485">
          <cell r="A485" t="str">
            <v>20010_3</v>
          </cell>
        </row>
        <row r="486">
          <cell r="A486" t="str">
            <v>20011_1</v>
          </cell>
        </row>
        <row r="487">
          <cell r="A487" t="str">
            <v>20011_2</v>
          </cell>
        </row>
        <row r="488">
          <cell r="A488" t="str">
            <v>20011_3</v>
          </cell>
        </row>
        <row r="489">
          <cell r="A489" t="str">
            <v>20012_1</v>
          </cell>
        </row>
        <row r="490">
          <cell r="A490" t="str">
            <v>20012_2</v>
          </cell>
        </row>
        <row r="491">
          <cell r="A491" t="str">
            <v>20012_3</v>
          </cell>
        </row>
        <row r="492">
          <cell r="A492" t="str">
            <v>20013_1</v>
          </cell>
        </row>
        <row r="493">
          <cell r="A493" t="str">
            <v>20013_2</v>
          </cell>
        </row>
        <row r="494">
          <cell r="A494" t="str">
            <v>20013_3</v>
          </cell>
        </row>
        <row r="495">
          <cell r="A495" t="str">
            <v>20014_1</v>
          </cell>
        </row>
        <row r="496">
          <cell r="A496" t="str">
            <v>20014_2</v>
          </cell>
        </row>
        <row r="497">
          <cell r="A497" t="str">
            <v>20014_3</v>
          </cell>
        </row>
        <row r="498">
          <cell r="A498" t="str">
            <v>20015_1</v>
          </cell>
        </row>
        <row r="499">
          <cell r="A499" t="str">
            <v>20015_2</v>
          </cell>
        </row>
        <row r="500">
          <cell r="A500" t="str">
            <v>20015_3</v>
          </cell>
        </row>
        <row r="501">
          <cell r="A501" t="str">
            <v>20016_1</v>
          </cell>
        </row>
        <row r="502">
          <cell r="A502" t="str">
            <v>20016_2</v>
          </cell>
        </row>
        <row r="503">
          <cell r="A503" t="str">
            <v>20016_3</v>
          </cell>
        </row>
        <row r="504">
          <cell r="A504" t="str">
            <v>20017_1</v>
          </cell>
        </row>
        <row r="505">
          <cell r="A505" t="str">
            <v>20017_2</v>
          </cell>
        </row>
        <row r="506">
          <cell r="A506" t="str">
            <v>20017_3</v>
          </cell>
        </row>
        <row r="507">
          <cell r="A507" t="str">
            <v>20018_1</v>
          </cell>
        </row>
        <row r="508">
          <cell r="A508" t="str">
            <v>20018_2</v>
          </cell>
        </row>
        <row r="509">
          <cell r="A509" t="str">
            <v>20018_3</v>
          </cell>
        </row>
        <row r="510">
          <cell r="A510" t="str">
            <v>20019_1</v>
          </cell>
        </row>
        <row r="511">
          <cell r="A511" t="str">
            <v>20019_2</v>
          </cell>
        </row>
        <row r="512">
          <cell r="A512" t="str">
            <v>20019_3</v>
          </cell>
        </row>
        <row r="513">
          <cell r="A513" t="str">
            <v>20020_1</v>
          </cell>
        </row>
        <row r="514">
          <cell r="A514" t="str">
            <v>20020_2</v>
          </cell>
        </row>
        <row r="515">
          <cell r="A515" t="str">
            <v>20020_3</v>
          </cell>
        </row>
        <row r="516">
          <cell r="A516" t="str">
            <v>20021_1</v>
          </cell>
        </row>
        <row r="517">
          <cell r="A517" t="str">
            <v>20021_2</v>
          </cell>
        </row>
        <row r="518">
          <cell r="A518" t="str">
            <v>20021_3</v>
          </cell>
        </row>
        <row r="519">
          <cell r="A519" t="str">
            <v>20022_1</v>
          </cell>
        </row>
        <row r="520">
          <cell r="A520" t="str">
            <v>30001_1</v>
          </cell>
        </row>
        <row r="521">
          <cell r="A521" t="str">
            <v>30001_2</v>
          </cell>
        </row>
        <row r="522">
          <cell r="A522" t="str">
            <v>30001_3</v>
          </cell>
        </row>
        <row r="523">
          <cell r="A523" t="str">
            <v>30002_1</v>
          </cell>
        </row>
        <row r="524">
          <cell r="A524" t="str">
            <v>30002_2</v>
          </cell>
        </row>
        <row r="525">
          <cell r="A525" t="str">
            <v>30002_3</v>
          </cell>
        </row>
        <row r="526">
          <cell r="A526" t="str">
            <v>30003_1</v>
          </cell>
        </row>
        <row r="527">
          <cell r="A527" t="str">
            <v>30003_2</v>
          </cell>
        </row>
        <row r="528">
          <cell r="A528" t="str">
            <v>30003_3</v>
          </cell>
        </row>
        <row r="529">
          <cell r="A529" t="str">
            <v>30004_1</v>
          </cell>
        </row>
        <row r="530">
          <cell r="A530" t="str">
            <v>30004_2</v>
          </cell>
        </row>
        <row r="531">
          <cell r="A531" t="str">
            <v>30004_3</v>
          </cell>
        </row>
        <row r="532">
          <cell r="A532" t="str">
            <v>30005_1</v>
          </cell>
        </row>
        <row r="533">
          <cell r="A533" t="str">
            <v>30005_2</v>
          </cell>
        </row>
        <row r="534">
          <cell r="A534" t="str">
            <v>30005_3</v>
          </cell>
        </row>
        <row r="535">
          <cell r="A535" t="str">
            <v>30006_1</v>
          </cell>
        </row>
        <row r="536">
          <cell r="A536" t="str">
            <v>30006_2</v>
          </cell>
        </row>
        <row r="537">
          <cell r="A537" t="str">
            <v>30006_3</v>
          </cell>
        </row>
        <row r="538">
          <cell r="A538" t="str">
            <v>30007_1</v>
          </cell>
        </row>
        <row r="539">
          <cell r="A539" t="str">
            <v>30007_2</v>
          </cell>
        </row>
        <row r="540">
          <cell r="A540" t="str">
            <v>30007_3</v>
          </cell>
        </row>
        <row r="541">
          <cell r="A541" t="str">
            <v>30008_1</v>
          </cell>
        </row>
        <row r="542">
          <cell r="A542" t="str">
            <v>30008_2</v>
          </cell>
        </row>
        <row r="543">
          <cell r="A543" t="str">
            <v>30008_3</v>
          </cell>
        </row>
        <row r="544">
          <cell r="A544" t="str">
            <v>30009_3</v>
          </cell>
        </row>
        <row r="545">
          <cell r="A545" t="str">
            <v>30009_1</v>
          </cell>
        </row>
        <row r="546">
          <cell r="A546" t="str">
            <v>30009_2</v>
          </cell>
        </row>
        <row r="547">
          <cell r="A547" t="str">
            <v>30010_1</v>
          </cell>
        </row>
        <row r="548">
          <cell r="A548" t="str">
            <v>30010_2</v>
          </cell>
        </row>
        <row r="549">
          <cell r="A549" t="str">
            <v>30010_3</v>
          </cell>
        </row>
        <row r="550">
          <cell r="A550" t="str">
            <v>30011_1</v>
          </cell>
        </row>
        <row r="551">
          <cell r="A551" t="str">
            <v>30011_2</v>
          </cell>
        </row>
        <row r="552">
          <cell r="A552" t="str">
            <v>30011_3</v>
          </cell>
        </row>
        <row r="553">
          <cell r="A553" t="str">
            <v>30012_1</v>
          </cell>
        </row>
        <row r="554">
          <cell r="A554" t="str">
            <v>30012_2</v>
          </cell>
        </row>
        <row r="555">
          <cell r="A555" t="str">
            <v>30012_3</v>
          </cell>
        </row>
        <row r="556">
          <cell r="A556" t="str">
            <v>30013_1</v>
          </cell>
        </row>
        <row r="557">
          <cell r="A557" t="str">
            <v>30013_2</v>
          </cell>
        </row>
        <row r="558">
          <cell r="A558" t="str">
            <v>30014_1</v>
          </cell>
        </row>
        <row r="559">
          <cell r="A559" t="str">
            <v>30014_2</v>
          </cell>
        </row>
        <row r="560">
          <cell r="A560" t="str">
            <v>30015_1</v>
          </cell>
        </row>
        <row r="561">
          <cell r="A561" t="str">
            <v>30015_2</v>
          </cell>
        </row>
        <row r="562">
          <cell r="A562" t="str">
            <v>30016_1</v>
          </cell>
        </row>
        <row r="563">
          <cell r="A563" t="str">
            <v>30016_2</v>
          </cell>
        </row>
        <row r="564">
          <cell r="A564" t="str">
            <v>30017_1</v>
          </cell>
        </row>
        <row r="565">
          <cell r="A565" t="str">
            <v>30017_2</v>
          </cell>
        </row>
        <row r="566">
          <cell r="A566" t="str">
            <v>30018_1</v>
          </cell>
        </row>
        <row r="567">
          <cell r="A567" t="str">
            <v>30018_2</v>
          </cell>
        </row>
        <row r="568">
          <cell r="A568" t="str">
            <v>30019_1</v>
          </cell>
        </row>
        <row r="569">
          <cell r="A569" t="str">
            <v>30019_2</v>
          </cell>
        </row>
        <row r="570">
          <cell r="A570" t="str">
            <v>30020_1</v>
          </cell>
        </row>
        <row r="571">
          <cell r="A571" t="str">
            <v>30020_2</v>
          </cell>
        </row>
        <row r="572">
          <cell r="A572" t="str">
            <v>30021_1</v>
          </cell>
        </row>
        <row r="573">
          <cell r="A573" t="str">
            <v>30021_2</v>
          </cell>
        </row>
        <row r="574">
          <cell r="A574" t="str">
            <v>30021_3</v>
          </cell>
        </row>
        <row r="575">
          <cell r="A575" t="str">
            <v>30022_1</v>
          </cell>
        </row>
        <row r="576">
          <cell r="A576" t="str">
            <v>30022_2</v>
          </cell>
        </row>
        <row r="577">
          <cell r="A577" t="str">
            <v>30023_1</v>
          </cell>
        </row>
        <row r="578">
          <cell r="A578" t="str">
            <v>30023_2</v>
          </cell>
        </row>
        <row r="579">
          <cell r="A579" t="str">
            <v>30023_3</v>
          </cell>
        </row>
        <row r="580">
          <cell r="A580" t="str">
            <v>30024_1</v>
          </cell>
        </row>
        <row r="581">
          <cell r="A581" t="str">
            <v>30024_2</v>
          </cell>
        </row>
        <row r="582">
          <cell r="A582" t="str">
            <v>30024_3</v>
          </cell>
        </row>
        <row r="583">
          <cell r="A583" t="str">
            <v>30025_1</v>
          </cell>
        </row>
        <row r="584">
          <cell r="A584" t="str">
            <v>30025_2</v>
          </cell>
        </row>
        <row r="585">
          <cell r="A585" t="str">
            <v>30025_3</v>
          </cell>
        </row>
        <row r="586">
          <cell r="A586" t="str">
            <v>30026_1</v>
          </cell>
        </row>
        <row r="587">
          <cell r="A587" t="str">
            <v>30026_2</v>
          </cell>
        </row>
        <row r="588">
          <cell r="A588" t="str">
            <v>30026_3</v>
          </cell>
        </row>
        <row r="589">
          <cell r="A589" t="str">
            <v>30027_1</v>
          </cell>
        </row>
        <row r="590">
          <cell r="A590" t="str">
            <v>30027_2</v>
          </cell>
        </row>
        <row r="591">
          <cell r="A591" t="str">
            <v>30027_3</v>
          </cell>
        </row>
        <row r="592">
          <cell r="A592" t="str">
            <v>30028_1</v>
          </cell>
        </row>
        <row r="593">
          <cell r="A593" t="str">
            <v>30028_2</v>
          </cell>
        </row>
        <row r="594">
          <cell r="A594" t="str">
            <v>30028_3</v>
          </cell>
        </row>
        <row r="595">
          <cell r="A595" t="str">
            <v>30029_1</v>
          </cell>
        </row>
        <row r="596">
          <cell r="A596" t="str">
            <v>30029_2</v>
          </cell>
        </row>
        <row r="597">
          <cell r="A597" t="str">
            <v>30029_3</v>
          </cell>
        </row>
        <row r="598">
          <cell r="A598" t="str">
            <v>30030_1</v>
          </cell>
        </row>
        <row r="599">
          <cell r="A599" t="str">
            <v>30030_2</v>
          </cell>
        </row>
        <row r="600">
          <cell r="A600" t="str">
            <v>30030_3</v>
          </cell>
        </row>
        <row r="601">
          <cell r="A601" t="str">
            <v>30031_1</v>
          </cell>
        </row>
        <row r="602">
          <cell r="A602" t="str">
            <v>30031_2</v>
          </cell>
        </row>
        <row r="603">
          <cell r="A603" t="str">
            <v>30031_3</v>
          </cell>
        </row>
        <row r="604">
          <cell r="A604" t="str">
            <v>30032_1</v>
          </cell>
        </row>
        <row r="605">
          <cell r="A605" t="str">
            <v>30032_2</v>
          </cell>
        </row>
        <row r="606">
          <cell r="A606" t="str">
            <v>30032_3</v>
          </cell>
        </row>
        <row r="607">
          <cell r="A607" t="str">
            <v>30033_1</v>
          </cell>
        </row>
        <row r="608">
          <cell r="A608" t="str">
            <v>30033_2</v>
          </cell>
        </row>
        <row r="609">
          <cell r="A609" t="str">
            <v>30033_3</v>
          </cell>
        </row>
        <row r="610">
          <cell r="A610" t="str">
            <v>30034_1</v>
          </cell>
        </row>
        <row r="611">
          <cell r="A611" t="str">
            <v>30034_2</v>
          </cell>
        </row>
        <row r="612">
          <cell r="A612" t="str">
            <v>30034_3</v>
          </cell>
        </row>
        <row r="613">
          <cell r="A613" t="str">
            <v>30035_1</v>
          </cell>
        </row>
        <row r="614">
          <cell r="A614" t="str">
            <v>30035_2</v>
          </cell>
        </row>
        <row r="615">
          <cell r="A615" t="str">
            <v>30035_3</v>
          </cell>
        </row>
        <row r="616">
          <cell r="A616" t="str">
            <v>30036_1</v>
          </cell>
        </row>
        <row r="617">
          <cell r="A617" t="str">
            <v>30036_2</v>
          </cell>
        </row>
        <row r="618">
          <cell r="A618" t="str">
            <v>30036_3</v>
          </cell>
        </row>
        <row r="619">
          <cell r="A619" t="str">
            <v>30037_1</v>
          </cell>
        </row>
        <row r="620">
          <cell r="A620" t="str">
            <v>30037_2</v>
          </cell>
        </row>
        <row r="621">
          <cell r="A621" t="str">
            <v>30037_3</v>
          </cell>
        </row>
        <row r="622">
          <cell r="A622" t="str">
            <v>30038_1</v>
          </cell>
        </row>
        <row r="623">
          <cell r="A623" t="str">
            <v>30038_2</v>
          </cell>
        </row>
        <row r="624">
          <cell r="A624" t="str">
            <v>30038_3</v>
          </cell>
        </row>
        <row r="625">
          <cell r="A625" t="str">
            <v>30039_1</v>
          </cell>
        </row>
        <row r="626">
          <cell r="A626" t="str">
            <v>30039_2</v>
          </cell>
        </row>
        <row r="627">
          <cell r="A627" t="str">
            <v>30039_3</v>
          </cell>
        </row>
        <row r="628">
          <cell r="A628" t="str">
            <v>30040_1</v>
          </cell>
        </row>
        <row r="629">
          <cell r="A629" t="str">
            <v>30040_2</v>
          </cell>
        </row>
        <row r="630">
          <cell r="A630" t="str">
            <v>30040_3</v>
          </cell>
        </row>
        <row r="631">
          <cell r="A631" t="str">
            <v>30041_1</v>
          </cell>
        </row>
        <row r="632">
          <cell r="A632" t="str">
            <v>30041_2</v>
          </cell>
        </row>
        <row r="633">
          <cell r="A633" t="str">
            <v>30041_3</v>
          </cell>
        </row>
        <row r="634">
          <cell r="A634" t="str">
            <v>30042_1</v>
          </cell>
        </row>
        <row r="635">
          <cell r="A635" t="str">
            <v>30042_2</v>
          </cell>
        </row>
        <row r="636">
          <cell r="A636" t="str">
            <v>30042_3</v>
          </cell>
        </row>
        <row r="637">
          <cell r="A637" t="str">
            <v>30043_1</v>
          </cell>
        </row>
        <row r="638">
          <cell r="A638" t="str">
            <v>30043_2</v>
          </cell>
        </row>
        <row r="639">
          <cell r="A639" t="str">
            <v>30043_3</v>
          </cell>
        </row>
        <row r="640">
          <cell r="A640" t="str">
            <v>30044_1</v>
          </cell>
        </row>
        <row r="641">
          <cell r="A641" t="str">
            <v>30044_2</v>
          </cell>
        </row>
        <row r="642">
          <cell r="A642" t="str">
            <v>30044_3</v>
          </cell>
        </row>
        <row r="643">
          <cell r="A643" t="str">
            <v>30045_1</v>
          </cell>
        </row>
        <row r="644">
          <cell r="A644" t="str">
            <v>30045_2</v>
          </cell>
        </row>
        <row r="645">
          <cell r="A645" t="str">
            <v>30045_3</v>
          </cell>
        </row>
        <row r="646">
          <cell r="A646" t="str">
            <v>30046_1</v>
          </cell>
        </row>
        <row r="647">
          <cell r="A647" t="str">
            <v>30046_2</v>
          </cell>
        </row>
        <row r="648">
          <cell r="A648" t="str">
            <v>30046_3</v>
          </cell>
        </row>
        <row r="649">
          <cell r="A649" t="str">
            <v>30047_1</v>
          </cell>
        </row>
        <row r="650">
          <cell r="A650" t="str">
            <v>30047_2</v>
          </cell>
        </row>
        <row r="651">
          <cell r="A651" t="str">
            <v>30047_3</v>
          </cell>
        </row>
        <row r="652">
          <cell r="A652" t="str">
            <v>30048_1</v>
          </cell>
        </row>
        <row r="653">
          <cell r="A653" t="str">
            <v>30048_2</v>
          </cell>
        </row>
        <row r="654">
          <cell r="A654" t="str">
            <v>30048_3</v>
          </cell>
        </row>
        <row r="655">
          <cell r="A655" t="str">
            <v>39001_1</v>
          </cell>
        </row>
        <row r="656">
          <cell r="A656" t="str">
            <v>39001_2</v>
          </cell>
        </row>
        <row r="657">
          <cell r="A657" t="str">
            <v>39001_3</v>
          </cell>
        </row>
        <row r="658">
          <cell r="A658" t="str">
            <v>39001_4</v>
          </cell>
        </row>
        <row r="659">
          <cell r="A659" t="str">
            <v>39001_5</v>
          </cell>
        </row>
        <row r="660">
          <cell r="A660" t="str">
            <v>39002_1</v>
          </cell>
        </row>
        <row r="661">
          <cell r="A661" t="str">
            <v>39002_2</v>
          </cell>
        </row>
        <row r="662">
          <cell r="A662" t="str">
            <v>39002_3</v>
          </cell>
        </row>
        <row r="663">
          <cell r="A663" t="str">
            <v>39002_4</v>
          </cell>
        </row>
        <row r="664">
          <cell r="A664" t="str">
            <v>39003_1</v>
          </cell>
        </row>
        <row r="665">
          <cell r="A665" t="str">
            <v>39003_2</v>
          </cell>
        </row>
        <row r="666">
          <cell r="A666" t="str">
            <v>39003_3</v>
          </cell>
        </row>
        <row r="667">
          <cell r="A667" t="str">
            <v>39003_4</v>
          </cell>
        </row>
        <row r="668">
          <cell r="A668" t="str">
            <v>39004_1</v>
          </cell>
        </row>
        <row r="669">
          <cell r="A669" t="str">
            <v>39004_2</v>
          </cell>
        </row>
        <row r="670">
          <cell r="A670" t="str">
            <v>39004_3</v>
          </cell>
        </row>
        <row r="671">
          <cell r="A671" t="str">
            <v>39004_4</v>
          </cell>
        </row>
        <row r="672">
          <cell r="A672" t="str">
            <v>39005_1</v>
          </cell>
        </row>
        <row r="673">
          <cell r="A673" t="str">
            <v>39005_2</v>
          </cell>
        </row>
        <row r="674">
          <cell r="A674" t="str">
            <v>39005_3</v>
          </cell>
        </row>
        <row r="675">
          <cell r="A675" t="str">
            <v>39005_4</v>
          </cell>
        </row>
        <row r="676">
          <cell r="A676" t="str">
            <v>39005_5</v>
          </cell>
        </row>
        <row r="677">
          <cell r="A677" t="str">
            <v>39006_1</v>
          </cell>
        </row>
        <row r="678">
          <cell r="A678" t="str">
            <v>39006_2</v>
          </cell>
        </row>
        <row r="679">
          <cell r="A679" t="str">
            <v>39006_3</v>
          </cell>
        </row>
        <row r="680">
          <cell r="A680" t="str">
            <v>39006_4</v>
          </cell>
        </row>
        <row r="681">
          <cell r="A681" t="str">
            <v>39007_1</v>
          </cell>
        </row>
        <row r="682">
          <cell r="A682" t="str">
            <v>39007_2</v>
          </cell>
        </row>
        <row r="683">
          <cell r="A683" t="str">
            <v>39007_3</v>
          </cell>
        </row>
        <row r="684">
          <cell r="A684" t="str">
            <v>39007_4</v>
          </cell>
        </row>
        <row r="685">
          <cell r="A685" t="str">
            <v>39008_1</v>
          </cell>
        </row>
        <row r="686">
          <cell r="A686" t="str">
            <v>39008_2</v>
          </cell>
        </row>
        <row r="687">
          <cell r="A687" t="str">
            <v>39008_3</v>
          </cell>
        </row>
        <row r="688">
          <cell r="A688" t="str">
            <v>39008_4</v>
          </cell>
        </row>
        <row r="689">
          <cell r="A689" t="str">
            <v>39008_5</v>
          </cell>
        </row>
        <row r="690">
          <cell r="A690" t="str">
            <v>39009_1</v>
          </cell>
        </row>
        <row r="691">
          <cell r="A691" t="str">
            <v>39009_2</v>
          </cell>
        </row>
        <row r="692">
          <cell r="A692" t="str">
            <v>39009_3</v>
          </cell>
        </row>
        <row r="693">
          <cell r="A693" t="str">
            <v>39009_4</v>
          </cell>
        </row>
        <row r="694">
          <cell r="A694" t="str">
            <v>39009_5</v>
          </cell>
        </row>
        <row r="695">
          <cell r="A695" t="str">
            <v>39010_1</v>
          </cell>
        </row>
        <row r="696">
          <cell r="A696" t="str">
            <v>39010_2</v>
          </cell>
        </row>
        <row r="697">
          <cell r="A697" t="str">
            <v>39010_3</v>
          </cell>
        </row>
        <row r="698">
          <cell r="A698" t="str">
            <v>39010_4</v>
          </cell>
        </row>
        <row r="699">
          <cell r="A699" t="str">
            <v>39011_1</v>
          </cell>
        </row>
        <row r="700">
          <cell r="A700" t="str">
            <v>39011_2</v>
          </cell>
        </row>
        <row r="701">
          <cell r="A701" t="str">
            <v>39011_3</v>
          </cell>
        </row>
        <row r="702">
          <cell r="A702" t="str">
            <v>39011_4</v>
          </cell>
        </row>
        <row r="703">
          <cell r="A703" t="str">
            <v>40001_1</v>
          </cell>
        </row>
        <row r="704">
          <cell r="A704" t="str">
            <v>40002_1</v>
          </cell>
        </row>
        <row r="705">
          <cell r="A705" t="str">
            <v>40002_2</v>
          </cell>
        </row>
        <row r="706">
          <cell r="A706" t="str">
            <v>40002_3</v>
          </cell>
        </row>
        <row r="707">
          <cell r="A707" t="str">
            <v>40003_1</v>
          </cell>
        </row>
        <row r="708">
          <cell r="A708" t="str">
            <v>40004_1</v>
          </cell>
        </row>
        <row r="709">
          <cell r="A709" t="str">
            <v>40005_1</v>
          </cell>
        </row>
        <row r="710">
          <cell r="A710" t="str">
            <v>40006_1</v>
          </cell>
        </row>
        <row r="711">
          <cell r="A711" t="str">
            <v>40007_1</v>
          </cell>
        </row>
        <row r="712">
          <cell r="A712" t="str">
            <v>40008_1</v>
          </cell>
        </row>
        <row r="713">
          <cell r="A713" t="str">
            <v>40009_1</v>
          </cell>
        </row>
        <row r="714">
          <cell r="A714" t="str">
            <v>40010_1</v>
          </cell>
        </row>
        <row r="715">
          <cell r="A715" t="str">
            <v>40011_1</v>
          </cell>
        </row>
        <row r="716">
          <cell r="A716" t="str">
            <v>40012_1</v>
          </cell>
        </row>
        <row r="717">
          <cell r="A717" t="str">
            <v>40013_1</v>
          </cell>
        </row>
        <row r="718">
          <cell r="A718" t="str">
            <v>40014_1</v>
          </cell>
        </row>
        <row r="719">
          <cell r="A719" t="str">
            <v>40015_1</v>
          </cell>
        </row>
        <row r="720">
          <cell r="A720" t="str">
            <v>40016_1</v>
          </cell>
        </row>
        <row r="721">
          <cell r="A721" t="str">
            <v>40016_2</v>
          </cell>
        </row>
        <row r="722">
          <cell r="A722" t="str">
            <v>40017_1</v>
          </cell>
        </row>
        <row r="723">
          <cell r="A723" t="str">
            <v>40017_2</v>
          </cell>
        </row>
        <row r="724">
          <cell r="A724" t="str">
            <v>40017_3</v>
          </cell>
        </row>
        <row r="725">
          <cell r="A725" t="str">
            <v>40018_1</v>
          </cell>
        </row>
        <row r="726">
          <cell r="A726" t="str">
            <v>40018_2</v>
          </cell>
        </row>
        <row r="727">
          <cell r="A727" t="str">
            <v>40018_3</v>
          </cell>
        </row>
        <row r="728">
          <cell r="A728" t="str">
            <v>40019_1</v>
          </cell>
        </row>
        <row r="729">
          <cell r="A729" t="str">
            <v>40019_2</v>
          </cell>
        </row>
        <row r="730">
          <cell r="A730" t="str">
            <v>40019_3</v>
          </cell>
        </row>
        <row r="731">
          <cell r="A731" t="str">
            <v>40021_1</v>
          </cell>
        </row>
        <row r="732">
          <cell r="A732" t="str">
            <v>40021_2</v>
          </cell>
        </row>
        <row r="733">
          <cell r="A733" t="str">
            <v>40022_1</v>
          </cell>
        </row>
        <row r="734">
          <cell r="A734" t="str">
            <v>40022_2</v>
          </cell>
        </row>
        <row r="735">
          <cell r="A735" t="str">
            <v>40023_1</v>
          </cell>
        </row>
        <row r="736">
          <cell r="A736" t="str">
            <v>40023_2</v>
          </cell>
        </row>
        <row r="737">
          <cell r="A737" t="str">
            <v>40024_1</v>
          </cell>
        </row>
        <row r="738">
          <cell r="A738" t="str">
            <v>40024_2</v>
          </cell>
        </row>
        <row r="739">
          <cell r="A739" t="str">
            <v>40025_1</v>
          </cell>
        </row>
        <row r="740">
          <cell r="A740" t="str">
            <v>40025_2</v>
          </cell>
        </row>
        <row r="741">
          <cell r="A741" t="str">
            <v>40026_1</v>
          </cell>
        </row>
        <row r="742">
          <cell r="A742" t="str">
            <v>40026_2</v>
          </cell>
        </row>
        <row r="743">
          <cell r="A743" t="str">
            <v>40027_1</v>
          </cell>
        </row>
        <row r="744">
          <cell r="A744" t="str">
            <v>40027_2</v>
          </cell>
        </row>
        <row r="745">
          <cell r="A745" t="str">
            <v>40028_1</v>
          </cell>
        </row>
        <row r="746">
          <cell r="A746" t="str">
            <v>40028_2</v>
          </cell>
        </row>
        <row r="747">
          <cell r="A747" t="str">
            <v>40029_1</v>
          </cell>
        </row>
        <row r="748">
          <cell r="A748" t="str">
            <v>40029_2</v>
          </cell>
        </row>
        <row r="749">
          <cell r="A749" t="str">
            <v>40030_1</v>
          </cell>
        </row>
        <row r="750">
          <cell r="A750" t="str">
            <v>40030_2</v>
          </cell>
        </row>
        <row r="751">
          <cell r="A751" t="str">
            <v>40031_1</v>
          </cell>
        </row>
        <row r="752">
          <cell r="A752" t="str">
            <v>40031_2</v>
          </cell>
        </row>
        <row r="753">
          <cell r="A753" t="str">
            <v>40032_1</v>
          </cell>
        </row>
        <row r="754">
          <cell r="A754" t="str">
            <v>40032_2</v>
          </cell>
        </row>
        <row r="755">
          <cell r="A755" t="str">
            <v>40033_1</v>
          </cell>
        </row>
        <row r="756">
          <cell r="A756" t="str">
            <v>40033_2</v>
          </cell>
        </row>
        <row r="757">
          <cell r="A757" t="str">
            <v>40034_1</v>
          </cell>
        </row>
        <row r="758">
          <cell r="A758" t="str">
            <v>40034_2</v>
          </cell>
        </row>
        <row r="759">
          <cell r="A759" t="str">
            <v>40035_1</v>
          </cell>
        </row>
        <row r="760">
          <cell r="A760" t="str">
            <v>40035_2</v>
          </cell>
        </row>
        <row r="761">
          <cell r="A761" t="str">
            <v>40036_1</v>
          </cell>
        </row>
        <row r="762">
          <cell r="A762" t="str">
            <v>40036_2</v>
          </cell>
        </row>
        <row r="763">
          <cell r="A763" t="str">
            <v>40037_1</v>
          </cell>
        </row>
        <row r="764">
          <cell r="A764" t="str">
            <v>40037_2</v>
          </cell>
        </row>
        <row r="765">
          <cell r="A765" t="str">
            <v>40038_1</v>
          </cell>
        </row>
        <row r="766">
          <cell r="A766" t="str">
            <v>40038_2</v>
          </cell>
        </row>
        <row r="767">
          <cell r="A767" t="str">
            <v>40039_1</v>
          </cell>
        </row>
        <row r="768">
          <cell r="A768" t="str">
            <v>40039_2</v>
          </cell>
        </row>
        <row r="769">
          <cell r="A769" t="str">
            <v>40040_1</v>
          </cell>
        </row>
        <row r="770">
          <cell r="A770" t="str">
            <v>40040_2</v>
          </cell>
        </row>
        <row r="771">
          <cell r="A771" t="str">
            <v>40041_1</v>
          </cell>
        </row>
        <row r="772">
          <cell r="A772" t="str">
            <v>40041_2</v>
          </cell>
        </row>
        <row r="773">
          <cell r="A773" t="str">
            <v>40042_1</v>
          </cell>
        </row>
        <row r="774">
          <cell r="A774" t="str">
            <v>40042_2</v>
          </cell>
        </row>
        <row r="775">
          <cell r="A775" t="str">
            <v>40043_1</v>
          </cell>
        </row>
        <row r="776">
          <cell r="A776" t="str">
            <v>40043_2</v>
          </cell>
        </row>
        <row r="777">
          <cell r="A777" t="str">
            <v>41001_1</v>
          </cell>
        </row>
        <row r="778">
          <cell r="A778" t="str">
            <v>41001_2</v>
          </cell>
        </row>
        <row r="779">
          <cell r="A779" t="str">
            <v>41001_3</v>
          </cell>
        </row>
        <row r="780">
          <cell r="A780" t="str">
            <v>41002_1</v>
          </cell>
        </row>
        <row r="781">
          <cell r="A781" t="str">
            <v>41002_2</v>
          </cell>
        </row>
        <row r="782">
          <cell r="A782" t="str">
            <v>41002_3</v>
          </cell>
        </row>
        <row r="783">
          <cell r="A783" t="str">
            <v>41003_1</v>
          </cell>
        </row>
        <row r="784">
          <cell r="A784" t="str">
            <v>41003_2</v>
          </cell>
        </row>
        <row r="785">
          <cell r="A785" t="str">
            <v>41003_3</v>
          </cell>
        </row>
        <row r="786">
          <cell r="A786" t="str">
            <v>41004_1</v>
          </cell>
        </row>
        <row r="787">
          <cell r="A787" t="str">
            <v>41004_2</v>
          </cell>
        </row>
        <row r="788">
          <cell r="A788" t="str">
            <v>41004_3</v>
          </cell>
        </row>
        <row r="789">
          <cell r="A789" t="str">
            <v>41005_1</v>
          </cell>
        </row>
        <row r="790">
          <cell r="A790" t="str">
            <v>41005_2</v>
          </cell>
        </row>
        <row r="791">
          <cell r="A791" t="str">
            <v>41005_3</v>
          </cell>
        </row>
        <row r="792">
          <cell r="A792" t="str">
            <v>41006_1</v>
          </cell>
        </row>
        <row r="793">
          <cell r="A793" t="str">
            <v>41006_2</v>
          </cell>
        </row>
        <row r="794">
          <cell r="A794" t="str">
            <v>41006_3</v>
          </cell>
        </row>
        <row r="795">
          <cell r="A795" t="str">
            <v>41007_1</v>
          </cell>
        </row>
        <row r="796">
          <cell r="A796" t="str">
            <v>41007_2</v>
          </cell>
        </row>
        <row r="797">
          <cell r="A797" t="str">
            <v>41007_3</v>
          </cell>
        </row>
        <row r="798">
          <cell r="A798" t="str">
            <v>41008_1</v>
          </cell>
        </row>
        <row r="799">
          <cell r="A799" t="str">
            <v>41008_2</v>
          </cell>
        </row>
        <row r="800">
          <cell r="A800" t="str">
            <v>41008_3</v>
          </cell>
        </row>
        <row r="801">
          <cell r="A801" t="str">
            <v>41009_1</v>
          </cell>
        </row>
        <row r="802">
          <cell r="A802" t="str">
            <v>41009_2</v>
          </cell>
        </row>
        <row r="803">
          <cell r="A803" t="str">
            <v>41009_3</v>
          </cell>
        </row>
        <row r="804">
          <cell r="A804" t="str">
            <v>41010_1</v>
          </cell>
        </row>
        <row r="805">
          <cell r="A805" t="str">
            <v>41010_2</v>
          </cell>
        </row>
        <row r="806">
          <cell r="A806" t="str">
            <v>41010_3</v>
          </cell>
        </row>
        <row r="807">
          <cell r="A807" t="str">
            <v>41011_1</v>
          </cell>
        </row>
        <row r="808">
          <cell r="A808" t="str">
            <v>41011_2</v>
          </cell>
        </row>
        <row r="809">
          <cell r="A809" t="str">
            <v>41012_1</v>
          </cell>
        </row>
        <row r="810">
          <cell r="A810" t="str">
            <v>41012_2</v>
          </cell>
        </row>
        <row r="811">
          <cell r="A811" t="str">
            <v>41013_1</v>
          </cell>
        </row>
        <row r="812">
          <cell r="A812" t="str">
            <v>41013_2</v>
          </cell>
        </row>
        <row r="813">
          <cell r="A813" t="str">
            <v>41014_1</v>
          </cell>
        </row>
        <row r="814">
          <cell r="A814" t="str">
            <v>41014_2</v>
          </cell>
        </row>
        <row r="815">
          <cell r="A815" t="str">
            <v>41015_1</v>
          </cell>
        </row>
        <row r="816">
          <cell r="A816" t="str">
            <v>41015_2</v>
          </cell>
        </row>
        <row r="817">
          <cell r="A817" t="str">
            <v>47001_1</v>
          </cell>
        </row>
        <row r="818">
          <cell r="A818" t="str">
            <v>47001_2</v>
          </cell>
        </row>
        <row r="819">
          <cell r="A819" t="str">
            <v>47002_1</v>
          </cell>
        </row>
        <row r="820">
          <cell r="A820" t="str">
            <v>47002_2</v>
          </cell>
        </row>
        <row r="821">
          <cell r="A821" t="str">
            <v>47003_1</v>
          </cell>
        </row>
        <row r="822">
          <cell r="A822" t="str">
            <v>47003_2</v>
          </cell>
        </row>
        <row r="823">
          <cell r="A823" t="str">
            <v>47003_3</v>
          </cell>
        </row>
        <row r="824">
          <cell r="A824" t="str">
            <v>47003_4</v>
          </cell>
        </row>
        <row r="825">
          <cell r="A825" t="str">
            <v>47004_1</v>
          </cell>
        </row>
        <row r="826">
          <cell r="A826" t="str">
            <v>47004_2</v>
          </cell>
        </row>
        <row r="827">
          <cell r="A827" t="str">
            <v>47004_3</v>
          </cell>
        </row>
        <row r="828">
          <cell r="A828" t="str">
            <v>47004_4</v>
          </cell>
        </row>
        <row r="829">
          <cell r="A829" t="str">
            <v>47005_1</v>
          </cell>
        </row>
        <row r="830">
          <cell r="A830" t="str">
            <v>47006_1</v>
          </cell>
        </row>
        <row r="831">
          <cell r="A831" t="str">
            <v>47006_2</v>
          </cell>
        </row>
        <row r="832">
          <cell r="A832" t="str">
            <v>47007_1</v>
          </cell>
        </row>
        <row r="833">
          <cell r="A833" t="str">
            <v>47007_2</v>
          </cell>
        </row>
        <row r="834">
          <cell r="A834" t="str">
            <v>47008_1</v>
          </cell>
        </row>
        <row r="835">
          <cell r="A835" t="str">
            <v>47008_2</v>
          </cell>
        </row>
        <row r="836">
          <cell r="A836" t="str">
            <v>48001_1</v>
          </cell>
        </row>
        <row r="837">
          <cell r="A837" t="str">
            <v>48002_1</v>
          </cell>
        </row>
        <row r="838">
          <cell r="A838" t="str">
            <v>48002_2</v>
          </cell>
        </row>
        <row r="839">
          <cell r="A839" t="str">
            <v>48002_3</v>
          </cell>
        </row>
        <row r="840">
          <cell r="A840" t="str">
            <v>48003_1</v>
          </cell>
        </row>
        <row r="841">
          <cell r="A841" t="str">
            <v>48003_2</v>
          </cell>
        </row>
        <row r="842">
          <cell r="A842" t="str">
            <v>48004_1</v>
          </cell>
        </row>
        <row r="843">
          <cell r="A843" t="str">
            <v>48004_2</v>
          </cell>
        </row>
        <row r="844">
          <cell r="A844" t="str">
            <v>48005_1</v>
          </cell>
        </row>
        <row r="845">
          <cell r="A845" t="str">
            <v>48005_2</v>
          </cell>
        </row>
        <row r="846">
          <cell r="A846" t="str">
            <v>48006_1</v>
          </cell>
        </row>
        <row r="847">
          <cell r="A847" t="str">
            <v>48006_2</v>
          </cell>
        </row>
        <row r="848">
          <cell r="A848" t="str">
            <v>48007_1</v>
          </cell>
        </row>
        <row r="849">
          <cell r="A849" t="str">
            <v>48007_2</v>
          </cell>
        </row>
        <row r="850">
          <cell r="A850" t="str">
            <v>48008_1</v>
          </cell>
        </row>
        <row r="851">
          <cell r="A851" t="str">
            <v>48008_2</v>
          </cell>
        </row>
        <row r="852">
          <cell r="A852" t="str">
            <v>48009_1</v>
          </cell>
        </row>
        <row r="853">
          <cell r="A853" t="str">
            <v>48009_2</v>
          </cell>
        </row>
        <row r="854">
          <cell r="A854" t="str">
            <v>48010_1</v>
          </cell>
        </row>
        <row r="855">
          <cell r="A855" t="str">
            <v>48011_1</v>
          </cell>
        </row>
        <row r="856">
          <cell r="A856" t="str">
            <v>48011_2</v>
          </cell>
        </row>
        <row r="857">
          <cell r="A857" t="str">
            <v>48501_1</v>
          </cell>
        </row>
        <row r="858">
          <cell r="A858" t="str">
            <v>48501_2</v>
          </cell>
        </row>
        <row r="859">
          <cell r="A859" t="str">
            <v>49001_1</v>
          </cell>
        </row>
        <row r="860">
          <cell r="A860" t="str">
            <v>49002_1</v>
          </cell>
        </row>
        <row r="861">
          <cell r="A861" t="str">
            <v>49002_2</v>
          </cell>
        </row>
        <row r="862">
          <cell r="A862" t="str">
            <v>49003_1</v>
          </cell>
        </row>
        <row r="863">
          <cell r="A863" t="str">
            <v>49003_2</v>
          </cell>
        </row>
        <row r="864">
          <cell r="A864" t="str">
            <v>49004_1</v>
          </cell>
        </row>
        <row r="865">
          <cell r="A865" t="str">
            <v>49004_2</v>
          </cell>
        </row>
        <row r="866">
          <cell r="A866" t="str">
            <v>49004_3</v>
          </cell>
        </row>
        <row r="867">
          <cell r="A867" t="str">
            <v>49005_1</v>
          </cell>
        </row>
        <row r="868">
          <cell r="A868" t="str">
            <v>49006_1</v>
          </cell>
        </row>
        <row r="869">
          <cell r="A869" t="str">
            <v>49006_2</v>
          </cell>
        </row>
        <row r="870">
          <cell r="A870" t="str">
            <v>49007_1</v>
          </cell>
        </row>
        <row r="871">
          <cell r="A871" t="str">
            <v>49007_2</v>
          </cell>
        </row>
        <row r="872">
          <cell r="A872" t="str">
            <v>49007_3</v>
          </cell>
        </row>
        <row r="873">
          <cell r="A873" t="str">
            <v>49008_1</v>
          </cell>
        </row>
        <row r="874">
          <cell r="A874" t="str">
            <v>49009_1</v>
          </cell>
        </row>
        <row r="875">
          <cell r="A875" t="str">
            <v>49010_1</v>
          </cell>
        </row>
        <row r="876">
          <cell r="A876" t="str">
            <v>49011_1</v>
          </cell>
        </row>
        <row r="877">
          <cell r="A877" t="str">
            <v>49012_1</v>
          </cell>
        </row>
        <row r="878">
          <cell r="A878" t="str">
            <v>49013_1</v>
          </cell>
        </row>
        <row r="879">
          <cell r="A879" t="str">
            <v>50001_1</v>
          </cell>
        </row>
        <row r="880">
          <cell r="A880" t="str">
            <v>50002_1</v>
          </cell>
        </row>
        <row r="881">
          <cell r="A881" t="str">
            <v>50003_1</v>
          </cell>
        </row>
        <row r="882">
          <cell r="A882" t="str">
            <v>50004_1</v>
          </cell>
        </row>
        <row r="883">
          <cell r="A883" t="str">
            <v>50005_1</v>
          </cell>
        </row>
        <row r="884">
          <cell r="A884" t="str">
            <v>50006_1</v>
          </cell>
        </row>
        <row r="885">
          <cell r="A885" t="str">
            <v>50007_1</v>
          </cell>
        </row>
        <row r="886">
          <cell r="A886" t="str">
            <v>50008_1</v>
          </cell>
        </row>
        <row r="887">
          <cell r="A887" t="str">
            <v>50009_1</v>
          </cell>
        </row>
        <row r="888">
          <cell r="A888" t="str">
            <v>50010_1</v>
          </cell>
        </row>
        <row r="889">
          <cell r="A889" t="str">
            <v>50011_1</v>
          </cell>
        </row>
        <row r="890">
          <cell r="A890" t="str">
            <v>50012_1</v>
          </cell>
        </row>
        <row r="891">
          <cell r="A891" t="str">
            <v>50013_1</v>
          </cell>
        </row>
        <row r="892">
          <cell r="A892" t="str">
            <v>50014_1</v>
          </cell>
        </row>
        <row r="893">
          <cell r="A893" t="str">
            <v>51001_1</v>
          </cell>
        </row>
        <row r="894">
          <cell r="A894" t="str">
            <v>51002_1</v>
          </cell>
        </row>
        <row r="895">
          <cell r="A895" t="str">
            <v>59001_1</v>
          </cell>
        </row>
        <row r="896">
          <cell r="A896" t="str">
            <v>60001_1</v>
          </cell>
        </row>
        <row r="897">
          <cell r="A897" t="str">
            <v>60002_1</v>
          </cell>
        </row>
        <row r="898">
          <cell r="A898" t="str">
            <v>60002_2</v>
          </cell>
        </row>
        <row r="899">
          <cell r="A899" t="str">
            <v>60003_1</v>
          </cell>
        </row>
        <row r="900">
          <cell r="A900" t="str">
            <v>60003_2</v>
          </cell>
        </row>
        <row r="901">
          <cell r="A901" t="str">
            <v>60003_3</v>
          </cell>
        </row>
        <row r="902">
          <cell r="A902" t="str">
            <v>60004_1</v>
          </cell>
        </row>
        <row r="903">
          <cell r="A903" t="str">
            <v>60005_1</v>
          </cell>
        </row>
        <row r="904">
          <cell r="A904" t="str">
            <v>60006_1</v>
          </cell>
        </row>
        <row r="905">
          <cell r="A905" t="str">
            <v>60006_2</v>
          </cell>
        </row>
        <row r="906">
          <cell r="A906" t="str">
            <v>60006_3</v>
          </cell>
        </row>
        <row r="907">
          <cell r="A907" t="str">
            <v>60007_1</v>
          </cell>
        </row>
        <row r="908">
          <cell r="A908" t="str">
            <v>60007_2</v>
          </cell>
        </row>
        <row r="909">
          <cell r="A909" t="str">
            <v>60007_3</v>
          </cell>
        </row>
        <row r="910">
          <cell r="A910" t="str">
            <v>60010_1</v>
          </cell>
        </row>
        <row r="911">
          <cell r="A911" t="str">
            <v>60011_1</v>
          </cell>
        </row>
        <row r="912">
          <cell r="A912" t="str">
            <v>60011_2</v>
          </cell>
        </row>
        <row r="913">
          <cell r="A913" t="str">
            <v>60012_1</v>
          </cell>
        </row>
        <row r="914">
          <cell r="A914" t="str">
            <v>60013_1</v>
          </cell>
        </row>
        <row r="915">
          <cell r="A915" t="str">
            <v>60013_2</v>
          </cell>
        </row>
        <row r="916">
          <cell r="A916" t="str">
            <v>60013_3</v>
          </cell>
        </row>
        <row r="917">
          <cell r="A917" t="str">
            <v>60014_1</v>
          </cell>
        </row>
        <row r="918">
          <cell r="A918" t="str">
            <v>60015_1</v>
          </cell>
        </row>
        <row r="919">
          <cell r="A919" t="str">
            <v>60016_1</v>
          </cell>
        </row>
        <row r="920">
          <cell r="A920" t="str">
            <v>60017_1</v>
          </cell>
        </row>
        <row r="921">
          <cell r="A921" t="str">
            <v>60018_1</v>
          </cell>
        </row>
        <row r="922">
          <cell r="A922" t="str">
            <v>60019_1</v>
          </cell>
        </row>
        <row r="923">
          <cell r="A923" t="str">
            <v>60020_1</v>
          </cell>
        </row>
        <row r="924">
          <cell r="A924" t="str">
            <v>60021_3</v>
          </cell>
        </row>
        <row r="925">
          <cell r="A925" t="str">
            <v>60022_3</v>
          </cell>
        </row>
        <row r="926">
          <cell r="A926" t="str">
            <v>60023_3</v>
          </cell>
        </row>
        <row r="927">
          <cell r="A927" t="str">
            <v>60024_3</v>
          </cell>
        </row>
        <row r="928">
          <cell r="A928" t="str">
            <v>60025_1</v>
          </cell>
        </row>
        <row r="929">
          <cell r="A929" t="str">
            <v>60026_1</v>
          </cell>
        </row>
        <row r="930">
          <cell r="A930" t="str">
            <v>61011_1</v>
          </cell>
        </row>
        <row r="931">
          <cell r="A931" t="str">
            <v>60027_1</v>
          </cell>
        </row>
        <row r="932">
          <cell r="A932" t="str">
            <v>65525_1</v>
          </cell>
        </row>
        <row r="933">
          <cell r="A933" t="str">
            <v>65526_1</v>
          </cell>
        </row>
        <row r="934">
          <cell r="A934" t="str">
            <v>65526_2</v>
          </cell>
        </row>
        <row r="935">
          <cell r="A935" t="str">
            <v>65527_1</v>
          </cell>
        </row>
        <row r="936">
          <cell r="A936" t="str">
            <v>65528_1</v>
          </cell>
        </row>
        <row r="937">
          <cell r="A937" t="str">
            <v>65529_1</v>
          </cell>
        </row>
        <row r="938">
          <cell r="A938" t="str">
            <v>65530_1</v>
          </cell>
        </row>
        <row r="939">
          <cell r="A939" t="str">
            <v>65531_1</v>
          </cell>
        </row>
        <row r="940">
          <cell r="A940" t="str">
            <v>65531_2</v>
          </cell>
        </row>
        <row r="941">
          <cell r="A941" t="str">
            <v>65532_1</v>
          </cell>
        </row>
        <row r="942">
          <cell r="A942" t="str">
            <v>65532_2</v>
          </cell>
        </row>
        <row r="943">
          <cell r="A943" t="str">
            <v>65533_1</v>
          </cell>
        </row>
        <row r="944">
          <cell r="A944" t="str">
            <v>65533_2</v>
          </cell>
        </row>
        <row r="945">
          <cell r="A945" t="str">
            <v>65534_1</v>
          </cell>
        </row>
        <row r="946">
          <cell r="A946" t="str">
            <v>65535_1</v>
          </cell>
        </row>
        <row r="947">
          <cell r="A947" t="str">
            <v>65535_2</v>
          </cell>
        </row>
        <row r="948">
          <cell r="A948" t="str">
            <v>65535_3</v>
          </cell>
        </row>
        <row r="949">
          <cell r="A949" t="str">
            <v>65535_4</v>
          </cell>
        </row>
        <row r="950">
          <cell r="A950" t="str">
            <v>65535_5</v>
          </cell>
        </row>
        <row r="951">
          <cell r="A951" t="str">
            <v>65535_6</v>
          </cell>
        </row>
        <row r="952">
          <cell r="A952" t="str">
            <v>65535_7</v>
          </cell>
        </row>
        <row r="953">
          <cell r="A953" t="str">
            <v>65535_8</v>
          </cell>
        </row>
        <row r="954">
          <cell r="A954" t="str">
            <v>65535_9</v>
          </cell>
        </row>
        <row r="955">
          <cell r="A955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5001</v>
          </cell>
        </row>
        <row r="1337">
          <cell r="A1337">
            <v>5002</v>
          </cell>
        </row>
        <row r="1338">
          <cell r="A1338">
            <v>5003</v>
          </cell>
        </row>
        <row r="1339">
          <cell r="A1339">
            <v>5004</v>
          </cell>
        </row>
        <row r="1340">
          <cell r="A1340">
            <v>6001</v>
          </cell>
        </row>
        <row r="1341">
          <cell r="A1341">
            <v>6002</v>
          </cell>
        </row>
        <row r="1342">
          <cell r="A1342">
            <v>6003</v>
          </cell>
        </row>
        <row r="1343">
          <cell r="A1343">
            <v>6004</v>
          </cell>
        </row>
        <row r="1344">
          <cell r="A1344">
            <v>6005</v>
          </cell>
        </row>
        <row r="1345">
          <cell r="A1345">
            <v>6006</v>
          </cell>
        </row>
        <row r="1346">
          <cell r="A1346">
            <v>6007</v>
          </cell>
        </row>
        <row r="1347">
          <cell r="A1347">
            <v>6008</v>
          </cell>
        </row>
        <row r="1348">
          <cell r="A1348">
            <v>6009</v>
          </cell>
        </row>
        <row r="1349">
          <cell r="A1349">
            <v>6010</v>
          </cell>
        </row>
        <row r="1350">
          <cell r="A1350">
            <v>6011</v>
          </cell>
        </row>
        <row r="1351">
          <cell r="A1351">
            <v>6012</v>
          </cell>
        </row>
        <row r="1352">
          <cell r="A1352">
            <v>6013</v>
          </cell>
        </row>
        <row r="1353">
          <cell r="A1353">
            <v>6014</v>
          </cell>
        </row>
        <row r="1354">
          <cell r="A1354">
            <v>6015</v>
          </cell>
        </row>
        <row r="1355">
          <cell r="A1355">
            <v>6016</v>
          </cell>
        </row>
        <row r="1356">
          <cell r="A1356">
            <v>6017</v>
          </cell>
        </row>
        <row r="1357">
          <cell r="A1357">
            <v>6018</v>
          </cell>
        </row>
        <row r="1358">
          <cell r="A1358">
            <v>6019</v>
          </cell>
        </row>
        <row r="1359">
          <cell r="A1359">
            <v>6020</v>
          </cell>
        </row>
        <row r="1360">
          <cell r="A1360">
            <v>8001</v>
          </cell>
        </row>
        <row r="1361">
          <cell r="A1361">
            <v>8002</v>
          </cell>
        </row>
        <row r="1362">
          <cell r="A1362">
            <v>8003</v>
          </cell>
        </row>
        <row r="1363">
          <cell r="A1363">
            <v>8004</v>
          </cell>
        </row>
        <row r="1364">
          <cell r="A1364">
            <v>8005</v>
          </cell>
        </row>
        <row r="1365">
          <cell r="A1365">
            <v>8006</v>
          </cell>
        </row>
        <row r="1366">
          <cell r="A1366">
            <v>8007</v>
          </cell>
        </row>
        <row r="1367">
          <cell r="A1367">
            <v>8008</v>
          </cell>
        </row>
        <row r="1368">
          <cell r="A1368">
            <v>8009</v>
          </cell>
        </row>
        <row r="1369">
          <cell r="A1369">
            <v>8010</v>
          </cell>
        </row>
        <row r="1370">
          <cell r="A1370">
            <v>8011</v>
          </cell>
        </row>
        <row r="1371">
          <cell r="A1371">
            <v>8012</v>
          </cell>
        </row>
        <row r="1372">
          <cell r="A1372">
            <v>8013</v>
          </cell>
        </row>
        <row r="1373">
          <cell r="A1373">
            <v>8014</v>
          </cell>
        </row>
        <row r="1374">
          <cell r="A1374">
            <v>8015</v>
          </cell>
        </row>
        <row r="1375">
          <cell r="A1375">
            <v>8016</v>
          </cell>
        </row>
        <row r="1376">
          <cell r="A1376">
            <v>8017</v>
          </cell>
        </row>
        <row r="1377">
          <cell r="A1377">
            <v>8018</v>
          </cell>
        </row>
        <row r="1378">
          <cell r="A1378">
            <v>8019</v>
          </cell>
        </row>
        <row r="1379">
          <cell r="A1379">
            <v>8020</v>
          </cell>
        </row>
        <row r="1380">
          <cell r="A1380">
            <v>8021</v>
          </cell>
        </row>
        <row r="1381">
          <cell r="A1381">
            <v>8022</v>
          </cell>
        </row>
        <row r="1382">
          <cell r="A1382">
            <v>8023</v>
          </cell>
        </row>
        <row r="1383">
          <cell r="A1383">
            <v>8024</v>
          </cell>
        </row>
        <row r="1384">
          <cell r="A1384">
            <v>8025</v>
          </cell>
        </row>
        <row r="1385">
          <cell r="A1385">
            <v>8026</v>
          </cell>
        </row>
        <row r="1386">
          <cell r="A1386">
            <v>8027</v>
          </cell>
        </row>
        <row r="1387">
          <cell r="A1387">
            <v>8028</v>
          </cell>
        </row>
        <row r="1388">
          <cell r="A1388">
            <v>8029</v>
          </cell>
        </row>
        <row r="1389">
          <cell r="A1389">
            <v>8030</v>
          </cell>
        </row>
        <row r="1390">
          <cell r="A1390">
            <v>8031</v>
          </cell>
        </row>
        <row r="1391">
          <cell r="A1391">
            <v>8032</v>
          </cell>
        </row>
        <row r="1392">
          <cell r="A1392">
            <v>8033</v>
          </cell>
        </row>
        <row r="1393">
          <cell r="A1393">
            <v>8034</v>
          </cell>
        </row>
        <row r="1394">
          <cell r="A1394">
            <v>8035</v>
          </cell>
        </row>
        <row r="1395">
          <cell r="A1395">
            <v>8036</v>
          </cell>
        </row>
        <row r="1396">
          <cell r="A1396">
            <v>8037</v>
          </cell>
        </row>
        <row r="1397">
          <cell r="A1397">
            <v>8038</v>
          </cell>
        </row>
        <row r="1398">
          <cell r="A1398">
            <v>8039</v>
          </cell>
        </row>
        <row r="1399">
          <cell r="A1399">
            <v>8040</v>
          </cell>
        </row>
        <row r="1400">
          <cell r="A1400">
            <v>8041</v>
          </cell>
        </row>
        <row r="1401">
          <cell r="A1401">
            <v>8042</v>
          </cell>
        </row>
        <row r="1402">
          <cell r="A1402">
            <v>8043</v>
          </cell>
        </row>
        <row r="1403">
          <cell r="A1403">
            <v>8044</v>
          </cell>
        </row>
        <row r="1404">
          <cell r="A1404">
            <v>8045</v>
          </cell>
        </row>
        <row r="1405">
          <cell r="A1405">
            <v>8046</v>
          </cell>
        </row>
        <row r="1406">
          <cell r="A1406">
            <v>8047</v>
          </cell>
        </row>
        <row r="1407">
          <cell r="A1407">
            <v>8048</v>
          </cell>
        </row>
        <row r="1408">
          <cell r="A1408">
            <v>8049</v>
          </cell>
        </row>
        <row r="1409">
          <cell r="A1409">
            <v>8050</v>
          </cell>
        </row>
        <row r="1410">
          <cell r="A1410">
            <v>8051</v>
          </cell>
        </row>
        <row r="1411">
          <cell r="A1411">
            <v>8052</v>
          </cell>
        </row>
        <row r="1412">
          <cell r="A1412">
            <v>8053</v>
          </cell>
        </row>
        <row r="1413">
          <cell r="A1413">
            <v>8054</v>
          </cell>
        </row>
        <row r="1414">
          <cell r="A1414">
            <v>8055</v>
          </cell>
        </row>
        <row r="1415">
          <cell r="A1415">
            <v>8056</v>
          </cell>
        </row>
        <row r="1416">
          <cell r="A1416">
            <v>8057</v>
          </cell>
        </row>
        <row r="1417">
          <cell r="A1417">
            <v>8058</v>
          </cell>
        </row>
        <row r="1418">
          <cell r="A1418">
            <v>8059</v>
          </cell>
        </row>
        <row r="1419">
          <cell r="A1419">
            <v>8060</v>
          </cell>
        </row>
        <row r="1420">
          <cell r="A1420">
            <v>8061</v>
          </cell>
        </row>
        <row r="1421">
          <cell r="A1421">
            <v>8062</v>
          </cell>
        </row>
        <row r="1422">
          <cell r="A1422">
            <v>8063</v>
          </cell>
        </row>
        <row r="1423">
          <cell r="A1423">
            <v>8064</v>
          </cell>
        </row>
        <row r="1424">
          <cell r="A1424">
            <v>8065</v>
          </cell>
        </row>
        <row r="1425">
          <cell r="A1425">
            <v>8066</v>
          </cell>
        </row>
        <row r="1426">
          <cell r="A1426">
            <v>8067</v>
          </cell>
        </row>
        <row r="1427">
          <cell r="A1427">
            <v>8068</v>
          </cell>
        </row>
        <row r="1428">
          <cell r="A1428">
            <v>8069</v>
          </cell>
        </row>
        <row r="1429">
          <cell r="A1429">
            <v>8070</v>
          </cell>
        </row>
        <row r="1430">
          <cell r="A1430">
            <v>8071</v>
          </cell>
        </row>
        <row r="1431">
          <cell r="A1431">
            <v>8072</v>
          </cell>
        </row>
        <row r="1432">
          <cell r="A1432">
            <v>8077</v>
          </cell>
        </row>
        <row r="1433">
          <cell r="A1433">
            <v>8078</v>
          </cell>
        </row>
        <row r="1434">
          <cell r="A1434">
            <v>8079</v>
          </cell>
        </row>
        <row r="1435">
          <cell r="A1435">
            <v>8080</v>
          </cell>
        </row>
        <row r="1436">
          <cell r="A1436">
            <v>8087</v>
          </cell>
        </row>
        <row r="1437">
          <cell r="A1437">
            <v>8088</v>
          </cell>
        </row>
        <row r="1438">
          <cell r="A1438">
            <v>8089</v>
          </cell>
        </row>
        <row r="1439">
          <cell r="A1439">
            <v>8090</v>
          </cell>
        </row>
        <row r="1440">
          <cell r="A1440">
            <v>8095</v>
          </cell>
        </row>
        <row r="1441">
          <cell r="A1441">
            <v>8096</v>
          </cell>
        </row>
        <row r="1442">
          <cell r="A1442">
            <v>8097</v>
          </cell>
        </row>
        <row r="1443">
          <cell r="A1443">
            <v>8098</v>
          </cell>
        </row>
        <row r="1444">
          <cell r="A1444">
            <v>8099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1403</v>
          </cell>
        </row>
        <row r="1373">
          <cell r="A1373">
            <v>1404</v>
          </cell>
        </row>
        <row r="1374">
          <cell r="A1374">
            <v>1405</v>
          </cell>
        </row>
        <row r="1375">
          <cell r="A1375">
            <v>1406</v>
          </cell>
        </row>
        <row r="1376">
          <cell r="A1376">
            <v>1414</v>
          </cell>
        </row>
        <row r="1377">
          <cell r="A1377">
            <v>1415</v>
          </cell>
        </row>
        <row r="1378">
          <cell r="A1378">
            <v>1416</v>
          </cell>
        </row>
        <row r="1379">
          <cell r="A1379">
            <v>1417</v>
          </cell>
        </row>
        <row r="1380">
          <cell r="A1380">
            <v>1427</v>
          </cell>
        </row>
        <row r="1381">
          <cell r="A1381">
            <v>5001</v>
          </cell>
        </row>
        <row r="1382">
          <cell r="A1382">
            <v>5002</v>
          </cell>
        </row>
        <row r="1383">
          <cell r="A1383">
            <v>5003</v>
          </cell>
        </row>
        <row r="1384">
          <cell r="A1384">
            <v>5004</v>
          </cell>
        </row>
        <row r="1385">
          <cell r="A1385">
            <v>6001</v>
          </cell>
        </row>
        <row r="1386">
          <cell r="A1386">
            <v>6002</v>
          </cell>
        </row>
        <row r="1387">
          <cell r="A1387">
            <v>6003</v>
          </cell>
        </row>
        <row r="1388">
          <cell r="A1388">
            <v>6004</v>
          </cell>
        </row>
        <row r="1389">
          <cell r="A1389">
            <v>6005</v>
          </cell>
        </row>
        <row r="1390">
          <cell r="A1390">
            <v>6006</v>
          </cell>
        </row>
        <row r="1391">
          <cell r="A1391">
            <v>6007</v>
          </cell>
        </row>
        <row r="1392">
          <cell r="A1392">
            <v>6008</v>
          </cell>
        </row>
        <row r="1393">
          <cell r="A1393">
            <v>6009</v>
          </cell>
        </row>
        <row r="1394">
          <cell r="A1394">
            <v>6010</v>
          </cell>
        </row>
        <row r="1395">
          <cell r="A1395">
            <v>6011</v>
          </cell>
        </row>
        <row r="1396">
          <cell r="A1396">
            <v>6012</v>
          </cell>
        </row>
        <row r="1397">
          <cell r="A1397">
            <v>6013</v>
          </cell>
        </row>
        <row r="1398">
          <cell r="A1398">
            <v>6014</v>
          </cell>
        </row>
        <row r="1399">
          <cell r="A1399">
            <v>6015</v>
          </cell>
        </row>
        <row r="1400">
          <cell r="A1400">
            <v>6016</v>
          </cell>
        </row>
        <row r="1401">
          <cell r="A1401">
            <v>6017</v>
          </cell>
        </row>
        <row r="1402">
          <cell r="A1402">
            <v>6018</v>
          </cell>
        </row>
        <row r="1403">
          <cell r="A1403">
            <v>6019</v>
          </cell>
        </row>
        <row r="1404">
          <cell r="A1404">
            <v>6020</v>
          </cell>
        </row>
        <row r="1405">
          <cell r="A1405">
            <v>8001</v>
          </cell>
        </row>
        <row r="1406">
          <cell r="A1406">
            <v>8002</v>
          </cell>
        </row>
        <row r="1407">
          <cell r="A1407">
            <v>8003</v>
          </cell>
        </row>
        <row r="1408">
          <cell r="A1408">
            <v>8004</v>
          </cell>
        </row>
        <row r="1409">
          <cell r="A1409">
            <v>8005</v>
          </cell>
        </row>
        <row r="1410">
          <cell r="A1410">
            <v>8006</v>
          </cell>
        </row>
        <row r="1411">
          <cell r="A1411">
            <v>8007</v>
          </cell>
        </row>
        <row r="1412">
          <cell r="A1412">
            <v>8008</v>
          </cell>
        </row>
        <row r="1413">
          <cell r="A1413">
            <v>8009</v>
          </cell>
        </row>
        <row r="1414">
          <cell r="A1414">
            <v>8010</v>
          </cell>
        </row>
        <row r="1415">
          <cell r="A1415">
            <v>8011</v>
          </cell>
        </row>
        <row r="1416">
          <cell r="A1416">
            <v>8012</v>
          </cell>
        </row>
        <row r="1417">
          <cell r="A1417">
            <v>8013</v>
          </cell>
        </row>
        <row r="1418">
          <cell r="A1418">
            <v>8014</v>
          </cell>
        </row>
        <row r="1419">
          <cell r="A1419">
            <v>8015</v>
          </cell>
        </row>
        <row r="1420">
          <cell r="A1420">
            <v>8016</v>
          </cell>
        </row>
        <row r="1421">
          <cell r="A1421">
            <v>8017</v>
          </cell>
        </row>
        <row r="1422">
          <cell r="A1422">
            <v>8018</v>
          </cell>
        </row>
        <row r="1423">
          <cell r="A1423">
            <v>8019</v>
          </cell>
        </row>
        <row r="1424">
          <cell r="A1424">
            <v>8020</v>
          </cell>
        </row>
        <row r="1425">
          <cell r="A1425">
            <v>8021</v>
          </cell>
        </row>
        <row r="1426">
          <cell r="A1426">
            <v>8022</v>
          </cell>
        </row>
        <row r="1427">
          <cell r="A1427">
            <v>8023</v>
          </cell>
        </row>
        <row r="1428">
          <cell r="A1428">
            <v>8024</v>
          </cell>
        </row>
        <row r="1429">
          <cell r="A1429">
            <v>8025</v>
          </cell>
        </row>
        <row r="1430">
          <cell r="A1430">
            <v>8026</v>
          </cell>
        </row>
        <row r="1431">
          <cell r="A1431">
            <v>8027</v>
          </cell>
        </row>
        <row r="1432">
          <cell r="A1432">
            <v>8028</v>
          </cell>
        </row>
        <row r="1433">
          <cell r="A1433">
            <v>8029</v>
          </cell>
        </row>
        <row r="1434">
          <cell r="A1434">
            <v>8030</v>
          </cell>
        </row>
        <row r="1435">
          <cell r="A1435">
            <v>8031</v>
          </cell>
        </row>
        <row r="1436">
          <cell r="A1436">
            <v>8032</v>
          </cell>
        </row>
        <row r="1437">
          <cell r="A1437">
            <v>8033</v>
          </cell>
        </row>
        <row r="1438">
          <cell r="A1438">
            <v>8034</v>
          </cell>
        </row>
        <row r="1439">
          <cell r="A1439">
            <v>8035</v>
          </cell>
        </row>
        <row r="1440">
          <cell r="A1440">
            <v>8036</v>
          </cell>
        </row>
        <row r="1441">
          <cell r="A1441">
            <v>8037</v>
          </cell>
        </row>
        <row r="1442">
          <cell r="A1442">
            <v>8038</v>
          </cell>
        </row>
        <row r="1443">
          <cell r="A1443">
            <v>8039</v>
          </cell>
        </row>
        <row r="1444">
          <cell r="A1444">
            <v>8040</v>
          </cell>
        </row>
        <row r="1445">
          <cell r="A1445">
            <v>8041</v>
          </cell>
        </row>
        <row r="1446">
          <cell r="A1446">
            <v>8042</v>
          </cell>
        </row>
        <row r="1447">
          <cell r="A1447">
            <v>8043</v>
          </cell>
        </row>
        <row r="1448">
          <cell r="A1448">
            <v>8044</v>
          </cell>
        </row>
        <row r="1449">
          <cell r="A1449">
            <v>8045</v>
          </cell>
        </row>
        <row r="1450">
          <cell r="A1450">
            <v>8046</v>
          </cell>
        </row>
        <row r="1451">
          <cell r="A1451">
            <v>8047</v>
          </cell>
        </row>
        <row r="1452">
          <cell r="A1452">
            <v>8048</v>
          </cell>
        </row>
        <row r="1453">
          <cell r="A1453">
            <v>8049</v>
          </cell>
        </row>
        <row r="1454">
          <cell r="A1454">
            <v>8050</v>
          </cell>
        </row>
        <row r="1455">
          <cell r="A1455">
            <v>8051</v>
          </cell>
        </row>
        <row r="1456">
          <cell r="A1456">
            <v>8052</v>
          </cell>
        </row>
        <row r="1457">
          <cell r="A1457">
            <v>8053</v>
          </cell>
        </row>
        <row r="1458">
          <cell r="A1458">
            <v>8054</v>
          </cell>
        </row>
        <row r="1459">
          <cell r="A1459">
            <v>8055</v>
          </cell>
        </row>
        <row r="1460">
          <cell r="A1460">
            <v>8056</v>
          </cell>
        </row>
        <row r="1461">
          <cell r="A1461">
            <v>8057</v>
          </cell>
        </row>
        <row r="1462">
          <cell r="A1462">
            <v>8058</v>
          </cell>
        </row>
        <row r="1463">
          <cell r="A1463">
            <v>8059</v>
          </cell>
        </row>
        <row r="1464">
          <cell r="A1464">
            <v>8060</v>
          </cell>
        </row>
        <row r="1465">
          <cell r="A1465">
            <v>8061</v>
          </cell>
        </row>
        <row r="1466">
          <cell r="A1466">
            <v>8062</v>
          </cell>
        </row>
        <row r="1467">
          <cell r="A1467">
            <v>8063</v>
          </cell>
        </row>
        <row r="1468">
          <cell r="A1468">
            <v>8064</v>
          </cell>
        </row>
        <row r="1469">
          <cell r="A1469">
            <v>8065</v>
          </cell>
        </row>
        <row r="1470">
          <cell r="A1470">
            <v>8066</v>
          </cell>
        </row>
        <row r="1471">
          <cell r="A1471">
            <v>8067</v>
          </cell>
        </row>
        <row r="1472">
          <cell r="A1472">
            <v>8068</v>
          </cell>
        </row>
        <row r="1473">
          <cell r="A1473">
            <v>8069</v>
          </cell>
        </row>
        <row r="1474">
          <cell r="A1474">
            <v>8070</v>
          </cell>
        </row>
        <row r="1475">
          <cell r="A1475">
            <v>8071</v>
          </cell>
        </row>
        <row r="1476">
          <cell r="A1476">
            <v>8072</v>
          </cell>
        </row>
        <row r="1477">
          <cell r="A1477">
            <v>8073</v>
          </cell>
        </row>
        <row r="1478">
          <cell r="A1478">
            <v>8074</v>
          </cell>
        </row>
        <row r="1479">
          <cell r="A1479">
            <v>8075</v>
          </cell>
        </row>
        <row r="1480">
          <cell r="A1480">
            <v>8076</v>
          </cell>
        </row>
        <row r="1481">
          <cell r="A1481">
            <v>8077</v>
          </cell>
        </row>
        <row r="1482">
          <cell r="A1482">
            <v>8078</v>
          </cell>
        </row>
        <row r="1483">
          <cell r="A1483">
            <v>8079</v>
          </cell>
        </row>
        <row r="1484">
          <cell r="A1484">
            <v>8080</v>
          </cell>
        </row>
        <row r="1485">
          <cell r="A1485">
            <v>8087</v>
          </cell>
        </row>
        <row r="1486">
          <cell r="A1486">
            <v>8088</v>
          </cell>
        </row>
        <row r="1487">
          <cell r="A1487">
            <v>8089</v>
          </cell>
        </row>
        <row r="1488">
          <cell r="A1488">
            <v>8090</v>
          </cell>
        </row>
        <row r="1489">
          <cell r="A1489">
            <v>8095</v>
          </cell>
        </row>
        <row r="1490">
          <cell r="A1490">
            <v>8096</v>
          </cell>
        </row>
        <row r="1491">
          <cell r="A1491">
            <v>8097</v>
          </cell>
        </row>
        <row r="1492">
          <cell r="A1492">
            <v>8098</v>
          </cell>
        </row>
        <row r="1493">
          <cell r="A1493">
            <v>8099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I26" sqref="I26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4" t="s">
        <v>127</v>
      </c>
      <c r="B1" s="49" t="s">
        <v>98</v>
      </c>
      <c r="C1" s="49" t="s">
        <v>99</v>
      </c>
      <c r="D1" s="49" t="s">
        <v>100</v>
      </c>
      <c r="E1" s="49" t="s">
        <v>101</v>
      </c>
      <c r="F1" s="49" t="s">
        <v>102</v>
      </c>
      <c r="G1" s="49" t="s">
        <v>103</v>
      </c>
      <c r="H1" s="49"/>
      <c r="I1" s="49"/>
      <c r="J1" s="49"/>
      <c r="K1" s="49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</row>
    <row r="2" spans="1:30" x14ac:dyDescent="0.15">
      <c r="A2" s="55" t="s">
        <v>290</v>
      </c>
      <c r="B2" s="51" t="s">
        <v>104</v>
      </c>
      <c r="C2" s="56">
        <v>39008</v>
      </c>
      <c r="D2" s="51" t="s">
        <v>105</v>
      </c>
      <c r="E2" s="50" t="str">
        <f>B2&amp;C2&amp;D2</f>
        <v>floors_39008.tmp</v>
      </c>
      <c r="F2" s="51" t="s">
        <v>106</v>
      </c>
      <c r="G2" s="52" t="s">
        <v>0</v>
      </c>
      <c r="H2" s="52" t="s">
        <v>1</v>
      </c>
      <c r="I2" s="52" t="s">
        <v>12</v>
      </c>
      <c r="J2" s="52" t="s">
        <v>13</v>
      </c>
      <c r="K2" s="52" t="s">
        <v>14</v>
      </c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</row>
    <row r="3" spans="1:30" x14ac:dyDescent="0.15">
      <c r="A3" s="55" t="s">
        <v>290</v>
      </c>
      <c r="B3" s="51" t="s">
        <v>107</v>
      </c>
      <c r="C3" s="56">
        <v>39008</v>
      </c>
      <c r="D3" s="51" t="s">
        <v>105</v>
      </c>
      <c r="E3" s="50" t="str">
        <f>B3&amp;C3&amp;D3</f>
        <v>enemy_habitats_39008.tmp</v>
      </c>
      <c r="F3" s="51" t="s">
        <v>108</v>
      </c>
      <c r="G3" s="52" t="s">
        <v>0</v>
      </c>
      <c r="H3" s="52" t="s">
        <v>1</v>
      </c>
      <c r="I3" s="52" t="s">
        <v>12</v>
      </c>
      <c r="J3" s="52" t="s">
        <v>2</v>
      </c>
      <c r="K3" s="52" t="s">
        <v>3</v>
      </c>
      <c r="L3" s="52" t="s">
        <v>46</v>
      </c>
      <c r="M3" s="52" t="s">
        <v>48</v>
      </c>
      <c r="N3" s="52" t="s">
        <v>50</v>
      </c>
      <c r="O3" s="52" t="s">
        <v>21</v>
      </c>
      <c r="P3" s="52" t="s">
        <v>4</v>
      </c>
      <c r="Q3" s="52" t="s">
        <v>5</v>
      </c>
      <c r="R3" s="52" t="s">
        <v>6</v>
      </c>
      <c r="S3" s="52" t="s">
        <v>7</v>
      </c>
      <c r="T3" s="52" t="s">
        <v>8</v>
      </c>
      <c r="U3" s="52" t="s">
        <v>9</v>
      </c>
      <c r="V3" s="52" t="s">
        <v>10</v>
      </c>
      <c r="W3" s="52" t="s">
        <v>11</v>
      </c>
      <c r="X3" s="52" t="s">
        <v>36</v>
      </c>
      <c r="Y3" s="52" t="s">
        <v>38</v>
      </c>
      <c r="Z3" s="52" t="s">
        <v>40</v>
      </c>
      <c r="AA3" s="52" t="s">
        <v>42</v>
      </c>
      <c r="AB3" s="52" t="s">
        <v>44</v>
      </c>
      <c r="AC3" s="52" t="s">
        <v>53</v>
      </c>
      <c r="AD3" s="52" t="s">
        <v>175</v>
      </c>
    </row>
    <row r="4" spans="1:30" x14ac:dyDescent="0.15">
      <c r="A4" s="55" t="s">
        <v>290</v>
      </c>
      <c r="B4" s="51" t="s">
        <v>109</v>
      </c>
      <c r="C4" s="56">
        <v>39008</v>
      </c>
      <c r="D4" s="51" t="s">
        <v>105</v>
      </c>
      <c r="E4" s="50" t="str">
        <f>B4&amp;C4&amp;D4</f>
        <v>enemy_habitat_S_39008.tmp</v>
      </c>
      <c r="F4" s="51" t="s">
        <v>110</v>
      </c>
      <c r="G4" s="52" t="s">
        <v>0</v>
      </c>
      <c r="H4" s="52" t="s">
        <v>1</v>
      </c>
      <c r="I4" s="52" t="s">
        <v>12</v>
      </c>
      <c r="J4" s="52" t="s">
        <v>53</v>
      </c>
      <c r="K4" s="52" t="s">
        <v>54</v>
      </c>
      <c r="L4" s="52" t="s">
        <v>55</v>
      </c>
      <c r="M4" s="52" t="s">
        <v>56</v>
      </c>
      <c r="N4" s="52" t="s">
        <v>57</v>
      </c>
      <c r="O4" s="52" t="s">
        <v>58</v>
      </c>
      <c r="P4" s="52" t="s">
        <v>47</v>
      </c>
      <c r="Q4" s="52" t="s">
        <v>49</v>
      </c>
      <c r="R4" s="52" t="s">
        <v>51</v>
      </c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</row>
    <row r="5" spans="1:30" x14ac:dyDescent="0.15">
      <c r="A5" s="55" t="s">
        <v>290</v>
      </c>
      <c r="B5" s="51" t="s">
        <v>111</v>
      </c>
      <c r="C5" s="56">
        <v>39008</v>
      </c>
      <c r="D5" s="51" t="s">
        <v>105</v>
      </c>
      <c r="E5" s="50" t="str">
        <f>B5&amp;C5&amp;D5</f>
        <v>enemy_skill_sets_39008.tmp</v>
      </c>
      <c r="F5" s="51" t="s">
        <v>112</v>
      </c>
      <c r="G5" s="53" t="s">
        <v>21</v>
      </c>
      <c r="H5" s="53" t="s">
        <v>97</v>
      </c>
      <c r="I5" s="53" t="s">
        <v>92</v>
      </c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</row>
    <row r="6" spans="1:30" x14ac:dyDescent="0.15">
      <c r="A6" s="55" t="s">
        <v>290</v>
      </c>
      <c r="B6" s="51" t="s">
        <v>113</v>
      </c>
      <c r="C6" s="56">
        <v>39008</v>
      </c>
      <c r="D6" s="51" t="s">
        <v>114</v>
      </c>
      <c r="E6" s="50" t="str">
        <f t="shared" ref="E6:E10" si="0">B6&amp;C6&amp;D6</f>
        <v>enemy_skills_tmp_39008.tmp</v>
      </c>
      <c r="F6" s="51" t="s">
        <v>88</v>
      </c>
      <c r="G6" s="52" t="s">
        <v>78</v>
      </c>
      <c r="H6" s="52" t="s">
        <v>79</v>
      </c>
      <c r="I6" s="52" t="s">
        <v>80</v>
      </c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</row>
    <row r="7" spans="1:30" x14ac:dyDescent="0.15">
      <c r="A7" s="55" t="s">
        <v>290</v>
      </c>
      <c r="B7" s="51" t="s">
        <v>115</v>
      </c>
      <c r="C7" s="56">
        <v>39008</v>
      </c>
      <c r="D7" s="51" t="s">
        <v>105</v>
      </c>
      <c r="E7" s="50" t="str">
        <f>B7&amp;C7&amp;D7</f>
        <v>enemy_skills_i18n_39008.tmp</v>
      </c>
      <c r="F7" s="51" t="s">
        <v>116</v>
      </c>
      <c r="G7" s="52" t="s">
        <v>78</v>
      </c>
      <c r="H7" s="52" t="s">
        <v>89</v>
      </c>
      <c r="I7" s="52" t="s">
        <v>90</v>
      </c>
      <c r="J7" s="52" t="s">
        <v>91</v>
      </c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</row>
    <row r="8" spans="1:30" x14ac:dyDescent="0.15">
      <c r="A8" s="55" t="s">
        <v>290</v>
      </c>
      <c r="B8" s="51" t="s">
        <v>117</v>
      </c>
      <c r="C8" s="56">
        <v>39008</v>
      </c>
      <c r="D8" s="51" t="s">
        <v>118</v>
      </c>
      <c r="E8" s="50" t="str">
        <f t="shared" si="0"/>
        <v>enemy_skill_triggers_39008.tmp</v>
      </c>
      <c r="F8" s="51" t="s">
        <v>119</v>
      </c>
      <c r="G8" s="52" t="s">
        <v>92</v>
      </c>
      <c r="H8" s="52" t="s">
        <v>93</v>
      </c>
      <c r="I8" s="52" t="s">
        <v>94</v>
      </c>
      <c r="J8" s="52" t="s">
        <v>95</v>
      </c>
      <c r="K8" s="52" t="s">
        <v>120</v>
      </c>
      <c r="L8" s="52" t="s">
        <v>96</v>
      </c>
      <c r="M8" s="52" t="s">
        <v>121</v>
      </c>
      <c r="N8" s="52" t="s">
        <v>122</v>
      </c>
      <c r="O8" s="52" t="s">
        <v>123</v>
      </c>
      <c r="P8" s="52" t="s">
        <v>66</v>
      </c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</row>
    <row r="9" spans="1:30" x14ac:dyDescent="0.15">
      <c r="A9" s="55" t="s">
        <v>290</v>
      </c>
      <c r="B9" s="60" t="s">
        <v>174</v>
      </c>
      <c r="C9" s="56">
        <v>39008</v>
      </c>
      <c r="D9" s="60" t="s">
        <v>168</v>
      </c>
      <c r="E9" s="61" t="str">
        <f t="shared" si="0"/>
        <v>stage_bug_bonuses_39008.tmp</v>
      </c>
      <c r="F9" s="60" t="s">
        <v>169</v>
      </c>
      <c r="G9" s="58" t="s">
        <v>147</v>
      </c>
      <c r="H9" s="58" t="s">
        <v>170</v>
      </c>
      <c r="I9" s="58" t="s">
        <v>171</v>
      </c>
      <c r="J9" s="59" t="s">
        <v>172</v>
      </c>
      <c r="K9" s="58" t="s">
        <v>173</v>
      </c>
      <c r="L9" s="58" t="s">
        <v>153</v>
      </c>
      <c r="M9" s="58" t="s">
        <v>154</v>
      </c>
      <c r="N9" s="58" t="s">
        <v>155</v>
      </c>
      <c r="O9" s="58" t="s">
        <v>156</v>
      </c>
      <c r="P9" s="58" t="s">
        <v>157</v>
      </c>
      <c r="Q9" s="58" t="s">
        <v>158</v>
      </c>
      <c r="R9" s="58" t="s">
        <v>159</v>
      </c>
      <c r="S9" s="58" t="s">
        <v>160</v>
      </c>
      <c r="T9" s="58" t="s">
        <v>161</v>
      </c>
      <c r="U9" s="58" t="s">
        <v>162</v>
      </c>
      <c r="V9" s="58" t="s">
        <v>163</v>
      </c>
      <c r="W9" s="58" t="s">
        <v>164</v>
      </c>
      <c r="X9" s="51"/>
      <c r="Y9" s="51"/>
      <c r="Z9" s="51"/>
      <c r="AA9" s="51"/>
      <c r="AB9" s="51"/>
      <c r="AC9" s="51"/>
      <c r="AD9" s="51"/>
    </row>
    <row r="10" spans="1:30" s="67" customFormat="1" x14ac:dyDescent="0.15">
      <c r="A10" s="55" t="s">
        <v>290</v>
      </c>
      <c r="B10" s="60" t="s">
        <v>197</v>
      </c>
      <c r="C10" s="56">
        <v>39008</v>
      </c>
      <c r="D10" s="60" t="s">
        <v>177</v>
      </c>
      <c r="E10" s="61" t="str">
        <f t="shared" si="0"/>
        <v>stage_hints_data_c_39008.tmp</v>
      </c>
      <c r="F10" s="60" t="s">
        <v>205</v>
      </c>
      <c r="G10" s="65" t="s">
        <v>178</v>
      </c>
      <c r="H10" s="65" t="s">
        <v>170</v>
      </c>
      <c r="I10" s="66" t="s">
        <v>179</v>
      </c>
      <c r="J10" s="59" t="s">
        <v>180</v>
      </c>
      <c r="K10" s="59" t="s">
        <v>181</v>
      </c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</row>
    <row r="11" spans="1:30" s="67" customFormat="1" x14ac:dyDescent="0.15">
      <c r="A11" s="55" t="s">
        <v>290</v>
      </c>
      <c r="B11" s="60" t="s">
        <v>198</v>
      </c>
      <c r="C11" s="56">
        <v>39008</v>
      </c>
      <c r="D11" s="60" t="s">
        <v>168</v>
      </c>
      <c r="E11" s="61" t="str">
        <f t="shared" ref="E11:E13" si="1">B11&amp;C11&amp;D11</f>
        <v>stage_hints_data_f_39008.tmp</v>
      </c>
      <c r="F11" s="60" t="s">
        <v>206</v>
      </c>
      <c r="G11" s="65" t="s">
        <v>178</v>
      </c>
      <c r="H11" s="65" t="s">
        <v>170</v>
      </c>
      <c r="I11" s="66" t="s">
        <v>179</v>
      </c>
      <c r="J11" s="59" t="s">
        <v>180</v>
      </c>
      <c r="K11" s="59" t="s">
        <v>181</v>
      </c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</row>
    <row r="12" spans="1:30" s="67" customFormat="1" x14ac:dyDescent="0.15">
      <c r="A12" s="55" t="s">
        <v>290</v>
      </c>
      <c r="B12" s="60" t="s">
        <v>199</v>
      </c>
      <c r="C12" s="56">
        <v>39008</v>
      </c>
      <c r="D12" s="60" t="s">
        <v>168</v>
      </c>
      <c r="E12" s="61" t="str">
        <f t="shared" si="1"/>
        <v>stage_hints_i18n_39008.tmp</v>
      </c>
      <c r="F12" s="60" t="s">
        <v>207</v>
      </c>
      <c r="G12" s="66" t="s">
        <v>200</v>
      </c>
      <c r="H12" s="86" t="s">
        <v>201</v>
      </c>
      <c r="I12" s="65" t="s">
        <v>202</v>
      </c>
      <c r="J12" s="90" t="s">
        <v>203</v>
      </c>
      <c r="K12" s="59" t="s">
        <v>204</v>
      </c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</row>
    <row r="13" spans="1:30" s="67" customFormat="1" x14ac:dyDescent="0.15">
      <c r="A13" s="55" t="s">
        <v>290</v>
      </c>
      <c r="B13" s="60" t="s">
        <v>242</v>
      </c>
      <c r="C13" s="56">
        <v>39008</v>
      </c>
      <c r="D13" s="60" t="s">
        <v>223</v>
      </c>
      <c r="E13" s="61" t="str">
        <f t="shared" si="1"/>
        <v>stage_bonuses_39008.tmp</v>
      </c>
      <c r="F13" s="60" t="s">
        <v>222</v>
      </c>
      <c r="G13" s="65" t="s">
        <v>224</v>
      </c>
      <c r="H13" s="65" t="s">
        <v>225</v>
      </c>
      <c r="I13" s="65" t="s">
        <v>226</v>
      </c>
      <c r="J13" s="65" t="s">
        <v>227</v>
      </c>
      <c r="K13" s="65" t="s">
        <v>228</v>
      </c>
      <c r="L13" s="65" t="s">
        <v>229</v>
      </c>
      <c r="M13" s="65" t="s">
        <v>230</v>
      </c>
      <c r="N13" s="65" t="s">
        <v>231</v>
      </c>
      <c r="O13" s="65" t="s">
        <v>232</v>
      </c>
      <c r="P13" s="65" t="s">
        <v>233</v>
      </c>
      <c r="Q13" s="65" t="s">
        <v>234</v>
      </c>
      <c r="R13" s="65" t="s">
        <v>235</v>
      </c>
      <c r="S13" s="65" t="s">
        <v>236</v>
      </c>
      <c r="T13" s="65" t="s">
        <v>237</v>
      </c>
      <c r="U13" s="65" t="s">
        <v>238</v>
      </c>
      <c r="V13" s="65" t="s">
        <v>239</v>
      </c>
      <c r="W13" s="65" t="s">
        <v>240</v>
      </c>
      <c r="X13" s="65" t="s">
        <v>241</v>
      </c>
      <c r="Y13" s="89"/>
      <c r="Z13" s="89"/>
      <c r="AA13" s="89"/>
      <c r="AB13" s="89"/>
      <c r="AC13" s="89"/>
      <c r="AD13" s="89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8"/>
  <sheetViews>
    <sheetView showGridLines="0" workbookViewId="0">
      <pane ySplit="1" topLeftCell="A2" activePane="bottomLeft" state="frozen"/>
      <selection activeCell="V2" sqref="V2:X34"/>
      <selection pane="bottomLeft" activeCell="J4" sqref="J4"/>
    </sheetView>
  </sheetViews>
  <sheetFormatPr baseColWidth="12" defaultColWidth="13" defaultRowHeight="21" customHeight="1" outlineLevelCol="1" x14ac:dyDescent="0.15"/>
  <cols>
    <col min="1" max="1" width="8.83203125" style="16" bestFit="1" customWidth="1"/>
    <col min="2" max="2" width="5" style="16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6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3" t="s">
        <v>29</v>
      </c>
      <c r="B1" s="13" t="s">
        <v>35</v>
      </c>
      <c r="C1" s="1" t="s">
        <v>0</v>
      </c>
      <c r="D1" s="2" t="s">
        <v>17</v>
      </c>
      <c r="E1" s="12" t="s">
        <v>32</v>
      </c>
      <c r="F1" s="1" t="s">
        <v>1</v>
      </c>
      <c r="G1" s="18" t="s">
        <v>31</v>
      </c>
      <c r="H1" s="12" t="s">
        <v>33</v>
      </c>
      <c r="I1" s="1" t="s">
        <v>12</v>
      </c>
      <c r="J1" s="1" t="s">
        <v>13</v>
      </c>
      <c r="K1" s="1" t="s">
        <v>14</v>
      </c>
    </row>
    <row r="2" spans="1:11" ht="21" customHeight="1" x14ac:dyDescent="0.15">
      <c r="A2" s="13" t="str">
        <f>G2&amp;"-"&amp;I2</f>
        <v>39008_1-1</v>
      </c>
      <c r="B2" s="13" t="str">
        <f>IF(COUNTIF(enemy_habitats!$H:$H,A2),"OK","NG")</f>
        <v>OK</v>
      </c>
      <c r="C2" s="94">
        <v>39008</v>
      </c>
      <c r="D2" s="15" t="str">
        <f ca="1">VLOOKUP($C2,OFFSET([2]quests!$A$1,0,0,COUNTA([2]quests!$A:$A),MATCH(D$1,[2]quests!$1:$1,0)-MATCH($C$1,[2]quests!$1:$1,0)+1),MATCH(D$1,[2]quests!$1:$1,0)-MATCH($C$1,[2]quests!$1:$1,0)+1,FALSE)</f>
        <v>雪の歌姫</v>
      </c>
      <c r="E2" s="15" t="str">
        <f ca="1">VLOOKUP($C2,OFFSET([2]quests!$A$1,0,0,COUNTA([2]quests!$A:$A),MATCH(E$1,[2]quests!$1:$1,0)-MATCH($C$1,[2]quests!$1:$1,0)+1),MATCH(E$1,[2]quests!$1:$1,0)-MATCH($C$1,[2]quests!$1:$1,0)+1,FALSE)</f>
        <v>復刻コラボクエスト</v>
      </c>
      <c r="F2" s="95">
        <v>1</v>
      </c>
      <c r="G2" s="18" t="str">
        <f>C2&amp;"_"&amp;F2</f>
        <v>39008_1</v>
      </c>
      <c r="H2" s="12" t="str">
        <f ca="1">VLOOKUP($G2,OFFSET([2]stages!$A$1,0,0,COUNTA([2]stages!$A:$A),MATCH(H$1,[2]stages!$2:$2,0)-MATCH($G$1,[2]stages!$2:$2,0)+1),MATCH(H$1,[2]stages!$2:$2,0)-MATCH($G$1,[2]stages!$2:$2,0)+1,FALSE)</f>
        <v>【初級】雪の歌姫</v>
      </c>
      <c r="I2" s="95">
        <v>1</v>
      </c>
      <c r="J2" s="32">
        <v>30</v>
      </c>
      <c r="K2" s="32">
        <v>30</v>
      </c>
    </row>
    <row r="3" spans="1:11" ht="21" customHeight="1" x14ac:dyDescent="0.15">
      <c r="A3" s="13" t="str">
        <f t="shared" ref="A3:A4" si="0">G3&amp;"-"&amp;I3</f>
        <v>39008_1-2</v>
      </c>
      <c r="B3" s="13" t="str">
        <f>IF(COUNTIF(enemy_habitats!$H:$H,A3),"OK","NG")</f>
        <v>OK</v>
      </c>
      <c r="C3" s="94">
        <v>39008</v>
      </c>
      <c r="D3" s="15" t="str">
        <f ca="1">VLOOKUP($C3,OFFSET([2]quests!$A$1,0,0,COUNTA([2]quests!$A:$A),MATCH(D$1,[2]quests!$1:$1,0)-MATCH($C$1,[2]quests!$1:$1,0)+1),MATCH(D$1,[2]quests!$1:$1,0)-MATCH($C$1,[2]quests!$1:$1,0)+1,FALSE)</f>
        <v>雪の歌姫</v>
      </c>
      <c r="E3" s="15" t="str">
        <f ca="1">VLOOKUP($C3,OFFSET([2]quests!$A$1,0,0,COUNTA([2]quests!$A:$A),MATCH(E$1,[2]quests!$1:$1,0)-MATCH($C$1,[2]quests!$1:$1,0)+1),MATCH(E$1,[2]quests!$1:$1,0)-MATCH($C$1,[2]quests!$1:$1,0)+1,FALSE)</f>
        <v>復刻コラボクエスト</v>
      </c>
      <c r="F3" s="95">
        <v>1</v>
      </c>
      <c r="G3" s="18" t="str">
        <f t="shared" ref="G3:G4" si="1">C3&amp;"_"&amp;F3</f>
        <v>39008_1</v>
      </c>
      <c r="H3" s="12" t="str">
        <f ca="1">VLOOKUP($G3,OFFSET([2]stages!$A$1,0,0,COUNTA([2]stages!$A:$A),MATCH(H$1,[2]stages!$2:$2,0)-MATCH($G$1,[2]stages!$2:$2,0)+1),MATCH(H$1,[2]stages!$2:$2,0)-MATCH($G$1,[2]stages!$2:$2,0)+1,FALSE)</f>
        <v>【初級】雪の歌姫</v>
      </c>
      <c r="I3" s="95">
        <v>2</v>
      </c>
      <c r="J3" s="32">
        <v>45</v>
      </c>
      <c r="K3" s="32">
        <v>45</v>
      </c>
    </row>
    <row r="4" spans="1:11" ht="21" customHeight="1" x14ac:dyDescent="0.15">
      <c r="A4" s="13" t="str">
        <f t="shared" si="0"/>
        <v>39008_1-3</v>
      </c>
      <c r="B4" s="13" t="str">
        <f>IF(COUNTIF(enemy_habitats!$H:$H,A4),"OK","NG")</f>
        <v>OK</v>
      </c>
      <c r="C4" s="94">
        <v>39008</v>
      </c>
      <c r="D4" s="15" t="str">
        <f ca="1">VLOOKUP($C4,OFFSET([2]quests!$A$1,0,0,COUNTA([2]quests!$A:$A),MATCH(D$1,[2]quests!$1:$1,0)-MATCH($C$1,[2]quests!$1:$1,0)+1),MATCH(D$1,[2]quests!$1:$1,0)-MATCH($C$1,[2]quests!$1:$1,0)+1,FALSE)</f>
        <v>雪の歌姫</v>
      </c>
      <c r="E4" s="15" t="str">
        <f ca="1">VLOOKUP($C4,OFFSET([2]quests!$A$1,0,0,COUNTA([2]quests!$A:$A),MATCH(E$1,[2]quests!$1:$1,0)-MATCH($C$1,[2]quests!$1:$1,0)+1),MATCH(E$1,[2]quests!$1:$1,0)-MATCH($C$1,[2]quests!$1:$1,0)+1,FALSE)</f>
        <v>復刻コラボクエスト</v>
      </c>
      <c r="F4" s="95">
        <v>1</v>
      </c>
      <c r="G4" s="18" t="str">
        <f t="shared" si="1"/>
        <v>39008_1</v>
      </c>
      <c r="H4" s="12" t="str">
        <f ca="1">VLOOKUP($G4,OFFSET([2]stages!$A$1,0,0,COUNTA([2]stages!$A:$A),MATCH(H$1,[2]stages!$2:$2,0)-MATCH($G$1,[2]stages!$2:$2,0)+1),MATCH(H$1,[2]stages!$2:$2,0)-MATCH($G$1,[2]stages!$2:$2,0)+1,FALSE)</f>
        <v>【初級】雪の歌姫</v>
      </c>
      <c r="I4" s="95">
        <v>3</v>
      </c>
      <c r="J4" s="32">
        <v>30</v>
      </c>
      <c r="K4" s="32">
        <v>30</v>
      </c>
    </row>
    <row r="5" spans="1:11" ht="21" customHeight="1" x14ac:dyDescent="0.15">
      <c r="A5" s="13" t="str">
        <f>G5&amp;"-"&amp;I5</f>
        <v>39008_2-1</v>
      </c>
      <c r="B5" s="13" t="str">
        <f>IF(COUNTIF(enemy_habitats!$H:$H,A5),"OK","NG")</f>
        <v>OK</v>
      </c>
      <c r="C5" s="94">
        <v>39008</v>
      </c>
      <c r="D5" s="15" t="str">
        <f ca="1">VLOOKUP($C5,OFFSET([2]quests!$A$1,0,0,COUNTA([2]quests!$A:$A),MATCH(D$1,[2]quests!$1:$1,0)-MATCH($C$1,[2]quests!$1:$1,0)+1),MATCH(D$1,[2]quests!$1:$1,0)-MATCH($C$1,[2]quests!$1:$1,0)+1,FALSE)</f>
        <v>雪の歌姫</v>
      </c>
      <c r="E5" s="15" t="str">
        <f ca="1">VLOOKUP($C5,OFFSET([2]quests!$A$1,0,0,COUNTA([2]quests!$A:$A),MATCH(E$1,[2]quests!$1:$1,0)-MATCH($C$1,[2]quests!$1:$1,0)+1),MATCH(E$1,[2]quests!$1:$1,0)-MATCH($C$1,[2]quests!$1:$1,0)+1,FALSE)</f>
        <v>復刻コラボクエスト</v>
      </c>
      <c r="F5" s="95">
        <v>2</v>
      </c>
      <c r="G5" s="18" t="str">
        <f>C5&amp;"_"&amp;F5</f>
        <v>39008_2</v>
      </c>
      <c r="H5" s="12" t="str">
        <f ca="1">VLOOKUP($G5,OFFSET([2]stages!$A$1,0,0,COUNTA([2]stages!$A:$A),MATCH(H$1,[2]stages!$2:$2,0)-MATCH($G$1,[2]stages!$2:$2,0)+1),MATCH(H$1,[2]stages!$2:$2,0)-MATCH($G$1,[2]stages!$2:$2,0)+1,FALSE)</f>
        <v>【中級】雪の歌姫</v>
      </c>
      <c r="I5" s="95">
        <v>1</v>
      </c>
      <c r="J5" s="32">
        <v>30</v>
      </c>
      <c r="K5" s="32">
        <v>30</v>
      </c>
    </row>
    <row r="6" spans="1:11" ht="21" customHeight="1" x14ac:dyDescent="0.15">
      <c r="A6" s="13" t="str">
        <f t="shared" ref="A6:A7" si="2">G6&amp;"-"&amp;I6</f>
        <v>39008_2-2</v>
      </c>
      <c r="B6" s="13" t="str">
        <f>IF(COUNTIF(enemy_habitats!$H:$H,A6),"OK","NG")</f>
        <v>OK</v>
      </c>
      <c r="C6" s="94">
        <v>39008</v>
      </c>
      <c r="D6" s="15" t="str">
        <f ca="1">VLOOKUP($C6,OFFSET([2]quests!$A$1,0,0,COUNTA([2]quests!$A:$A),MATCH(D$1,[2]quests!$1:$1,0)-MATCH($C$1,[2]quests!$1:$1,0)+1),MATCH(D$1,[2]quests!$1:$1,0)-MATCH($C$1,[2]quests!$1:$1,0)+1,FALSE)</f>
        <v>雪の歌姫</v>
      </c>
      <c r="E6" s="15" t="str">
        <f ca="1">VLOOKUP($C6,OFFSET([2]quests!$A$1,0,0,COUNTA([2]quests!$A:$A),MATCH(E$1,[2]quests!$1:$1,0)-MATCH($C$1,[2]quests!$1:$1,0)+1),MATCH(E$1,[2]quests!$1:$1,0)-MATCH($C$1,[2]quests!$1:$1,0)+1,FALSE)</f>
        <v>復刻コラボクエスト</v>
      </c>
      <c r="F6" s="95">
        <v>2</v>
      </c>
      <c r="G6" s="18" t="str">
        <f t="shared" ref="G6:G7" si="3">C6&amp;"_"&amp;F6</f>
        <v>39008_2</v>
      </c>
      <c r="H6" s="12" t="str">
        <f ca="1">VLOOKUP($G6,OFFSET([2]stages!$A$1,0,0,COUNTA([2]stages!$A:$A),MATCH(H$1,[2]stages!$2:$2,0)-MATCH($G$1,[2]stages!$2:$2,0)+1),MATCH(H$1,[2]stages!$2:$2,0)-MATCH($G$1,[2]stages!$2:$2,0)+1,FALSE)</f>
        <v>【中級】雪の歌姫</v>
      </c>
      <c r="I6" s="95">
        <v>2</v>
      </c>
      <c r="J6" s="32">
        <v>60</v>
      </c>
      <c r="K6" s="32">
        <v>60</v>
      </c>
    </row>
    <row r="7" spans="1:11" ht="21" customHeight="1" x14ac:dyDescent="0.15">
      <c r="A7" s="13" t="str">
        <f t="shared" si="2"/>
        <v>39008_2-3</v>
      </c>
      <c r="B7" s="13" t="str">
        <f>IF(COUNTIF(enemy_habitats!$H:$H,A7),"OK","NG")</f>
        <v>OK</v>
      </c>
      <c r="C7" s="94">
        <v>39008</v>
      </c>
      <c r="D7" s="15" t="str">
        <f ca="1">VLOOKUP($C7,OFFSET([2]quests!$A$1,0,0,COUNTA([2]quests!$A:$A),MATCH(D$1,[2]quests!$1:$1,0)-MATCH($C$1,[2]quests!$1:$1,0)+1),MATCH(D$1,[2]quests!$1:$1,0)-MATCH($C$1,[2]quests!$1:$1,0)+1,FALSE)</f>
        <v>雪の歌姫</v>
      </c>
      <c r="E7" s="15" t="str">
        <f ca="1">VLOOKUP($C7,OFFSET([2]quests!$A$1,0,0,COUNTA([2]quests!$A:$A),MATCH(E$1,[2]quests!$1:$1,0)-MATCH($C$1,[2]quests!$1:$1,0)+1),MATCH(E$1,[2]quests!$1:$1,0)-MATCH($C$1,[2]quests!$1:$1,0)+1,FALSE)</f>
        <v>復刻コラボクエスト</v>
      </c>
      <c r="F7" s="95">
        <v>2</v>
      </c>
      <c r="G7" s="18" t="str">
        <f t="shared" si="3"/>
        <v>39008_2</v>
      </c>
      <c r="H7" s="12" t="str">
        <f ca="1">VLOOKUP($G7,OFFSET([2]stages!$A$1,0,0,COUNTA([2]stages!$A:$A),MATCH(H$1,[2]stages!$2:$2,0)-MATCH($G$1,[2]stages!$2:$2,0)+1),MATCH(H$1,[2]stages!$2:$2,0)-MATCH($G$1,[2]stages!$2:$2,0)+1,FALSE)</f>
        <v>【中級】雪の歌姫</v>
      </c>
      <c r="I7" s="95">
        <v>3</v>
      </c>
      <c r="J7" s="32">
        <v>30</v>
      </c>
      <c r="K7" s="32">
        <v>30</v>
      </c>
    </row>
    <row r="8" spans="1:11" ht="21" customHeight="1" x14ac:dyDescent="0.15">
      <c r="A8" s="13" t="str">
        <f>G8&amp;"-"&amp;I8</f>
        <v>39008_3-1</v>
      </c>
      <c r="B8" s="13" t="str">
        <f>IF(COUNTIF(enemy_habitats!$H:$H,A8),"OK","NG")</f>
        <v>OK</v>
      </c>
      <c r="C8" s="94">
        <v>39008</v>
      </c>
      <c r="D8" s="15" t="str">
        <f ca="1">VLOOKUP($C8,OFFSET([2]quests!$A$1,0,0,COUNTA([2]quests!$A:$A),MATCH(D$1,[2]quests!$1:$1,0)-MATCH($C$1,[2]quests!$1:$1,0)+1),MATCH(D$1,[2]quests!$1:$1,0)-MATCH($C$1,[2]quests!$1:$1,0)+1,FALSE)</f>
        <v>雪の歌姫</v>
      </c>
      <c r="E8" s="15" t="str">
        <f ca="1">VLOOKUP($C8,OFFSET([2]quests!$A$1,0,0,COUNTA([2]quests!$A:$A),MATCH(E$1,[2]quests!$1:$1,0)-MATCH($C$1,[2]quests!$1:$1,0)+1),MATCH(E$1,[2]quests!$1:$1,0)-MATCH($C$1,[2]quests!$1:$1,0)+1,FALSE)</f>
        <v>復刻コラボクエスト</v>
      </c>
      <c r="F8" s="95">
        <v>3</v>
      </c>
      <c r="G8" s="18" t="str">
        <f>C8&amp;"_"&amp;F8</f>
        <v>39008_3</v>
      </c>
      <c r="H8" s="12" t="str">
        <f ca="1">VLOOKUP($G8,OFFSET([2]stages!$A$1,0,0,COUNTA([2]stages!$A:$A),MATCH(H$1,[2]stages!$2:$2,0)-MATCH($G$1,[2]stages!$2:$2,0)+1),MATCH(H$1,[2]stages!$2:$2,0)-MATCH($G$1,[2]stages!$2:$2,0)+1,FALSE)</f>
        <v>【上級】雪の歌姫</v>
      </c>
      <c r="I8" s="95">
        <v>1</v>
      </c>
      <c r="J8" s="32">
        <v>45</v>
      </c>
      <c r="K8" s="32">
        <v>45</v>
      </c>
    </row>
    <row r="9" spans="1:11" ht="21" customHeight="1" x14ac:dyDescent="0.15">
      <c r="A9" s="13" t="str">
        <f t="shared" ref="A9:A10" si="4">G9&amp;"-"&amp;I9</f>
        <v>39008_3-2</v>
      </c>
      <c r="B9" s="13" t="str">
        <f>IF(COUNTIF(enemy_habitats!$H:$H,A9),"OK","NG")</f>
        <v>OK</v>
      </c>
      <c r="C9" s="94">
        <v>39008</v>
      </c>
      <c r="D9" s="15" t="str">
        <f ca="1">VLOOKUP($C9,OFFSET([2]quests!$A$1,0,0,COUNTA([2]quests!$A:$A),MATCH(D$1,[2]quests!$1:$1,0)-MATCH($C$1,[2]quests!$1:$1,0)+1),MATCH(D$1,[2]quests!$1:$1,0)-MATCH($C$1,[2]quests!$1:$1,0)+1,FALSE)</f>
        <v>雪の歌姫</v>
      </c>
      <c r="E9" s="15" t="str">
        <f ca="1">VLOOKUP($C9,OFFSET([2]quests!$A$1,0,0,COUNTA([2]quests!$A:$A),MATCH(E$1,[2]quests!$1:$1,0)-MATCH($C$1,[2]quests!$1:$1,0)+1),MATCH(E$1,[2]quests!$1:$1,0)-MATCH($C$1,[2]quests!$1:$1,0)+1,FALSE)</f>
        <v>復刻コラボクエスト</v>
      </c>
      <c r="F9" s="95">
        <v>3</v>
      </c>
      <c r="G9" s="18" t="str">
        <f t="shared" ref="G9:G10" si="5">C9&amp;"_"&amp;F9</f>
        <v>39008_3</v>
      </c>
      <c r="H9" s="12" t="str">
        <f ca="1">VLOOKUP($G9,OFFSET([2]stages!$A$1,0,0,COUNTA([2]stages!$A:$A),MATCH(H$1,[2]stages!$2:$2,0)-MATCH($G$1,[2]stages!$2:$2,0)+1),MATCH(H$1,[2]stages!$2:$2,0)-MATCH($G$1,[2]stages!$2:$2,0)+1,FALSE)</f>
        <v>【上級】雪の歌姫</v>
      </c>
      <c r="I9" s="95">
        <v>2</v>
      </c>
      <c r="J9" s="32">
        <v>60</v>
      </c>
      <c r="K9" s="32">
        <v>60</v>
      </c>
    </row>
    <row r="10" spans="1:11" ht="21" customHeight="1" x14ac:dyDescent="0.15">
      <c r="A10" s="13" t="str">
        <f t="shared" si="4"/>
        <v>39008_3-3</v>
      </c>
      <c r="B10" s="13" t="str">
        <f>IF(COUNTIF(enemy_habitats!$H:$H,A10),"OK","NG")</f>
        <v>OK</v>
      </c>
      <c r="C10" s="94">
        <v>39008</v>
      </c>
      <c r="D10" s="15" t="str">
        <f ca="1">VLOOKUP($C10,OFFSET([2]quests!$A$1,0,0,COUNTA([2]quests!$A:$A),MATCH(D$1,[2]quests!$1:$1,0)-MATCH($C$1,[2]quests!$1:$1,0)+1),MATCH(D$1,[2]quests!$1:$1,0)-MATCH($C$1,[2]quests!$1:$1,0)+1,FALSE)</f>
        <v>雪の歌姫</v>
      </c>
      <c r="E10" s="15" t="str">
        <f ca="1">VLOOKUP($C10,OFFSET([2]quests!$A$1,0,0,COUNTA([2]quests!$A:$A),MATCH(E$1,[2]quests!$1:$1,0)-MATCH($C$1,[2]quests!$1:$1,0)+1),MATCH(E$1,[2]quests!$1:$1,0)-MATCH($C$1,[2]quests!$1:$1,0)+1,FALSE)</f>
        <v>復刻コラボクエスト</v>
      </c>
      <c r="F10" s="95">
        <v>3</v>
      </c>
      <c r="G10" s="18" t="str">
        <f t="shared" si="5"/>
        <v>39008_3</v>
      </c>
      <c r="H10" s="12" t="str">
        <f ca="1">VLOOKUP($G10,OFFSET([2]stages!$A$1,0,0,COUNTA([2]stages!$A:$A),MATCH(H$1,[2]stages!$2:$2,0)-MATCH($G$1,[2]stages!$2:$2,0)+1),MATCH(H$1,[2]stages!$2:$2,0)-MATCH($G$1,[2]stages!$2:$2,0)+1,FALSE)</f>
        <v>【上級】雪の歌姫</v>
      </c>
      <c r="I10" s="95">
        <v>3</v>
      </c>
      <c r="J10" s="32">
        <v>60</v>
      </c>
      <c r="K10" s="32">
        <v>60</v>
      </c>
    </row>
    <row r="11" spans="1:11" ht="21" customHeight="1" x14ac:dyDescent="0.15">
      <c r="A11" s="13" t="str">
        <f>G11&amp;"-"&amp;I11</f>
        <v>39008_4-1</v>
      </c>
      <c r="B11" s="13" t="str">
        <f>IF(COUNTIF(enemy_habitats!$H:$H,A11),"OK","NG")</f>
        <v>OK</v>
      </c>
      <c r="C11" s="94">
        <v>39008</v>
      </c>
      <c r="D11" s="15" t="str">
        <f ca="1">VLOOKUP($C11,OFFSET([2]quests!$A$1,0,0,COUNTA([2]quests!$A:$A),MATCH(D$1,[2]quests!$1:$1,0)-MATCH($C$1,[2]quests!$1:$1,0)+1),MATCH(D$1,[2]quests!$1:$1,0)-MATCH($C$1,[2]quests!$1:$1,0)+1,FALSE)</f>
        <v>雪の歌姫</v>
      </c>
      <c r="E11" s="15" t="str">
        <f ca="1">VLOOKUP($C11,OFFSET([2]quests!$A$1,0,0,COUNTA([2]quests!$A:$A),MATCH(E$1,[2]quests!$1:$1,0)-MATCH($C$1,[2]quests!$1:$1,0)+1),MATCH(E$1,[2]quests!$1:$1,0)-MATCH($C$1,[2]quests!$1:$1,0)+1,FALSE)</f>
        <v>復刻コラボクエスト</v>
      </c>
      <c r="F11" s="95">
        <v>4</v>
      </c>
      <c r="G11" s="18" t="str">
        <f>C11&amp;"_"&amp;F11</f>
        <v>39008_4</v>
      </c>
      <c r="H11" s="12" t="str">
        <f ca="1">VLOOKUP($G11,OFFSET([2]stages!$A$1,0,0,COUNTA([2]stages!$A:$A),MATCH(H$1,[2]stages!$2:$2,0)-MATCH($G$1,[2]stages!$2:$2,0)+1),MATCH(H$1,[2]stages!$2:$2,0)-MATCH($G$1,[2]stages!$2:$2,0)+1,FALSE)</f>
        <v>【超級】雪の歌姫</v>
      </c>
      <c r="I11" s="95">
        <v>1</v>
      </c>
      <c r="J11" s="32">
        <v>60</v>
      </c>
      <c r="K11" s="32">
        <v>60</v>
      </c>
    </row>
    <row r="12" spans="1:11" ht="21" customHeight="1" x14ac:dyDescent="0.15">
      <c r="A12" s="13" t="str">
        <f t="shared" ref="A12:A14" si="6">G12&amp;"-"&amp;I12</f>
        <v>39008_4-2</v>
      </c>
      <c r="B12" s="13" t="str">
        <f>IF(COUNTIF(enemy_habitats!$H:$H,A12),"OK","NG")</f>
        <v>OK</v>
      </c>
      <c r="C12" s="94">
        <v>39008</v>
      </c>
      <c r="D12" s="15" t="str">
        <f ca="1">VLOOKUP($C12,OFFSET([2]quests!$A$1,0,0,COUNTA([2]quests!$A:$A),MATCH(D$1,[2]quests!$1:$1,0)-MATCH($C$1,[2]quests!$1:$1,0)+1),MATCH(D$1,[2]quests!$1:$1,0)-MATCH($C$1,[2]quests!$1:$1,0)+1,FALSE)</f>
        <v>雪の歌姫</v>
      </c>
      <c r="E12" s="15" t="str">
        <f ca="1">VLOOKUP($C12,OFFSET([2]quests!$A$1,0,0,COUNTA([2]quests!$A:$A),MATCH(E$1,[2]quests!$1:$1,0)-MATCH($C$1,[2]quests!$1:$1,0)+1),MATCH(E$1,[2]quests!$1:$1,0)-MATCH($C$1,[2]quests!$1:$1,0)+1,FALSE)</f>
        <v>復刻コラボクエスト</v>
      </c>
      <c r="F12" s="95">
        <v>4</v>
      </c>
      <c r="G12" s="18" t="str">
        <f t="shared" ref="G12:G14" si="7">C12&amp;"_"&amp;F12</f>
        <v>39008_4</v>
      </c>
      <c r="H12" s="12" t="str">
        <f ca="1">VLOOKUP($G12,OFFSET([2]stages!$A$1,0,0,COUNTA([2]stages!$A:$A),MATCH(H$1,[2]stages!$2:$2,0)-MATCH($G$1,[2]stages!$2:$2,0)+1),MATCH(H$1,[2]stages!$2:$2,0)-MATCH($G$1,[2]stages!$2:$2,0)+1,FALSE)</f>
        <v>【超級】雪の歌姫</v>
      </c>
      <c r="I12" s="95">
        <v>2</v>
      </c>
      <c r="J12" s="32">
        <v>60</v>
      </c>
      <c r="K12" s="32">
        <v>60</v>
      </c>
    </row>
    <row r="13" spans="1:11" ht="21" customHeight="1" x14ac:dyDescent="0.15">
      <c r="A13" s="13" t="str">
        <f t="shared" si="6"/>
        <v>39008_4-3</v>
      </c>
      <c r="B13" s="13" t="str">
        <f>IF(COUNTIF(enemy_habitats!$H:$H,A13),"OK","NG")</f>
        <v>OK</v>
      </c>
      <c r="C13" s="94">
        <v>39008</v>
      </c>
      <c r="D13" s="15" t="str">
        <f ca="1">VLOOKUP($C13,OFFSET([2]quests!$A$1,0,0,COUNTA([2]quests!$A:$A),MATCH(D$1,[2]quests!$1:$1,0)-MATCH($C$1,[2]quests!$1:$1,0)+1),MATCH(D$1,[2]quests!$1:$1,0)-MATCH($C$1,[2]quests!$1:$1,0)+1,FALSE)</f>
        <v>雪の歌姫</v>
      </c>
      <c r="E13" s="15" t="str">
        <f ca="1">VLOOKUP($C13,OFFSET([2]quests!$A$1,0,0,COUNTA([2]quests!$A:$A),MATCH(E$1,[2]quests!$1:$1,0)-MATCH($C$1,[2]quests!$1:$1,0)+1),MATCH(E$1,[2]quests!$1:$1,0)-MATCH($C$1,[2]quests!$1:$1,0)+1,FALSE)</f>
        <v>復刻コラボクエスト</v>
      </c>
      <c r="F13" s="95">
        <v>4</v>
      </c>
      <c r="G13" s="18" t="str">
        <f t="shared" si="7"/>
        <v>39008_4</v>
      </c>
      <c r="H13" s="12" t="str">
        <f ca="1">VLOOKUP($G13,OFFSET([2]stages!$A$1,0,0,COUNTA([2]stages!$A:$A),MATCH(H$1,[2]stages!$2:$2,0)-MATCH($G$1,[2]stages!$2:$2,0)+1),MATCH(H$1,[2]stages!$2:$2,0)-MATCH($G$1,[2]stages!$2:$2,0)+1,FALSE)</f>
        <v>【超級】雪の歌姫</v>
      </c>
      <c r="I13" s="95">
        <v>3</v>
      </c>
      <c r="J13" s="32">
        <v>60</v>
      </c>
      <c r="K13" s="32">
        <v>60</v>
      </c>
    </row>
    <row r="14" spans="1:11" ht="21" customHeight="1" x14ac:dyDescent="0.15">
      <c r="A14" s="13" t="str">
        <f t="shared" si="6"/>
        <v>39008_4-4</v>
      </c>
      <c r="B14" s="13" t="str">
        <f>IF(COUNTIF(enemy_habitats!$H:$H,A14),"OK","NG")</f>
        <v>OK</v>
      </c>
      <c r="C14" s="94">
        <v>39008</v>
      </c>
      <c r="D14" s="15" t="str">
        <f ca="1">VLOOKUP($C14,OFFSET([2]quests!$A$1,0,0,COUNTA([2]quests!$A:$A),MATCH(D$1,[2]quests!$1:$1,0)-MATCH($C$1,[2]quests!$1:$1,0)+1),MATCH(D$1,[2]quests!$1:$1,0)-MATCH($C$1,[2]quests!$1:$1,0)+1,FALSE)</f>
        <v>雪の歌姫</v>
      </c>
      <c r="E14" s="15" t="str">
        <f ca="1">VLOOKUP($C14,OFFSET([2]quests!$A$1,0,0,COUNTA([2]quests!$A:$A),MATCH(E$1,[2]quests!$1:$1,0)-MATCH($C$1,[2]quests!$1:$1,0)+1),MATCH(E$1,[2]quests!$1:$1,0)-MATCH($C$1,[2]quests!$1:$1,0)+1,FALSE)</f>
        <v>復刻コラボクエスト</v>
      </c>
      <c r="F14" s="95">
        <v>4</v>
      </c>
      <c r="G14" s="18" t="str">
        <f t="shared" si="7"/>
        <v>39008_4</v>
      </c>
      <c r="H14" s="12" t="str">
        <f ca="1">VLOOKUP($G14,OFFSET([2]stages!$A$1,0,0,COUNTA([2]stages!$A:$A),MATCH(H$1,[2]stages!$2:$2,0)-MATCH($G$1,[2]stages!$2:$2,0)+1),MATCH(H$1,[2]stages!$2:$2,0)-MATCH($G$1,[2]stages!$2:$2,0)+1,FALSE)</f>
        <v>【超級】雪の歌姫</v>
      </c>
      <c r="I14" s="95">
        <v>4</v>
      </c>
      <c r="J14" s="32">
        <v>60</v>
      </c>
      <c r="K14" s="32">
        <v>60</v>
      </c>
    </row>
    <row r="15" spans="1:11" ht="21" customHeight="1" x14ac:dyDescent="0.15">
      <c r="A15" s="13" t="str">
        <f>G15&amp;"-"&amp;I15</f>
        <v>39008_5-1</v>
      </c>
      <c r="B15" s="13" t="str">
        <f>IF(COUNTIF(enemy_habitats!$H:$H,A15),"OK","NG")</f>
        <v>OK</v>
      </c>
      <c r="C15" s="94">
        <v>39008</v>
      </c>
      <c r="D15" s="15" t="str">
        <f ca="1">VLOOKUP($C15,OFFSET([2]quests!$A$1,0,0,COUNTA([2]quests!$A:$A),MATCH(D$1,[2]quests!$1:$1,0)-MATCH($C$1,[2]quests!$1:$1,0)+1),MATCH(D$1,[2]quests!$1:$1,0)-MATCH($C$1,[2]quests!$1:$1,0)+1,FALSE)</f>
        <v>雪の歌姫</v>
      </c>
      <c r="E15" s="15" t="str">
        <f ca="1">VLOOKUP($C15,OFFSET([2]quests!$A$1,0,0,COUNTA([2]quests!$A:$A),MATCH(E$1,[2]quests!$1:$1,0)-MATCH($C$1,[2]quests!$1:$1,0)+1),MATCH(E$1,[2]quests!$1:$1,0)-MATCH($C$1,[2]quests!$1:$1,0)+1,FALSE)</f>
        <v>復刻コラボクエスト</v>
      </c>
      <c r="F15" s="95">
        <v>5</v>
      </c>
      <c r="G15" s="18" t="str">
        <f>C15&amp;"_"&amp;F15</f>
        <v>39008_5</v>
      </c>
      <c r="H15" s="12" t="str">
        <f ca="1">VLOOKUP($G15,OFFSET([2]stages!$A$1,0,0,COUNTA([2]stages!$A:$A),MATCH(H$1,[2]stages!$2:$2,0)-MATCH($G$1,[2]stages!$2:$2,0)+1),MATCH(H$1,[2]stages!$2:$2,0)-MATCH($G$1,[2]stages!$2:$2,0)+1,FALSE)</f>
        <v>【超絶級】雪の歌姫</v>
      </c>
      <c r="I15" s="95">
        <v>1</v>
      </c>
      <c r="J15" s="32">
        <v>60</v>
      </c>
      <c r="K15" s="32">
        <v>60</v>
      </c>
    </row>
    <row r="16" spans="1:11" ht="21" customHeight="1" x14ac:dyDescent="0.15">
      <c r="A16" s="13" t="str">
        <f t="shared" ref="A16:A18" si="8">G16&amp;"-"&amp;I16</f>
        <v>39008_5-2</v>
      </c>
      <c r="B16" s="13" t="str">
        <f>IF(COUNTIF(enemy_habitats!$H:$H,A16),"OK","NG")</f>
        <v>OK</v>
      </c>
      <c r="C16" s="94">
        <v>39008</v>
      </c>
      <c r="D16" s="15" t="str">
        <f ca="1">VLOOKUP($C16,OFFSET([2]quests!$A$1,0,0,COUNTA([2]quests!$A:$A),MATCH(D$1,[2]quests!$1:$1,0)-MATCH($C$1,[2]quests!$1:$1,0)+1),MATCH(D$1,[2]quests!$1:$1,0)-MATCH($C$1,[2]quests!$1:$1,0)+1,FALSE)</f>
        <v>雪の歌姫</v>
      </c>
      <c r="E16" s="15" t="str">
        <f ca="1">VLOOKUP($C16,OFFSET([2]quests!$A$1,0,0,COUNTA([2]quests!$A:$A),MATCH(E$1,[2]quests!$1:$1,0)-MATCH($C$1,[2]quests!$1:$1,0)+1),MATCH(E$1,[2]quests!$1:$1,0)-MATCH($C$1,[2]quests!$1:$1,0)+1,FALSE)</f>
        <v>復刻コラボクエスト</v>
      </c>
      <c r="F16" s="95">
        <v>5</v>
      </c>
      <c r="G16" s="18" t="str">
        <f t="shared" ref="G16:G18" si="9">C16&amp;"_"&amp;F16</f>
        <v>39008_5</v>
      </c>
      <c r="H16" s="12" t="str">
        <f ca="1">VLOOKUP($G16,OFFSET([2]stages!$A$1,0,0,COUNTA([2]stages!$A:$A),MATCH(H$1,[2]stages!$2:$2,0)-MATCH($G$1,[2]stages!$2:$2,0)+1),MATCH(H$1,[2]stages!$2:$2,0)-MATCH($G$1,[2]stages!$2:$2,0)+1,FALSE)</f>
        <v>【超絶級】雪の歌姫</v>
      </c>
      <c r="I16" s="95">
        <v>2</v>
      </c>
      <c r="J16" s="32">
        <v>60</v>
      </c>
      <c r="K16" s="32">
        <v>60</v>
      </c>
    </row>
    <row r="17" spans="1:11" ht="21" customHeight="1" x14ac:dyDescent="0.15">
      <c r="A17" s="13" t="str">
        <f t="shared" si="8"/>
        <v>39008_5-3</v>
      </c>
      <c r="B17" s="13" t="str">
        <f>IF(COUNTIF(enemy_habitats!$H:$H,A17),"OK","NG")</f>
        <v>OK</v>
      </c>
      <c r="C17" s="94">
        <v>39008</v>
      </c>
      <c r="D17" s="15" t="str">
        <f ca="1">VLOOKUP($C17,OFFSET([2]quests!$A$1,0,0,COUNTA([2]quests!$A:$A),MATCH(D$1,[2]quests!$1:$1,0)-MATCH($C$1,[2]quests!$1:$1,0)+1),MATCH(D$1,[2]quests!$1:$1,0)-MATCH($C$1,[2]quests!$1:$1,0)+1,FALSE)</f>
        <v>雪の歌姫</v>
      </c>
      <c r="E17" s="15" t="str">
        <f ca="1">VLOOKUP($C17,OFFSET([2]quests!$A$1,0,0,COUNTA([2]quests!$A:$A),MATCH(E$1,[2]quests!$1:$1,0)-MATCH($C$1,[2]quests!$1:$1,0)+1),MATCH(E$1,[2]quests!$1:$1,0)-MATCH($C$1,[2]quests!$1:$1,0)+1,FALSE)</f>
        <v>復刻コラボクエスト</v>
      </c>
      <c r="F17" s="95">
        <v>5</v>
      </c>
      <c r="G17" s="18" t="str">
        <f t="shared" si="9"/>
        <v>39008_5</v>
      </c>
      <c r="H17" s="12" t="str">
        <f ca="1">VLOOKUP($G17,OFFSET([2]stages!$A$1,0,0,COUNTA([2]stages!$A:$A),MATCH(H$1,[2]stages!$2:$2,0)-MATCH($G$1,[2]stages!$2:$2,0)+1),MATCH(H$1,[2]stages!$2:$2,0)-MATCH($G$1,[2]stages!$2:$2,0)+1,FALSE)</f>
        <v>【超絶級】雪の歌姫</v>
      </c>
      <c r="I17" s="95">
        <v>3</v>
      </c>
      <c r="J17" s="32">
        <v>60</v>
      </c>
      <c r="K17" s="32">
        <v>60</v>
      </c>
    </row>
    <row r="18" spans="1:11" ht="21" customHeight="1" x14ac:dyDescent="0.15">
      <c r="A18" s="13" t="str">
        <f t="shared" si="8"/>
        <v>39008_5-4</v>
      </c>
      <c r="B18" s="13" t="str">
        <f>IF(COUNTIF(enemy_habitats!$H:$H,A18),"OK","NG")</f>
        <v>OK</v>
      </c>
      <c r="C18" s="94">
        <v>39008</v>
      </c>
      <c r="D18" s="15" t="str">
        <f ca="1">VLOOKUP($C18,OFFSET([2]quests!$A$1,0,0,COUNTA([2]quests!$A:$A),MATCH(D$1,[2]quests!$1:$1,0)-MATCH($C$1,[2]quests!$1:$1,0)+1),MATCH(D$1,[2]quests!$1:$1,0)-MATCH($C$1,[2]quests!$1:$1,0)+1,FALSE)</f>
        <v>雪の歌姫</v>
      </c>
      <c r="E18" s="15" t="str">
        <f ca="1">VLOOKUP($C18,OFFSET([2]quests!$A$1,0,0,COUNTA([2]quests!$A:$A),MATCH(E$1,[2]quests!$1:$1,0)-MATCH($C$1,[2]quests!$1:$1,0)+1),MATCH(E$1,[2]quests!$1:$1,0)-MATCH($C$1,[2]quests!$1:$1,0)+1,FALSE)</f>
        <v>復刻コラボクエスト</v>
      </c>
      <c r="F18" s="95">
        <v>5</v>
      </c>
      <c r="G18" s="18" t="str">
        <f t="shared" si="9"/>
        <v>39008_5</v>
      </c>
      <c r="H18" s="12" t="str">
        <f ca="1">VLOOKUP($G18,OFFSET([2]stages!$A$1,0,0,COUNTA([2]stages!$A:$A),MATCH(H$1,[2]stages!$2:$2,0)-MATCH($G$1,[2]stages!$2:$2,0)+1),MATCH(H$1,[2]stages!$2:$2,0)-MATCH($G$1,[2]stages!$2:$2,0)+1,FALSE)</f>
        <v>【超絶級】雪の歌姫</v>
      </c>
      <c r="I18" s="95">
        <v>4</v>
      </c>
      <c r="J18" s="32">
        <v>60</v>
      </c>
      <c r="K18" s="3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10"/>
  <sheetViews>
    <sheetView showGridLines="0" topLeftCell="B1" zoomScale="75" zoomScaleNormal="75" zoomScalePageLayoutView="75" workbookViewId="0">
      <selection activeCell="B2" sqref="B2"/>
    </sheetView>
  </sheetViews>
  <sheetFormatPr baseColWidth="12" defaultColWidth="13" defaultRowHeight="21" customHeight="1" outlineLevelCol="1" x14ac:dyDescent="0.15"/>
  <cols>
    <col min="1" max="1" width="15.83203125" style="16" bestFit="1" customWidth="1"/>
    <col min="2" max="2" width="10.83203125" style="3" bestFit="1" customWidth="1"/>
    <col min="3" max="3" width="10.6640625" style="3" bestFit="1" customWidth="1"/>
    <col min="4" max="4" width="13" style="11" customWidth="1" outlineLevel="1"/>
    <col min="5" max="5" width="11.6640625" style="3" customWidth="1" outlineLevel="1"/>
    <col min="6" max="6" width="16.1640625" style="3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8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9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23.33203125" style="10" bestFit="1" customWidth="1" outlineLevel="1"/>
    <col min="32" max="32" width="8" style="11" bestFit="1" customWidth="1" outlineLevel="1"/>
    <col min="33" max="33" width="12" style="11" bestFit="1" customWidth="1" outlineLevel="1"/>
    <col min="34" max="34" width="15" style="9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29" customFormat="1" ht="21" customHeight="1" x14ac:dyDescent="0.15">
      <c r="A1" s="21" t="s">
        <v>28</v>
      </c>
      <c r="B1" s="22" t="s">
        <v>0</v>
      </c>
      <c r="C1" s="22" t="s">
        <v>1</v>
      </c>
      <c r="D1" s="23" t="s">
        <v>27</v>
      </c>
      <c r="E1" s="24" t="s">
        <v>19</v>
      </c>
      <c r="F1" s="24" t="s">
        <v>19</v>
      </c>
      <c r="G1" s="22" t="s">
        <v>18</v>
      </c>
      <c r="H1" s="23" t="s">
        <v>34</v>
      </c>
      <c r="I1" s="23" t="s">
        <v>13</v>
      </c>
      <c r="J1" s="23" t="s">
        <v>14</v>
      </c>
      <c r="K1" s="30" t="s">
        <v>53</v>
      </c>
      <c r="L1" s="31" t="s">
        <v>2</v>
      </c>
      <c r="M1" s="25" t="s">
        <v>20</v>
      </c>
      <c r="N1" s="23" t="s">
        <v>23</v>
      </c>
      <c r="O1" s="23" t="s">
        <v>22</v>
      </c>
      <c r="P1" s="26" t="s">
        <v>25</v>
      </c>
      <c r="Q1" s="24" t="s">
        <v>24</v>
      </c>
      <c r="R1" s="22" t="s">
        <v>3</v>
      </c>
      <c r="S1" s="20" t="s">
        <v>47</v>
      </c>
      <c r="T1" s="91" t="s">
        <v>243</v>
      </c>
      <c r="U1" s="20" t="s">
        <v>49</v>
      </c>
      <c r="V1" s="91" t="s">
        <v>244</v>
      </c>
      <c r="W1" s="20" t="s">
        <v>51</v>
      </c>
      <c r="X1" s="23" t="s">
        <v>30</v>
      </c>
      <c r="Y1" s="20" t="s">
        <v>286</v>
      </c>
      <c r="Z1" s="22" t="s">
        <v>4</v>
      </c>
      <c r="AA1" s="22" t="s">
        <v>5</v>
      </c>
      <c r="AB1" s="22" t="s">
        <v>6</v>
      </c>
      <c r="AC1" s="22" t="s">
        <v>7</v>
      </c>
      <c r="AD1" s="27" t="s">
        <v>8</v>
      </c>
      <c r="AE1" s="28" t="s">
        <v>15</v>
      </c>
      <c r="AF1" s="28" t="s">
        <v>16</v>
      </c>
      <c r="AG1" s="28" t="s">
        <v>26</v>
      </c>
      <c r="AH1" s="27" t="s">
        <v>9</v>
      </c>
      <c r="AI1" s="22" t="s">
        <v>10</v>
      </c>
      <c r="AJ1" s="22" t="s">
        <v>11</v>
      </c>
      <c r="AK1" s="22" t="s">
        <v>37</v>
      </c>
      <c r="AL1" s="22" t="s">
        <v>39</v>
      </c>
      <c r="AM1" s="22" t="s">
        <v>41</v>
      </c>
      <c r="AN1" s="22" t="s">
        <v>43</v>
      </c>
      <c r="AO1" s="22" t="s">
        <v>45</v>
      </c>
      <c r="AP1" s="30" t="s">
        <v>176</v>
      </c>
    </row>
    <row r="2" spans="1:42" ht="21" customHeight="1" x14ac:dyDescent="0.15">
      <c r="A2" s="13" t="str">
        <f>B2&amp;"_"&amp;C2&amp;"-"&amp;G2&amp;"/"&amp;L2&amp;"&lt;lv"&amp;R2&amp;"&gt;s"&amp;AC2</f>
        <v>39008_1-1/529&lt;lv10&gt;s1</v>
      </c>
      <c r="B2" s="17">
        <v>39008</v>
      </c>
      <c r="C2" s="95">
        <v>1</v>
      </c>
      <c r="D2" s="12" t="str">
        <f>B2&amp;"_"&amp;C2</f>
        <v>39008_1</v>
      </c>
      <c r="E2" s="4" t="str">
        <f ca="1">VLOOKUP($B2,OFFSET([2]quests!$A$1,0,0,COUNTA([2]quests!$A:$A),MATCH(E$1,[2]quests!$1:$1,0)-MATCH($B$1,[2]quests!$1:$1,0)+1),MATCH(E$1,[2]quests!$1:$1,0)-MATCH($B$1,[2]quests!$1:$1,0)+1,FALSE)</f>
        <v>雪の歌姫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【初級】雪の歌姫</v>
      </c>
      <c r="G2" s="96">
        <v>1</v>
      </c>
      <c r="H2" s="12" t="str">
        <f>B2&amp;"_"&amp;C2&amp;"-"&amp;G2</f>
        <v>39008_1-1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2" t="s">
        <v>245</v>
      </c>
      <c r="L2" s="97">
        <v>529</v>
      </c>
      <c r="M2" s="14" t="str">
        <f ca="1">VLOOKUP($L2,OFFSET([3]enemies!$A$1,0,0,COUNTA([3]enemies!$A:$A),MATCH(M$1,[3]enemies!$1:$1,0)-MATCH($L$1,[3]enemies!$1:$1,0)+1),MATCH(M$1,[3]enemies!$1:$1,0)-MATCH($L$1,[3]enemies!$1:$1,0)+1,FALSE)</f>
        <v>冬服ジェリー</v>
      </c>
      <c r="N2" s="14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4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4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4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10</v>
      </c>
      <c r="S2" s="19">
        <v>1.1000000000000001</v>
      </c>
      <c r="T2" s="9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2530</v>
      </c>
      <c r="U2" s="19">
        <v>0.4</v>
      </c>
      <c r="V2" s="9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378</v>
      </c>
      <c r="W2" s="5">
        <v>0</v>
      </c>
      <c r="X2" s="4" t="str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2" s="4">
        <f ca="1">VLOOKUP($L2,OFFSET([3]enemies!$A$1,0,0,COUNTA([3]enemies!$A:$A),MATCH(Y$1,[3]enemies!$1:$1,0)-MATCH($L$1,[3]enemies!$1:$1,0)+1),MATCH(Y$1,[3]enemies!$1:$1,0)-MATCH($L$1,[3]enemies!$1:$1,0)+1,FALSE)</f>
        <v>0</v>
      </c>
      <c r="Z2" s="6">
        <v>0</v>
      </c>
      <c r="AA2" s="6">
        <v>100</v>
      </c>
      <c r="AB2" s="6">
        <v>0</v>
      </c>
      <c r="AC2" s="14">
        <v>1</v>
      </c>
      <c r="AD2" s="98">
        <f>L2</f>
        <v>529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冬服ジェリー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Drop1T</v>
      </c>
      <c r="AH2" s="94">
        <v>1</v>
      </c>
      <c r="AI2" s="98">
        <f ca="1">AF2</f>
        <v>1</v>
      </c>
      <c r="AJ2" s="7">
        <v>20</v>
      </c>
      <c r="AK2" s="94">
        <v>0</v>
      </c>
      <c r="AL2" s="94">
        <v>0</v>
      </c>
      <c r="AM2" s="94">
        <v>0</v>
      </c>
      <c r="AN2" s="94">
        <v>0</v>
      </c>
      <c r="AO2" s="94">
        <v>1</v>
      </c>
      <c r="AP2" s="62">
        <v>1</v>
      </c>
    </row>
    <row r="3" spans="1:42" ht="21" customHeight="1" x14ac:dyDescent="0.15">
      <c r="A3" s="13" t="str">
        <f>B3&amp;"_"&amp;C3&amp;"-"&amp;G3&amp;"/"&amp;L3&amp;"&lt;lv"&amp;R3&amp;"&gt;s"&amp;AC3</f>
        <v>39008_1-1/530&lt;lv10&gt;s2</v>
      </c>
      <c r="B3" s="17">
        <v>39008</v>
      </c>
      <c r="C3" s="95">
        <v>1</v>
      </c>
      <c r="D3" s="12" t="str">
        <f>B3&amp;"_"&amp;C3</f>
        <v>39008_1</v>
      </c>
      <c r="E3" s="4" t="str">
        <f ca="1">VLOOKUP($B3,OFFSET([2]quests!$A$1,0,0,COUNTA([2]quests!$A:$A),MATCH(E$1,[2]quests!$1:$1,0)-MATCH($B$1,[2]quests!$1:$1,0)+1),MATCH(E$1,[2]quests!$1:$1,0)-MATCH($B$1,[2]quests!$1:$1,0)+1,FALSE)</f>
        <v>雪の歌姫</v>
      </c>
      <c r="F3" s="4" t="str">
        <f ca="1">VLOOKUP($D3,OFFSET([2]stages!$A$1,0,0,COUNTA([2]stages!$A:$A),MATCH(F$1,[2]stages!$2:$2,0)-MATCH($D$1,[2]stages!$2:$2,0)+1),MATCH(F$1,[2]stages!$2:$2,0)-MATCH($D$1,[2]stages!$2:$2,0)+1,FALSE)</f>
        <v>【初級】雪の歌姫</v>
      </c>
      <c r="G3" s="96">
        <v>1</v>
      </c>
      <c r="H3" s="12" t="str">
        <f>B3&amp;"_"&amp;C3&amp;"-"&amp;G3</f>
        <v>39008_1-1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2" t="s">
        <v>245</v>
      </c>
      <c r="L3" s="97">
        <v>530</v>
      </c>
      <c r="M3" s="14" t="str">
        <f ca="1">VLOOKUP($L3,OFFSET([3]enemies!$A$1,0,0,COUNTA([3]enemies!$A:$A),MATCH(M$1,[3]enemies!$1:$1,0)-MATCH($L$1,[3]enemies!$1:$1,0)+1),MATCH(M$1,[3]enemies!$1:$1,0)-MATCH($L$1,[3]enemies!$1:$1,0)+1,FALSE)</f>
        <v>冬服ジョー</v>
      </c>
      <c r="N3" s="14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4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4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4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10</v>
      </c>
      <c r="S3" s="19">
        <v>1.2</v>
      </c>
      <c r="T3" s="9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2815.2</v>
      </c>
      <c r="U3" s="19">
        <v>0.5</v>
      </c>
      <c r="V3" s="9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338</v>
      </c>
      <c r="W3" s="5">
        <v>0</v>
      </c>
      <c r="X3" s="4" t="e">
        <f ca="1">VLOOKUP($Y3,OFFSET(enemy_skill_sets!$B$1,0,0,COUNTA(enemy_skill_sets!$B:$B),MATCH(M$1,enemy_skill_sets!$1:$1,0)-MATCH($Y$1,enemy_skill_sets!$1:$1,0)+2),MATCH(M$1,enemy_skill_sets!$1:$1,0)-MATCH($Y$1,enemy_skill_sets!$1:$1,0)+2,FALSE)</f>
        <v>#N/A</v>
      </c>
      <c r="Y3" s="4">
        <f ca="1">VLOOKUP($L3,OFFSET([3]enemies!$A$1,0,0,COUNTA([3]enemies!$A:$A),MATCH(Y$1,[3]enemies!$1:$1,0)-MATCH($L$1,[3]enemies!$1:$1,0)+1),MATCH(Y$1,[3]enemies!$1:$1,0)-MATCH($L$1,[3]enemies!$1:$1,0)+1,FALSE)</f>
        <v>0</v>
      </c>
      <c r="Z3" s="6">
        <v>0</v>
      </c>
      <c r="AA3" s="6">
        <v>100</v>
      </c>
      <c r="AB3" s="6">
        <v>0</v>
      </c>
      <c r="AC3" s="14">
        <v>2</v>
      </c>
      <c r="AD3" s="98">
        <f>L3</f>
        <v>530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冬服ジョー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1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Drop1T</v>
      </c>
      <c r="AH3" s="94">
        <v>1</v>
      </c>
      <c r="AI3" s="98">
        <f ca="1">AF3</f>
        <v>1</v>
      </c>
      <c r="AJ3" s="7">
        <v>20</v>
      </c>
      <c r="AK3" s="94">
        <v>0</v>
      </c>
      <c r="AL3" s="94">
        <v>0</v>
      </c>
      <c r="AM3" s="94">
        <v>0</v>
      </c>
      <c r="AN3" s="94">
        <v>0</v>
      </c>
      <c r="AO3" s="94">
        <v>1</v>
      </c>
      <c r="AP3" s="62">
        <v>1</v>
      </c>
    </row>
    <row r="4" spans="1:42" ht="21" customHeight="1" x14ac:dyDescent="0.15">
      <c r="A4" s="13" t="str">
        <f t="shared" ref="A4:A49" si="0">B4&amp;"_"&amp;C4&amp;"-"&amp;G4&amp;"/"&amp;L4&amp;"&lt;lv"&amp;R4&amp;"&gt;s"&amp;AC4</f>
        <v>39008_1-1/531&lt;lv10&gt;s3</v>
      </c>
      <c r="B4" s="17">
        <v>39008</v>
      </c>
      <c r="C4" s="95">
        <v>1</v>
      </c>
      <c r="D4" s="12" t="str">
        <f t="shared" ref="D4:D49" si="1">B4&amp;"_"&amp;C4</f>
        <v>39008_1</v>
      </c>
      <c r="E4" s="4" t="str">
        <f ca="1">VLOOKUP($B4,OFFSET([2]quests!$A$1,0,0,COUNTA([2]quests!$A:$A),MATCH(E$1,[2]quests!$1:$1,0)-MATCH($B$1,[2]quests!$1:$1,0)+1),MATCH(E$1,[2]quests!$1:$1,0)-MATCH($B$1,[2]quests!$1:$1,0)+1,FALSE)</f>
        <v>雪の歌姫</v>
      </c>
      <c r="F4" s="4" t="str">
        <f ca="1">VLOOKUP($D4,OFFSET([2]stages!$A$1,0,0,COUNTA([2]stages!$A:$A),MATCH(F$1,[2]stages!$2:$2,0)-MATCH($D$1,[2]stages!$2:$2,0)+1),MATCH(F$1,[2]stages!$2:$2,0)-MATCH($D$1,[2]stages!$2:$2,0)+1,FALSE)</f>
        <v>【初級】雪の歌姫</v>
      </c>
      <c r="G4" s="96">
        <v>1</v>
      </c>
      <c r="H4" s="12" t="str">
        <f t="shared" ref="H4:H49" si="2">B4&amp;"_"&amp;C4&amp;"-"&amp;G4</f>
        <v>39008_1-1</v>
      </c>
      <c r="I4" s="4">
        <f ca="1">VLOOKUP($H4,OFFSET(floors!$A$1,0,0,COUNTA(floors!$A:$A),MATCH(I$1,floors!$1:$1,0)-MATCH($H$1,floors!$1:$1,0)+1),MATCH(I$1,floors!$1:$1,0)-MATCH($H$1,floors!$1:$1,0)+1,FALSE)</f>
        <v>30</v>
      </c>
      <c r="J4" s="4">
        <f ca="1">VLOOKUP($H4,OFFSET(floors!$A$1,0,0,COUNTA(floors!$A:$A),MATCH(J$1,floors!$1:$1,0)-MATCH($H$1,floors!$1:$1,0)+1),MATCH(J$1,floors!$1:$1,0)-MATCH($H$1,floors!$1:$1,0)+1,FALSE)</f>
        <v>30</v>
      </c>
      <c r="K4" s="32" t="s">
        <v>245</v>
      </c>
      <c r="L4" s="97">
        <v>531</v>
      </c>
      <c r="M4" s="14" t="str">
        <f ca="1">VLOOKUP($L4,OFFSET([3]enemies!$A$1,0,0,COUNTA([3]enemies!$A:$A),MATCH(M$1,[3]enemies!$1:$1,0)-MATCH($L$1,[3]enemies!$1:$1,0)+1),MATCH(M$1,[3]enemies!$1:$1,0)-MATCH($L$1,[3]enemies!$1:$1,0)+1,FALSE)</f>
        <v>冬服ポチ</v>
      </c>
      <c r="N4" s="14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4" t="str">
        <f ca="1">VLOOKUP($L4,OFFSET([4]characters!$A$1,0,0,COUNTA([4]characters!$A:$A),MATCH(O$1,[4]characters!$1:$1,0)-MATCH($L$1,[4]characters!$1:$1,0)+1),MATCH(O$1,[4]characters!$1:$1,0)-MATCH($L$1,[4]characters!$1:$1,0)+1,FALSE)</f>
        <v>Drop1T</v>
      </c>
      <c r="P4" s="14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4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10</v>
      </c>
      <c r="S4" s="19">
        <v>1</v>
      </c>
      <c r="T4" s="9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1840</v>
      </c>
      <c r="U4" s="19">
        <v>0.8</v>
      </c>
      <c r="V4" s="9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421.6</v>
      </c>
      <c r="W4" s="5">
        <v>0</v>
      </c>
      <c r="X4" s="4" t="e">
        <f ca="1">VLOOKUP($Y4,OFFSET(enemy_skill_sets!$B$1,0,0,COUNTA(enemy_skill_sets!$B:$B),MATCH(M$1,enemy_skill_sets!$1:$1,0)-MATCH($Y$1,enemy_skill_sets!$1:$1,0)+2),MATCH(M$1,enemy_skill_sets!$1:$1,0)-MATCH($Y$1,enemy_skill_sets!$1:$1,0)+2,FALSE)</f>
        <v>#N/A</v>
      </c>
      <c r="Y4" s="4">
        <f ca="1">VLOOKUP($L4,OFFSET([3]enemies!$A$1,0,0,COUNTA([3]enemies!$A:$A),MATCH(Y$1,[3]enemies!$1:$1,0)-MATCH($L$1,[3]enemies!$1:$1,0)+1),MATCH(Y$1,[3]enemies!$1:$1,0)-MATCH($L$1,[3]enemies!$1:$1,0)+1,FALSE)</f>
        <v>0</v>
      </c>
      <c r="Z4" s="6">
        <v>0</v>
      </c>
      <c r="AA4" s="6">
        <v>100</v>
      </c>
      <c r="AB4" s="6">
        <v>0</v>
      </c>
      <c r="AC4" s="14">
        <v>3</v>
      </c>
      <c r="AD4" s="98">
        <f t="shared" ref="AD4:AD49" si="3">L4</f>
        <v>531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冬服ポチ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1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Drop1T</v>
      </c>
      <c r="AH4" s="94">
        <v>1</v>
      </c>
      <c r="AI4" s="98">
        <f t="shared" ref="AI4:AI49" ca="1" si="4">AF4</f>
        <v>1</v>
      </c>
      <c r="AJ4" s="7">
        <v>20</v>
      </c>
      <c r="AK4" s="94">
        <v>0</v>
      </c>
      <c r="AL4" s="94">
        <v>0</v>
      </c>
      <c r="AM4" s="94">
        <v>0</v>
      </c>
      <c r="AN4" s="94">
        <v>0</v>
      </c>
      <c r="AO4" s="94">
        <v>1</v>
      </c>
      <c r="AP4" s="62">
        <v>1</v>
      </c>
    </row>
    <row r="5" spans="1:42" ht="21" customHeight="1" x14ac:dyDescent="0.15">
      <c r="A5" s="13" t="str">
        <f t="shared" si="0"/>
        <v>39008_1-1/532&lt;lv10&gt;s2</v>
      </c>
      <c r="B5" s="17">
        <v>39008</v>
      </c>
      <c r="C5" s="95">
        <v>1</v>
      </c>
      <c r="D5" s="12" t="str">
        <f t="shared" si="1"/>
        <v>39008_1</v>
      </c>
      <c r="E5" s="4" t="str">
        <f ca="1">VLOOKUP($B5,OFFSET([2]quests!$A$1,0,0,COUNTA([2]quests!$A:$A),MATCH(E$1,[2]quests!$1:$1,0)-MATCH($B$1,[2]quests!$1:$1,0)+1),MATCH(E$1,[2]quests!$1:$1,0)-MATCH($B$1,[2]quests!$1:$1,0)+1,FALSE)</f>
        <v>雪の歌姫</v>
      </c>
      <c r="F5" s="4" t="str">
        <f ca="1">VLOOKUP($D5,OFFSET([2]stages!$A$1,0,0,COUNTA([2]stages!$A:$A),MATCH(F$1,[2]stages!$2:$2,0)-MATCH($D$1,[2]stages!$2:$2,0)+1),MATCH(F$1,[2]stages!$2:$2,0)-MATCH($D$1,[2]stages!$2:$2,0)+1,FALSE)</f>
        <v>【初級】雪の歌姫</v>
      </c>
      <c r="G5" s="96">
        <v>1</v>
      </c>
      <c r="H5" s="12" t="str">
        <f t="shared" si="2"/>
        <v>39008_1-1</v>
      </c>
      <c r="I5" s="4">
        <f ca="1">VLOOKUP($H5,OFFSET(floors!$A$1,0,0,COUNTA(floors!$A:$A),MATCH(I$1,floors!$1:$1,0)-MATCH($H$1,floors!$1:$1,0)+1),MATCH(I$1,floors!$1:$1,0)-MATCH($H$1,floors!$1:$1,0)+1,FALSE)</f>
        <v>30</v>
      </c>
      <c r="J5" s="4">
        <f ca="1">VLOOKUP($H5,OFFSET(floors!$A$1,0,0,COUNTA(floors!$A:$A),MATCH(J$1,floors!$1:$1,0)-MATCH($H$1,floors!$1:$1,0)+1),MATCH(J$1,floors!$1:$1,0)-MATCH($H$1,floors!$1:$1,0)+1,FALSE)</f>
        <v>30</v>
      </c>
      <c r="K5" s="32" t="s">
        <v>245</v>
      </c>
      <c r="L5" s="97">
        <v>532</v>
      </c>
      <c r="M5" s="14" t="str">
        <f ca="1">VLOOKUP($L5,OFFSET([3]enemies!$A$1,0,0,COUNTA([3]enemies!$A:$A),MATCH(M$1,[3]enemies!$1:$1,0)-MATCH($L$1,[3]enemies!$1:$1,0)+1),MATCH(M$1,[3]enemies!$1:$1,0)-MATCH($L$1,[3]enemies!$1:$1,0)+1,FALSE)</f>
        <v>冬服エレキポット</v>
      </c>
      <c r="N5" s="14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4" t="str">
        <f ca="1">VLOOKUP($L5,OFFSET([4]characters!$A$1,0,0,COUNTA([4]characters!$A:$A),MATCH(O$1,[4]characters!$1:$1,0)-MATCH($L$1,[4]characters!$1:$1,0)+1),MATCH(O$1,[4]characters!$1:$1,0)-MATCH($L$1,[4]characters!$1:$1,0)+1,FALSE)</f>
        <v>Drop1T</v>
      </c>
      <c r="P5" s="14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4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10</v>
      </c>
      <c r="S5" s="19">
        <v>1.1000000000000001</v>
      </c>
      <c r="T5" s="9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2479.4</v>
      </c>
      <c r="U5" s="19">
        <v>0.4</v>
      </c>
      <c r="V5" s="9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370.8</v>
      </c>
      <c r="W5" s="5">
        <v>0</v>
      </c>
      <c r="X5" s="4" t="e">
        <f ca="1">VLOOKUP($Y5,OFFSET(enemy_skill_sets!$B$1,0,0,COUNTA(enemy_skill_sets!$B:$B),MATCH(M$1,enemy_skill_sets!$1:$1,0)-MATCH($Y$1,enemy_skill_sets!$1:$1,0)+2),MATCH(M$1,enemy_skill_sets!$1:$1,0)-MATCH($Y$1,enemy_skill_sets!$1:$1,0)+2,FALSE)</f>
        <v>#N/A</v>
      </c>
      <c r="Y5" s="4">
        <f ca="1">VLOOKUP($L5,OFFSET([3]enemies!$A$1,0,0,COUNTA([3]enemies!$A:$A),MATCH(Y$1,[3]enemies!$1:$1,0)-MATCH($L$1,[3]enemies!$1:$1,0)+1),MATCH(Y$1,[3]enemies!$1:$1,0)-MATCH($L$1,[3]enemies!$1:$1,0)+1,FALSE)</f>
        <v>0</v>
      </c>
      <c r="Z5" s="6">
        <v>0</v>
      </c>
      <c r="AA5" s="6">
        <v>100</v>
      </c>
      <c r="AB5" s="6">
        <v>0</v>
      </c>
      <c r="AC5" s="14">
        <v>2</v>
      </c>
      <c r="AD5" s="98">
        <f t="shared" si="3"/>
        <v>532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冬服エレキポット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1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Drop1T</v>
      </c>
      <c r="AH5" s="94">
        <v>1</v>
      </c>
      <c r="AI5" s="98">
        <f t="shared" ca="1" si="4"/>
        <v>1</v>
      </c>
      <c r="AJ5" s="7">
        <v>20</v>
      </c>
      <c r="AK5" s="94">
        <v>0</v>
      </c>
      <c r="AL5" s="94">
        <v>0</v>
      </c>
      <c r="AM5" s="94">
        <v>0</v>
      </c>
      <c r="AN5" s="94">
        <v>0</v>
      </c>
      <c r="AO5" s="94">
        <v>1</v>
      </c>
      <c r="AP5" s="62">
        <v>1</v>
      </c>
    </row>
    <row r="6" spans="1:42" ht="21" customHeight="1" x14ac:dyDescent="0.15">
      <c r="A6" s="13" t="str">
        <f t="shared" si="0"/>
        <v>39008_1-1/533&lt;lv10&gt;s3</v>
      </c>
      <c r="B6" s="17">
        <v>39008</v>
      </c>
      <c r="C6" s="95">
        <v>1</v>
      </c>
      <c r="D6" s="12" t="str">
        <f t="shared" si="1"/>
        <v>39008_1</v>
      </c>
      <c r="E6" s="4" t="str">
        <f ca="1">VLOOKUP($B6,OFFSET([2]quests!$A$1,0,0,COUNTA([2]quests!$A:$A),MATCH(E$1,[2]quests!$1:$1,0)-MATCH($B$1,[2]quests!$1:$1,0)+1),MATCH(E$1,[2]quests!$1:$1,0)-MATCH($B$1,[2]quests!$1:$1,0)+1,FALSE)</f>
        <v>雪の歌姫</v>
      </c>
      <c r="F6" s="4" t="str">
        <f ca="1">VLOOKUP($D6,OFFSET([2]stages!$A$1,0,0,COUNTA([2]stages!$A:$A),MATCH(F$1,[2]stages!$2:$2,0)-MATCH($D$1,[2]stages!$2:$2,0)+1),MATCH(F$1,[2]stages!$2:$2,0)-MATCH($D$1,[2]stages!$2:$2,0)+1,FALSE)</f>
        <v>【初級】雪の歌姫</v>
      </c>
      <c r="G6" s="96">
        <v>1</v>
      </c>
      <c r="H6" s="12" t="str">
        <f t="shared" si="2"/>
        <v>39008_1-1</v>
      </c>
      <c r="I6" s="4">
        <f ca="1">VLOOKUP($H6,OFFSET(floors!$A$1,0,0,COUNTA(floors!$A:$A),MATCH(I$1,floors!$1:$1,0)-MATCH($H$1,floors!$1:$1,0)+1),MATCH(I$1,floors!$1:$1,0)-MATCH($H$1,floors!$1:$1,0)+1,FALSE)</f>
        <v>30</v>
      </c>
      <c r="J6" s="4">
        <f ca="1">VLOOKUP($H6,OFFSET(floors!$A$1,0,0,COUNTA(floors!$A:$A),MATCH(J$1,floors!$1:$1,0)-MATCH($H$1,floors!$1:$1,0)+1),MATCH(J$1,floors!$1:$1,0)-MATCH($H$1,floors!$1:$1,0)+1,FALSE)</f>
        <v>30</v>
      </c>
      <c r="K6" s="32" t="s">
        <v>245</v>
      </c>
      <c r="L6" s="97">
        <v>533</v>
      </c>
      <c r="M6" s="14" t="str">
        <f ca="1">VLOOKUP($L6,OFFSET([3]enemies!$A$1,0,0,COUNTA([3]enemies!$A:$A),MATCH(M$1,[3]enemies!$1:$1,0)-MATCH($L$1,[3]enemies!$1:$1,0)+1),MATCH(M$1,[3]enemies!$1:$1,0)-MATCH($L$1,[3]enemies!$1:$1,0)+1,FALSE)</f>
        <v>冬服アカネ</v>
      </c>
      <c r="N6" s="14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4" t="str">
        <f ca="1">VLOOKUP($L6,OFFSET([4]characters!$A$1,0,0,COUNTA([4]characters!$A:$A),MATCH(O$1,[4]characters!$1:$1,0)-MATCH($L$1,[4]characters!$1:$1,0)+1),MATCH(O$1,[4]characters!$1:$1,0)-MATCH($L$1,[4]characters!$1:$1,0)+1,FALSE)</f>
        <v>Drop1W</v>
      </c>
      <c r="P6" s="14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4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10</v>
      </c>
      <c r="S6" s="19">
        <v>1.1000000000000001</v>
      </c>
      <c r="T6" s="9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2378.2000000000003</v>
      </c>
      <c r="U6" s="19">
        <v>0.6</v>
      </c>
      <c r="V6" s="9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418.2</v>
      </c>
      <c r="W6" s="5">
        <v>0</v>
      </c>
      <c r="X6" s="4" t="e">
        <f ca="1">VLOOKUP($Y6,OFFSET(enemy_skill_sets!$B$1,0,0,COUNTA(enemy_skill_sets!$B:$B),MATCH(M$1,enemy_skill_sets!$1:$1,0)-MATCH($Y$1,enemy_skill_sets!$1:$1,0)+2),MATCH(M$1,enemy_skill_sets!$1:$1,0)-MATCH($Y$1,enemy_skill_sets!$1:$1,0)+2,FALSE)</f>
        <v>#N/A</v>
      </c>
      <c r="Y6" s="4">
        <f ca="1">VLOOKUP($L6,OFFSET([3]enemies!$A$1,0,0,COUNTA([3]enemies!$A:$A),MATCH(Y$1,[3]enemies!$1:$1,0)-MATCH($L$1,[3]enemies!$1:$1,0)+1),MATCH(Y$1,[3]enemies!$1:$1,0)-MATCH($L$1,[3]enemies!$1:$1,0)+1,FALSE)</f>
        <v>0</v>
      </c>
      <c r="Z6" s="6">
        <v>0</v>
      </c>
      <c r="AA6" s="6">
        <v>100</v>
      </c>
      <c r="AB6" s="6">
        <v>0</v>
      </c>
      <c r="AC6" s="14">
        <v>3</v>
      </c>
      <c r="AD6" s="98">
        <f t="shared" si="3"/>
        <v>533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冬服アカネ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1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Drop1W</v>
      </c>
      <c r="AH6" s="94">
        <v>1</v>
      </c>
      <c r="AI6" s="98">
        <f t="shared" ca="1" si="4"/>
        <v>1</v>
      </c>
      <c r="AJ6" s="7">
        <v>20</v>
      </c>
      <c r="AK6" s="94">
        <v>0</v>
      </c>
      <c r="AL6" s="94">
        <v>0</v>
      </c>
      <c r="AM6" s="94">
        <v>0</v>
      </c>
      <c r="AN6" s="94">
        <v>0</v>
      </c>
      <c r="AO6" s="94">
        <v>1</v>
      </c>
      <c r="AP6" s="62">
        <v>1</v>
      </c>
    </row>
    <row r="7" spans="1:42" ht="21" customHeight="1" x14ac:dyDescent="0.15">
      <c r="A7" s="13" t="str">
        <f t="shared" si="0"/>
        <v>39008_1-1/534&lt;lv10&gt;s1</v>
      </c>
      <c r="B7" s="17">
        <v>39008</v>
      </c>
      <c r="C7" s="95">
        <v>1</v>
      </c>
      <c r="D7" s="12" t="str">
        <f t="shared" si="1"/>
        <v>39008_1</v>
      </c>
      <c r="E7" s="4" t="str">
        <f ca="1">VLOOKUP($B7,OFFSET([2]quests!$A$1,0,0,COUNTA([2]quests!$A:$A),MATCH(E$1,[2]quests!$1:$1,0)-MATCH($B$1,[2]quests!$1:$1,0)+1),MATCH(E$1,[2]quests!$1:$1,0)-MATCH($B$1,[2]quests!$1:$1,0)+1,FALSE)</f>
        <v>雪の歌姫</v>
      </c>
      <c r="F7" s="4" t="str">
        <f ca="1">VLOOKUP($D7,OFFSET([2]stages!$A$1,0,0,COUNTA([2]stages!$A:$A),MATCH(F$1,[2]stages!$2:$2,0)-MATCH($D$1,[2]stages!$2:$2,0)+1),MATCH(F$1,[2]stages!$2:$2,0)-MATCH($D$1,[2]stages!$2:$2,0)+1,FALSE)</f>
        <v>【初級】雪の歌姫</v>
      </c>
      <c r="G7" s="96">
        <v>1</v>
      </c>
      <c r="H7" s="12" t="str">
        <f t="shared" si="2"/>
        <v>39008_1-1</v>
      </c>
      <c r="I7" s="4">
        <f ca="1">VLOOKUP($H7,OFFSET(floors!$A$1,0,0,COUNTA(floors!$A:$A),MATCH(I$1,floors!$1:$1,0)-MATCH($H$1,floors!$1:$1,0)+1),MATCH(I$1,floors!$1:$1,0)-MATCH($H$1,floors!$1:$1,0)+1,FALSE)</f>
        <v>30</v>
      </c>
      <c r="J7" s="4">
        <f ca="1">VLOOKUP($H7,OFFSET(floors!$A$1,0,0,COUNTA(floors!$A:$A),MATCH(J$1,floors!$1:$1,0)-MATCH($H$1,floors!$1:$1,0)+1),MATCH(J$1,floors!$1:$1,0)-MATCH($H$1,floors!$1:$1,0)+1,FALSE)</f>
        <v>30</v>
      </c>
      <c r="K7" s="32" t="s">
        <v>245</v>
      </c>
      <c r="L7" s="97">
        <v>534</v>
      </c>
      <c r="M7" s="14" t="str">
        <f ca="1">VLOOKUP($L7,OFFSET([3]enemies!$A$1,0,0,COUNTA([3]enemies!$A:$A),MATCH(M$1,[3]enemies!$1:$1,0)-MATCH($L$1,[3]enemies!$1:$1,0)+1),MATCH(M$1,[3]enemies!$1:$1,0)-MATCH($L$1,[3]enemies!$1:$1,0)+1,FALSE)</f>
        <v>冬服パトライン</v>
      </c>
      <c r="N7" s="14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4" t="str">
        <f ca="1">VLOOKUP($L7,OFFSET([4]characters!$A$1,0,0,COUNTA([4]characters!$A:$A),MATCH(O$1,[4]characters!$1:$1,0)-MATCH($L$1,[4]characters!$1:$1,0)+1),MATCH(O$1,[4]characters!$1:$1,0)-MATCH($L$1,[4]characters!$1:$1,0)+1,FALSE)</f>
        <v>Drop1W</v>
      </c>
      <c r="P7" s="14" t="str">
        <f ca="1">VLOOKUP($L7,OFFSET([3]enemies!$A$1,0,0,COUNTA([3]enemies!$A:$A),MATCH(P$1,[3]enemies!$1:$1,0)-MATCH($L$1,[3]enemies!$1:$1,0)+1),MATCH(P$1,[3]enemies!$1:$1,0)-MATCH($L$1,[3]enemies!$1:$1,0)+1,FALSE)</f>
        <v>machine</v>
      </c>
      <c r="Q7" s="14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10</v>
      </c>
      <c r="S7" s="19">
        <v>1.2</v>
      </c>
      <c r="T7" s="9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2252.4</v>
      </c>
      <c r="U7" s="19">
        <v>0.6</v>
      </c>
      <c r="V7" s="9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316.2</v>
      </c>
      <c r="W7" s="5">
        <v>0</v>
      </c>
      <c r="X7" s="4" t="e">
        <f ca="1">VLOOKUP($Y7,OFFSET(enemy_skill_sets!$B$1,0,0,COUNTA(enemy_skill_sets!$B:$B),MATCH(M$1,enemy_skill_sets!$1:$1,0)-MATCH($Y$1,enemy_skill_sets!$1:$1,0)+2),MATCH(M$1,enemy_skill_sets!$1:$1,0)-MATCH($Y$1,enemy_skill_sets!$1:$1,0)+2,FALSE)</f>
        <v>#N/A</v>
      </c>
      <c r="Y7" s="4">
        <f ca="1">VLOOKUP($L7,OFFSET([3]enemies!$A$1,0,0,COUNTA([3]enemies!$A:$A),MATCH(Y$1,[3]enemies!$1:$1,0)-MATCH($L$1,[3]enemies!$1:$1,0)+1),MATCH(Y$1,[3]enemies!$1:$1,0)-MATCH($L$1,[3]enemies!$1:$1,0)+1,FALSE)</f>
        <v>0</v>
      </c>
      <c r="Z7" s="6">
        <v>0</v>
      </c>
      <c r="AA7" s="6">
        <v>100</v>
      </c>
      <c r="AB7" s="6">
        <v>0</v>
      </c>
      <c r="AC7" s="14">
        <v>1</v>
      </c>
      <c r="AD7" s="98">
        <f t="shared" si="3"/>
        <v>534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冬服パトライン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1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Drop1W</v>
      </c>
      <c r="AH7" s="94">
        <v>1</v>
      </c>
      <c r="AI7" s="98">
        <f t="shared" ca="1" si="4"/>
        <v>1</v>
      </c>
      <c r="AJ7" s="7">
        <v>20</v>
      </c>
      <c r="AK7" s="94">
        <v>0</v>
      </c>
      <c r="AL7" s="94">
        <v>0</v>
      </c>
      <c r="AM7" s="94">
        <v>0</v>
      </c>
      <c r="AN7" s="94">
        <v>0</v>
      </c>
      <c r="AO7" s="94">
        <v>1</v>
      </c>
      <c r="AP7" s="62">
        <v>1</v>
      </c>
    </row>
    <row r="8" spans="1:42" ht="21" customHeight="1" x14ac:dyDescent="0.15">
      <c r="A8" s="13" t="str">
        <f t="shared" si="0"/>
        <v>39008_1-1/535&lt;lv10&gt;s2</v>
      </c>
      <c r="B8" s="17">
        <v>39008</v>
      </c>
      <c r="C8" s="95">
        <v>1</v>
      </c>
      <c r="D8" s="12" t="str">
        <f t="shared" si="1"/>
        <v>39008_1</v>
      </c>
      <c r="E8" s="4" t="str">
        <f ca="1">VLOOKUP($B8,OFFSET([2]quests!$A$1,0,0,COUNTA([2]quests!$A:$A),MATCH(E$1,[2]quests!$1:$1,0)-MATCH($B$1,[2]quests!$1:$1,0)+1),MATCH(E$1,[2]quests!$1:$1,0)-MATCH($B$1,[2]quests!$1:$1,0)+1,FALSE)</f>
        <v>雪の歌姫</v>
      </c>
      <c r="F8" s="4" t="str">
        <f ca="1">VLOOKUP($D8,OFFSET([2]stages!$A$1,0,0,COUNTA([2]stages!$A:$A),MATCH(F$1,[2]stages!$2:$2,0)-MATCH($D$1,[2]stages!$2:$2,0)+1),MATCH(F$1,[2]stages!$2:$2,0)-MATCH($D$1,[2]stages!$2:$2,0)+1,FALSE)</f>
        <v>【初級】雪の歌姫</v>
      </c>
      <c r="G8" s="96">
        <v>1</v>
      </c>
      <c r="H8" s="12" t="str">
        <f t="shared" si="2"/>
        <v>39008_1-1</v>
      </c>
      <c r="I8" s="4">
        <f ca="1">VLOOKUP($H8,OFFSET(floors!$A$1,0,0,COUNTA(floors!$A:$A),MATCH(I$1,floors!$1:$1,0)-MATCH($H$1,floors!$1:$1,0)+1),MATCH(I$1,floors!$1:$1,0)-MATCH($H$1,floors!$1:$1,0)+1,FALSE)</f>
        <v>30</v>
      </c>
      <c r="J8" s="4">
        <f ca="1">VLOOKUP($H8,OFFSET(floors!$A$1,0,0,COUNTA(floors!$A:$A),MATCH(J$1,floors!$1:$1,0)-MATCH($H$1,floors!$1:$1,0)+1),MATCH(J$1,floors!$1:$1,0)-MATCH($H$1,floors!$1:$1,0)+1,FALSE)</f>
        <v>30</v>
      </c>
      <c r="K8" s="32" t="s">
        <v>245</v>
      </c>
      <c r="L8" s="97">
        <v>535</v>
      </c>
      <c r="M8" s="14" t="str">
        <f ca="1">VLOOKUP($L8,OFFSET([3]enemies!$A$1,0,0,COUNTA([3]enemies!$A:$A),MATCH(M$1,[3]enemies!$1:$1,0)-MATCH($L$1,[3]enemies!$1:$1,0)+1),MATCH(M$1,[3]enemies!$1:$1,0)-MATCH($L$1,[3]enemies!$1:$1,0)+1,FALSE)</f>
        <v>冬服リム</v>
      </c>
      <c r="N8" s="14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4" t="str">
        <f ca="1">VLOOKUP($L8,OFFSET([4]characters!$A$1,0,0,COUNTA([4]characters!$A:$A),MATCH(O$1,[4]characters!$1:$1,0)-MATCH($L$1,[4]characters!$1:$1,0)+1),MATCH(O$1,[4]characters!$1:$1,0)-MATCH($L$1,[4]characters!$1:$1,0)+1,FALSE)</f>
        <v>Drop1W</v>
      </c>
      <c r="P8" s="14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4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10</v>
      </c>
      <c r="S8" s="19">
        <v>1</v>
      </c>
      <c r="T8" s="92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2162</v>
      </c>
      <c r="U8" s="19">
        <v>0.6</v>
      </c>
      <c r="V8" s="92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401.4</v>
      </c>
      <c r="W8" s="5">
        <v>0</v>
      </c>
      <c r="X8" s="4" t="e">
        <f ca="1">VLOOKUP($Y8,OFFSET(enemy_skill_sets!$B$1,0,0,COUNTA(enemy_skill_sets!$B:$B),MATCH(M$1,enemy_skill_sets!$1:$1,0)-MATCH($Y$1,enemy_skill_sets!$1:$1,0)+2),MATCH(M$1,enemy_skill_sets!$1:$1,0)-MATCH($Y$1,enemy_skill_sets!$1:$1,0)+2,FALSE)</f>
        <v>#N/A</v>
      </c>
      <c r="Y8" s="4">
        <f ca="1">VLOOKUP($L8,OFFSET([3]enemies!$A$1,0,0,COUNTA([3]enemies!$A:$A),MATCH(Y$1,[3]enemies!$1:$1,0)-MATCH($L$1,[3]enemies!$1:$1,0)+1),MATCH(Y$1,[3]enemies!$1:$1,0)-MATCH($L$1,[3]enemies!$1:$1,0)+1,FALSE)</f>
        <v>0</v>
      </c>
      <c r="Z8" s="6">
        <v>0</v>
      </c>
      <c r="AA8" s="6">
        <v>100</v>
      </c>
      <c r="AB8" s="6">
        <v>0</v>
      </c>
      <c r="AC8" s="14">
        <v>2</v>
      </c>
      <c r="AD8" s="98">
        <f t="shared" si="3"/>
        <v>535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冬服リム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1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Drop1W</v>
      </c>
      <c r="AH8" s="94">
        <v>1</v>
      </c>
      <c r="AI8" s="98">
        <f t="shared" ca="1" si="4"/>
        <v>1</v>
      </c>
      <c r="AJ8" s="7">
        <v>20</v>
      </c>
      <c r="AK8" s="94">
        <v>0</v>
      </c>
      <c r="AL8" s="94">
        <v>0</v>
      </c>
      <c r="AM8" s="94">
        <v>0</v>
      </c>
      <c r="AN8" s="94">
        <v>0</v>
      </c>
      <c r="AO8" s="94">
        <v>1</v>
      </c>
      <c r="AP8" s="62">
        <v>1</v>
      </c>
    </row>
    <row r="9" spans="1:42" ht="21" customHeight="1" x14ac:dyDescent="0.15">
      <c r="A9" s="13" t="str">
        <f t="shared" si="0"/>
        <v>39008_1-1/536&lt;lv10&gt;s2</v>
      </c>
      <c r="B9" s="17">
        <v>39008</v>
      </c>
      <c r="C9" s="95">
        <v>1</v>
      </c>
      <c r="D9" s="12" t="str">
        <f t="shared" si="1"/>
        <v>39008_1</v>
      </c>
      <c r="E9" s="4" t="str">
        <f ca="1">VLOOKUP($B9,OFFSET([2]quests!$A$1,0,0,COUNTA([2]quests!$A:$A),MATCH(E$1,[2]quests!$1:$1,0)-MATCH($B$1,[2]quests!$1:$1,0)+1),MATCH(E$1,[2]quests!$1:$1,0)-MATCH($B$1,[2]quests!$1:$1,0)+1,FALSE)</f>
        <v>雪の歌姫</v>
      </c>
      <c r="F9" s="4" t="str">
        <f ca="1">VLOOKUP($D9,OFFSET([2]stages!$A$1,0,0,COUNTA([2]stages!$A:$A),MATCH(F$1,[2]stages!$2:$2,0)-MATCH($D$1,[2]stages!$2:$2,0)+1),MATCH(F$1,[2]stages!$2:$2,0)-MATCH($D$1,[2]stages!$2:$2,0)+1,FALSE)</f>
        <v>【初級】雪の歌姫</v>
      </c>
      <c r="G9" s="96">
        <v>1</v>
      </c>
      <c r="H9" s="12" t="str">
        <f t="shared" si="2"/>
        <v>39008_1-1</v>
      </c>
      <c r="I9" s="4">
        <f ca="1">VLOOKUP($H9,OFFSET(floors!$A$1,0,0,COUNTA(floors!$A:$A),MATCH(I$1,floors!$1:$1,0)-MATCH($H$1,floors!$1:$1,0)+1),MATCH(I$1,floors!$1:$1,0)-MATCH($H$1,floors!$1:$1,0)+1,FALSE)</f>
        <v>30</v>
      </c>
      <c r="J9" s="4">
        <f ca="1">VLOOKUP($H9,OFFSET(floors!$A$1,0,0,COUNTA(floors!$A:$A),MATCH(J$1,floors!$1:$1,0)-MATCH($H$1,floors!$1:$1,0)+1),MATCH(J$1,floors!$1:$1,0)-MATCH($H$1,floors!$1:$1,0)+1,FALSE)</f>
        <v>30</v>
      </c>
      <c r="K9" s="32" t="s">
        <v>245</v>
      </c>
      <c r="L9" s="97">
        <v>536</v>
      </c>
      <c r="M9" s="14" t="str">
        <f ca="1">VLOOKUP($L9,OFFSET([3]enemies!$A$1,0,0,COUNTA([3]enemies!$A:$A),MATCH(M$1,[3]enemies!$1:$1,0)-MATCH($L$1,[3]enemies!$1:$1,0)+1),MATCH(M$1,[3]enemies!$1:$1,0)-MATCH($L$1,[3]enemies!$1:$1,0)+1,FALSE)</f>
        <v>冬服ミミ</v>
      </c>
      <c r="N9" s="14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4" t="str">
        <f ca="1">VLOOKUP($L9,OFFSET([4]characters!$A$1,0,0,COUNTA([4]characters!$A:$A),MATCH(O$1,[4]characters!$1:$1,0)-MATCH($L$1,[4]characters!$1:$1,0)+1),MATCH(O$1,[4]characters!$1:$1,0)-MATCH($L$1,[4]characters!$1:$1,0)+1,FALSE)</f>
        <v>Drop1W</v>
      </c>
      <c r="P9" s="14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4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10</v>
      </c>
      <c r="S9" s="19">
        <v>1.1000000000000001</v>
      </c>
      <c r="T9" s="92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2479.4</v>
      </c>
      <c r="U9" s="19">
        <v>0.4</v>
      </c>
      <c r="V9" s="92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408</v>
      </c>
      <c r="W9" s="5">
        <v>0</v>
      </c>
      <c r="X9" s="4" t="e">
        <f ca="1">VLOOKUP($Y9,OFFSET(enemy_skill_sets!$B$1,0,0,COUNTA(enemy_skill_sets!$B:$B),MATCH(M$1,enemy_skill_sets!$1:$1,0)-MATCH($Y$1,enemy_skill_sets!$1:$1,0)+2),MATCH(M$1,enemy_skill_sets!$1:$1,0)-MATCH($Y$1,enemy_skill_sets!$1:$1,0)+2,FALSE)</f>
        <v>#N/A</v>
      </c>
      <c r="Y9" s="4">
        <f ca="1">VLOOKUP($L9,OFFSET([3]enemies!$A$1,0,0,COUNTA([3]enemies!$A:$A),MATCH(Y$1,[3]enemies!$1:$1,0)-MATCH($L$1,[3]enemies!$1:$1,0)+1),MATCH(Y$1,[3]enemies!$1:$1,0)-MATCH($L$1,[3]enemies!$1:$1,0)+1,FALSE)</f>
        <v>0</v>
      </c>
      <c r="Z9" s="6">
        <v>0</v>
      </c>
      <c r="AA9" s="6">
        <v>100</v>
      </c>
      <c r="AB9" s="6">
        <v>0</v>
      </c>
      <c r="AC9" s="14">
        <v>2</v>
      </c>
      <c r="AD9" s="98">
        <f t="shared" si="3"/>
        <v>536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冬服ミミ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1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Drop1W</v>
      </c>
      <c r="AH9" s="94">
        <v>1</v>
      </c>
      <c r="AI9" s="98">
        <f t="shared" ca="1" si="4"/>
        <v>1</v>
      </c>
      <c r="AJ9" s="7">
        <v>20</v>
      </c>
      <c r="AK9" s="94">
        <v>0</v>
      </c>
      <c r="AL9" s="94">
        <v>0</v>
      </c>
      <c r="AM9" s="94">
        <v>0</v>
      </c>
      <c r="AN9" s="94">
        <v>0</v>
      </c>
      <c r="AO9" s="94">
        <v>1</v>
      </c>
      <c r="AP9" s="62">
        <v>1</v>
      </c>
    </row>
    <row r="10" spans="1:42" ht="21" customHeight="1" x14ac:dyDescent="0.15">
      <c r="A10" s="13" t="str">
        <f t="shared" si="0"/>
        <v>39008_1-2/529&lt;lv13&gt;s1</v>
      </c>
      <c r="B10" s="17">
        <v>39008</v>
      </c>
      <c r="C10" s="95">
        <v>1</v>
      </c>
      <c r="D10" s="12" t="str">
        <f t="shared" si="1"/>
        <v>39008_1</v>
      </c>
      <c r="E10" s="4" t="str">
        <f ca="1">VLOOKUP($B10,OFFSET([2]quests!$A$1,0,0,COUNTA([2]quests!$A:$A),MATCH(E$1,[2]quests!$1:$1,0)-MATCH($B$1,[2]quests!$1:$1,0)+1),MATCH(E$1,[2]quests!$1:$1,0)-MATCH($B$1,[2]quests!$1:$1,0)+1,FALSE)</f>
        <v>雪の歌姫</v>
      </c>
      <c r="F10" s="4" t="str">
        <f ca="1">VLOOKUP($D10,OFFSET([2]stages!$A$1,0,0,COUNTA([2]stages!$A:$A),MATCH(F$1,[2]stages!$2:$2,0)-MATCH($D$1,[2]stages!$2:$2,0)+1),MATCH(F$1,[2]stages!$2:$2,0)-MATCH($D$1,[2]stages!$2:$2,0)+1,FALSE)</f>
        <v>【初級】雪の歌姫</v>
      </c>
      <c r="G10" s="99">
        <v>2</v>
      </c>
      <c r="H10" s="12" t="str">
        <f t="shared" si="2"/>
        <v>39008_1-2</v>
      </c>
      <c r="I10" s="4">
        <f ca="1">VLOOKUP($H10,OFFSET(floors!$A$1,0,0,COUNTA(floors!$A:$A),MATCH(I$1,floors!$1:$1,0)-MATCH($H$1,floors!$1:$1,0)+1),MATCH(I$1,floors!$1:$1,0)-MATCH($H$1,floors!$1:$1,0)+1,FALSE)</f>
        <v>45</v>
      </c>
      <c r="J10" s="4">
        <f ca="1">VLOOKUP($H10,OFFSET(floors!$A$1,0,0,COUNTA(floors!$A:$A),MATCH(J$1,floors!$1:$1,0)-MATCH($H$1,floors!$1:$1,0)+1),MATCH(J$1,floors!$1:$1,0)-MATCH($H$1,floors!$1:$1,0)+1,FALSE)</f>
        <v>45</v>
      </c>
      <c r="K10" s="32" t="s">
        <v>245</v>
      </c>
      <c r="L10" s="97">
        <v>529</v>
      </c>
      <c r="M10" s="14" t="str">
        <f ca="1">VLOOKUP($L10,OFFSET([3]enemies!$A$1,0,0,COUNTA([3]enemies!$A:$A),MATCH(M$1,[3]enemies!$1:$1,0)-MATCH($L$1,[3]enemies!$1:$1,0)+1),MATCH(M$1,[3]enemies!$1:$1,0)-MATCH($L$1,[3]enemies!$1:$1,0)+1,FALSE)</f>
        <v>冬服ジェリー</v>
      </c>
      <c r="N10" s="14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4" t="str">
        <f ca="1">VLOOKUP($L10,OFFSET([4]characters!$A$1,0,0,COUNTA([4]characters!$A:$A),MATCH(O$1,[4]characters!$1:$1,0)-MATCH($L$1,[4]characters!$1:$1,0)+1),MATCH(O$1,[4]characters!$1:$1,0)-MATCH($L$1,[4]characters!$1:$1,0)+1,FALSE)</f>
        <v>Drop1T</v>
      </c>
      <c r="P10" s="14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4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13</v>
      </c>
      <c r="S10" s="19">
        <v>1</v>
      </c>
      <c r="T10" s="92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2900</v>
      </c>
      <c r="U10" s="19">
        <v>0.4</v>
      </c>
      <c r="V10" s="92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476.8</v>
      </c>
      <c r="W10" s="5">
        <v>0</v>
      </c>
      <c r="X10" s="4" t="e">
        <f ca="1">VLOOKUP($Y10,OFFSET(enemy_skill_sets!$B$1,0,0,COUNTA(enemy_skill_sets!$B:$B),MATCH(M$1,enemy_skill_sets!$1:$1,0)-MATCH($Y$1,enemy_skill_sets!$1:$1,0)+2),MATCH(M$1,enemy_skill_sets!$1:$1,0)-MATCH($Y$1,enemy_skill_sets!$1:$1,0)+2,FALSE)</f>
        <v>#N/A</v>
      </c>
      <c r="Y10" s="4">
        <f ca="1">VLOOKUP($L10,OFFSET([3]enemies!$A$1,0,0,COUNTA([3]enemies!$A:$A),MATCH(Y$1,[3]enemies!$1:$1,0)-MATCH($L$1,[3]enemies!$1:$1,0)+1),MATCH(Y$1,[3]enemies!$1:$1,0)-MATCH($L$1,[3]enemies!$1:$1,0)+1,FALSE)</f>
        <v>0</v>
      </c>
      <c r="Z10" s="6">
        <v>0</v>
      </c>
      <c r="AA10" s="6">
        <v>100</v>
      </c>
      <c r="AB10" s="6">
        <v>0</v>
      </c>
      <c r="AC10" s="100">
        <v>1</v>
      </c>
      <c r="AD10" s="98">
        <f t="shared" si="3"/>
        <v>529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冬服ジェリー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1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Drop1T</v>
      </c>
      <c r="AH10" s="94">
        <v>1</v>
      </c>
      <c r="AI10" s="98">
        <f t="shared" ca="1" si="4"/>
        <v>1</v>
      </c>
      <c r="AJ10" s="7">
        <v>20</v>
      </c>
      <c r="AK10" s="94">
        <v>0</v>
      </c>
      <c r="AL10" s="94">
        <v>0</v>
      </c>
      <c r="AM10" s="94">
        <v>0</v>
      </c>
      <c r="AN10" s="94">
        <v>0</v>
      </c>
      <c r="AO10" s="94">
        <v>1</v>
      </c>
      <c r="AP10" s="62">
        <v>1</v>
      </c>
    </row>
    <row r="11" spans="1:42" ht="21" customHeight="1" x14ac:dyDescent="0.15">
      <c r="A11" s="13" t="str">
        <f t="shared" si="0"/>
        <v>39008_1-2/530&lt;lv13&gt;s2</v>
      </c>
      <c r="B11" s="17">
        <v>39008</v>
      </c>
      <c r="C11" s="95">
        <v>1</v>
      </c>
      <c r="D11" s="12" t="str">
        <f t="shared" si="1"/>
        <v>39008_1</v>
      </c>
      <c r="E11" s="4" t="str">
        <f ca="1">VLOOKUP($B11,OFFSET([2]quests!$A$1,0,0,COUNTA([2]quests!$A:$A),MATCH(E$1,[2]quests!$1:$1,0)-MATCH($B$1,[2]quests!$1:$1,0)+1),MATCH(E$1,[2]quests!$1:$1,0)-MATCH($B$1,[2]quests!$1:$1,0)+1,FALSE)</f>
        <v>雪の歌姫</v>
      </c>
      <c r="F11" s="4" t="str">
        <f ca="1">VLOOKUP($D11,OFFSET([2]stages!$A$1,0,0,COUNTA([2]stages!$A:$A),MATCH(F$1,[2]stages!$2:$2,0)-MATCH($D$1,[2]stages!$2:$2,0)+1),MATCH(F$1,[2]stages!$2:$2,0)-MATCH($D$1,[2]stages!$2:$2,0)+1,FALSE)</f>
        <v>【初級】雪の歌姫</v>
      </c>
      <c r="G11" s="99">
        <v>2</v>
      </c>
      <c r="H11" s="12" t="str">
        <f t="shared" si="2"/>
        <v>39008_1-2</v>
      </c>
      <c r="I11" s="4">
        <f ca="1">VLOOKUP($H11,OFFSET(floors!$A$1,0,0,COUNTA(floors!$A:$A),MATCH(I$1,floors!$1:$1,0)-MATCH($H$1,floors!$1:$1,0)+1),MATCH(I$1,floors!$1:$1,0)-MATCH($H$1,floors!$1:$1,0)+1,FALSE)</f>
        <v>45</v>
      </c>
      <c r="J11" s="4">
        <f ca="1">VLOOKUP($H11,OFFSET(floors!$A$1,0,0,COUNTA(floors!$A:$A),MATCH(J$1,floors!$1:$1,0)-MATCH($H$1,floors!$1:$1,0)+1),MATCH(J$1,floors!$1:$1,0)-MATCH($H$1,floors!$1:$1,0)+1,FALSE)</f>
        <v>45</v>
      </c>
      <c r="K11" s="32" t="s">
        <v>245</v>
      </c>
      <c r="L11" s="97">
        <v>530</v>
      </c>
      <c r="M11" s="14" t="str">
        <f ca="1">VLOOKUP($L11,OFFSET([3]enemies!$A$1,0,0,COUNTA([3]enemies!$A:$A),MATCH(M$1,[3]enemies!$1:$1,0)-MATCH($L$1,[3]enemies!$1:$1,0)+1),MATCH(M$1,[3]enemies!$1:$1,0)-MATCH($L$1,[3]enemies!$1:$1,0)+1,FALSE)</f>
        <v>冬服ジョー</v>
      </c>
      <c r="N11" s="14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4" t="str">
        <f ca="1">VLOOKUP($L11,OFFSET([4]characters!$A$1,0,0,COUNTA([4]characters!$A:$A),MATCH(O$1,[4]characters!$1:$1,0)-MATCH($L$1,[4]characters!$1:$1,0)+1),MATCH(O$1,[4]characters!$1:$1,0)-MATCH($L$1,[4]characters!$1:$1,0)+1,FALSE)</f>
        <v>Drop1T</v>
      </c>
      <c r="P11" s="14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4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13</v>
      </c>
      <c r="S11" s="19">
        <v>1</v>
      </c>
      <c r="T11" s="92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2958</v>
      </c>
      <c r="U11" s="19">
        <v>0.5</v>
      </c>
      <c r="V11" s="92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426.5</v>
      </c>
      <c r="W11" s="5">
        <v>0</v>
      </c>
      <c r="X11" s="4" t="e">
        <f ca="1">VLOOKUP($Y11,OFFSET(enemy_skill_sets!$B$1,0,0,COUNTA(enemy_skill_sets!$B:$B),MATCH(M$1,enemy_skill_sets!$1:$1,0)-MATCH($Y$1,enemy_skill_sets!$1:$1,0)+2),MATCH(M$1,enemy_skill_sets!$1:$1,0)-MATCH($Y$1,enemy_skill_sets!$1:$1,0)+2,FALSE)</f>
        <v>#N/A</v>
      </c>
      <c r="Y11" s="4">
        <f ca="1">VLOOKUP($L11,OFFSET([3]enemies!$A$1,0,0,COUNTA([3]enemies!$A:$A),MATCH(Y$1,[3]enemies!$1:$1,0)-MATCH($L$1,[3]enemies!$1:$1,0)+1),MATCH(Y$1,[3]enemies!$1:$1,0)-MATCH($L$1,[3]enemies!$1:$1,0)+1,FALSE)</f>
        <v>0</v>
      </c>
      <c r="Z11" s="6">
        <v>0</v>
      </c>
      <c r="AA11" s="6">
        <v>100</v>
      </c>
      <c r="AB11" s="6">
        <v>0</v>
      </c>
      <c r="AC11" s="100">
        <v>2</v>
      </c>
      <c r="AD11" s="98">
        <f t="shared" si="3"/>
        <v>530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冬服ジョー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1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Drop1T</v>
      </c>
      <c r="AH11" s="94">
        <v>1</v>
      </c>
      <c r="AI11" s="98">
        <f t="shared" ca="1" si="4"/>
        <v>1</v>
      </c>
      <c r="AJ11" s="7">
        <v>20</v>
      </c>
      <c r="AK11" s="94">
        <v>0</v>
      </c>
      <c r="AL11" s="94">
        <v>0</v>
      </c>
      <c r="AM11" s="94">
        <v>0</v>
      </c>
      <c r="AN11" s="94">
        <v>0</v>
      </c>
      <c r="AO11" s="94">
        <v>1</v>
      </c>
      <c r="AP11" s="62">
        <v>1</v>
      </c>
    </row>
    <row r="12" spans="1:42" ht="21" customHeight="1" x14ac:dyDescent="0.15">
      <c r="A12" s="13" t="str">
        <f t="shared" si="0"/>
        <v>39008_1-2/531&lt;lv13&gt;s3</v>
      </c>
      <c r="B12" s="17">
        <v>39008</v>
      </c>
      <c r="C12" s="95">
        <v>1</v>
      </c>
      <c r="D12" s="12" t="str">
        <f t="shared" si="1"/>
        <v>39008_1</v>
      </c>
      <c r="E12" s="4" t="str">
        <f ca="1">VLOOKUP($B12,OFFSET([2]quests!$A$1,0,0,COUNTA([2]quests!$A:$A),MATCH(E$1,[2]quests!$1:$1,0)-MATCH($B$1,[2]quests!$1:$1,0)+1),MATCH(E$1,[2]quests!$1:$1,0)-MATCH($B$1,[2]quests!$1:$1,0)+1,FALSE)</f>
        <v>雪の歌姫</v>
      </c>
      <c r="F12" s="4" t="str">
        <f ca="1">VLOOKUP($D12,OFFSET([2]stages!$A$1,0,0,COUNTA([2]stages!$A:$A),MATCH(F$1,[2]stages!$2:$2,0)-MATCH($D$1,[2]stages!$2:$2,0)+1),MATCH(F$1,[2]stages!$2:$2,0)-MATCH($D$1,[2]stages!$2:$2,0)+1,FALSE)</f>
        <v>【初級】雪の歌姫</v>
      </c>
      <c r="G12" s="99">
        <v>2</v>
      </c>
      <c r="H12" s="12" t="str">
        <f t="shared" si="2"/>
        <v>39008_1-2</v>
      </c>
      <c r="I12" s="4">
        <f ca="1">VLOOKUP($H12,OFFSET(floors!$A$1,0,0,COUNTA(floors!$A:$A),MATCH(I$1,floors!$1:$1,0)-MATCH($H$1,floors!$1:$1,0)+1),MATCH(I$1,floors!$1:$1,0)-MATCH($H$1,floors!$1:$1,0)+1,FALSE)</f>
        <v>45</v>
      </c>
      <c r="J12" s="4">
        <f ca="1">VLOOKUP($H12,OFFSET(floors!$A$1,0,0,COUNTA(floors!$A:$A),MATCH(J$1,floors!$1:$1,0)-MATCH($H$1,floors!$1:$1,0)+1),MATCH(J$1,floors!$1:$1,0)-MATCH($H$1,floors!$1:$1,0)+1,FALSE)</f>
        <v>45</v>
      </c>
      <c r="K12" s="32" t="s">
        <v>245</v>
      </c>
      <c r="L12" s="97">
        <v>531</v>
      </c>
      <c r="M12" s="14" t="str">
        <f ca="1">VLOOKUP($L12,OFFSET([3]enemies!$A$1,0,0,COUNTA([3]enemies!$A:$A),MATCH(M$1,[3]enemies!$1:$1,0)-MATCH($L$1,[3]enemies!$1:$1,0)+1),MATCH(M$1,[3]enemies!$1:$1,0)-MATCH($L$1,[3]enemies!$1:$1,0)+1,FALSE)</f>
        <v>冬服ポチ</v>
      </c>
      <c r="N12" s="14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4" t="str">
        <f ca="1">VLOOKUP($L12,OFFSET([4]characters!$A$1,0,0,COUNTA([4]characters!$A:$A),MATCH(O$1,[4]characters!$1:$1,0)-MATCH($L$1,[4]characters!$1:$1,0)+1),MATCH(O$1,[4]characters!$1:$1,0)-MATCH($L$1,[4]characters!$1:$1,0)+1,FALSE)</f>
        <v>Drop1T</v>
      </c>
      <c r="P12" s="14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14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13</v>
      </c>
      <c r="S12" s="19">
        <v>1</v>
      </c>
      <c r="T12" s="92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2320</v>
      </c>
      <c r="U12" s="19">
        <v>0.8</v>
      </c>
      <c r="V12" s="92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532</v>
      </c>
      <c r="W12" s="5">
        <v>0</v>
      </c>
      <c r="X12" s="4" t="e">
        <f ca="1">VLOOKUP($Y12,OFFSET(enemy_skill_sets!$B$1,0,0,COUNTA(enemy_skill_sets!$B:$B),MATCH(M$1,enemy_skill_sets!$1:$1,0)-MATCH($Y$1,enemy_skill_sets!$1:$1,0)+2),MATCH(M$1,enemy_skill_sets!$1:$1,0)-MATCH($Y$1,enemy_skill_sets!$1:$1,0)+2,FALSE)</f>
        <v>#N/A</v>
      </c>
      <c r="Y12" s="4">
        <f ca="1">VLOOKUP($L12,OFFSET([3]enemies!$A$1,0,0,COUNTA([3]enemies!$A:$A),MATCH(Y$1,[3]enemies!$1:$1,0)-MATCH($L$1,[3]enemies!$1:$1,0)+1),MATCH(Y$1,[3]enemies!$1:$1,0)-MATCH($L$1,[3]enemies!$1:$1,0)+1,FALSE)</f>
        <v>0</v>
      </c>
      <c r="Z12" s="6">
        <v>0</v>
      </c>
      <c r="AA12" s="6">
        <v>100</v>
      </c>
      <c r="AB12" s="6">
        <v>0</v>
      </c>
      <c r="AC12" s="100">
        <v>3</v>
      </c>
      <c r="AD12" s="98">
        <f t="shared" si="3"/>
        <v>531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冬服ポチ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1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Drop1T</v>
      </c>
      <c r="AH12" s="94">
        <v>1</v>
      </c>
      <c r="AI12" s="98">
        <f t="shared" ca="1" si="4"/>
        <v>1</v>
      </c>
      <c r="AJ12" s="7">
        <v>20</v>
      </c>
      <c r="AK12" s="94">
        <v>0</v>
      </c>
      <c r="AL12" s="94">
        <v>0</v>
      </c>
      <c r="AM12" s="94">
        <v>0</v>
      </c>
      <c r="AN12" s="94">
        <v>0</v>
      </c>
      <c r="AO12" s="94">
        <v>1</v>
      </c>
      <c r="AP12" s="62">
        <v>1</v>
      </c>
    </row>
    <row r="13" spans="1:42" ht="21" customHeight="1" x14ac:dyDescent="0.15">
      <c r="A13" s="13" t="str">
        <f t="shared" si="0"/>
        <v>39008_1-2/532&lt;lv13&gt;s2</v>
      </c>
      <c r="B13" s="17">
        <v>39008</v>
      </c>
      <c r="C13" s="95">
        <v>1</v>
      </c>
      <c r="D13" s="12" t="str">
        <f t="shared" si="1"/>
        <v>39008_1</v>
      </c>
      <c r="E13" s="4" t="str">
        <f ca="1">VLOOKUP($B13,OFFSET([2]quests!$A$1,0,0,COUNTA([2]quests!$A:$A),MATCH(E$1,[2]quests!$1:$1,0)-MATCH($B$1,[2]quests!$1:$1,0)+1),MATCH(E$1,[2]quests!$1:$1,0)-MATCH($B$1,[2]quests!$1:$1,0)+1,FALSE)</f>
        <v>雪の歌姫</v>
      </c>
      <c r="F13" s="4" t="str">
        <f ca="1">VLOOKUP($D13,OFFSET([2]stages!$A$1,0,0,COUNTA([2]stages!$A:$A),MATCH(F$1,[2]stages!$2:$2,0)-MATCH($D$1,[2]stages!$2:$2,0)+1),MATCH(F$1,[2]stages!$2:$2,0)-MATCH($D$1,[2]stages!$2:$2,0)+1,FALSE)</f>
        <v>【初級】雪の歌姫</v>
      </c>
      <c r="G13" s="99">
        <v>2</v>
      </c>
      <c r="H13" s="12" t="str">
        <f t="shared" si="2"/>
        <v>39008_1-2</v>
      </c>
      <c r="I13" s="4">
        <f ca="1">VLOOKUP($H13,OFFSET(floors!$A$1,0,0,COUNTA(floors!$A:$A),MATCH(I$1,floors!$1:$1,0)-MATCH($H$1,floors!$1:$1,0)+1),MATCH(I$1,floors!$1:$1,0)-MATCH($H$1,floors!$1:$1,0)+1,FALSE)</f>
        <v>45</v>
      </c>
      <c r="J13" s="4">
        <f ca="1">VLOOKUP($H13,OFFSET(floors!$A$1,0,0,COUNTA(floors!$A:$A),MATCH(J$1,floors!$1:$1,0)-MATCH($H$1,floors!$1:$1,0)+1),MATCH(J$1,floors!$1:$1,0)-MATCH($H$1,floors!$1:$1,0)+1,FALSE)</f>
        <v>45</v>
      </c>
      <c r="K13" s="32" t="s">
        <v>245</v>
      </c>
      <c r="L13" s="97">
        <v>532</v>
      </c>
      <c r="M13" s="14" t="str">
        <f ca="1">VLOOKUP($L13,OFFSET([3]enemies!$A$1,0,0,COUNTA([3]enemies!$A:$A),MATCH(M$1,[3]enemies!$1:$1,0)-MATCH($L$1,[3]enemies!$1:$1,0)+1),MATCH(M$1,[3]enemies!$1:$1,0)-MATCH($L$1,[3]enemies!$1:$1,0)+1,FALSE)</f>
        <v>冬服エレキポット</v>
      </c>
      <c r="N13" s="14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4" t="str">
        <f ca="1">VLOOKUP($L13,OFFSET([4]characters!$A$1,0,0,COUNTA([4]characters!$A:$A),MATCH(O$1,[4]characters!$1:$1,0)-MATCH($L$1,[4]characters!$1:$1,0)+1),MATCH(O$1,[4]characters!$1:$1,0)-MATCH($L$1,[4]characters!$1:$1,0)+1,FALSE)</f>
        <v>Drop1T</v>
      </c>
      <c r="P13" s="14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4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13</v>
      </c>
      <c r="S13" s="19">
        <v>1</v>
      </c>
      <c r="T13" s="92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2842</v>
      </c>
      <c r="U13" s="19">
        <v>0.4</v>
      </c>
      <c r="V13" s="92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467.6</v>
      </c>
      <c r="W13" s="5">
        <v>0</v>
      </c>
      <c r="X13" s="4" t="e">
        <f ca="1">VLOOKUP($Y13,OFFSET(enemy_skill_sets!$B$1,0,0,COUNTA(enemy_skill_sets!$B:$B),MATCH(M$1,enemy_skill_sets!$1:$1,0)-MATCH($Y$1,enemy_skill_sets!$1:$1,0)+2),MATCH(M$1,enemy_skill_sets!$1:$1,0)-MATCH($Y$1,enemy_skill_sets!$1:$1,0)+2,FALSE)</f>
        <v>#N/A</v>
      </c>
      <c r="Y13" s="4">
        <f ca="1">VLOOKUP($L13,OFFSET([3]enemies!$A$1,0,0,COUNTA([3]enemies!$A:$A),MATCH(Y$1,[3]enemies!$1:$1,0)-MATCH($L$1,[3]enemies!$1:$1,0)+1),MATCH(Y$1,[3]enemies!$1:$1,0)-MATCH($L$1,[3]enemies!$1:$1,0)+1,FALSE)</f>
        <v>0</v>
      </c>
      <c r="Z13" s="6">
        <v>0</v>
      </c>
      <c r="AA13" s="6">
        <v>100</v>
      </c>
      <c r="AB13" s="6">
        <v>0</v>
      </c>
      <c r="AC13" s="100">
        <v>2</v>
      </c>
      <c r="AD13" s="98">
        <f t="shared" si="3"/>
        <v>532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冬服エレキポット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1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Drop1T</v>
      </c>
      <c r="AH13" s="94">
        <v>1</v>
      </c>
      <c r="AI13" s="98">
        <f t="shared" ca="1" si="4"/>
        <v>1</v>
      </c>
      <c r="AJ13" s="7">
        <v>20</v>
      </c>
      <c r="AK13" s="94">
        <v>0</v>
      </c>
      <c r="AL13" s="94">
        <v>0</v>
      </c>
      <c r="AM13" s="94">
        <v>0</v>
      </c>
      <c r="AN13" s="94">
        <v>0</v>
      </c>
      <c r="AO13" s="94">
        <v>1</v>
      </c>
      <c r="AP13" s="62">
        <v>1</v>
      </c>
    </row>
    <row r="14" spans="1:42" ht="21" customHeight="1" x14ac:dyDescent="0.15">
      <c r="A14" s="13" t="str">
        <f t="shared" si="0"/>
        <v>39008_1-2/533&lt;lv13&gt;s3</v>
      </c>
      <c r="B14" s="17">
        <v>39008</v>
      </c>
      <c r="C14" s="95">
        <v>1</v>
      </c>
      <c r="D14" s="12" t="str">
        <f t="shared" si="1"/>
        <v>39008_1</v>
      </c>
      <c r="E14" s="4" t="str">
        <f ca="1">VLOOKUP($B14,OFFSET([2]quests!$A$1,0,0,COUNTA([2]quests!$A:$A),MATCH(E$1,[2]quests!$1:$1,0)-MATCH($B$1,[2]quests!$1:$1,0)+1),MATCH(E$1,[2]quests!$1:$1,0)-MATCH($B$1,[2]quests!$1:$1,0)+1,FALSE)</f>
        <v>雪の歌姫</v>
      </c>
      <c r="F14" s="4" t="str">
        <f ca="1">VLOOKUP($D14,OFFSET([2]stages!$A$1,0,0,COUNTA([2]stages!$A:$A),MATCH(F$1,[2]stages!$2:$2,0)-MATCH($D$1,[2]stages!$2:$2,0)+1),MATCH(F$1,[2]stages!$2:$2,0)-MATCH($D$1,[2]stages!$2:$2,0)+1,FALSE)</f>
        <v>【初級】雪の歌姫</v>
      </c>
      <c r="G14" s="99">
        <v>2</v>
      </c>
      <c r="H14" s="12" t="str">
        <f t="shared" si="2"/>
        <v>39008_1-2</v>
      </c>
      <c r="I14" s="4">
        <f ca="1">VLOOKUP($H14,OFFSET(floors!$A$1,0,0,COUNTA(floors!$A:$A),MATCH(I$1,floors!$1:$1,0)-MATCH($H$1,floors!$1:$1,0)+1),MATCH(I$1,floors!$1:$1,0)-MATCH($H$1,floors!$1:$1,0)+1,FALSE)</f>
        <v>45</v>
      </c>
      <c r="J14" s="4">
        <f ca="1">VLOOKUP($H14,OFFSET(floors!$A$1,0,0,COUNTA(floors!$A:$A),MATCH(J$1,floors!$1:$1,0)-MATCH($H$1,floors!$1:$1,0)+1),MATCH(J$1,floors!$1:$1,0)-MATCH($H$1,floors!$1:$1,0)+1,FALSE)</f>
        <v>45</v>
      </c>
      <c r="K14" s="32" t="s">
        <v>245</v>
      </c>
      <c r="L14" s="97">
        <v>533</v>
      </c>
      <c r="M14" s="14" t="str">
        <f ca="1">VLOOKUP($L14,OFFSET([3]enemies!$A$1,0,0,COUNTA([3]enemies!$A:$A),MATCH(M$1,[3]enemies!$1:$1,0)-MATCH($L$1,[3]enemies!$1:$1,0)+1),MATCH(M$1,[3]enemies!$1:$1,0)-MATCH($L$1,[3]enemies!$1:$1,0)+1,FALSE)</f>
        <v>冬服アカネ</v>
      </c>
      <c r="N14" s="14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4" t="str">
        <f ca="1">VLOOKUP($L14,OFFSET([4]characters!$A$1,0,0,COUNTA([4]characters!$A:$A),MATCH(O$1,[4]characters!$1:$1,0)-MATCH($L$1,[4]characters!$1:$1,0)+1),MATCH(O$1,[4]characters!$1:$1,0)-MATCH($L$1,[4]characters!$1:$1,0)+1,FALSE)</f>
        <v>Drop1W</v>
      </c>
      <c r="P14" s="14" t="str">
        <f ca="1">VLOOKUP($L14,OFFSET([3]enemies!$A$1,0,0,COUNTA([3]enemies!$A:$A),MATCH(P$1,[3]enemies!$1:$1,0)-MATCH($L$1,[3]enemies!$1:$1,0)+1),MATCH(P$1,[3]enemies!$1:$1,0)-MATCH($L$1,[3]enemies!$1:$1,0)+1,FALSE)</f>
        <v>human</v>
      </c>
      <c r="Q14" s="14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13</v>
      </c>
      <c r="S14" s="19">
        <v>1</v>
      </c>
      <c r="T14" s="92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2726</v>
      </c>
      <c r="U14" s="19">
        <v>0.6</v>
      </c>
      <c r="V14" s="92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527.4</v>
      </c>
      <c r="W14" s="5">
        <v>0</v>
      </c>
      <c r="X14" s="4" t="e">
        <f ca="1">VLOOKUP($Y14,OFFSET(enemy_skill_sets!$B$1,0,0,COUNTA(enemy_skill_sets!$B:$B),MATCH(M$1,enemy_skill_sets!$1:$1,0)-MATCH($Y$1,enemy_skill_sets!$1:$1,0)+2),MATCH(M$1,enemy_skill_sets!$1:$1,0)-MATCH($Y$1,enemy_skill_sets!$1:$1,0)+2,FALSE)</f>
        <v>#N/A</v>
      </c>
      <c r="Y14" s="4">
        <f ca="1">VLOOKUP($L14,OFFSET([3]enemies!$A$1,0,0,COUNTA([3]enemies!$A:$A),MATCH(Y$1,[3]enemies!$1:$1,0)-MATCH($L$1,[3]enemies!$1:$1,0)+1),MATCH(Y$1,[3]enemies!$1:$1,0)-MATCH($L$1,[3]enemies!$1:$1,0)+1,FALSE)</f>
        <v>0</v>
      </c>
      <c r="Z14" s="6">
        <v>0</v>
      </c>
      <c r="AA14" s="6">
        <v>100</v>
      </c>
      <c r="AB14" s="6">
        <v>0</v>
      </c>
      <c r="AC14" s="100">
        <v>3</v>
      </c>
      <c r="AD14" s="98">
        <f t="shared" si="3"/>
        <v>533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冬服アカネ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1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Drop1W</v>
      </c>
      <c r="AH14" s="94">
        <v>1</v>
      </c>
      <c r="AI14" s="98">
        <f t="shared" ca="1" si="4"/>
        <v>1</v>
      </c>
      <c r="AJ14" s="7">
        <v>20</v>
      </c>
      <c r="AK14" s="94">
        <v>0</v>
      </c>
      <c r="AL14" s="94">
        <v>0</v>
      </c>
      <c r="AM14" s="94">
        <v>0</v>
      </c>
      <c r="AN14" s="94">
        <v>0</v>
      </c>
      <c r="AO14" s="94">
        <v>1</v>
      </c>
      <c r="AP14" s="62">
        <v>1</v>
      </c>
    </row>
    <row r="15" spans="1:42" ht="21" customHeight="1" x14ac:dyDescent="0.15">
      <c r="A15" s="13" t="str">
        <f t="shared" si="0"/>
        <v>39008_1-2/534&lt;lv13&gt;s1</v>
      </c>
      <c r="B15" s="17">
        <v>39008</v>
      </c>
      <c r="C15" s="95">
        <v>1</v>
      </c>
      <c r="D15" s="12" t="str">
        <f t="shared" si="1"/>
        <v>39008_1</v>
      </c>
      <c r="E15" s="4" t="str">
        <f ca="1">VLOOKUP($B15,OFFSET([2]quests!$A$1,0,0,COUNTA([2]quests!$A:$A),MATCH(E$1,[2]quests!$1:$1,0)-MATCH($B$1,[2]quests!$1:$1,0)+1),MATCH(E$1,[2]quests!$1:$1,0)-MATCH($B$1,[2]quests!$1:$1,0)+1,FALSE)</f>
        <v>雪の歌姫</v>
      </c>
      <c r="F15" s="4" t="str">
        <f ca="1">VLOOKUP($D15,OFFSET([2]stages!$A$1,0,0,COUNTA([2]stages!$A:$A),MATCH(F$1,[2]stages!$2:$2,0)-MATCH($D$1,[2]stages!$2:$2,0)+1),MATCH(F$1,[2]stages!$2:$2,0)-MATCH($D$1,[2]stages!$2:$2,0)+1,FALSE)</f>
        <v>【初級】雪の歌姫</v>
      </c>
      <c r="G15" s="99">
        <v>2</v>
      </c>
      <c r="H15" s="12" t="str">
        <f t="shared" si="2"/>
        <v>39008_1-2</v>
      </c>
      <c r="I15" s="4">
        <f ca="1">VLOOKUP($H15,OFFSET(floors!$A$1,0,0,COUNTA(floors!$A:$A),MATCH(I$1,floors!$1:$1,0)-MATCH($H$1,floors!$1:$1,0)+1),MATCH(I$1,floors!$1:$1,0)-MATCH($H$1,floors!$1:$1,0)+1,FALSE)</f>
        <v>45</v>
      </c>
      <c r="J15" s="4">
        <f ca="1">VLOOKUP($H15,OFFSET(floors!$A$1,0,0,COUNTA(floors!$A:$A),MATCH(J$1,floors!$1:$1,0)-MATCH($H$1,floors!$1:$1,0)+1),MATCH(J$1,floors!$1:$1,0)-MATCH($H$1,floors!$1:$1,0)+1,FALSE)</f>
        <v>45</v>
      </c>
      <c r="K15" s="32" t="s">
        <v>245</v>
      </c>
      <c r="L15" s="97">
        <v>534</v>
      </c>
      <c r="M15" s="14" t="str">
        <f ca="1">VLOOKUP($L15,OFFSET([3]enemies!$A$1,0,0,COUNTA([3]enemies!$A:$A),MATCH(M$1,[3]enemies!$1:$1,0)-MATCH($L$1,[3]enemies!$1:$1,0)+1),MATCH(M$1,[3]enemies!$1:$1,0)-MATCH($L$1,[3]enemies!$1:$1,0)+1,FALSE)</f>
        <v>冬服パトライン</v>
      </c>
      <c r="N15" s="14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4" t="str">
        <f ca="1">VLOOKUP($L15,OFFSET([4]characters!$A$1,0,0,COUNTA([4]characters!$A:$A),MATCH(O$1,[4]characters!$1:$1,0)-MATCH($L$1,[4]characters!$1:$1,0)+1),MATCH(O$1,[4]characters!$1:$1,0)-MATCH($L$1,[4]characters!$1:$1,0)+1,FALSE)</f>
        <v>Drop1W</v>
      </c>
      <c r="P15" s="14" t="str">
        <f ca="1">VLOOKUP($L15,OFFSET([3]enemies!$A$1,0,0,COUNTA([3]enemies!$A:$A),MATCH(P$1,[3]enemies!$1:$1,0)-MATCH($L$1,[3]enemies!$1:$1,0)+1),MATCH(P$1,[3]enemies!$1:$1,0)-MATCH($L$1,[3]enemies!$1:$1,0)+1,FALSE)</f>
        <v>machine</v>
      </c>
      <c r="Q15" s="14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13</v>
      </c>
      <c r="S15" s="19">
        <v>1</v>
      </c>
      <c r="T15" s="92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2366</v>
      </c>
      <c r="U15" s="19">
        <v>0.6</v>
      </c>
      <c r="V15" s="92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399</v>
      </c>
      <c r="W15" s="5">
        <v>0</v>
      </c>
      <c r="X15" s="4" t="e">
        <f ca="1">VLOOKUP($Y15,OFFSET(enemy_skill_sets!$B$1,0,0,COUNTA(enemy_skill_sets!$B:$B),MATCH(M$1,enemy_skill_sets!$1:$1,0)-MATCH($Y$1,enemy_skill_sets!$1:$1,0)+2),MATCH(M$1,enemy_skill_sets!$1:$1,0)-MATCH($Y$1,enemy_skill_sets!$1:$1,0)+2,FALSE)</f>
        <v>#N/A</v>
      </c>
      <c r="Y15" s="4">
        <f ca="1">VLOOKUP($L15,OFFSET([3]enemies!$A$1,0,0,COUNTA([3]enemies!$A:$A),MATCH(Y$1,[3]enemies!$1:$1,0)-MATCH($L$1,[3]enemies!$1:$1,0)+1),MATCH(Y$1,[3]enemies!$1:$1,0)-MATCH($L$1,[3]enemies!$1:$1,0)+1,FALSE)</f>
        <v>0</v>
      </c>
      <c r="Z15" s="6">
        <v>0</v>
      </c>
      <c r="AA15" s="6">
        <v>100</v>
      </c>
      <c r="AB15" s="6">
        <v>0</v>
      </c>
      <c r="AC15" s="100">
        <v>1</v>
      </c>
      <c r="AD15" s="98">
        <f t="shared" si="3"/>
        <v>534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冬服パトライン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1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Drop1W</v>
      </c>
      <c r="AH15" s="94">
        <v>1</v>
      </c>
      <c r="AI15" s="98">
        <f t="shared" ca="1" si="4"/>
        <v>1</v>
      </c>
      <c r="AJ15" s="7">
        <v>20</v>
      </c>
      <c r="AK15" s="94">
        <v>0</v>
      </c>
      <c r="AL15" s="94">
        <v>0</v>
      </c>
      <c r="AM15" s="94">
        <v>0</v>
      </c>
      <c r="AN15" s="94">
        <v>0</v>
      </c>
      <c r="AO15" s="94">
        <v>1</v>
      </c>
      <c r="AP15" s="62">
        <v>1</v>
      </c>
    </row>
    <row r="16" spans="1:42" ht="21" customHeight="1" x14ac:dyDescent="0.15">
      <c r="A16" s="13" t="str">
        <f t="shared" si="0"/>
        <v>39008_1-2/535&lt;lv13&gt;s2</v>
      </c>
      <c r="B16" s="17">
        <v>39008</v>
      </c>
      <c r="C16" s="95">
        <v>1</v>
      </c>
      <c r="D16" s="12" t="str">
        <f t="shared" si="1"/>
        <v>39008_1</v>
      </c>
      <c r="E16" s="4" t="str">
        <f ca="1">VLOOKUP($B16,OFFSET([2]quests!$A$1,0,0,COUNTA([2]quests!$A:$A),MATCH(E$1,[2]quests!$1:$1,0)-MATCH($B$1,[2]quests!$1:$1,0)+1),MATCH(E$1,[2]quests!$1:$1,0)-MATCH($B$1,[2]quests!$1:$1,0)+1,FALSE)</f>
        <v>雪の歌姫</v>
      </c>
      <c r="F16" s="4" t="str">
        <f ca="1">VLOOKUP($D16,OFFSET([2]stages!$A$1,0,0,COUNTA([2]stages!$A:$A),MATCH(F$1,[2]stages!$2:$2,0)-MATCH($D$1,[2]stages!$2:$2,0)+1),MATCH(F$1,[2]stages!$2:$2,0)-MATCH($D$1,[2]stages!$2:$2,0)+1,FALSE)</f>
        <v>【初級】雪の歌姫</v>
      </c>
      <c r="G16" s="99">
        <v>2</v>
      </c>
      <c r="H16" s="12" t="str">
        <f t="shared" si="2"/>
        <v>39008_1-2</v>
      </c>
      <c r="I16" s="4">
        <f ca="1">VLOOKUP($H16,OFFSET(floors!$A$1,0,0,COUNTA(floors!$A:$A),MATCH(I$1,floors!$1:$1,0)-MATCH($H$1,floors!$1:$1,0)+1),MATCH(I$1,floors!$1:$1,0)-MATCH($H$1,floors!$1:$1,0)+1,FALSE)</f>
        <v>45</v>
      </c>
      <c r="J16" s="4">
        <f ca="1">VLOOKUP($H16,OFFSET(floors!$A$1,0,0,COUNTA(floors!$A:$A),MATCH(J$1,floors!$1:$1,0)-MATCH($H$1,floors!$1:$1,0)+1),MATCH(J$1,floors!$1:$1,0)-MATCH($H$1,floors!$1:$1,0)+1,FALSE)</f>
        <v>45</v>
      </c>
      <c r="K16" s="32" t="s">
        <v>245</v>
      </c>
      <c r="L16" s="97">
        <v>535</v>
      </c>
      <c r="M16" s="14" t="str">
        <f ca="1">VLOOKUP($L16,OFFSET([3]enemies!$A$1,0,0,COUNTA([3]enemies!$A:$A),MATCH(M$1,[3]enemies!$1:$1,0)-MATCH($L$1,[3]enemies!$1:$1,0)+1),MATCH(M$1,[3]enemies!$1:$1,0)-MATCH($L$1,[3]enemies!$1:$1,0)+1,FALSE)</f>
        <v>冬服リム</v>
      </c>
      <c r="N16" s="14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14" t="str">
        <f ca="1">VLOOKUP($L16,OFFSET([4]characters!$A$1,0,0,COUNTA([4]characters!$A:$A),MATCH(O$1,[4]characters!$1:$1,0)-MATCH($L$1,[4]characters!$1:$1,0)+1),MATCH(O$1,[4]characters!$1:$1,0)-MATCH($L$1,[4]characters!$1:$1,0)+1,FALSE)</f>
        <v>Drop1W</v>
      </c>
      <c r="P16" s="14" t="str">
        <f ca="1">VLOOKUP($L16,OFFSET([3]enemies!$A$1,0,0,COUNTA([3]enemies!$A:$A),MATCH(P$1,[3]enemies!$1:$1,0)-MATCH($L$1,[3]enemies!$1:$1,0)+1),MATCH(P$1,[3]enemies!$1:$1,0)-MATCH($L$1,[3]enemies!$1:$1,0)+1,FALSE)</f>
        <v>human</v>
      </c>
      <c r="Q16" s="14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13</v>
      </c>
      <c r="S16" s="19">
        <v>1</v>
      </c>
      <c r="T16" s="92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2726</v>
      </c>
      <c r="U16" s="19">
        <v>0.6</v>
      </c>
      <c r="V16" s="92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506.4</v>
      </c>
      <c r="W16" s="5">
        <v>0</v>
      </c>
      <c r="X16" s="4" t="e">
        <f ca="1">VLOOKUP($Y16,OFFSET(enemy_skill_sets!$B$1,0,0,COUNTA(enemy_skill_sets!$B:$B),MATCH(M$1,enemy_skill_sets!$1:$1,0)-MATCH($Y$1,enemy_skill_sets!$1:$1,0)+2),MATCH(M$1,enemy_skill_sets!$1:$1,0)-MATCH($Y$1,enemy_skill_sets!$1:$1,0)+2,FALSE)</f>
        <v>#N/A</v>
      </c>
      <c r="Y16" s="4">
        <f ca="1">VLOOKUP($L16,OFFSET([3]enemies!$A$1,0,0,COUNTA([3]enemies!$A:$A),MATCH(Y$1,[3]enemies!$1:$1,0)-MATCH($L$1,[3]enemies!$1:$1,0)+1),MATCH(Y$1,[3]enemies!$1:$1,0)-MATCH($L$1,[3]enemies!$1:$1,0)+1,FALSE)</f>
        <v>0</v>
      </c>
      <c r="Z16" s="6">
        <v>0</v>
      </c>
      <c r="AA16" s="6">
        <v>100</v>
      </c>
      <c r="AB16" s="6">
        <v>0</v>
      </c>
      <c r="AC16" s="100">
        <v>2</v>
      </c>
      <c r="AD16" s="98">
        <f t="shared" si="3"/>
        <v>535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冬服リム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1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Drop1W</v>
      </c>
      <c r="AH16" s="94">
        <v>1</v>
      </c>
      <c r="AI16" s="98">
        <f t="shared" ca="1" si="4"/>
        <v>1</v>
      </c>
      <c r="AJ16" s="7">
        <v>20</v>
      </c>
      <c r="AK16" s="94">
        <v>0</v>
      </c>
      <c r="AL16" s="94">
        <v>0</v>
      </c>
      <c r="AM16" s="94">
        <v>0</v>
      </c>
      <c r="AN16" s="94">
        <v>0</v>
      </c>
      <c r="AO16" s="94">
        <v>1</v>
      </c>
      <c r="AP16" s="62">
        <v>1</v>
      </c>
    </row>
    <row r="17" spans="1:42" ht="21" customHeight="1" x14ac:dyDescent="0.15">
      <c r="A17" s="13" t="str">
        <f t="shared" si="0"/>
        <v>39008_1-2/536&lt;lv13&gt;s2</v>
      </c>
      <c r="B17" s="17">
        <v>39008</v>
      </c>
      <c r="C17" s="95">
        <v>1</v>
      </c>
      <c r="D17" s="12" t="str">
        <f t="shared" si="1"/>
        <v>39008_1</v>
      </c>
      <c r="E17" s="4" t="str">
        <f ca="1">VLOOKUP($B17,OFFSET([2]quests!$A$1,0,0,COUNTA([2]quests!$A:$A),MATCH(E$1,[2]quests!$1:$1,0)-MATCH($B$1,[2]quests!$1:$1,0)+1),MATCH(E$1,[2]quests!$1:$1,0)-MATCH($B$1,[2]quests!$1:$1,0)+1,FALSE)</f>
        <v>雪の歌姫</v>
      </c>
      <c r="F17" s="4" t="str">
        <f ca="1">VLOOKUP($D17,OFFSET([2]stages!$A$1,0,0,COUNTA([2]stages!$A:$A),MATCH(F$1,[2]stages!$2:$2,0)-MATCH($D$1,[2]stages!$2:$2,0)+1),MATCH(F$1,[2]stages!$2:$2,0)-MATCH($D$1,[2]stages!$2:$2,0)+1,FALSE)</f>
        <v>【初級】雪の歌姫</v>
      </c>
      <c r="G17" s="99">
        <v>2</v>
      </c>
      <c r="H17" s="12" t="str">
        <f t="shared" si="2"/>
        <v>39008_1-2</v>
      </c>
      <c r="I17" s="4">
        <f ca="1">VLOOKUP($H17,OFFSET(floors!$A$1,0,0,COUNTA(floors!$A:$A),MATCH(I$1,floors!$1:$1,0)-MATCH($H$1,floors!$1:$1,0)+1),MATCH(I$1,floors!$1:$1,0)-MATCH($H$1,floors!$1:$1,0)+1,FALSE)</f>
        <v>45</v>
      </c>
      <c r="J17" s="4">
        <f ca="1">VLOOKUP($H17,OFFSET(floors!$A$1,0,0,COUNTA(floors!$A:$A),MATCH(J$1,floors!$1:$1,0)-MATCH($H$1,floors!$1:$1,0)+1),MATCH(J$1,floors!$1:$1,0)-MATCH($H$1,floors!$1:$1,0)+1,FALSE)</f>
        <v>45</v>
      </c>
      <c r="K17" s="32" t="s">
        <v>245</v>
      </c>
      <c r="L17" s="97">
        <v>536</v>
      </c>
      <c r="M17" s="14" t="str">
        <f ca="1">VLOOKUP($L17,OFFSET([3]enemies!$A$1,0,0,COUNTA([3]enemies!$A:$A),MATCH(M$1,[3]enemies!$1:$1,0)-MATCH($L$1,[3]enemies!$1:$1,0)+1),MATCH(M$1,[3]enemies!$1:$1,0)-MATCH($L$1,[3]enemies!$1:$1,0)+1,FALSE)</f>
        <v>冬服ミミ</v>
      </c>
      <c r="N17" s="14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4" t="str">
        <f ca="1">VLOOKUP($L17,OFFSET([4]characters!$A$1,0,0,COUNTA([4]characters!$A:$A),MATCH(O$1,[4]characters!$1:$1,0)-MATCH($L$1,[4]characters!$1:$1,0)+1),MATCH(O$1,[4]characters!$1:$1,0)-MATCH($L$1,[4]characters!$1:$1,0)+1,FALSE)</f>
        <v>Drop1W</v>
      </c>
      <c r="P17" s="14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4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13</v>
      </c>
      <c r="S17" s="19">
        <v>1</v>
      </c>
      <c r="T17" s="92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2842</v>
      </c>
      <c r="U17" s="19">
        <v>0.4</v>
      </c>
      <c r="V17" s="92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514.4</v>
      </c>
      <c r="W17" s="5">
        <v>0</v>
      </c>
      <c r="X17" s="4" t="e">
        <f ca="1">VLOOKUP($Y17,OFFSET(enemy_skill_sets!$B$1,0,0,COUNTA(enemy_skill_sets!$B:$B),MATCH(M$1,enemy_skill_sets!$1:$1,0)-MATCH($Y$1,enemy_skill_sets!$1:$1,0)+2),MATCH(M$1,enemy_skill_sets!$1:$1,0)-MATCH($Y$1,enemy_skill_sets!$1:$1,0)+2,FALSE)</f>
        <v>#N/A</v>
      </c>
      <c r="Y17" s="4">
        <f ca="1">VLOOKUP($L17,OFFSET([3]enemies!$A$1,0,0,COUNTA([3]enemies!$A:$A),MATCH(Y$1,[3]enemies!$1:$1,0)-MATCH($L$1,[3]enemies!$1:$1,0)+1),MATCH(Y$1,[3]enemies!$1:$1,0)-MATCH($L$1,[3]enemies!$1:$1,0)+1,FALSE)</f>
        <v>0</v>
      </c>
      <c r="Z17" s="6">
        <v>0</v>
      </c>
      <c r="AA17" s="6">
        <v>100</v>
      </c>
      <c r="AB17" s="6">
        <v>0</v>
      </c>
      <c r="AC17" s="100">
        <v>2</v>
      </c>
      <c r="AD17" s="98">
        <f t="shared" si="3"/>
        <v>536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冬服ミミ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1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Drop1W</v>
      </c>
      <c r="AH17" s="94">
        <v>1</v>
      </c>
      <c r="AI17" s="98">
        <f t="shared" ca="1" si="4"/>
        <v>1</v>
      </c>
      <c r="AJ17" s="7">
        <v>20</v>
      </c>
      <c r="AK17" s="94">
        <v>0</v>
      </c>
      <c r="AL17" s="94">
        <v>0</v>
      </c>
      <c r="AM17" s="94">
        <v>0</v>
      </c>
      <c r="AN17" s="94">
        <v>0</v>
      </c>
      <c r="AO17" s="94">
        <v>1</v>
      </c>
      <c r="AP17" s="62">
        <v>1</v>
      </c>
    </row>
    <row r="18" spans="1:42" ht="21" customHeight="1" x14ac:dyDescent="0.15">
      <c r="A18" s="13" t="str">
        <f t="shared" si="0"/>
        <v>39008_1-2/537&lt;lv13&gt;s2</v>
      </c>
      <c r="B18" s="17">
        <v>39008</v>
      </c>
      <c r="C18" s="95">
        <v>1</v>
      </c>
      <c r="D18" s="12" t="str">
        <f t="shared" si="1"/>
        <v>39008_1</v>
      </c>
      <c r="E18" s="4" t="str">
        <f ca="1">VLOOKUP($B18,OFFSET([2]quests!$A$1,0,0,COUNTA([2]quests!$A:$A),MATCH(E$1,[2]quests!$1:$1,0)-MATCH($B$1,[2]quests!$1:$1,0)+1),MATCH(E$1,[2]quests!$1:$1,0)-MATCH($B$1,[2]quests!$1:$1,0)+1,FALSE)</f>
        <v>雪の歌姫</v>
      </c>
      <c r="F18" s="4" t="str">
        <f ca="1">VLOOKUP($D18,OFFSET([2]stages!$A$1,0,0,COUNTA([2]stages!$A:$A),MATCH(F$1,[2]stages!$2:$2,0)-MATCH($D$1,[2]stages!$2:$2,0)+1),MATCH(F$1,[2]stages!$2:$2,0)-MATCH($D$1,[2]stages!$2:$2,0)+1,FALSE)</f>
        <v>【初級】雪の歌姫</v>
      </c>
      <c r="G18" s="99">
        <v>2</v>
      </c>
      <c r="H18" s="12" t="str">
        <f t="shared" si="2"/>
        <v>39008_1-2</v>
      </c>
      <c r="I18" s="4">
        <f ca="1">VLOOKUP($H18,OFFSET(floors!$A$1,0,0,COUNTA(floors!$A:$A),MATCH(I$1,floors!$1:$1,0)-MATCH($H$1,floors!$1:$1,0)+1),MATCH(I$1,floors!$1:$1,0)-MATCH($H$1,floors!$1:$1,0)+1,FALSE)</f>
        <v>45</v>
      </c>
      <c r="J18" s="4">
        <f ca="1">VLOOKUP($H18,OFFSET(floors!$A$1,0,0,COUNTA(floors!$A:$A),MATCH(J$1,floors!$1:$1,0)-MATCH($H$1,floors!$1:$1,0)+1),MATCH(J$1,floors!$1:$1,0)-MATCH($H$1,floors!$1:$1,0)+1,FALSE)</f>
        <v>45</v>
      </c>
      <c r="K18" s="32" t="s">
        <v>245</v>
      </c>
      <c r="L18" s="97">
        <v>537</v>
      </c>
      <c r="M18" s="14" t="str">
        <f ca="1">VLOOKUP($L18,OFFSET([3]enemies!$A$1,0,0,COUNTA([3]enemies!$A:$A),MATCH(M$1,[3]enemies!$1:$1,0)-MATCH($L$1,[3]enemies!$1:$1,0)+1),MATCH(M$1,[3]enemies!$1:$1,0)-MATCH($L$1,[3]enemies!$1:$1,0)+1,FALSE)</f>
        <v>冬服ハッピー100</v>
      </c>
      <c r="N18" s="14" t="str">
        <f ca="1">VLOOKUP($L18,OFFSET([3]enemies!$A$1,0,0,COUNTA([3]enemies!$A:$A),MATCH(N$1,[3]enemies!$1:$1,0)-MATCH($L$1,[3]enemies!$1:$1,0)+1),MATCH(N$1,[3]enemies!$1:$1,0)-MATCH($L$1,[3]enemies!$1:$1,0)+1,FALSE)</f>
        <v>green</v>
      </c>
      <c r="O18" s="14" t="str">
        <f ca="1">VLOOKUP($L18,OFFSET([4]characters!$A$1,0,0,COUNTA([4]characters!$A:$A),MATCH(O$1,[4]characters!$1:$1,0)-MATCH($L$1,[4]characters!$1:$1,0)+1),MATCH(O$1,[4]characters!$1:$1,0)-MATCH($L$1,[4]characters!$1:$1,0)+1,FALSE)</f>
        <v>DropWizW</v>
      </c>
      <c r="P18" s="14" t="str">
        <f ca="1">VLOOKUP($L18,OFFSET([3]enemies!$A$1,0,0,COUNTA([3]enemies!$A:$A),MATCH(P$1,[3]enemies!$1:$1,0)-MATCH($L$1,[3]enemies!$1:$1,0)+1),MATCH(P$1,[3]enemies!$1:$1,0)-MATCH($L$1,[3]enemies!$1:$1,0)+1,FALSE)</f>
        <v>unknown</v>
      </c>
      <c r="Q18" s="14">
        <f ca="1">VLOOKUP($L18,OFFSET([3]enemies!$A$1,0,0,COUNTA([3]enemies!$A:$A),MATCH(Q$1,[3]enemies!$1:$1,0)-MATCH($L$1,[3]enemies!$1:$1,0)+1),MATCH(Q$1,[3]enemies!$1:$1,0)-MATCH($L$1,[3]enemies!$1:$1,0)+1,FALSE)</f>
        <v>25</v>
      </c>
      <c r="R18" s="5">
        <v>13</v>
      </c>
      <c r="S18" s="19">
        <v>2</v>
      </c>
      <c r="T18" s="92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5680</v>
      </c>
      <c r="U18" s="19">
        <v>1</v>
      </c>
      <c r="V18" s="92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831</v>
      </c>
      <c r="W18" s="5">
        <v>0</v>
      </c>
      <c r="X18" s="4" t="e">
        <f ca="1">VLOOKUP($Y18,OFFSET(enemy_skill_sets!$B$1,0,0,COUNTA(enemy_skill_sets!$B:$B),MATCH(M$1,enemy_skill_sets!$1:$1,0)-MATCH($Y$1,enemy_skill_sets!$1:$1,0)+2),MATCH(M$1,enemy_skill_sets!$1:$1,0)-MATCH($Y$1,enemy_skill_sets!$1:$1,0)+2,FALSE)</f>
        <v>#N/A</v>
      </c>
      <c r="Y18" s="4">
        <f ca="1">VLOOKUP($L18,OFFSET([3]enemies!$A$1,0,0,COUNTA([3]enemies!$A:$A),MATCH(Y$1,[3]enemies!$1:$1,0)-MATCH($L$1,[3]enemies!$1:$1,0)+1),MATCH(Y$1,[3]enemies!$1:$1,0)-MATCH($L$1,[3]enemies!$1:$1,0)+1,FALSE)</f>
        <v>0</v>
      </c>
      <c r="Z18" s="6">
        <v>0</v>
      </c>
      <c r="AA18" s="6">
        <v>30</v>
      </c>
      <c r="AB18" s="6">
        <v>1</v>
      </c>
      <c r="AC18" s="14">
        <v>2</v>
      </c>
      <c r="AD18" s="98">
        <f t="shared" si="3"/>
        <v>537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冬服ハッピー100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3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18" s="94">
        <v>1</v>
      </c>
      <c r="AI18" s="98">
        <f t="shared" ca="1" si="4"/>
        <v>3</v>
      </c>
      <c r="AJ18" s="7">
        <v>20</v>
      </c>
      <c r="AK18" s="94">
        <v>0</v>
      </c>
      <c r="AL18" s="94">
        <v>0</v>
      </c>
      <c r="AM18" s="94">
        <v>0</v>
      </c>
      <c r="AN18" s="94">
        <v>0</v>
      </c>
      <c r="AO18" s="94">
        <v>1</v>
      </c>
      <c r="AP18" s="62">
        <v>1</v>
      </c>
    </row>
    <row r="19" spans="1:42" ht="21" customHeight="1" x14ac:dyDescent="0.15">
      <c r="A19" s="13" t="str">
        <f t="shared" si="0"/>
        <v>39008_1-2/538&lt;lv13&gt;s2</v>
      </c>
      <c r="B19" s="17">
        <v>39008</v>
      </c>
      <c r="C19" s="95">
        <v>1</v>
      </c>
      <c r="D19" s="12" t="str">
        <f t="shared" si="1"/>
        <v>39008_1</v>
      </c>
      <c r="E19" s="4" t="str">
        <f ca="1">VLOOKUP($B19,OFFSET([2]quests!$A$1,0,0,COUNTA([2]quests!$A:$A),MATCH(E$1,[2]quests!$1:$1,0)-MATCH($B$1,[2]quests!$1:$1,0)+1),MATCH(E$1,[2]quests!$1:$1,0)-MATCH($B$1,[2]quests!$1:$1,0)+1,FALSE)</f>
        <v>雪の歌姫</v>
      </c>
      <c r="F19" s="4" t="str">
        <f ca="1">VLOOKUP($D19,OFFSET([2]stages!$A$1,0,0,COUNTA([2]stages!$A:$A),MATCH(F$1,[2]stages!$2:$2,0)-MATCH($D$1,[2]stages!$2:$2,0)+1),MATCH(F$1,[2]stages!$2:$2,0)-MATCH($D$1,[2]stages!$2:$2,0)+1,FALSE)</f>
        <v>【初級】雪の歌姫</v>
      </c>
      <c r="G19" s="99">
        <v>2</v>
      </c>
      <c r="H19" s="12" t="str">
        <f t="shared" si="2"/>
        <v>39008_1-2</v>
      </c>
      <c r="I19" s="4">
        <f ca="1">VLOOKUP($H19,OFFSET(floors!$A$1,0,0,COUNTA(floors!$A:$A),MATCH(I$1,floors!$1:$1,0)-MATCH($H$1,floors!$1:$1,0)+1),MATCH(I$1,floors!$1:$1,0)-MATCH($H$1,floors!$1:$1,0)+1,FALSE)</f>
        <v>45</v>
      </c>
      <c r="J19" s="4">
        <f ca="1">VLOOKUP($H19,OFFSET(floors!$A$1,0,0,COUNTA(floors!$A:$A),MATCH(J$1,floors!$1:$1,0)-MATCH($H$1,floors!$1:$1,0)+1),MATCH(J$1,floors!$1:$1,0)-MATCH($H$1,floors!$1:$1,0)+1,FALSE)</f>
        <v>45</v>
      </c>
      <c r="K19" s="32" t="s">
        <v>245</v>
      </c>
      <c r="L19" s="97">
        <v>538</v>
      </c>
      <c r="M19" s="14" t="str">
        <f ca="1">VLOOKUP($L19,OFFSET([3]enemies!$A$1,0,0,COUNTA([3]enemies!$A:$A),MATCH(M$1,[3]enemies!$1:$1,0)-MATCH($L$1,[3]enemies!$1:$1,0)+1),MATCH(M$1,[3]enemies!$1:$1,0)-MATCH($L$1,[3]enemies!$1:$1,0)+1,FALSE)</f>
        <v>冬服ニムダ</v>
      </c>
      <c r="N19" s="14" t="str">
        <f ca="1">VLOOKUP($L19,OFFSET([3]enemies!$A$1,0,0,COUNTA([3]enemies!$A:$A),MATCH(N$1,[3]enemies!$1:$1,0)-MATCH($L$1,[3]enemies!$1:$1,0)+1),MATCH(N$1,[3]enemies!$1:$1,0)-MATCH($L$1,[3]enemies!$1:$1,0)+1,FALSE)</f>
        <v>yellow</v>
      </c>
      <c r="O19" s="14" t="str">
        <f ca="1">VLOOKUP($L19,OFFSET([4]characters!$A$1,0,0,COUNTA([4]characters!$A:$A),MATCH(O$1,[4]characters!$1:$1,0)-MATCH($L$1,[4]characters!$1:$1,0)+1),MATCH(O$1,[4]characters!$1:$1,0)-MATCH($L$1,[4]characters!$1:$1,0)+1,FALSE)</f>
        <v>DropWizW</v>
      </c>
      <c r="P19" s="14" t="str">
        <f ca="1">VLOOKUP($L19,OFFSET([3]enemies!$A$1,0,0,COUNTA([3]enemies!$A:$A),MATCH(P$1,[3]enemies!$1:$1,0)-MATCH($L$1,[3]enemies!$1:$1,0)+1),MATCH(P$1,[3]enemies!$1:$1,0)-MATCH($L$1,[3]enemies!$1:$1,0)+1,FALSE)</f>
        <v>unknown</v>
      </c>
      <c r="Q19" s="14">
        <f ca="1">VLOOKUP($L19,OFFSET([3]enemies!$A$1,0,0,COUNTA([3]enemies!$A:$A),MATCH(Q$1,[3]enemies!$1:$1,0)-MATCH($L$1,[3]enemies!$1:$1,0)+1),MATCH(Q$1,[3]enemies!$1:$1,0)-MATCH($L$1,[3]enemies!$1:$1,0)+1,FALSE)</f>
        <v>25</v>
      </c>
      <c r="R19" s="5">
        <v>13</v>
      </c>
      <c r="S19" s="19">
        <v>2</v>
      </c>
      <c r="T19" s="92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5456</v>
      </c>
      <c r="U19" s="19">
        <v>1</v>
      </c>
      <c r="V19" s="92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857</v>
      </c>
      <c r="W19" s="5">
        <v>0</v>
      </c>
      <c r="X19" s="4" t="e">
        <f ca="1">VLOOKUP($Y19,OFFSET(enemy_skill_sets!$B$1,0,0,COUNTA(enemy_skill_sets!$B:$B),MATCH(M$1,enemy_skill_sets!$1:$1,0)-MATCH($Y$1,enemy_skill_sets!$1:$1,0)+2),MATCH(M$1,enemy_skill_sets!$1:$1,0)-MATCH($Y$1,enemy_skill_sets!$1:$1,0)+2,FALSE)</f>
        <v>#N/A</v>
      </c>
      <c r="Y19" s="4">
        <f ca="1">VLOOKUP($L19,OFFSET([3]enemies!$A$1,0,0,COUNTA([3]enemies!$A:$A),MATCH(Y$1,[3]enemies!$1:$1,0)-MATCH($L$1,[3]enemies!$1:$1,0)+1),MATCH(Y$1,[3]enemies!$1:$1,0)-MATCH($L$1,[3]enemies!$1:$1,0)+1,FALSE)</f>
        <v>0</v>
      </c>
      <c r="Z19" s="6">
        <v>0</v>
      </c>
      <c r="AA19" s="6">
        <v>30</v>
      </c>
      <c r="AB19" s="6">
        <v>1</v>
      </c>
      <c r="AC19" s="14">
        <v>2</v>
      </c>
      <c r="AD19" s="98">
        <f t="shared" si="3"/>
        <v>538</v>
      </c>
      <c r="AE19" s="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冬服ニムダ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3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19" s="94">
        <v>1</v>
      </c>
      <c r="AI19" s="98">
        <f t="shared" ca="1" si="4"/>
        <v>3</v>
      </c>
      <c r="AJ19" s="7">
        <v>20</v>
      </c>
      <c r="AK19" s="94">
        <v>0</v>
      </c>
      <c r="AL19" s="94">
        <v>0</v>
      </c>
      <c r="AM19" s="94">
        <v>0</v>
      </c>
      <c r="AN19" s="94">
        <v>0</v>
      </c>
      <c r="AO19" s="94">
        <v>1</v>
      </c>
      <c r="AP19" s="62">
        <v>1</v>
      </c>
    </row>
    <row r="20" spans="1:42" s="187" customFormat="1" ht="21" customHeight="1" thickBot="1" x14ac:dyDescent="0.2">
      <c r="A20" s="169" t="str">
        <f t="shared" si="0"/>
        <v>39008_1-3/525&lt;lv15&gt;s2</v>
      </c>
      <c r="B20" s="170">
        <v>39008</v>
      </c>
      <c r="C20" s="171">
        <v>1</v>
      </c>
      <c r="D20" s="172" t="str">
        <f t="shared" si="1"/>
        <v>39008_1</v>
      </c>
      <c r="E20" s="173" t="str">
        <f ca="1">VLOOKUP($B20,OFFSET([2]quests!$A$1,0,0,COUNTA([2]quests!$A:$A),MATCH(E$1,[2]quests!$1:$1,0)-MATCH($B$1,[2]quests!$1:$1,0)+1),MATCH(E$1,[2]quests!$1:$1,0)-MATCH($B$1,[2]quests!$1:$1,0)+1,FALSE)</f>
        <v>雪の歌姫</v>
      </c>
      <c r="F20" s="173" t="str">
        <f ca="1">VLOOKUP($D20,OFFSET([2]stages!$A$1,0,0,COUNTA([2]stages!$A:$A),MATCH(F$1,[2]stages!$2:$2,0)-MATCH($D$1,[2]stages!$2:$2,0)+1),MATCH(F$1,[2]stages!$2:$2,0)-MATCH($D$1,[2]stages!$2:$2,0)+1,FALSE)</f>
        <v>【初級】雪の歌姫</v>
      </c>
      <c r="G20" s="174">
        <v>3</v>
      </c>
      <c r="H20" s="172" t="str">
        <f t="shared" si="2"/>
        <v>39008_1-3</v>
      </c>
      <c r="I20" s="173">
        <f ca="1">VLOOKUP($H20,OFFSET(floors!$A$1,0,0,COUNTA(floors!$A:$A),MATCH(I$1,floors!$1:$1,0)-MATCH($H$1,floors!$1:$1,0)+1),MATCH(I$1,floors!$1:$1,0)-MATCH($H$1,floors!$1:$1,0)+1,FALSE)</f>
        <v>30</v>
      </c>
      <c r="J20" s="173">
        <f ca="1">VLOOKUP($H20,OFFSET(floors!$A$1,0,0,COUNTA(floors!$A:$A),MATCH(J$1,floors!$1:$1,0)-MATCH($H$1,floors!$1:$1,0)+1),MATCH(J$1,floors!$1:$1,0)-MATCH($H$1,floors!$1:$1,0)+1,FALSE)</f>
        <v>30</v>
      </c>
      <c r="K20" s="175" t="s">
        <v>245</v>
      </c>
      <c r="L20" s="176">
        <v>525</v>
      </c>
      <c r="M20" s="177" t="str">
        <f ca="1">VLOOKUP($L20,OFFSET([3]enemies!$A$1,0,0,COUNTA([3]enemies!$A:$A),MATCH(M$1,[3]enemies!$1:$1,0)-MATCH($L$1,[3]enemies!$1:$1,0)+1),MATCH(M$1,[3]enemies!$1:$1,0)-MATCH($L$1,[3]enemies!$1:$1,0)+1,FALSE)</f>
        <v>ウィンタースポーツ 雪ミク</v>
      </c>
      <c r="N20" s="177" t="str">
        <f ca="1">VLOOKUP($L20,OFFSET([3]enemies!$A$1,0,0,COUNTA([3]enemies!$A:$A),MATCH(N$1,[3]enemies!$1:$1,0)-MATCH($L$1,[3]enemies!$1:$1,0)+1),MATCH(N$1,[3]enemies!$1:$1,0)-MATCH($L$1,[3]enemies!$1:$1,0)+1,FALSE)</f>
        <v>blue</v>
      </c>
      <c r="O20" s="177" t="str">
        <f ca="1">VLOOKUP($L20,OFFSET([4]characters!$A$1,0,0,COUNTA([4]characters!$A:$A),MATCH(O$1,[4]characters!$1:$1,0)-MATCH($L$1,[4]characters!$1:$1,0)+1),MATCH(O$1,[4]characters!$1:$1,0)-MATCH($L$1,[4]characters!$1:$1,0)+1,FALSE)</f>
        <v>Drop2N</v>
      </c>
      <c r="P20" s="177" t="str">
        <f ca="1">VLOOKUP($L20,OFFSET([3]enemies!$A$1,0,0,COUNTA([3]enemies!$A:$A),MATCH(P$1,[3]enemies!$1:$1,0)-MATCH($L$1,[3]enemies!$1:$1,0)+1),MATCH(P$1,[3]enemies!$1:$1,0)-MATCH($L$1,[3]enemies!$1:$1,0)+1,FALSE)</f>
        <v>unknown</v>
      </c>
      <c r="Q20" s="177">
        <f ca="1">VLOOKUP($L20,OFFSET([3]enemies!$A$1,0,0,COUNTA([3]enemies!$A:$A),MATCH(Q$1,[3]enemies!$1:$1,0)-MATCH($L$1,[3]enemies!$1:$1,0)+1),MATCH(Q$1,[3]enemies!$1:$1,0)-MATCH($L$1,[3]enemies!$1:$1,0)+1,FALSE)</f>
        <v>30</v>
      </c>
      <c r="R20" s="178">
        <v>15</v>
      </c>
      <c r="S20" s="179">
        <v>1.9</v>
      </c>
      <c r="T20" s="180">
        <f ca="1">ROUND(VLOOKUP(R20,[3]enemy_base_stats!$A:$F,2,FALSE) *INDIRECT("[EnemyMasterData.xlsm]enemies!Y"&amp;(L20+1))*  INDIRECT("[EnemyMasterData.xlsm]enemies!J"&amp;(L20+1))* INDIRECT("[EnemyMasterData.xlsm]enemies!O"&amp;(L20+1))* INDIRECT("[EnemyMasterData.xlsm]enemies!E"&amp;(L20+1))* INDIRECT("[EnemyMasterData.xlsm]enemies!S"&amp;(L20+1))* INDIRECT("[EnemyMasterData.xlsm]enemies!AD"&amp;(L20+1))*[4]ステータス!$B$2,0)*S20</f>
        <v>30647</v>
      </c>
      <c r="U20" s="179">
        <v>1</v>
      </c>
      <c r="V20" s="180">
        <f ca="1">ROUND(VLOOKUP(R20,[3]enemy_base_stats!$A:$F,3,FALSE) *INDIRECT("[EnemyMasterData.xlsm]enemies!Z"&amp;(L20+1))*  INDIRECT("[EnemyMasterData.xlsm]enemies!K"&amp;(L20+1))* INDIRECT("[EnemyMasterData.xlsm]enemies!P"&amp;(L20+1))* INDIRECT("[EnemyMasterData.xlsm]enemies!F"&amp;(L20+1))* INDIRECT("[EnemyMasterData.xlsm]enemies!T"&amp;(L20+1))* INDIRECT("[EnemyMasterData.xlsm]enemies!AE"&amp;(L20+1))*[4]ステータス!$C$2,0)*U20</f>
        <v>1266</v>
      </c>
      <c r="W20" s="178">
        <v>0</v>
      </c>
      <c r="X20" s="173" t="str">
        <f ca="1">VLOOKUP($Y20,OFFSET(enemy_skill_sets!$B$1,0,0,COUNTA(enemy_skill_sets!$B:$B),MATCH(M$1,enemy_skill_sets!$1:$1,0)-MATCH($Y$1,enemy_skill_sets!$1:$1,0)+2),MATCH(M$1,enemy_skill_sets!$1:$1,0)-MATCH($Y$1,enemy_skill_sets!$1:$1,0)+2,FALSE)</f>
        <v>1ターン自身の防御力UP</v>
      </c>
      <c r="Y20" s="181">
        <v>39008007</v>
      </c>
      <c r="Z20" s="182">
        <v>0</v>
      </c>
      <c r="AA20" s="182">
        <v>100</v>
      </c>
      <c r="AB20" s="182">
        <v>0</v>
      </c>
      <c r="AC20" s="177">
        <v>2</v>
      </c>
      <c r="AD20" s="183">
        <f t="shared" si="3"/>
        <v>525</v>
      </c>
      <c r="AE20" s="173" t="str">
        <f ca="1">VLOOKUP($AD20,OFFSET([4]characters!$A$1,0,0,COUNTA([4]characters!$A:$A),MATCH(AE$1,[4]characters!$1:$1,0)-MATCH("character_id",[4]characters!$1:$1,0)+1),MATCH(AE$1,[4]characters!$1:$1,0)-MATCH("character_id",[4]characters!$1:$1,0)+1,FALSE)</f>
        <v>ウィンタースポーツ 雪ミク</v>
      </c>
      <c r="AF20" s="173">
        <f ca="1">VLOOKUP($AD20,OFFSET([4]characters!$A$1,0,0,COUNTA([4]characters!$A:$A),MATCH(AF$1,[4]characters!$1:$1,0)-MATCH("character_id",[4]characters!$1:$1,0)+1),MATCH(AF$1,[4]characters!$1:$1,0)-MATCH("character_id",[4]characters!$1:$1,0)+1,FALSE)</f>
        <v>4</v>
      </c>
      <c r="AG20" s="173" t="str">
        <f ca="1">VLOOKUP($AD20,OFFSET([4]characters!$A$1,0,0,COUNTA([4]characters!$A:$A),MATCH(AG$1,[4]characters!$1:$1,0)-MATCH("character_id",[4]characters!$1:$1,0)+1),MATCH(AG$1,[4]characters!$1:$1,0)-MATCH("character_id",[4]characters!$1:$1,0)+1,FALSE)</f>
        <v>Drop2N</v>
      </c>
      <c r="AH20" s="184">
        <v>1</v>
      </c>
      <c r="AI20" s="183">
        <f t="shared" ca="1" si="4"/>
        <v>4</v>
      </c>
      <c r="AJ20" s="185">
        <v>50</v>
      </c>
      <c r="AK20" s="184">
        <v>0</v>
      </c>
      <c r="AL20" s="184">
        <v>0</v>
      </c>
      <c r="AM20" s="184">
        <v>0</v>
      </c>
      <c r="AN20" s="184">
        <v>0</v>
      </c>
      <c r="AO20" s="184">
        <v>1</v>
      </c>
      <c r="AP20" s="186">
        <v>1</v>
      </c>
    </row>
    <row r="21" spans="1:42" ht="21" customHeight="1" x14ac:dyDescent="0.15">
      <c r="A21" s="13" t="str">
        <f t="shared" si="0"/>
        <v>39008_2-1/529&lt;lv20&gt;s1</v>
      </c>
      <c r="B21" s="17">
        <v>39008</v>
      </c>
      <c r="C21" s="156">
        <v>2</v>
      </c>
      <c r="D21" s="157" t="str">
        <f t="shared" si="1"/>
        <v>39008_2</v>
      </c>
      <c r="E21" s="4" t="str">
        <f ca="1">VLOOKUP($B21,OFFSET([2]quests!$A$1,0,0,COUNTA([2]quests!$A:$A),MATCH(E$1,[2]quests!$1:$1,0)-MATCH($B$1,[2]quests!$1:$1,0)+1),MATCH(E$1,[2]quests!$1:$1,0)-MATCH($B$1,[2]quests!$1:$1,0)+1,FALSE)</f>
        <v>雪の歌姫</v>
      </c>
      <c r="F21" s="4" t="str">
        <f ca="1">VLOOKUP($D21,OFFSET([2]stages!$A$1,0,0,COUNTA([2]stages!$A:$A),MATCH(F$1,[2]stages!$2:$2,0)-MATCH($D$1,[2]stages!$2:$2,0)+1),MATCH(F$1,[2]stages!$2:$2,0)-MATCH($D$1,[2]stages!$2:$2,0)+1,FALSE)</f>
        <v>【中級】雪の歌姫</v>
      </c>
      <c r="G21" s="158">
        <v>1</v>
      </c>
      <c r="H21" s="157" t="str">
        <f t="shared" si="2"/>
        <v>39008_2-1</v>
      </c>
      <c r="I21" s="4">
        <f ca="1">VLOOKUP($H21,OFFSET(floors!$A$1,0,0,COUNTA(floors!$A:$A),MATCH(I$1,floors!$1:$1,0)-MATCH($H$1,floors!$1:$1,0)+1),MATCH(I$1,floors!$1:$1,0)-MATCH($H$1,floors!$1:$1,0)+1,FALSE)</f>
        <v>30</v>
      </c>
      <c r="J21" s="4">
        <f ca="1">VLOOKUP($H21,OFFSET(floors!$A$1,0,0,COUNTA(floors!$A:$A),MATCH(J$1,floors!$1:$1,0)-MATCH($H$1,floors!$1:$1,0)+1),MATCH(J$1,floors!$1:$1,0)-MATCH($H$1,floors!$1:$1,0)+1,FALSE)</f>
        <v>30</v>
      </c>
      <c r="K21" s="159" t="s">
        <v>245</v>
      </c>
      <c r="L21" s="160">
        <v>529</v>
      </c>
      <c r="M21" s="14" t="str">
        <f ca="1">VLOOKUP($L21,OFFSET([3]enemies!$A$1,0,0,COUNTA([3]enemies!$A:$A),MATCH(M$1,[3]enemies!$1:$1,0)-MATCH($L$1,[3]enemies!$1:$1,0)+1),MATCH(M$1,[3]enemies!$1:$1,0)-MATCH($L$1,[3]enemies!$1:$1,0)+1,FALSE)</f>
        <v>冬服ジェリー</v>
      </c>
      <c r="N21" s="14" t="str">
        <f ca="1">VLOOKUP($L21,OFFSET([3]enemies!$A$1,0,0,COUNTA([3]enemies!$A:$A),MATCH(N$1,[3]enemies!$1:$1,0)-MATCH($L$1,[3]enemies!$1:$1,0)+1),MATCH(N$1,[3]enemies!$1:$1,0)-MATCH($L$1,[3]enemies!$1:$1,0)+1,FALSE)</f>
        <v>red</v>
      </c>
      <c r="O21" s="14" t="str">
        <f ca="1">VLOOKUP($L21,OFFSET([4]characters!$A$1,0,0,COUNTA([4]characters!$A:$A),MATCH(O$1,[4]characters!$1:$1,0)-MATCH($L$1,[4]characters!$1:$1,0)+1),MATCH(O$1,[4]characters!$1:$1,0)-MATCH($L$1,[4]characters!$1:$1,0)+1,FALSE)</f>
        <v>Drop1T</v>
      </c>
      <c r="P21" s="14" t="str">
        <f ca="1">VLOOKUP($L21,OFFSET([3]enemies!$A$1,0,0,COUNTA([3]enemies!$A:$A),MATCH(P$1,[3]enemies!$1:$1,0)-MATCH($L$1,[3]enemies!$1:$1,0)+1),MATCH(P$1,[3]enemies!$1:$1,0)-MATCH($L$1,[3]enemies!$1:$1,0)+1,FALSE)</f>
        <v>unknown</v>
      </c>
      <c r="Q21" s="14">
        <f ca="1">VLOOKUP($L21,OFFSET([3]enemies!$A$1,0,0,COUNTA([3]enemies!$A:$A),MATCH(Q$1,[3]enemies!$1:$1,0)-MATCH($L$1,[3]enemies!$1:$1,0)+1),MATCH(Q$1,[3]enemies!$1:$1,0)-MATCH($L$1,[3]enemies!$1:$1,0)+1,FALSE)</f>
        <v>15</v>
      </c>
      <c r="R21" s="161">
        <v>20</v>
      </c>
      <c r="S21" s="162">
        <v>1.1000000000000001</v>
      </c>
      <c r="T21" s="163">
        <f ca="1">ROUND(VLOOKUP(R21,[3]enemy_base_stats!$A:$F,2,FALSE) *INDIRECT("[EnemyMasterData.xlsm]enemies!Y"&amp;(L21+1))*  INDIRECT("[EnemyMasterData.xlsm]enemies!J"&amp;(L21+1))* INDIRECT("[EnemyMasterData.xlsm]enemies!O"&amp;(L21+1))* INDIRECT("[EnemyMasterData.xlsm]enemies!E"&amp;(L21+1))* INDIRECT("[EnemyMasterData.xlsm]enemies!S"&amp;(L21+1))* INDIRECT("[EnemyMasterData.xlsm]enemies!AD"&amp;(L21+1))*[4]ステータス!$B$2,0)*S21</f>
        <v>4730</v>
      </c>
      <c r="U21" s="162">
        <v>0.4</v>
      </c>
      <c r="V21" s="163">
        <f ca="1">ROUND(VLOOKUP(R21,[3]enemy_base_stats!$A:$F,3,FALSE) *INDIRECT("[EnemyMasterData.xlsm]enemies!Z"&amp;(L21+1))*  INDIRECT("[EnemyMasterData.xlsm]enemies!K"&amp;(L21+1))* INDIRECT("[EnemyMasterData.xlsm]enemies!P"&amp;(L21+1))* INDIRECT("[EnemyMasterData.xlsm]enemies!F"&amp;(L21+1))* INDIRECT("[EnemyMasterData.xlsm]enemies!T"&amp;(L21+1))* INDIRECT("[EnemyMasterData.xlsm]enemies!AE"&amp;(L21+1))*[4]ステータス!$C$2,0)*U21</f>
        <v>707.2</v>
      </c>
      <c r="W21" s="161">
        <v>0</v>
      </c>
      <c r="X21" s="4" t="e">
        <f ca="1">VLOOKUP($Y21,OFFSET(enemy_skill_sets!$B$1,0,0,COUNTA(enemy_skill_sets!$B:$B),MATCH(M$1,enemy_skill_sets!$1:$1,0)-MATCH($Y$1,enemy_skill_sets!$1:$1,0)+2),MATCH(M$1,enemy_skill_sets!$1:$1,0)-MATCH($Y$1,enemy_skill_sets!$1:$1,0)+2,FALSE)</f>
        <v>#N/A</v>
      </c>
      <c r="Y21" s="4">
        <f ca="1">VLOOKUP($L21,OFFSET([3]enemies!$A$1,0,0,COUNTA([3]enemies!$A:$A),MATCH(Y$1,[3]enemies!$1:$1,0)-MATCH($L$1,[3]enemies!$1:$1,0)+1),MATCH(Y$1,[3]enemies!$1:$1,0)-MATCH($L$1,[3]enemies!$1:$1,0)+1,FALSE)</f>
        <v>0</v>
      </c>
      <c r="Z21" s="164">
        <v>0</v>
      </c>
      <c r="AA21" s="164">
        <v>100</v>
      </c>
      <c r="AB21" s="164">
        <v>0</v>
      </c>
      <c r="AC21" s="14">
        <v>1</v>
      </c>
      <c r="AD21" s="165">
        <f t="shared" si="3"/>
        <v>529</v>
      </c>
      <c r="AE21" s="4" t="str">
        <f ca="1">VLOOKUP($AD21,OFFSET([4]characters!$A$1,0,0,COUNTA([4]characters!$A:$A),MATCH(AE$1,[4]characters!$1:$1,0)-MATCH("character_id",[4]characters!$1:$1,0)+1),MATCH(AE$1,[4]characters!$1:$1,0)-MATCH("character_id",[4]characters!$1:$1,0)+1,FALSE)</f>
        <v>冬服ジェリー</v>
      </c>
      <c r="AF21" s="4">
        <f ca="1">VLOOKUP($AD21,OFFSET([4]characters!$A$1,0,0,COUNTA([4]characters!$A:$A),MATCH(AF$1,[4]characters!$1:$1,0)-MATCH("character_id",[4]characters!$1:$1,0)+1),MATCH(AF$1,[4]characters!$1:$1,0)-MATCH("character_id",[4]characters!$1:$1,0)+1,FALSE)</f>
        <v>1</v>
      </c>
      <c r="AG21" s="4" t="str">
        <f ca="1">VLOOKUP($AD21,OFFSET([4]characters!$A$1,0,0,COUNTA([4]characters!$A:$A),MATCH(AG$1,[4]characters!$1:$1,0)-MATCH("character_id",[4]characters!$1:$1,0)+1),MATCH(AG$1,[4]characters!$1:$1,0)-MATCH("character_id",[4]characters!$1:$1,0)+1,FALSE)</f>
        <v>Drop1T</v>
      </c>
      <c r="AH21" s="166">
        <v>1</v>
      </c>
      <c r="AI21" s="165">
        <f t="shared" ca="1" si="4"/>
        <v>1</v>
      </c>
      <c r="AJ21" s="167">
        <v>20</v>
      </c>
      <c r="AK21" s="166">
        <v>0</v>
      </c>
      <c r="AL21" s="166">
        <v>0</v>
      </c>
      <c r="AM21" s="166">
        <v>0</v>
      </c>
      <c r="AN21" s="166">
        <v>0</v>
      </c>
      <c r="AO21" s="166">
        <v>1</v>
      </c>
      <c r="AP21" s="168">
        <v>1</v>
      </c>
    </row>
    <row r="22" spans="1:42" ht="21" customHeight="1" x14ac:dyDescent="0.15">
      <c r="A22" s="13" t="str">
        <f t="shared" si="0"/>
        <v>39008_2-1/530&lt;lv20&gt;s2</v>
      </c>
      <c r="B22" s="17">
        <v>39008</v>
      </c>
      <c r="C22" s="95">
        <v>2</v>
      </c>
      <c r="D22" s="12" t="str">
        <f t="shared" si="1"/>
        <v>39008_2</v>
      </c>
      <c r="E22" s="4" t="str">
        <f ca="1">VLOOKUP($B22,OFFSET([2]quests!$A$1,0,0,COUNTA([2]quests!$A:$A),MATCH(E$1,[2]quests!$1:$1,0)-MATCH($B$1,[2]quests!$1:$1,0)+1),MATCH(E$1,[2]quests!$1:$1,0)-MATCH($B$1,[2]quests!$1:$1,0)+1,FALSE)</f>
        <v>雪の歌姫</v>
      </c>
      <c r="F22" s="4" t="str">
        <f ca="1">VLOOKUP($D22,OFFSET([2]stages!$A$1,0,0,COUNTA([2]stages!$A:$A),MATCH(F$1,[2]stages!$2:$2,0)-MATCH($D$1,[2]stages!$2:$2,0)+1),MATCH(F$1,[2]stages!$2:$2,0)-MATCH($D$1,[2]stages!$2:$2,0)+1,FALSE)</f>
        <v>【中級】雪の歌姫</v>
      </c>
      <c r="G22" s="96">
        <v>1</v>
      </c>
      <c r="H22" s="12" t="str">
        <f t="shared" si="2"/>
        <v>39008_2-1</v>
      </c>
      <c r="I22" s="4">
        <f ca="1">VLOOKUP($H22,OFFSET(floors!$A$1,0,0,COUNTA(floors!$A:$A),MATCH(I$1,floors!$1:$1,0)-MATCH($H$1,floors!$1:$1,0)+1),MATCH(I$1,floors!$1:$1,0)-MATCH($H$1,floors!$1:$1,0)+1,FALSE)</f>
        <v>30</v>
      </c>
      <c r="J22" s="4">
        <f ca="1">VLOOKUP($H22,OFFSET(floors!$A$1,0,0,COUNTA(floors!$A:$A),MATCH(J$1,floors!$1:$1,0)-MATCH($H$1,floors!$1:$1,0)+1),MATCH(J$1,floors!$1:$1,0)-MATCH($H$1,floors!$1:$1,0)+1,FALSE)</f>
        <v>30</v>
      </c>
      <c r="K22" s="32" t="s">
        <v>245</v>
      </c>
      <c r="L22" s="97">
        <v>530</v>
      </c>
      <c r="M22" s="14" t="str">
        <f ca="1">VLOOKUP($L22,OFFSET([3]enemies!$A$1,0,0,COUNTA([3]enemies!$A:$A),MATCH(M$1,[3]enemies!$1:$1,0)-MATCH($L$1,[3]enemies!$1:$1,0)+1),MATCH(M$1,[3]enemies!$1:$1,0)-MATCH($L$1,[3]enemies!$1:$1,0)+1,FALSE)</f>
        <v>冬服ジョー</v>
      </c>
      <c r="N22" s="14" t="str">
        <f ca="1">VLOOKUP($L22,OFFSET([3]enemies!$A$1,0,0,COUNTA([3]enemies!$A:$A),MATCH(N$1,[3]enemies!$1:$1,0)-MATCH($L$1,[3]enemies!$1:$1,0)+1),MATCH(N$1,[3]enemies!$1:$1,0)-MATCH($L$1,[3]enemies!$1:$1,0)+1,FALSE)</f>
        <v>green</v>
      </c>
      <c r="O22" s="14" t="str">
        <f ca="1">VLOOKUP($L22,OFFSET([4]characters!$A$1,0,0,COUNTA([4]characters!$A:$A),MATCH(O$1,[4]characters!$1:$1,0)-MATCH($L$1,[4]characters!$1:$1,0)+1),MATCH(O$1,[4]characters!$1:$1,0)-MATCH($L$1,[4]characters!$1:$1,0)+1,FALSE)</f>
        <v>Drop1T</v>
      </c>
      <c r="P22" s="14" t="str">
        <f ca="1">VLOOKUP($L22,OFFSET([3]enemies!$A$1,0,0,COUNTA([3]enemies!$A:$A),MATCH(P$1,[3]enemies!$1:$1,0)-MATCH($L$1,[3]enemies!$1:$1,0)+1),MATCH(P$1,[3]enemies!$1:$1,0)-MATCH($L$1,[3]enemies!$1:$1,0)+1,FALSE)</f>
        <v>unknown</v>
      </c>
      <c r="Q22" s="14">
        <f ca="1">VLOOKUP($L22,OFFSET([3]enemies!$A$1,0,0,COUNTA([3]enemies!$A:$A),MATCH(Q$1,[3]enemies!$1:$1,0)-MATCH($L$1,[3]enemies!$1:$1,0)+1),MATCH(Q$1,[3]enemies!$1:$1,0)-MATCH($L$1,[3]enemies!$1:$1,0)+1,FALSE)</f>
        <v>15</v>
      </c>
      <c r="R22" s="5">
        <v>20</v>
      </c>
      <c r="S22" s="19">
        <v>1.2</v>
      </c>
      <c r="T22" s="92">
        <f ca="1">ROUND(VLOOKUP(R22,[3]enemy_base_stats!$A:$F,2,FALSE) *INDIRECT("[EnemyMasterData.xlsm]enemies!Y"&amp;(L22+1))*  INDIRECT("[EnemyMasterData.xlsm]enemies!J"&amp;(L22+1))* INDIRECT("[EnemyMasterData.xlsm]enemies!O"&amp;(L22+1))* INDIRECT("[EnemyMasterData.xlsm]enemies!E"&amp;(L22+1))* INDIRECT("[EnemyMasterData.xlsm]enemies!S"&amp;(L22+1))* INDIRECT("[EnemyMasterData.xlsm]enemies!AD"&amp;(L22+1))*[4]ステータス!$B$2,0)*S22</f>
        <v>5263.2</v>
      </c>
      <c r="U22" s="19">
        <v>0.5</v>
      </c>
      <c r="V22" s="92">
        <f ca="1">ROUND(VLOOKUP(R22,[3]enemy_base_stats!$A:$F,3,FALSE) *INDIRECT("[EnemyMasterData.xlsm]enemies!Z"&amp;(L22+1))*  INDIRECT("[EnemyMasterData.xlsm]enemies!K"&amp;(L22+1))* INDIRECT("[EnemyMasterData.xlsm]enemies!P"&amp;(L22+1))* INDIRECT("[EnemyMasterData.xlsm]enemies!F"&amp;(L22+1))* INDIRECT("[EnemyMasterData.xlsm]enemies!T"&amp;(L22+1))* INDIRECT("[EnemyMasterData.xlsm]enemies!AE"&amp;(L22+1))*[4]ステータス!$C$2,0)*U22</f>
        <v>632</v>
      </c>
      <c r="W22" s="5">
        <v>0</v>
      </c>
      <c r="X22" s="4" t="e">
        <f ca="1">VLOOKUP($Y22,OFFSET(enemy_skill_sets!$B$1,0,0,COUNTA(enemy_skill_sets!$B:$B),MATCH(M$1,enemy_skill_sets!$1:$1,0)-MATCH($Y$1,enemy_skill_sets!$1:$1,0)+2),MATCH(M$1,enemy_skill_sets!$1:$1,0)-MATCH($Y$1,enemy_skill_sets!$1:$1,0)+2,FALSE)</f>
        <v>#N/A</v>
      </c>
      <c r="Y22" s="4">
        <f ca="1">VLOOKUP($L22,OFFSET([3]enemies!$A$1,0,0,COUNTA([3]enemies!$A:$A),MATCH(Y$1,[3]enemies!$1:$1,0)-MATCH($L$1,[3]enemies!$1:$1,0)+1),MATCH(Y$1,[3]enemies!$1:$1,0)-MATCH($L$1,[3]enemies!$1:$1,0)+1,FALSE)</f>
        <v>0</v>
      </c>
      <c r="Z22" s="6">
        <v>0</v>
      </c>
      <c r="AA22" s="6">
        <v>100</v>
      </c>
      <c r="AB22" s="6">
        <v>0</v>
      </c>
      <c r="AC22" s="14">
        <v>2</v>
      </c>
      <c r="AD22" s="98">
        <f t="shared" si="3"/>
        <v>530</v>
      </c>
      <c r="AE22" s="4" t="str">
        <f ca="1">VLOOKUP($AD22,OFFSET([4]characters!$A$1,0,0,COUNTA([4]characters!$A:$A),MATCH(AE$1,[4]characters!$1:$1,0)-MATCH("character_id",[4]characters!$1:$1,0)+1),MATCH(AE$1,[4]characters!$1:$1,0)-MATCH("character_id",[4]characters!$1:$1,0)+1,FALSE)</f>
        <v>冬服ジョー</v>
      </c>
      <c r="AF22" s="4">
        <f ca="1">VLOOKUP($AD22,OFFSET([4]characters!$A$1,0,0,COUNTA([4]characters!$A:$A),MATCH(AF$1,[4]characters!$1:$1,0)-MATCH("character_id",[4]characters!$1:$1,0)+1),MATCH(AF$1,[4]characters!$1:$1,0)-MATCH("character_id",[4]characters!$1:$1,0)+1,FALSE)</f>
        <v>1</v>
      </c>
      <c r="AG22" s="4" t="str">
        <f ca="1">VLOOKUP($AD22,OFFSET([4]characters!$A$1,0,0,COUNTA([4]characters!$A:$A),MATCH(AG$1,[4]characters!$1:$1,0)-MATCH("character_id",[4]characters!$1:$1,0)+1),MATCH(AG$1,[4]characters!$1:$1,0)-MATCH("character_id",[4]characters!$1:$1,0)+1,FALSE)</f>
        <v>Drop1T</v>
      </c>
      <c r="AH22" s="94">
        <v>1</v>
      </c>
      <c r="AI22" s="98">
        <f t="shared" ca="1" si="4"/>
        <v>1</v>
      </c>
      <c r="AJ22" s="7">
        <v>20</v>
      </c>
      <c r="AK22" s="94">
        <v>0</v>
      </c>
      <c r="AL22" s="94">
        <v>0</v>
      </c>
      <c r="AM22" s="94">
        <v>0</v>
      </c>
      <c r="AN22" s="94">
        <v>0</v>
      </c>
      <c r="AO22" s="94">
        <v>1</v>
      </c>
      <c r="AP22" s="62">
        <v>1</v>
      </c>
    </row>
    <row r="23" spans="1:42" ht="21" customHeight="1" x14ac:dyDescent="0.15">
      <c r="A23" s="13" t="str">
        <f t="shared" si="0"/>
        <v>39008_2-1/531&lt;lv20&gt;s3</v>
      </c>
      <c r="B23" s="17">
        <v>39008</v>
      </c>
      <c r="C23" s="95">
        <v>2</v>
      </c>
      <c r="D23" s="12" t="str">
        <f t="shared" si="1"/>
        <v>39008_2</v>
      </c>
      <c r="E23" s="4" t="str">
        <f ca="1">VLOOKUP($B23,OFFSET([2]quests!$A$1,0,0,COUNTA([2]quests!$A:$A),MATCH(E$1,[2]quests!$1:$1,0)-MATCH($B$1,[2]quests!$1:$1,0)+1),MATCH(E$1,[2]quests!$1:$1,0)-MATCH($B$1,[2]quests!$1:$1,0)+1,FALSE)</f>
        <v>雪の歌姫</v>
      </c>
      <c r="F23" s="4" t="str">
        <f ca="1">VLOOKUP($D23,OFFSET([2]stages!$A$1,0,0,COUNTA([2]stages!$A:$A),MATCH(F$1,[2]stages!$2:$2,0)-MATCH($D$1,[2]stages!$2:$2,0)+1),MATCH(F$1,[2]stages!$2:$2,0)-MATCH($D$1,[2]stages!$2:$2,0)+1,FALSE)</f>
        <v>【中級】雪の歌姫</v>
      </c>
      <c r="G23" s="96">
        <v>1</v>
      </c>
      <c r="H23" s="12" t="str">
        <f t="shared" si="2"/>
        <v>39008_2-1</v>
      </c>
      <c r="I23" s="4">
        <f ca="1">VLOOKUP($H23,OFFSET(floors!$A$1,0,0,COUNTA(floors!$A:$A),MATCH(I$1,floors!$1:$1,0)-MATCH($H$1,floors!$1:$1,0)+1),MATCH(I$1,floors!$1:$1,0)-MATCH($H$1,floors!$1:$1,0)+1,FALSE)</f>
        <v>30</v>
      </c>
      <c r="J23" s="4">
        <f ca="1">VLOOKUP($H23,OFFSET(floors!$A$1,0,0,COUNTA(floors!$A:$A),MATCH(J$1,floors!$1:$1,0)-MATCH($H$1,floors!$1:$1,0)+1),MATCH(J$1,floors!$1:$1,0)-MATCH($H$1,floors!$1:$1,0)+1,FALSE)</f>
        <v>30</v>
      </c>
      <c r="K23" s="32" t="s">
        <v>245</v>
      </c>
      <c r="L23" s="97">
        <v>531</v>
      </c>
      <c r="M23" s="14" t="str">
        <f ca="1">VLOOKUP($L23,OFFSET([3]enemies!$A$1,0,0,COUNTA([3]enemies!$A:$A),MATCH(M$1,[3]enemies!$1:$1,0)-MATCH($L$1,[3]enemies!$1:$1,0)+1),MATCH(M$1,[3]enemies!$1:$1,0)-MATCH($L$1,[3]enemies!$1:$1,0)+1,FALSE)</f>
        <v>冬服ポチ</v>
      </c>
      <c r="N23" s="14" t="str">
        <f ca="1">VLOOKUP($L23,OFFSET([3]enemies!$A$1,0,0,COUNTA([3]enemies!$A:$A),MATCH(N$1,[3]enemies!$1:$1,0)-MATCH($L$1,[3]enemies!$1:$1,0)+1),MATCH(N$1,[3]enemies!$1:$1,0)-MATCH($L$1,[3]enemies!$1:$1,0)+1,FALSE)</f>
        <v>blue</v>
      </c>
      <c r="O23" s="14" t="str">
        <f ca="1">VLOOKUP($L23,OFFSET([4]characters!$A$1,0,0,COUNTA([4]characters!$A:$A),MATCH(O$1,[4]characters!$1:$1,0)-MATCH($L$1,[4]characters!$1:$1,0)+1),MATCH(O$1,[4]characters!$1:$1,0)-MATCH($L$1,[4]characters!$1:$1,0)+1,FALSE)</f>
        <v>Drop1T</v>
      </c>
      <c r="P23" s="14" t="str">
        <f ca="1">VLOOKUP($L23,OFFSET([3]enemies!$A$1,0,0,COUNTA([3]enemies!$A:$A),MATCH(P$1,[3]enemies!$1:$1,0)-MATCH($L$1,[3]enemies!$1:$1,0)+1),MATCH(P$1,[3]enemies!$1:$1,0)-MATCH($L$1,[3]enemies!$1:$1,0)+1,FALSE)</f>
        <v>unknown</v>
      </c>
      <c r="Q23" s="14">
        <f ca="1">VLOOKUP($L23,OFFSET([3]enemies!$A$1,0,0,COUNTA([3]enemies!$A:$A),MATCH(Q$1,[3]enemies!$1:$1,0)-MATCH($L$1,[3]enemies!$1:$1,0)+1),MATCH(Q$1,[3]enemies!$1:$1,0)-MATCH($L$1,[3]enemies!$1:$1,0)+1,FALSE)</f>
        <v>15</v>
      </c>
      <c r="R23" s="5">
        <v>20</v>
      </c>
      <c r="S23" s="19">
        <v>1</v>
      </c>
      <c r="T23" s="92">
        <f ca="1">ROUND(VLOOKUP(R23,[3]enemy_base_stats!$A:$F,2,FALSE) *INDIRECT("[EnemyMasterData.xlsm]enemies!Y"&amp;(L23+1))*  INDIRECT("[EnemyMasterData.xlsm]enemies!J"&amp;(L23+1))* INDIRECT("[EnemyMasterData.xlsm]enemies!O"&amp;(L23+1))* INDIRECT("[EnemyMasterData.xlsm]enemies!E"&amp;(L23+1))* INDIRECT("[EnemyMasterData.xlsm]enemies!S"&amp;(L23+1))* INDIRECT("[EnemyMasterData.xlsm]enemies!AD"&amp;(L23+1))*[4]ステータス!$B$2,0)*S23</f>
        <v>3440</v>
      </c>
      <c r="U23" s="19">
        <v>0.8</v>
      </c>
      <c r="V23" s="92">
        <f ca="1">ROUND(VLOOKUP(R23,[3]enemy_base_stats!$A:$F,3,FALSE) *INDIRECT("[EnemyMasterData.xlsm]enemies!Z"&amp;(L23+1))*  INDIRECT("[EnemyMasterData.xlsm]enemies!K"&amp;(L23+1))* INDIRECT("[EnemyMasterData.xlsm]enemies!P"&amp;(L23+1))* INDIRECT("[EnemyMasterData.xlsm]enemies!F"&amp;(L23+1))* INDIRECT("[EnemyMasterData.xlsm]enemies!T"&amp;(L23+1))* INDIRECT("[EnemyMasterData.xlsm]enemies!AE"&amp;(L23+1))*[4]ステータス!$C$2,0)*U23</f>
        <v>788.80000000000007</v>
      </c>
      <c r="W23" s="5">
        <v>0</v>
      </c>
      <c r="X23" s="4" t="e">
        <f ca="1">VLOOKUP($Y23,OFFSET(enemy_skill_sets!$B$1,0,0,COUNTA(enemy_skill_sets!$B:$B),MATCH(M$1,enemy_skill_sets!$1:$1,0)-MATCH($Y$1,enemy_skill_sets!$1:$1,0)+2),MATCH(M$1,enemy_skill_sets!$1:$1,0)-MATCH($Y$1,enemy_skill_sets!$1:$1,0)+2,FALSE)</f>
        <v>#N/A</v>
      </c>
      <c r="Y23" s="4">
        <f ca="1">VLOOKUP($L23,OFFSET([3]enemies!$A$1,0,0,COUNTA([3]enemies!$A:$A),MATCH(Y$1,[3]enemies!$1:$1,0)-MATCH($L$1,[3]enemies!$1:$1,0)+1),MATCH(Y$1,[3]enemies!$1:$1,0)-MATCH($L$1,[3]enemies!$1:$1,0)+1,FALSE)</f>
        <v>0</v>
      </c>
      <c r="Z23" s="6">
        <v>0</v>
      </c>
      <c r="AA23" s="6">
        <v>100</v>
      </c>
      <c r="AB23" s="6">
        <v>0</v>
      </c>
      <c r="AC23" s="14">
        <v>3</v>
      </c>
      <c r="AD23" s="98">
        <f t="shared" si="3"/>
        <v>531</v>
      </c>
      <c r="AE23" s="4" t="str">
        <f ca="1">VLOOKUP($AD23,OFFSET([4]characters!$A$1,0,0,COUNTA([4]characters!$A:$A),MATCH(AE$1,[4]characters!$1:$1,0)-MATCH("character_id",[4]characters!$1:$1,0)+1),MATCH(AE$1,[4]characters!$1:$1,0)-MATCH("character_id",[4]characters!$1:$1,0)+1,FALSE)</f>
        <v>冬服ポチ</v>
      </c>
      <c r="AF23" s="4">
        <f ca="1">VLOOKUP($AD23,OFFSET([4]characters!$A$1,0,0,COUNTA([4]characters!$A:$A),MATCH(AF$1,[4]characters!$1:$1,0)-MATCH("character_id",[4]characters!$1:$1,0)+1),MATCH(AF$1,[4]characters!$1:$1,0)-MATCH("character_id",[4]characters!$1:$1,0)+1,FALSE)</f>
        <v>1</v>
      </c>
      <c r="AG23" s="4" t="str">
        <f ca="1">VLOOKUP($AD23,OFFSET([4]characters!$A$1,0,0,COUNTA([4]characters!$A:$A),MATCH(AG$1,[4]characters!$1:$1,0)-MATCH("character_id",[4]characters!$1:$1,0)+1),MATCH(AG$1,[4]characters!$1:$1,0)-MATCH("character_id",[4]characters!$1:$1,0)+1,FALSE)</f>
        <v>Drop1T</v>
      </c>
      <c r="AH23" s="94">
        <v>1</v>
      </c>
      <c r="AI23" s="98">
        <f t="shared" ca="1" si="4"/>
        <v>1</v>
      </c>
      <c r="AJ23" s="7">
        <v>20</v>
      </c>
      <c r="AK23" s="94">
        <v>0</v>
      </c>
      <c r="AL23" s="94">
        <v>0</v>
      </c>
      <c r="AM23" s="94">
        <v>0</v>
      </c>
      <c r="AN23" s="94">
        <v>0</v>
      </c>
      <c r="AO23" s="94">
        <v>1</v>
      </c>
      <c r="AP23" s="62">
        <v>1</v>
      </c>
    </row>
    <row r="24" spans="1:42" ht="21" customHeight="1" x14ac:dyDescent="0.15">
      <c r="A24" s="13" t="str">
        <f t="shared" si="0"/>
        <v>39008_2-1/532&lt;lv20&gt;s2</v>
      </c>
      <c r="B24" s="17">
        <v>39008</v>
      </c>
      <c r="C24" s="95">
        <v>2</v>
      </c>
      <c r="D24" s="12" t="str">
        <f t="shared" si="1"/>
        <v>39008_2</v>
      </c>
      <c r="E24" s="4" t="str">
        <f ca="1">VLOOKUP($B24,OFFSET([2]quests!$A$1,0,0,COUNTA([2]quests!$A:$A),MATCH(E$1,[2]quests!$1:$1,0)-MATCH($B$1,[2]quests!$1:$1,0)+1),MATCH(E$1,[2]quests!$1:$1,0)-MATCH($B$1,[2]quests!$1:$1,0)+1,FALSE)</f>
        <v>雪の歌姫</v>
      </c>
      <c r="F24" s="4" t="str">
        <f ca="1">VLOOKUP($D24,OFFSET([2]stages!$A$1,0,0,COUNTA([2]stages!$A:$A),MATCH(F$1,[2]stages!$2:$2,0)-MATCH($D$1,[2]stages!$2:$2,0)+1),MATCH(F$1,[2]stages!$2:$2,0)-MATCH($D$1,[2]stages!$2:$2,0)+1,FALSE)</f>
        <v>【中級】雪の歌姫</v>
      </c>
      <c r="G24" s="96">
        <v>1</v>
      </c>
      <c r="H24" s="12" t="str">
        <f t="shared" si="2"/>
        <v>39008_2-1</v>
      </c>
      <c r="I24" s="4">
        <f ca="1">VLOOKUP($H24,OFFSET(floors!$A$1,0,0,COUNTA(floors!$A:$A),MATCH(I$1,floors!$1:$1,0)-MATCH($H$1,floors!$1:$1,0)+1),MATCH(I$1,floors!$1:$1,0)-MATCH($H$1,floors!$1:$1,0)+1,FALSE)</f>
        <v>30</v>
      </c>
      <c r="J24" s="4">
        <f ca="1">VLOOKUP($H24,OFFSET(floors!$A$1,0,0,COUNTA(floors!$A:$A),MATCH(J$1,floors!$1:$1,0)-MATCH($H$1,floors!$1:$1,0)+1),MATCH(J$1,floors!$1:$1,0)-MATCH($H$1,floors!$1:$1,0)+1,FALSE)</f>
        <v>30</v>
      </c>
      <c r="K24" s="32" t="s">
        <v>245</v>
      </c>
      <c r="L24" s="97">
        <v>532</v>
      </c>
      <c r="M24" s="14" t="str">
        <f ca="1">VLOOKUP($L24,OFFSET([3]enemies!$A$1,0,0,COUNTA([3]enemies!$A:$A),MATCH(M$1,[3]enemies!$1:$1,0)-MATCH($L$1,[3]enemies!$1:$1,0)+1),MATCH(M$1,[3]enemies!$1:$1,0)-MATCH($L$1,[3]enemies!$1:$1,0)+1,FALSE)</f>
        <v>冬服エレキポット</v>
      </c>
      <c r="N24" s="14" t="str">
        <f ca="1">VLOOKUP($L24,OFFSET([3]enemies!$A$1,0,0,COUNTA([3]enemies!$A:$A),MATCH(N$1,[3]enemies!$1:$1,0)-MATCH($L$1,[3]enemies!$1:$1,0)+1),MATCH(N$1,[3]enemies!$1:$1,0)-MATCH($L$1,[3]enemies!$1:$1,0)+1,FALSE)</f>
        <v>yellow</v>
      </c>
      <c r="O24" s="14" t="str">
        <f ca="1">VLOOKUP($L24,OFFSET([4]characters!$A$1,0,0,COUNTA([4]characters!$A:$A),MATCH(O$1,[4]characters!$1:$1,0)-MATCH($L$1,[4]characters!$1:$1,0)+1),MATCH(O$1,[4]characters!$1:$1,0)-MATCH($L$1,[4]characters!$1:$1,0)+1,FALSE)</f>
        <v>Drop1T</v>
      </c>
      <c r="P24" s="14" t="str">
        <f ca="1">VLOOKUP($L24,OFFSET([3]enemies!$A$1,0,0,COUNTA([3]enemies!$A:$A),MATCH(P$1,[3]enemies!$1:$1,0)-MATCH($L$1,[3]enemies!$1:$1,0)+1),MATCH(P$1,[3]enemies!$1:$1,0)-MATCH($L$1,[3]enemies!$1:$1,0)+1,FALSE)</f>
        <v>unknown</v>
      </c>
      <c r="Q24" s="14">
        <f ca="1">VLOOKUP($L24,OFFSET([3]enemies!$A$1,0,0,COUNTA([3]enemies!$A:$A),MATCH(Q$1,[3]enemies!$1:$1,0)-MATCH($L$1,[3]enemies!$1:$1,0)+1),MATCH(Q$1,[3]enemies!$1:$1,0)-MATCH($L$1,[3]enemies!$1:$1,0)+1,FALSE)</f>
        <v>15</v>
      </c>
      <c r="R24" s="5">
        <v>20</v>
      </c>
      <c r="S24" s="19">
        <v>1.1000000000000001</v>
      </c>
      <c r="T24" s="92">
        <f ca="1">ROUND(VLOOKUP(R24,[3]enemy_base_stats!$A:$F,2,FALSE) *INDIRECT("[EnemyMasterData.xlsm]enemies!Y"&amp;(L24+1))*  INDIRECT("[EnemyMasterData.xlsm]enemies!J"&amp;(L24+1))* INDIRECT("[EnemyMasterData.xlsm]enemies!O"&amp;(L24+1))* INDIRECT("[EnemyMasterData.xlsm]enemies!E"&amp;(L24+1))* INDIRECT("[EnemyMasterData.xlsm]enemies!S"&amp;(L24+1))* INDIRECT("[EnemyMasterData.xlsm]enemies!AD"&amp;(L24+1))*[4]ステータス!$B$2,0)*S24</f>
        <v>4635.4000000000005</v>
      </c>
      <c r="U24" s="19">
        <v>0.4</v>
      </c>
      <c r="V24" s="92">
        <f ca="1">ROUND(VLOOKUP(R24,[3]enemy_base_stats!$A:$F,3,FALSE) *INDIRECT("[EnemyMasterData.xlsm]enemies!Z"&amp;(L24+1))*  INDIRECT("[EnemyMasterData.xlsm]enemies!K"&amp;(L24+1))* INDIRECT("[EnemyMasterData.xlsm]enemies!P"&amp;(L24+1))* INDIRECT("[EnemyMasterData.xlsm]enemies!F"&amp;(L24+1))* INDIRECT("[EnemyMasterData.xlsm]enemies!T"&amp;(L24+1))* INDIRECT("[EnemyMasterData.xlsm]enemies!AE"&amp;(L24+1))*[4]ステータス!$C$2,0)*U24</f>
        <v>693.2</v>
      </c>
      <c r="W24" s="5">
        <v>0</v>
      </c>
      <c r="X24" s="4" t="e">
        <f ca="1">VLOOKUP($Y24,OFFSET(enemy_skill_sets!$B$1,0,0,COUNTA(enemy_skill_sets!$B:$B),MATCH(M$1,enemy_skill_sets!$1:$1,0)-MATCH($Y$1,enemy_skill_sets!$1:$1,0)+2),MATCH(M$1,enemy_skill_sets!$1:$1,0)-MATCH($Y$1,enemy_skill_sets!$1:$1,0)+2,FALSE)</f>
        <v>#N/A</v>
      </c>
      <c r="Y24" s="4">
        <f ca="1">VLOOKUP($L24,OFFSET([3]enemies!$A$1,0,0,COUNTA([3]enemies!$A:$A),MATCH(Y$1,[3]enemies!$1:$1,0)-MATCH($L$1,[3]enemies!$1:$1,0)+1),MATCH(Y$1,[3]enemies!$1:$1,0)-MATCH($L$1,[3]enemies!$1:$1,0)+1,FALSE)</f>
        <v>0</v>
      </c>
      <c r="Z24" s="6">
        <v>0</v>
      </c>
      <c r="AA24" s="6">
        <v>100</v>
      </c>
      <c r="AB24" s="6">
        <v>0</v>
      </c>
      <c r="AC24" s="14">
        <v>2</v>
      </c>
      <c r="AD24" s="98">
        <f t="shared" si="3"/>
        <v>532</v>
      </c>
      <c r="AE24" s="4" t="str">
        <f ca="1">VLOOKUP($AD24,OFFSET([4]characters!$A$1,0,0,COUNTA([4]characters!$A:$A),MATCH(AE$1,[4]characters!$1:$1,0)-MATCH("character_id",[4]characters!$1:$1,0)+1),MATCH(AE$1,[4]characters!$1:$1,0)-MATCH("character_id",[4]characters!$1:$1,0)+1,FALSE)</f>
        <v>冬服エレキポット</v>
      </c>
      <c r="AF24" s="4">
        <f ca="1">VLOOKUP($AD24,OFFSET([4]characters!$A$1,0,0,COUNTA([4]characters!$A:$A),MATCH(AF$1,[4]characters!$1:$1,0)-MATCH("character_id",[4]characters!$1:$1,0)+1),MATCH(AF$1,[4]characters!$1:$1,0)-MATCH("character_id",[4]characters!$1:$1,0)+1,FALSE)</f>
        <v>1</v>
      </c>
      <c r="AG24" s="4" t="str">
        <f ca="1">VLOOKUP($AD24,OFFSET([4]characters!$A$1,0,0,COUNTA([4]characters!$A:$A),MATCH(AG$1,[4]characters!$1:$1,0)-MATCH("character_id",[4]characters!$1:$1,0)+1),MATCH(AG$1,[4]characters!$1:$1,0)-MATCH("character_id",[4]characters!$1:$1,0)+1,FALSE)</f>
        <v>Drop1T</v>
      </c>
      <c r="AH24" s="94">
        <v>1</v>
      </c>
      <c r="AI24" s="98">
        <f t="shared" ca="1" si="4"/>
        <v>1</v>
      </c>
      <c r="AJ24" s="7">
        <v>20</v>
      </c>
      <c r="AK24" s="94">
        <v>0</v>
      </c>
      <c r="AL24" s="94">
        <v>0</v>
      </c>
      <c r="AM24" s="94">
        <v>0</v>
      </c>
      <c r="AN24" s="94">
        <v>0</v>
      </c>
      <c r="AO24" s="94">
        <v>1</v>
      </c>
      <c r="AP24" s="62">
        <v>1</v>
      </c>
    </row>
    <row r="25" spans="1:42" ht="21" customHeight="1" x14ac:dyDescent="0.15">
      <c r="A25" s="13" t="str">
        <f t="shared" si="0"/>
        <v>39008_2-1/533&lt;lv20&gt;s3</v>
      </c>
      <c r="B25" s="17">
        <v>39008</v>
      </c>
      <c r="C25" s="95">
        <v>2</v>
      </c>
      <c r="D25" s="12" t="str">
        <f t="shared" si="1"/>
        <v>39008_2</v>
      </c>
      <c r="E25" s="4" t="str">
        <f ca="1">VLOOKUP($B25,OFFSET([2]quests!$A$1,0,0,COUNTA([2]quests!$A:$A),MATCH(E$1,[2]quests!$1:$1,0)-MATCH($B$1,[2]quests!$1:$1,0)+1),MATCH(E$1,[2]quests!$1:$1,0)-MATCH($B$1,[2]quests!$1:$1,0)+1,FALSE)</f>
        <v>雪の歌姫</v>
      </c>
      <c r="F25" s="4" t="str">
        <f ca="1">VLOOKUP($D25,OFFSET([2]stages!$A$1,0,0,COUNTA([2]stages!$A:$A),MATCH(F$1,[2]stages!$2:$2,0)-MATCH($D$1,[2]stages!$2:$2,0)+1),MATCH(F$1,[2]stages!$2:$2,0)-MATCH($D$1,[2]stages!$2:$2,0)+1,FALSE)</f>
        <v>【中級】雪の歌姫</v>
      </c>
      <c r="G25" s="96">
        <v>1</v>
      </c>
      <c r="H25" s="12" t="str">
        <f t="shared" si="2"/>
        <v>39008_2-1</v>
      </c>
      <c r="I25" s="4">
        <f ca="1">VLOOKUP($H25,OFFSET(floors!$A$1,0,0,COUNTA(floors!$A:$A),MATCH(I$1,floors!$1:$1,0)-MATCH($H$1,floors!$1:$1,0)+1),MATCH(I$1,floors!$1:$1,0)-MATCH($H$1,floors!$1:$1,0)+1,FALSE)</f>
        <v>30</v>
      </c>
      <c r="J25" s="4">
        <f ca="1">VLOOKUP($H25,OFFSET(floors!$A$1,0,0,COUNTA(floors!$A:$A),MATCH(J$1,floors!$1:$1,0)-MATCH($H$1,floors!$1:$1,0)+1),MATCH(J$1,floors!$1:$1,0)-MATCH($H$1,floors!$1:$1,0)+1,FALSE)</f>
        <v>30</v>
      </c>
      <c r="K25" s="32" t="s">
        <v>245</v>
      </c>
      <c r="L25" s="97">
        <v>533</v>
      </c>
      <c r="M25" s="14" t="str">
        <f ca="1">VLOOKUP($L25,OFFSET([3]enemies!$A$1,0,0,COUNTA([3]enemies!$A:$A),MATCH(M$1,[3]enemies!$1:$1,0)-MATCH($L$1,[3]enemies!$1:$1,0)+1),MATCH(M$1,[3]enemies!$1:$1,0)-MATCH($L$1,[3]enemies!$1:$1,0)+1,FALSE)</f>
        <v>冬服アカネ</v>
      </c>
      <c r="N25" s="14" t="str">
        <f ca="1">VLOOKUP($L25,OFFSET([3]enemies!$A$1,0,0,COUNTA([3]enemies!$A:$A),MATCH(N$1,[3]enemies!$1:$1,0)-MATCH($L$1,[3]enemies!$1:$1,0)+1),MATCH(N$1,[3]enemies!$1:$1,0)-MATCH($L$1,[3]enemies!$1:$1,0)+1,FALSE)</f>
        <v>red</v>
      </c>
      <c r="O25" s="14" t="str">
        <f ca="1">VLOOKUP($L25,OFFSET([4]characters!$A$1,0,0,COUNTA([4]characters!$A:$A),MATCH(O$1,[4]characters!$1:$1,0)-MATCH($L$1,[4]characters!$1:$1,0)+1),MATCH(O$1,[4]characters!$1:$1,0)-MATCH($L$1,[4]characters!$1:$1,0)+1,FALSE)</f>
        <v>Drop1W</v>
      </c>
      <c r="P25" s="14" t="str">
        <f ca="1">VLOOKUP($L25,OFFSET([3]enemies!$A$1,0,0,COUNTA([3]enemies!$A:$A),MATCH(P$1,[3]enemies!$1:$1,0)-MATCH($L$1,[3]enemies!$1:$1,0)+1),MATCH(P$1,[3]enemies!$1:$1,0)-MATCH($L$1,[3]enemies!$1:$1,0)+1,FALSE)</f>
        <v>human</v>
      </c>
      <c r="Q25" s="14">
        <f ca="1">VLOOKUP($L25,OFFSET([3]enemies!$A$1,0,0,COUNTA([3]enemies!$A:$A),MATCH(Q$1,[3]enemies!$1:$1,0)-MATCH($L$1,[3]enemies!$1:$1,0)+1),MATCH(Q$1,[3]enemies!$1:$1,0)-MATCH($L$1,[3]enemies!$1:$1,0)+1,FALSE)</f>
        <v>15</v>
      </c>
      <c r="R25" s="5">
        <v>20</v>
      </c>
      <c r="S25" s="19">
        <v>1.1000000000000001</v>
      </c>
      <c r="T25" s="92">
        <f ca="1">ROUND(VLOOKUP(R25,[3]enemy_base_stats!$A:$F,2,FALSE) *INDIRECT("[EnemyMasterData.xlsm]enemies!Y"&amp;(L25+1))*  INDIRECT("[EnemyMasterData.xlsm]enemies!J"&amp;(L25+1))* INDIRECT("[EnemyMasterData.xlsm]enemies!O"&amp;(L25+1))* INDIRECT("[EnemyMasterData.xlsm]enemies!E"&amp;(L25+1))* INDIRECT("[EnemyMasterData.xlsm]enemies!S"&amp;(L25+1))* INDIRECT("[EnemyMasterData.xlsm]enemies!AD"&amp;(L25+1))*[4]ステータス!$B$2,0)*S25</f>
        <v>4446.2000000000007</v>
      </c>
      <c r="U25" s="19">
        <v>0.6</v>
      </c>
      <c r="V25" s="92">
        <f ca="1">ROUND(VLOOKUP(R25,[3]enemy_base_stats!$A:$F,3,FALSE) *INDIRECT("[EnemyMasterData.xlsm]enemies!Z"&amp;(L25+1))*  INDIRECT("[EnemyMasterData.xlsm]enemies!K"&amp;(L25+1))* INDIRECT("[EnemyMasterData.xlsm]enemies!P"&amp;(L25+1))* INDIRECT("[EnemyMasterData.xlsm]enemies!F"&amp;(L25+1))* INDIRECT("[EnemyMasterData.xlsm]enemies!T"&amp;(L25+1))* INDIRECT("[EnemyMasterData.xlsm]enemies!AE"&amp;(L25+1))*[4]ステータス!$C$2,0)*U25</f>
        <v>781.8</v>
      </c>
      <c r="W25" s="5">
        <v>0</v>
      </c>
      <c r="X25" s="4" t="e">
        <f ca="1">VLOOKUP($Y25,OFFSET(enemy_skill_sets!$B$1,0,0,COUNTA(enemy_skill_sets!$B:$B),MATCH(M$1,enemy_skill_sets!$1:$1,0)-MATCH($Y$1,enemy_skill_sets!$1:$1,0)+2),MATCH(M$1,enemy_skill_sets!$1:$1,0)-MATCH($Y$1,enemy_skill_sets!$1:$1,0)+2,FALSE)</f>
        <v>#N/A</v>
      </c>
      <c r="Y25" s="4">
        <f ca="1">VLOOKUP($L25,OFFSET([3]enemies!$A$1,0,0,COUNTA([3]enemies!$A:$A),MATCH(Y$1,[3]enemies!$1:$1,0)-MATCH($L$1,[3]enemies!$1:$1,0)+1),MATCH(Y$1,[3]enemies!$1:$1,0)-MATCH($L$1,[3]enemies!$1:$1,0)+1,FALSE)</f>
        <v>0</v>
      </c>
      <c r="Z25" s="6">
        <v>0</v>
      </c>
      <c r="AA25" s="6">
        <v>100</v>
      </c>
      <c r="AB25" s="6">
        <v>0</v>
      </c>
      <c r="AC25" s="14">
        <v>3</v>
      </c>
      <c r="AD25" s="98">
        <f t="shared" si="3"/>
        <v>533</v>
      </c>
      <c r="AE25" s="4" t="str">
        <f ca="1">VLOOKUP($AD25,OFFSET([4]characters!$A$1,0,0,COUNTA([4]characters!$A:$A),MATCH(AE$1,[4]characters!$1:$1,0)-MATCH("character_id",[4]characters!$1:$1,0)+1),MATCH(AE$1,[4]characters!$1:$1,0)-MATCH("character_id",[4]characters!$1:$1,0)+1,FALSE)</f>
        <v>冬服アカネ</v>
      </c>
      <c r="AF25" s="4">
        <f ca="1">VLOOKUP($AD25,OFFSET([4]characters!$A$1,0,0,COUNTA([4]characters!$A:$A),MATCH(AF$1,[4]characters!$1:$1,0)-MATCH("character_id",[4]characters!$1:$1,0)+1),MATCH(AF$1,[4]characters!$1:$1,0)-MATCH("character_id",[4]characters!$1:$1,0)+1,FALSE)</f>
        <v>1</v>
      </c>
      <c r="AG25" s="4" t="str">
        <f ca="1">VLOOKUP($AD25,OFFSET([4]characters!$A$1,0,0,COUNTA([4]characters!$A:$A),MATCH(AG$1,[4]characters!$1:$1,0)-MATCH("character_id",[4]characters!$1:$1,0)+1),MATCH(AG$1,[4]characters!$1:$1,0)-MATCH("character_id",[4]characters!$1:$1,0)+1,FALSE)</f>
        <v>Drop1W</v>
      </c>
      <c r="AH25" s="94">
        <v>1</v>
      </c>
      <c r="AI25" s="98">
        <f t="shared" ca="1" si="4"/>
        <v>1</v>
      </c>
      <c r="AJ25" s="7">
        <v>20</v>
      </c>
      <c r="AK25" s="94">
        <v>0</v>
      </c>
      <c r="AL25" s="94">
        <v>0</v>
      </c>
      <c r="AM25" s="94">
        <v>0</v>
      </c>
      <c r="AN25" s="94">
        <v>0</v>
      </c>
      <c r="AO25" s="94">
        <v>1</v>
      </c>
      <c r="AP25" s="62">
        <v>1</v>
      </c>
    </row>
    <row r="26" spans="1:42" ht="21" customHeight="1" x14ac:dyDescent="0.15">
      <c r="A26" s="13" t="str">
        <f t="shared" si="0"/>
        <v>39008_2-1/534&lt;lv20&gt;s1</v>
      </c>
      <c r="B26" s="17">
        <v>39008</v>
      </c>
      <c r="C26" s="95">
        <v>2</v>
      </c>
      <c r="D26" s="12" t="str">
        <f t="shared" si="1"/>
        <v>39008_2</v>
      </c>
      <c r="E26" s="4" t="str">
        <f ca="1">VLOOKUP($B26,OFFSET([2]quests!$A$1,0,0,COUNTA([2]quests!$A:$A),MATCH(E$1,[2]quests!$1:$1,0)-MATCH($B$1,[2]quests!$1:$1,0)+1),MATCH(E$1,[2]quests!$1:$1,0)-MATCH($B$1,[2]quests!$1:$1,0)+1,FALSE)</f>
        <v>雪の歌姫</v>
      </c>
      <c r="F26" s="4" t="str">
        <f ca="1">VLOOKUP($D26,OFFSET([2]stages!$A$1,0,0,COUNTA([2]stages!$A:$A),MATCH(F$1,[2]stages!$2:$2,0)-MATCH($D$1,[2]stages!$2:$2,0)+1),MATCH(F$1,[2]stages!$2:$2,0)-MATCH($D$1,[2]stages!$2:$2,0)+1,FALSE)</f>
        <v>【中級】雪の歌姫</v>
      </c>
      <c r="G26" s="96">
        <v>1</v>
      </c>
      <c r="H26" s="12" t="str">
        <f t="shared" si="2"/>
        <v>39008_2-1</v>
      </c>
      <c r="I26" s="4">
        <f ca="1">VLOOKUP($H26,OFFSET(floors!$A$1,0,0,COUNTA(floors!$A:$A),MATCH(I$1,floors!$1:$1,0)-MATCH($H$1,floors!$1:$1,0)+1),MATCH(I$1,floors!$1:$1,0)-MATCH($H$1,floors!$1:$1,0)+1,FALSE)</f>
        <v>30</v>
      </c>
      <c r="J26" s="4">
        <f ca="1">VLOOKUP($H26,OFFSET(floors!$A$1,0,0,COUNTA(floors!$A:$A),MATCH(J$1,floors!$1:$1,0)-MATCH($H$1,floors!$1:$1,0)+1),MATCH(J$1,floors!$1:$1,0)-MATCH($H$1,floors!$1:$1,0)+1,FALSE)</f>
        <v>30</v>
      </c>
      <c r="K26" s="32" t="s">
        <v>245</v>
      </c>
      <c r="L26" s="97">
        <v>534</v>
      </c>
      <c r="M26" s="14" t="str">
        <f ca="1">VLOOKUP($L26,OFFSET([3]enemies!$A$1,0,0,COUNTA([3]enemies!$A:$A),MATCH(M$1,[3]enemies!$1:$1,0)-MATCH($L$1,[3]enemies!$1:$1,0)+1),MATCH(M$1,[3]enemies!$1:$1,0)-MATCH($L$1,[3]enemies!$1:$1,0)+1,FALSE)</f>
        <v>冬服パトライン</v>
      </c>
      <c r="N26" s="14" t="str">
        <f ca="1">VLOOKUP($L26,OFFSET([3]enemies!$A$1,0,0,COUNTA([3]enemies!$A:$A),MATCH(N$1,[3]enemies!$1:$1,0)-MATCH($L$1,[3]enemies!$1:$1,0)+1),MATCH(N$1,[3]enemies!$1:$1,0)-MATCH($L$1,[3]enemies!$1:$1,0)+1,FALSE)</f>
        <v>green</v>
      </c>
      <c r="O26" s="14" t="str">
        <f ca="1">VLOOKUP($L26,OFFSET([4]characters!$A$1,0,0,COUNTA([4]characters!$A:$A),MATCH(O$1,[4]characters!$1:$1,0)-MATCH($L$1,[4]characters!$1:$1,0)+1),MATCH(O$1,[4]characters!$1:$1,0)-MATCH($L$1,[4]characters!$1:$1,0)+1,FALSE)</f>
        <v>Drop1W</v>
      </c>
      <c r="P26" s="14" t="str">
        <f ca="1">VLOOKUP($L26,OFFSET([3]enemies!$A$1,0,0,COUNTA([3]enemies!$A:$A),MATCH(P$1,[3]enemies!$1:$1,0)-MATCH($L$1,[3]enemies!$1:$1,0)+1),MATCH(P$1,[3]enemies!$1:$1,0)-MATCH($L$1,[3]enemies!$1:$1,0)+1,FALSE)</f>
        <v>machine</v>
      </c>
      <c r="Q26" s="14">
        <f ca="1">VLOOKUP($L26,OFFSET([3]enemies!$A$1,0,0,COUNTA([3]enemies!$A:$A),MATCH(Q$1,[3]enemies!$1:$1,0)-MATCH($L$1,[3]enemies!$1:$1,0)+1),MATCH(Q$1,[3]enemies!$1:$1,0)-MATCH($L$1,[3]enemies!$1:$1,0)+1,FALSE)</f>
        <v>15</v>
      </c>
      <c r="R26" s="5">
        <v>20</v>
      </c>
      <c r="S26" s="19">
        <v>1.2</v>
      </c>
      <c r="T26" s="92">
        <f ca="1">ROUND(VLOOKUP(R26,[3]enemy_base_stats!$A:$F,2,FALSE) *INDIRECT("[EnemyMasterData.xlsm]enemies!Y"&amp;(L26+1))*  INDIRECT("[EnemyMasterData.xlsm]enemies!J"&amp;(L26+1))* INDIRECT("[EnemyMasterData.xlsm]enemies!O"&amp;(L26+1))* INDIRECT("[EnemyMasterData.xlsm]enemies!E"&amp;(L26+1))* INDIRECT("[EnemyMasterData.xlsm]enemies!S"&amp;(L26+1))* INDIRECT("[EnemyMasterData.xlsm]enemies!AD"&amp;(L26+1))*[4]ステータス!$B$2,0)*S26</f>
        <v>4210.8</v>
      </c>
      <c r="U26" s="19">
        <v>0.6</v>
      </c>
      <c r="V26" s="92">
        <f ca="1">ROUND(VLOOKUP(R26,[3]enemy_base_stats!$A:$F,3,FALSE) *INDIRECT("[EnemyMasterData.xlsm]enemies!Z"&amp;(L26+1))*  INDIRECT("[EnemyMasterData.xlsm]enemies!K"&amp;(L26+1))* INDIRECT("[EnemyMasterData.xlsm]enemies!P"&amp;(L26+1))* INDIRECT("[EnemyMasterData.xlsm]enemies!F"&amp;(L26+1))* INDIRECT("[EnemyMasterData.xlsm]enemies!T"&amp;(L26+1))* INDIRECT("[EnemyMasterData.xlsm]enemies!AE"&amp;(L26+1))*[4]ステータス!$C$2,0)*U26</f>
        <v>591.6</v>
      </c>
      <c r="W26" s="5">
        <v>0</v>
      </c>
      <c r="X26" s="4" t="e">
        <f ca="1">VLOOKUP($Y26,OFFSET(enemy_skill_sets!$B$1,0,0,COUNTA(enemy_skill_sets!$B:$B),MATCH(M$1,enemy_skill_sets!$1:$1,0)-MATCH($Y$1,enemy_skill_sets!$1:$1,0)+2),MATCH(M$1,enemy_skill_sets!$1:$1,0)-MATCH($Y$1,enemy_skill_sets!$1:$1,0)+2,FALSE)</f>
        <v>#N/A</v>
      </c>
      <c r="Y26" s="4">
        <f ca="1">VLOOKUP($L26,OFFSET([3]enemies!$A$1,0,0,COUNTA([3]enemies!$A:$A),MATCH(Y$1,[3]enemies!$1:$1,0)-MATCH($L$1,[3]enemies!$1:$1,0)+1),MATCH(Y$1,[3]enemies!$1:$1,0)-MATCH($L$1,[3]enemies!$1:$1,0)+1,FALSE)</f>
        <v>0</v>
      </c>
      <c r="Z26" s="6">
        <v>0</v>
      </c>
      <c r="AA26" s="6">
        <v>100</v>
      </c>
      <c r="AB26" s="6">
        <v>0</v>
      </c>
      <c r="AC26" s="14">
        <v>1</v>
      </c>
      <c r="AD26" s="98">
        <f t="shared" si="3"/>
        <v>534</v>
      </c>
      <c r="AE26" s="4" t="str">
        <f ca="1">VLOOKUP($AD26,OFFSET([4]characters!$A$1,0,0,COUNTA([4]characters!$A:$A),MATCH(AE$1,[4]characters!$1:$1,0)-MATCH("character_id",[4]characters!$1:$1,0)+1),MATCH(AE$1,[4]characters!$1:$1,0)-MATCH("character_id",[4]characters!$1:$1,0)+1,FALSE)</f>
        <v>冬服パトライン</v>
      </c>
      <c r="AF26" s="4">
        <f ca="1">VLOOKUP($AD26,OFFSET([4]characters!$A$1,0,0,COUNTA([4]characters!$A:$A),MATCH(AF$1,[4]characters!$1:$1,0)-MATCH("character_id",[4]characters!$1:$1,0)+1),MATCH(AF$1,[4]characters!$1:$1,0)-MATCH("character_id",[4]characters!$1:$1,0)+1,FALSE)</f>
        <v>1</v>
      </c>
      <c r="AG26" s="4" t="str">
        <f ca="1">VLOOKUP($AD26,OFFSET([4]characters!$A$1,0,0,COUNTA([4]characters!$A:$A),MATCH(AG$1,[4]characters!$1:$1,0)-MATCH("character_id",[4]characters!$1:$1,0)+1),MATCH(AG$1,[4]characters!$1:$1,0)-MATCH("character_id",[4]characters!$1:$1,0)+1,FALSE)</f>
        <v>Drop1W</v>
      </c>
      <c r="AH26" s="94">
        <v>1</v>
      </c>
      <c r="AI26" s="98">
        <f t="shared" ca="1" si="4"/>
        <v>1</v>
      </c>
      <c r="AJ26" s="7">
        <v>20</v>
      </c>
      <c r="AK26" s="94">
        <v>0</v>
      </c>
      <c r="AL26" s="94">
        <v>0</v>
      </c>
      <c r="AM26" s="94">
        <v>0</v>
      </c>
      <c r="AN26" s="94">
        <v>0</v>
      </c>
      <c r="AO26" s="94">
        <v>1</v>
      </c>
      <c r="AP26" s="62">
        <v>1</v>
      </c>
    </row>
    <row r="27" spans="1:42" ht="21" customHeight="1" x14ac:dyDescent="0.15">
      <c r="A27" s="13" t="str">
        <f t="shared" si="0"/>
        <v>39008_2-1/535&lt;lv20&gt;s2</v>
      </c>
      <c r="B27" s="17">
        <v>39008</v>
      </c>
      <c r="C27" s="95">
        <v>2</v>
      </c>
      <c r="D27" s="12" t="str">
        <f t="shared" si="1"/>
        <v>39008_2</v>
      </c>
      <c r="E27" s="4" t="str">
        <f ca="1">VLOOKUP($B27,OFFSET([2]quests!$A$1,0,0,COUNTA([2]quests!$A:$A),MATCH(E$1,[2]quests!$1:$1,0)-MATCH($B$1,[2]quests!$1:$1,0)+1),MATCH(E$1,[2]quests!$1:$1,0)-MATCH($B$1,[2]quests!$1:$1,0)+1,FALSE)</f>
        <v>雪の歌姫</v>
      </c>
      <c r="F27" s="4" t="str">
        <f ca="1">VLOOKUP($D27,OFFSET([2]stages!$A$1,0,0,COUNTA([2]stages!$A:$A),MATCH(F$1,[2]stages!$2:$2,0)-MATCH($D$1,[2]stages!$2:$2,0)+1),MATCH(F$1,[2]stages!$2:$2,0)-MATCH($D$1,[2]stages!$2:$2,0)+1,FALSE)</f>
        <v>【中級】雪の歌姫</v>
      </c>
      <c r="G27" s="96">
        <v>1</v>
      </c>
      <c r="H27" s="12" t="str">
        <f t="shared" si="2"/>
        <v>39008_2-1</v>
      </c>
      <c r="I27" s="4">
        <f ca="1">VLOOKUP($H27,OFFSET(floors!$A$1,0,0,COUNTA(floors!$A:$A),MATCH(I$1,floors!$1:$1,0)-MATCH($H$1,floors!$1:$1,0)+1),MATCH(I$1,floors!$1:$1,0)-MATCH($H$1,floors!$1:$1,0)+1,FALSE)</f>
        <v>30</v>
      </c>
      <c r="J27" s="4">
        <f ca="1">VLOOKUP($H27,OFFSET(floors!$A$1,0,0,COUNTA(floors!$A:$A),MATCH(J$1,floors!$1:$1,0)-MATCH($H$1,floors!$1:$1,0)+1),MATCH(J$1,floors!$1:$1,0)-MATCH($H$1,floors!$1:$1,0)+1,FALSE)</f>
        <v>30</v>
      </c>
      <c r="K27" s="32" t="s">
        <v>245</v>
      </c>
      <c r="L27" s="97">
        <v>535</v>
      </c>
      <c r="M27" s="14" t="str">
        <f ca="1">VLOOKUP($L27,OFFSET([3]enemies!$A$1,0,0,COUNTA([3]enemies!$A:$A),MATCH(M$1,[3]enemies!$1:$1,0)-MATCH($L$1,[3]enemies!$1:$1,0)+1),MATCH(M$1,[3]enemies!$1:$1,0)-MATCH($L$1,[3]enemies!$1:$1,0)+1,FALSE)</f>
        <v>冬服リム</v>
      </c>
      <c r="N27" s="14" t="str">
        <f ca="1">VLOOKUP($L27,OFFSET([3]enemies!$A$1,0,0,COUNTA([3]enemies!$A:$A),MATCH(N$1,[3]enemies!$1:$1,0)-MATCH($L$1,[3]enemies!$1:$1,0)+1),MATCH(N$1,[3]enemies!$1:$1,0)-MATCH($L$1,[3]enemies!$1:$1,0)+1,FALSE)</f>
        <v>blue</v>
      </c>
      <c r="O27" s="14" t="str">
        <f ca="1">VLOOKUP($L27,OFFSET([4]characters!$A$1,0,0,COUNTA([4]characters!$A:$A),MATCH(O$1,[4]characters!$1:$1,0)-MATCH($L$1,[4]characters!$1:$1,0)+1),MATCH(O$1,[4]characters!$1:$1,0)-MATCH($L$1,[4]characters!$1:$1,0)+1,FALSE)</f>
        <v>Drop1W</v>
      </c>
      <c r="P27" s="14" t="str">
        <f ca="1">VLOOKUP($L27,OFFSET([3]enemies!$A$1,0,0,COUNTA([3]enemies!$A:$A),MATCH(P$1,[3]enemies!$1:$1,0)-MATCH($L$1,[3]enemies!$1:$1,0)+1),MATCH(P$1,[3]enemies!$1:$1,0)-MATCH($L$1,[3]enemies!$1:$1,0)+1,FALSE)</f>
        <v>human</v>
      </c>
      <c r="Q27" s="14">
        <f ca="1">VLOOKUP($L27,OFFSET([3]enemies!$A$1,0,0,COUNTA([3]enemies!$A:$A),MATCH(Q$1,[3]enemies!$1:$1,0)-MATCH($L$1,[3]enemies!$1:$1,0)+1),MATCH(Q$1,[3]enemies!$1:$1,0)-MATCH($L$1,[3]enemies!$1:$1,0)+1,FALSE)</f>
        <v>15</v>
      </c>
      <c r="R27" s="5">
        <v>20</v>
      </c>
      <c r="S27" s="19">
        <v>1</v>
      </c>
      <c r="T27" s="92">
        <f ca="1">ROUND(VLOOKUP(R27,[3]enemy_base_stats!$A:$F,2,FALSE) *INDIRECT("[EnemyMasterData.xlsm]enemies!Y"&amp;(L27+1))*  INDIRECT("[EnemyMasterData.xlsm]enemies!J"&amp;(L27+1))* INDIRECT("[EnemyMasterData.xlsm]enemies!O"&amp;(L27+1))* INDIRECT("[EnemyMasterData.xlsm]enemies!E"&amp;(L27+1))* INDIRECT("[EnemyMasterData.xlsm]enemies!S"&amp;(L27+1))* INDIRECT("[EnemyMasterData.xlsm]enemies!AD"&amp;(L27+1))*[4]ステータス!$B$2,0)*S27</f>
        <v>4042</v>
      </c>
      <c r="U27" s="19">
        <v>0.6</v>
      </c>
      <c r="V27" s="92">
        <f ca="1">ROUND(VLOOKUP(R27,[3]enemy_base_stats!$A:$F,3,FALSE) *INDIRECT("[EnemyMasterData.xlsm]enemies!Z"&amp;(L27+1))*  INDIRECT("[EnemyMasterData.xlsm]enemies!K"&amp;(L27+1))* INDIRECT("[EnemyMasterData.xlsm]enemies!P"&amp;(L27+1))* INDIRECT("[EnemyMasterData.xlsm]enemies!F"&amp;(L27+1))* INDIRECT("[EnemyMasterData.xlsm]enemies!T"&amp;(L27+1))* INDIRECT("[EnemyMasterData.xlsm]enemies!AE"&amp;(L27+1))*[4]ステータス!$C$2,0)*U27</f>
        <v>751.19999999999993</v>
      </c>
      <c r="W27" s="5">
        <v>0</v>
      </c>
      <c r="X27" s="4" t="e">
        <f ca="1">VLOOKUP($Y27,OFFSET(enemy_skill_sets!$B$1,0,0,COUNTA(enemy_skill_sets!$B:$B),MATCH(M$1,enemy_skill_sets!$1:$1,0)-MATCH($Y$1,enemy_skill_sets!$1:$1,0)+2),MATCH(M$1,enemy_skill_sets!$1:$1,0)-MATCH($Y$1,enemy_skill_sets!$1:$1,0)+2,FALSE)</f>
        <v>#N/A</v>
      </c>
      <c r="Y27" s="4">
        <f ca="1">VLOOKUP($L27,OFFSET([3]enemies!$A$1,0,0,COUNTA([3]enemies!$A:$A),MATCH(Y$1,[3]enemies!$1:$1,0)-MATCH($L$1,[3]enemies!$1:$1,0)+1),MATCH(Y$1,[3]enemies!$1:$1,0)-MATCH($L$1,[3]enemies!$1:$1,0)+1,FALSE)</f>
        <v>0</v>
      </c>
      <c r="Z27" s="6">
        <v>0</v>
      </c>
      <c r="AA27" s="6">
        <v>100</v>
      </c>
      <c r="AB27" s="6">
        <v>0</v>
      </c>
      <c r="AC27" s="14">
        <v>2</v>
      </c>
      <c r="AD27" s="98">
        <f t="shared" si="3"/>
        <v>535</v>
      </c>
      <c r="AE27" s="4" t="str">
        <f ca="1">VLOOKUP($AD27,OFFSET([4]characters!$A$1,0,0,COUNTA([4]characters!$A:$A),MATCH(AE$1,[4]characters!$1:$1,0)-MATCH("character_id",[4]characters!$1:$1,0)+1),MATCH(AE$1,[4]characters!$1:$1,0)-MATCH("character_id",[4]characters!$1:$1,0)+1,FALSE)</f>
        <v>冬服リム</v>
      </c>
      <c r="AF27" s="4">
        <f ca="1">VLOOKUP($AD27,OFFSET([4]characters!$A$1,0,0,COUNTA([4]characters!$A:$A),MATCH(AF$1,[4]characters!$1:$1,0)-MATCH("character_id",[4]characters!$1:$1,0)+1),MATCH(AF$1,[4]characters!$1:$1,0)-MATCH("character_id",[4]characters!$1:$1,0)+1,FALSE)</f>
        <v>1</v>
      </c>
      <c r="AG27" s="4" t="str">
        <f ca="1">VLOOKUP($AD27,OFFSET([4]characters!$A$1,0,0,COUNTA([4]characters!$A:$A),MATCH(AG$1,[4]characters!$1:$1,0)-MATCH("character_id",[4]characters!$1:$1,0)+1),MATCH(AG$1,[4]characters!$1:$1,0)-MATCH("character_id",[4]characters!$1:$1,0)+1,FALSE)</f>
        <v>Drop1W</v>
      </c>
      <c r="AH27" s="94">
        <v>1</v>
      </c>
      <c r="AI27" s="98">
        <f t="shared" ca="1" si="4"/>
        <v>1</v>
      </c>
      <c r="AJ27" s="7">
        <v>20</v>
      </c>
      <c r="AK27" s="94">
        <v>0</v>
      </c>
      <c r="AL27" s="94">
        <v>0</v>
      </c>
      <c r="AM27" s="94">
        <v>0</v>
      </c>
      <c r="AN27" s="94">
        <v>0</v>
      </c>
      <c r="AO27" s="94">
        <v>1</v>
      </c>
      <c r="AP27" s="62">
        <v>1</v>
      </c>
    </row>
    <row r="28" spans="1:42" ht="21" customHeight="1" x14ac:dyDescent="0.15">
      <c r="A28" s="13" t="str">
        <f t="shared" si="0"/>
        <v>39008_2-1/536&lt;lv20&gt;s2</v>
      </c>
      <c r="B28" s="17">
        <v>39008</v>
      </c>
      <c r="C28" s="95">
        <v>2</v>
      </c>
      <c r="D28" s="12" t="str">
        <f t="shared" si="1"/>
        <v>39008_2</v>
      </c>
      <c r="E28" s="4" t="str">
        <f ca="1">VLOOKUP($B28,OFFSET([2]quests!$A$1,0,0,COUNTA([2]quests!$A:$A),MATCH(E$1,[2]quests!$1:$1,0)-MATCH($B$1,[2]quests!$1:$1,0)+1),MATCH(E$1,[2]quests!$1:$1,0)-MATCH($B$1,[2]quests!$1:$1,0)+1,FALSE)</f>
        <v>雪の歌姫</v>
      </c>
      <c r="F28" s="4" t="str">
        <f ca="1">VLOOKUP($D28,OFFSET([2]stages!$A$1,0,0,COUNTA([2]stages!$A:$A),MATCH(F$1,[2]stages!$2:$2,0)-MATCH($D$1,[2]stages!$2:$2,0)+1),MATCH(F$1,[2]stages!$2:$2,0)-MATCH($D$1,[2]stages!$2:$2,0)+1,FALSE)</f>
        <v>【中級】雪の歌姫</v>
      </c>
      <c r="G28" s="96">
        <v>1</v>
      </c>
      <c r="H28" s="12" t="str">
        <f t="shared" si="2"/>
        <v>39008_2-1</v>
      </c>
      <c r="I28" s="4">
        <f ca="1">VLOOKUP($H28,OFFSET(floors!$A$1,0,0,COUNTA(floors!$A:$A),MATCH(I$1,floors!$1:$1,0)-MATCH($H$1,floors!$1:$1,0)+1),MATCH(I$1,floors!$1:$1,0)-MATCH($H$1,floors!$1:$1,0)+1,FALSE)</f>
        <v>30</v>
      </c>
      <c r="J28" s="4">
        <f ca="1">VLOOKUP($H28,OFFSET(floors!$A$1,0,0,COUNTA(floors!$A:$A),MATCH(J$1,floors!$1:$1,0)-MATCH($H$1,floors!$1:$1,0)+1),MATCH(J$1,floors!$1:$1,0)-MATCH($H$1,floors!$1:$1,0)+1,FALSE)</f>
        <v>30</v>
      </c>
      <c r="K28" s="32" t="s">
        <v>245</v>
      </c>
      <c r="L28" s="97">
        <v>536</v>
      </c>
      <c r="M28" s="14" t="str">
        <f ca="1">VLOOKUP($L28,OFFSET([3]enemies!$A$1,0,0,COUNTA([3]enemies!$A:$A),MATCH(M$1,[3]enemies!$1:$1,0)-MATCH($L$1,[3]enemies!$1:$1,0)+1),MATCH(M$1,[3]enemies!$1:$1,0)-MATCH($L$1,[3]enemies!$1:$1,0)+1,FALSE)</f>
        <v>冬服ミミ</v>
      </c>
      <c r="N28" s="14" t="str">
        <f ca="1">VLOOKUP($L28,OFFSET([3]enemies!$A$1,0,0,COUNTA([3]enemies!$A:$A),MATCH(N$1,[3]enemies!$1:$1,0)-MATCH($L$1,[3]enemies!$1:$1,0)+1),MATCH(N$1,[3]enemies!$1:$1,0)-MATCH($L$1,[3]enemies!$1:$1,0)+1,FALSE)</f>
        <v>yellow</v>
      </c>
      <c r="O28" s="14" t="str">
        <f ca="1">VLOOKUP($L28,OFFSET([4]characters!$A$1,0,0,COUNTA([4]characters!$A:$A),MATCH(O$1,[4]characters!$1:$1,0)-MATCH($L$1,[4]characters!$1:$1,0)+1),MATCH(O$1,[4]characters!$1:$1,0)-MATCH($L$1,[4]characters!$1:$1,0)+1,FALSE)</f>
        <v>Drop1W</v>
      </c>
      <c r="P28" s="14" t="str">
        <f ca="1">VLOOKUP($L28,OFFSET([3]enemies!$A$1,0,0,COUNTA([3]enemies!$A:$A),MATCH(P$1,[3]enemies!$1:$1,0)-MATCH($L$1,[3]enemies!$1:$1,0)+1),MATCH(P$1,[3]enemies!$1:$1,0)-MATCH($L$1,[3]enemies!$1:$1,0)+1,FALSE)</f>
        <v>animal</v>
      </c>
      <c r="Q28" s="14">
        <f ca="1">VLOOKUP($L28,OFFSET([3]enemies!$A$1,0,0,COUNTA([3]enemies!$A:$A),MATCH(Q$1,[3]enemies!$1:$1,0)-MATCH($L$1,[3]enemies!$1:$1,0)+1),MATCH(Q$1,[3]enemies!$1:$1,0)-MATCH($L$1,[3]enemies!$1:$1,0)+1,FALSE)</f>
        <v>15</v>
      </c>
      <c r="R28" s="5">
        <v>20</v>
      </c>
      <c r="S28" s="19">
        <v>1.1000000000000001</v>
      </c>
      <c r="T28" s="92">
        <f ca="1">ROUND(VLOOKUP(R28,[3]enemy_base_stats!$A:$F,2,FALSE) *INDIRECT("[EnemyMasterData.xlsm]enemies!Y"&amp;(L28+1))*  INDIRECT("[EnemyMasterData.xlsm]enemies!J"&amp;(L28+1))* INDIRECT("[EnemyMasterData.xlsm]enemies!O"&amp;(L28+1))* INDIRECT("[EnemyMasterData.xlsm]enemies!E"&amp;(L28+1))* INDIRECT("[EnemyMasterData.xlsm]enemies!S"&amp;(L28+1))* INDIRECT("[EnemyMasterData.xlsm]enemies!AD"&amp;(L28+1))*[4]ステータス!$B$2,0)*S28</f>
        <v>4635.4000000000005</v>
      </c>
      <c r="U28" s="19">
        <v>0.4</v>
      </c>
      <c r="V28" s="92">
        <f ca="1">ROUND(VLOOKUP(R28,[3]enemy_base_stats!$A:$F,3,FALSE) *INDIRECT("[EnemyMasterData.xlsm]enemies!Z"&amp;(L28+1))*  INDIRECT("[EnemyMasterData.xlsm]enemies!K"&amp;(L28+1))* INDIRECT("[EnemyMasterData.xlsm]enemies!P"&amp;(L28+1))* INDIRECT("[EnemyMasterData.xlsm]enemies!F"&amp;(L28+1))* INDIRECT("[EnemyMasterData.xlsm]enemies!T"&amp;(L28+1))* INDIRECT("[EnemyMasterData.xlsm]enemies!AE"&amp;(L28+1))*[4]ステータス!$C$2,0)*U28</f>
        <v>762.40000000000009</v>
      </c>
      <c r="W28" s="5">
        <v>0</v>
      </c>
      <c r="X28" s="4" t="e">
        <f ca="1">VLOOKUP($Y28,OFFSET(enemy_skill_sets!$B$1,0,0,COUNTA(enemy_skill_sets!$B:$B),MATCH(M$1,enemy_skill_sets!$1:$1,0)-MATCH($Y$1,enemy_skill_sets!$1:$1,0)+2),MATCH(M$1,enemy_skill_sets!$1:$1,0)-MATCH($Y$1,enemy_skill_sets!$1:$1,0)+2,FALSE)</f>
        <v>#N/A</v>
      </c>
      <c r="Y28" s="4">
        <f ca="1">VLOOKUP($L28,OFFSET([3]enemies!$A$1,0,0,COUNTA([3]enemies!$A:$A),MATCH(Y$1,[3]enemies!$1:$1,0)-MATCH($L$1,[3]enemies!$1:$1,0)+1),MATCH(Y$1,[3]enemies!$1:$1,0)-MATCH($L$1,[3]enemies!$1:$1,0)+1,FALSE)</f>
        <v>0</v>
      </c>
      <c r="Z28" s="6">
        <v>0</v>
      </c>
      <c r="AA28" s="6">
        <v>100</v>
      </c>
      <c r="AB28" s="6">
        <v>0</v>
      </c>
      <c r="AC28" s="14">
        <v>2</v>
      </c>
      <c r="AD28" s="98">
        <f t="shared" si="3"/>
        <v>536</v>
      </c>
      <c r="AE28" s="4" t="str">
        <f ca="1">VLOOKUP($AD28,OFFSET([4]characters!$A$1,0,0,COUNTA([4]characters!$A:$A),MATCH(AE$1,[4]characters!$1:$1,0)-MATCH("character_id",[4]characters!$1:$1,0)+1),MATCH(AE$1,[4]characters!$1:$1,0)-MATCH("character_id",[4]characters!$1:$1,0)+1,FALSE)</f>
        <v>冬服ミミ</v>
      </c>
      <c r="AF28" s="4">
        <f ca="1">VLOOKUP($AD28,OFFSET([4]characters!$A$1,0,0,COUNTA([4]characters!$A:$A),MATCH(AF$1,[4]characters!$1:$1,0)-MATCH("character_id",[4]characters!$1:$1,0)+1),MATCH(AF$1,[4]characters!$1:$1,0)-MATCH("character_id",[4]characters!$1:$1,0)+1,FALSE)</f>
        <v>1</v>
      </c>
      <c r="AG28" s="4" t="str">
        <f ca="1">VLOOKUP($AD28,OFFSET([4]characters!$A$1,0,0,COUNTA([4]characters!$A:$A),MATCH(AG$1,[4]characters!$1:$1,0)-MATCH("character_id",[4]characters!$1:$1,0)+1),MATCH(AG$1,[4]characters!$1:$1,0)-MATCH("character_id",[4]characters!$1:$1,0)+1,FALSE)</f>
        <v>Drop1W</v>
      </c>
      <c r="AH28" s="94">
        <v>1</v>
      </c>
      <c r="AI28" s="98">
        <f t="shared" ca="1" si="4"/>
        <v>1</v>
      </c>
      <c r="AJ28" s="7">
        <v>20</v>
      </c>
      <c r="AK28" s="94">
        <v>0</v>
      </c>
      <c r="AL28" s="94">
        <v>0</v>
      </c>
      <c r="AM28" s="94">
        <v>0</v>
      </c>
      <c r="AN28" s="94">
        <v>0</v>
      </c>
      <c r="AO28" s="94">
        <v>1</v>
      </c>
      <c r="AP28" s="62">
        <v>1</v>
      </c>
    </row>
    <row r="29" spans="1:42" ht="21" customHeight="1" x14ac:dyDescent="0.15">
      <c r="A29" s="13" t="str">
        <f t="shared" si="0"/>
        <v>39008_2-2/529&lt;lv25&gt;s1</v>
      </c>
      <c r="B29" s="17">
        <v>39008</v>
      </c>
      <c r="C29" s="95">
        <v>2</v>
      </c>
      <c r="D29" s="12" t="str">
        <f t="shared" si="1"/>
        <v>39008_2</v>
      </c>
      <c r="E29" s="4" t="str">
        <f ca="1">VLOOKUP($B29,OFFSET([2]quests!$A$1,0,0,COUNTA([2]quests!$A:$A),MATCH(E$1,[2]quests!$1:$1,0)-MATCH($B$1,[2]quests!$1:$1,0)+1),MATCH(E$1,[2]quests!$1:$1,0)-MATCH($B$1,[2]quests!$1:$1,0)+1,FALSE)</f>
        <v>雪の歌姫</v>
      </c>
      <c r="F29" s="4" t="str">
        <f ca="1">VLOOKUP($D29,OFFSET([2]stages!$A$1,0,0,COUNTA([2]stages!$A:$A),MATCH(F$1,[2]stages!$2:$2,0)-MATCH($D$1,[2]stages!$2:$2,0)+1),MATCH(F$1,[2]stages!$2:$2,0)-MATCH($D$1,[2]stages!$2:$2,0)+1,FALSE)</f>
        <v>【中級】雪の歌姫</v>
      </c>
      <c r="G29" s="99">
        <v>2</v>
      </c>
      <c r="H29" s="12" t="str">
        <f t="shared" si="2"/>
        <v>39008_2-2</v>
      </c>
      <c r="I29" s="4">
        <f ca="1">VLOOKUP($H29,OFFSET(floors!$A$1,0,0,COUNTA(floors!$A:$A),MATCH(I$1,floors!$1:$1,0)-MATCH($H$1,floors!$1:$1,0)+1),MATCH(I$1,floors!$1:$1,0)-MATCH($H$1,floors!$1:$1,0)+1,FALSE)</f>
        <v>60</v>
      </c>
      <c r="J29" s="4">
        <f ca="1">VLOOKUP($H29,OFFSET(floors!$A$1,0,0,COUNTA(floors!$A:$A),MATCH(J$1,floors!$1:$1,0)-MATCH($H$1,floors!$1:$1,0)+1),MATCH(J$1,floors!$1:$1,0)-MATCH($H$1,floors!$1:$1,0)+1,FALSE)</f>
        <v>60</v>
      </c>
      <c r="K29" s="32" t="s">
        <v>245</v>
      </c>
      <c r="L29" s="97">
        <v>529</v>
      </c>
      <c r="M29" s="14" t="str">
        <f ca="1">VLOOKUP($L29,OFFSET([3]enemies!$A$1,0,0,COUNTA([3]enemies!$A:$A),MATCH(M$1,[3]enemies!$1:$1,0)-MATCH($L$1,[3]enemies!$1:$1,0)+1),MATCH(M$1,[3]enemies!$1:$1,0)-MATCH($L$1,[3]enemies!$1:$1,0)+1,FALSE)</f>
        <v>冬服ジェリー</v>
      </c>
      <c r="N29" s="14" t="str">
        <f ca="1">VLOOKUP($L29,OFFSET([3]enemies!$A$1,0,0,COUNTA([3]enemies!$A:$A),MATCH(N$1,[3]enemies!$1:$1,0)-MATCH($L$1,[3]enemies!$1:$1,0)+1),MATCH(N$1,[3]enemies!$1:$1,0)-MATCH($L$1,[3]enemies!$1:$1,0)+1,FALSE)</f>
        <v>red</v>
      </c>
      <c r="O29" s="14" t="str">
        <f ca="1">VLOOKUP($L29,OFFSET([4]characters!$A$1,0,0,COUNTA([4]characters!$A:$A),MATCH(O$1,[4]characters!$1:$1,0)-MATCH($L$1,[4]characters!$1:$1,0)+1),MATCH(O$1,[4]characters!$1:$1,0)-MATCH($L$1,[4]characters!$1:$1,0)+1,FALSE)</f>
        <v>Drop1T</v>
      </c>
      <c r="P29" s="14" t="str">
        <f ca="1">VLOOKUP($L29,OFFSET([3]enemies!$A$1,0,0,COUNTA([3]enemies!$A:$A),MATCH(P$1,[3]enemies!$1:$1,0)-MATCH($L$1,[3]enemies!$1:$1,0)+1),MATCH(P$1,[3]enemies!$1:$1,0)-MATCH($L$1,[3]enemies!$1:$1,0)+1,FALSE)</f>
        <v>unknown</v>
      </c>
      <c r="Q29" s="14">
        <f ca="1">VLOOKUP($L29,OFFSET([3]enemies!$A$1,0,0,COUNTA([3]enemies!$A:$A),MATCH(Q$1,[3]enemies!$1:$1,0)-MATCH($L$1,[3]enemies!$1:$1,0)+1),MATCH(Q$1,[3]enemies!$1:$1,0)-MATCH($L$1,[3]enemies!$1:$1,0)+1,FALSE)</f>
        <v>15</v>
      </c>
      <c r="R29" s="5">
        <v>25</v>
      </c>
      <c r="S29" s="19">
        <v>1</v>
      </c>
      <c r="T29" s="92">
        <f ca="1">ROUND(VLOOKUP(R29,[3]enemy_base_stats!$A:$F,2,FALSE) *INDIRECT("[EnemyMasterData.xlsm]enemies!Y"&amp;(L29+1))*  INDIRECT("[EnemyMasterData.xlsm]enemies!J"&amp;(L29+1))* INDIRECT("[EnemyMasterData.xlsm]enemies!O"&amp;(L29+1))* INDIRECT("[EnemyMasterData.xlsm]enemies!E"&amp;(L29+1))* INDIRECT("[EnemyMasterData.xlsm]enemies!S"&amp;(L29+1))* INDIRECT("[EnemyMasterData.xlsm]enemies!AD"&amp;(L29+1))*[4]ステータス!$B$2,0)*S29</f>
        <v>5300</v>
      </c>
      <c r="U29" s="19">
        <v>0.4</v>
      </c>
      <c r="V29" s="92">
        <f ca="1">ROUND(VLOOKUP(R29,[3]enemy_base_stats!$A:$F,3,FALSE) *INDIRECT("[EnemyMasterData.xlsm]enemies!Z"&amp;(L29+1))*  INDIRECT("[EnemyMasterData.xlsm]enemies!K"&amp;(L29+1))* INDIRECT("[EnemyMasterData.xlsm]enemies!P"&amp;(L29+1))* INDIRECT("[EnemyMasterData.xlsm]enemies!F"&amp;(L29+1))* INDIRECT("[EnemyMasterData.xlsm]enemies!T"&amp;(L29+1))* INDIRECT("[EnemyMasterData.xlsm]enemies!AE"&amp;(L29+1))*[4]ステータス!$C$2,0)*U29</f>
        <v>871.6</v>
      </c>
      <c r="W29" s="5">
        <v>0</v>
      </c>
      <c r="X29" s="4" t="e">
        <f ca="1">VLOOKUP($Y29,OFFSET(enemy_skill_sets!$B$1,0,0,COUNTA(enemy_skill_sets!$B:$B),MATCH(M$1,enemy_skill_sets!$1:$1,0)-MATCH($Y$1,enemy_skill_sets!$1:$1,0)+2),MATCH(M$1,enemy_skill_sets!$1:$1,0)-MATCH($Y$1,enemy_skill_sets!$1:$1,0)+2,FALSE)</f>
        <v>#N/A</v>
      </c>
      <c r="Y29" s="4">
        <f ca="1">VLOOKUP($L29,OFFSET([3]enemies!$A$1,0,0,COUNTA([3]enemies!$A:$A),MATCH(Y$1,[3]enemies!$1:$1,0)-MATCH($L$1,[3]enemies!$1:$1,0)+1),MATCH(Y$1,[3]enemies!$1:$1,0)-MATCH($L$1,[3]enemies!$1:$1,0)+1,FALSE)</f>
        <v>0</v>
      </c>
      <c r="Z29" s="6">
        <v>0</v>
      </c>
      <c r="AA29" s="6">
        <v>100</v>
      </c>
      <c r="AB29" s="6">
        <v>0</v>
      </c>
      <c r="AC29" s="14">
        <v>1</v>
      </c>
      <c r="AD29" s="98">
        <f t="shared" si="3"/>
        <v>529</v>
      </c>
      <c r="AE29" s="4" t="str">
        <f ca="1">VLOOKUP($AD29,OFFSET([4]characters!$A$1,0,0,COUNTA([4]characters!$A:$A),MATCH(AE$1,[4]characters!$1:$1,0)-MATCH("character_id",[4]characters!$1:$1,0)+1),MATCH(AE$1,[4]characters!$1:$1,0)-MATCH("character_id",[4]characters!$1:$1,0)+1,FALSE)</f>
        <v>冬服ジェリー</v>
      </c>
      <c r="AF29" s="4">
        <f ca="1">VLOOKUP($AD29,OFFSET([4]characters!$A$1,0,0,COUNTA([4]characters!$A:$A),MATCH(AF$1,[4]characters!$1:$1,0)-MATCH("character_id",[4]characters!$1:$1,0)+1),MATCH(AF$1,[4]characters!$1:$1,0)-MATCH("character_id",[4]characters!$1:$1,0)+1,FALSE)</f>
        <v>1</v>
      </c>
      <c r="AG29" s="4" t="str">
        <f ca="1">VLOOKUP($AD29,OFFSET([4]characters!$A$1,0,0,COUNTA([4]characters!$A:$A),MATCH(AG$1,[4]characters!$1:$1,0)-MATCH("character_id",[4]characters!$1:$1,0)+1),MATCH(AG$1,[4]characters!$1:$1,0)-MATCH("character_id",[4]characters!$1:$1,0)+1,FALSE)</f>
        <v>Drop1T</v>
      </c>
      <c r="AH29" s="94">
        <v>1</v>
      </c>
      <c r="AI29" s="98">
        <f t="shared" ca="1" si="4"/>
        <v>1</v>
      </c>
      <c r="AJ29" s="7">
        <v>20</v>
      </c>
      <c r="AK29" s="94">
        <v>0</v>
      </c>
      <c r="AL29" s="94">
        <v>0</v>
      </c>
      <c r="AM29" s="94">
        <v>0</v>
      </c>
      <c r="AN29" s="94">
        <v>0</v>
      </c>
      <c r="AO29" s="94">
        <v>1</v>
      </c>
      <c r="AP29" s="62">
        <v>1</v>
      </c>
    </row>
    <row r="30" spans="1:42" ht="21" customHeight="1" x14ac:dyDescent="0.15">
      <c r="A30" s="13" t="str">
        <f t="shared" si="0"/>
        <v>39008_2-2/530&lt;lv25&gt;s2</v>
      </c>
      <c r="B30" s="17">
        <v>39008</v>
      </c>
      <c r="C30" s="95">
        <v>2</v>
      </c>
      <c r="D30" s="12" t="str">
        <f t="shared" si="1"/>
        <v>39008_2</v>
      </c>
      <c r="E30" s="4" t="str">
        <f ca="1">VLOOKUP($B30,OFFSET([2]quests!$A$1,0,0,COUNTA([2]quests!$A:$A),MATCH(E$1,[2]quests!$1:$1,0)-MATCH($B$1,[2]quests!$1:$1,0)+1),MATCH(E$1,[2]quests!$1:$1,0)-MATCH($B$1,[2]quests!$1:$1,0)+1,FALSE)</f>
        <v>雪の歌姫</v>
      </c>
      <c r="F30" s="4" t="str">
        <f ca="1">VLOOKUP($D30,OFFSET([2]stages!$A$1,0,0,COUNTA([2]stages!$A:$A),MATCH(F$1,[2]stages!$2:$2,0)-MATCH($D$1,[2]stages!$2:$2,0)+1),MATCH(F$1,[2]stages!$2:$2,0)-MATCH($D$1,[2]stages!$2:$2,0)+1,FALSE)</f>
        <v>【中級】雪の歌姫</v>
      </c>
      <c r="G30" s="99">
        <v>2</v>
      </c>
      <c r="H30" s="12" t="str">
        <f t="shared" si="2"/>
        <v>39008_2-2</v>
      </c>
      <c r="I30" s="4">
        <f ca="1">VLOOKUP($H30,OFFSET(floors!$A$1,0,0,COUNTA(floors!$A:$A),MATCH(I$1,floors!$1:$1,0)-MATCH($H$1,floors!$1:$1,0)+1),MATCH(I$1,floors!$1:$1,0)-MATCH($H$1,floors!$1:$1,0)+1,FALSE)</f>
        <v>60</v>
      </c>
      <c r="J30" s="4">
        <f ca="1">VLOOKUP($H30,OFFSET(floors!$A$1,0,0,COUNTA(floors!$A:$A),MATCH(J$1,floors!$1:$1,0)-MATCH($H$1,floors!$1:$1,0)+1),MATCH(J$1,floors!$1:$1,0)-MATCH($H$1,floors!$1:$1,0)+1,FALSE)</f>
        <v>60</v>
      </c>
      <c r="K30" s="32" t="s">
        <v>245</v>
      </c>
      <c r="L30" s="97">
        <v>530</v>
      </c>
      <c r="M30" s="14" t="str">
        <f ca="1">VLOOKUP($L30,OFFSET([3]enemies!$A$1,0,0,COUNTA([3]enemies!$A:$A),MATCH(M$1,[3]enemies!$1:$1,0)-MATCH($L$1,[3]enemies!$1:$1,0)+1),MATCH(M$1,[3]enemies!$1:$1,0)-MATCH($L$1,[3]enemies!$1:$1,0)+1,FALSE)</f>
        <v>冬服ジョー</v>
      </c>
      <c r="N30" s="14" t="str">
        <f ca="1">VLOOKUP($L30,OFFSET([3]enemies!$A$1,0,0,COUNTA([3]enemies!$A:$A),MATCH(N$1,[3]enemies!$1:$1,0)-MATCH($L$1,[3]enemies!$1:$1,0)+1),MATCH(N$1,[3]enemies!$1:$1,0)-MATCH($L$1,[3]enemies!$1:$1,0)+1,FALSE)</f>
        <v>green</v>
      </c>
      <c r="O30" s="14" t="str">
        <f ca="1">VLOOKUP($L30,OFFSET([4]characters!$A$1,0,0,COUNTA([4]characters!$A:$A),MATCH(O$1,[4]characters!$1:$1,0)-MATCH($L$1,[4]characters!$1:$1,0)+1),MATCH(O$1,[4]characters!$1:$1,0)-MATCH($L$1,[4]characters!$1:$1,0)+1,FALSE)</f>
        <v>Drop1T</v>
      </c>
      <c r="P30" s="14" t="str">
        <f ca="1">VLOOKUP($L30,OFFSET([3]enemies!$A$1,0,0,COUNTA([3]enemies!$A:$A),MATCH(P$1,[3]enemies!$1:$1,0)-MATCH($L$1,[3]enemies!$1:$1,0)+1),MATCH(P$1,[3]enemies!$1:$1,0)-MATCH($L$1,[3]enemies!$1:$1,0)+1,FALSE)</f>
        <v>unknown</v>
      </c>
      <c r="Q30" s="14">
        <f ca="1">VLOOKUP($L30,OFFSET([3]enemies!$A$1,0,0,COUNTA([3]enemies!$A:$A),MATCH(Q$1,[3]enemies!$1:$1,0)-MATCH($L$1,[3]enemies!$1:$1,0)+1),MATCH(Q$1,[3]enemies!$1:$1,0)-MATCH($L$1,[3]enemies!$1:$1,0)+1,FALSE)</f>
        <v>15</v>
      </c>
      <c r="R30" s="5">
        <v>25</v>
      </c>
      <c r="S30" s="19">
        <v>1</v>
      </c>
      <c r="T30" s="92">
        <f ca="1">ROUND(VLOOKUP(R30,[3]enemy_base_stats!$A:$F,2,FALSE) *INDIRECT("[EnemyMasterData.xlsm]enemies!Y"&amp;(L30+1))*  INDIRECT("[EnemyMasterData.xlsm]enemies!J"&amp;(L30+1))* INDIRECT("[EnemyMasterData.xlsm]enemies!O"&amp;(L30+1))* INDIRECT("[EnemyMasterData.xlsm]enemies!E"&amp;(L30+1))* INDIRECT("[EnemyMasterData.xlsm]enemies!S"&amp;(L30+1))* INDIRECT("[EnemyMasterData.xlsm]enemies!AD"&amp;(L30+1))*[4]ステータス!$B$2,0)*S30</f>
        <v>5406</v>
      </c>
      <c r="U30" s="19">
        <v>0.5</v>
      </c>
      <c r="V30" s="92">
        <f ca="1">ROUND(VLOOKUP(R30,[3]enemy_base_stats!$A:$F,3,FALSE) *INDIRECT("[EnemyMasterData.xlsm]enemies!Z"&amp;(L30+1))*  INDIRECT("[EnemyMasterData.xlsm]enemies!K"&amp;(L30+1))* INDIRECT("[EnemyMasterData.xlsm]enemies!P"&amp;(L30+1))* INDIRECT("[EnemyMasterData.xlsm]enemies!F"&amp;(L30+1))* INDIRECT("[EnemyMasterData.xlsm]enemies!T"&amp;(L30+1))* INDIRECT("[EnemyMasterData.xlsm]enemies!AE"&amp;(L30+1))*[4]ステータス!$C$2,0)*U30</f>
        <v>779</v>
      </c>
      <c r="W30" s="5">
        <v>0</v>
      </c>
      <c r="X30" s="4" t="e">
        <f ca="1">VLOOKUP($Y30,OFFSET(enemy_skill_sets!$B$1,0,0,COUNTA(enemy_skill_sets!$B:$B),MATCH(M$1,enemy_skill_sets!$1:$1,0)-MATCH($Y$1,enemy_skill_sets!$1:$1,0)+2),MATCH(M$1,enemy_skill_sets!$1:$1,0)-MATCH($Y$1,enemy_skill_sets!$1:$1,0)+2,FALSE)</f>
        <v>#N/A</v>
      </c>
      <c r="Y30" s="4">
        <f ca="1">VLOOKUP($L30,OFFSET([3]enemies!$A$1,0,0,COUNTA([3]enemies!$A:$A),MATCH(Y$1,[3]enemies!$1:$1,0)-MATCH($L$1,[3]enemies!$1:$1,0)+1),MATCH(Y$1,[3]enemies!$1:$1,0)-MATCH($L$1,[3]enemies!$1:$1,0)+1,FALSE)</f>
        <v>0</v>
      </c>
      <c r="Z30" s="6">
        <v>0</v>
      </c>
      <c r="AA30" s="6">
        <v>100</v>
      </c>
      <c r="AB30" s="6">
        <v>0</v>
      </c>
      <c r="AC30" s="14">
        <v>2</v>
      </c>
      <c r="AD30" s="98">
        <f t="shared" si="3"/>
        <v>530</v>
      </c>
      <c r="AE30" s="4" t="str">
        <f ca="1">VLOOKUP($AD30,OFFSET([4]characters!$A$1,0,0,COUNTA([4]characters!$A:$A),MATCH(AE$1,[4]characters!$1:$1,0)-MATCH("character_id",[4]characters!$1:$1,0)+1),MATCH(AE$1,[4]characters!$1:$1,0)-MATCH("character_id",[4]characters!$1:$1,0)+1,FALSE)</f>
        <v>冬服ジョー</v>
      </c>
      <c r="AF30" s="4">
        <f ca="1">VLOOKUP($AD30,OFFSET([4]characters!$A$1,0,0,COUNTA([4]characters!$A:$A),MATCH(AF$1,[4]characters!$1:$1,0)-MATCH("character_id",[4]characters!$1:$1,0)+1),MATCH(AF$1,[4]characters!$1:$1,0)-MATCH("character_id",[4]characters!$1:$1,0)+1,FALSE)</f>
        <v>1</v>
      </c>
      <c r="AG30" s="4" t="str">
        <f ca="1">VLOOKUP($AD30,OFFSET([4]characters!$A$1,0,0,COUNTA([4]characters!$A:$A),MATCH(AG$1,[4]characters!$1:$1,0)-MATCH("character_id",[4]characters!$1:$1,0)+1),MATCH(AG$1,[4]characters!$1:$1,0)-MATCH("character_id",[4]characters!$1:$1,0)+1,FALSE)</f>
        <v>Drop1T</v>
      </c>
      <c r="AH30" s="94">
        <v>1</v>
      </c>
      <c r="AI30" s="98">
        <f t="shared" ca="1" si="4"/>
        <v>1</v>
      </c>
      <c r="AJ30" s="7">
        <v>20</v>
      </c>
      <c r="AK30" s="94">
        <v>0</v>
      </c>
      <c r="AL30" s="94">
        <v>0</v>
      </c>
      <c r="AM30" s="94">
        <v>0</v>
      </c>
      <c r="AN30" s="94">
        <v>0</v>
      </c>
      <c r="AO30" s="94">
        <v>1</v>
      </c>
      <c r="AP30" s="62">
        <v>1</v>
      </c>
    </row>
    <row r="31" spans="1:42" ht="21" customHeight="1" x14ac:dyDescent="0.15">
      <c r="A31" s="13" t="str">
        <f t="shared" si="0"/>
        <v>39008_2-2/531&lt;lv25&gt;s3</v>
      </c>
      <c r="B31" s="17">
        <v>39008</v>
      </c>
      <c r="C31" s="95">
        <v>2</v>
      </c>
      <c r="D31" s="12" t="str">
        <f t="shared" si="1"/>
        <v>39008_2</v>
      </c>
      <c r="E31" s="4" t="str">
        <f ca="1">VLOOKUP($B31,OFFSET([2]quests!$A$1,0,0,COUNTA([2]quests!$A:$A),MATCH(E$1,[2]quests!$1:$1,0)-MATCH($B$1,[2]quests!$1:$1,0)+1),MATCH(E$1,[2]quests!$1:$1,0)-MATCH($B$1,[2]quests!$1:$1,0)+1,FALSE)</f>
        <v>雪の歌姫</v>
      </c>
      <c r="F31" s="4" t="str">
        <f ca="1">VLOOKUP($D31,OFFSET([2]stages!$A$1,0,0,COUNTA([2]stages!$A:$A),MATCH(F$1,[2]stages!$2:$2,0)-MATCH($D$1,[2]stages!$2:$2,0)+1),MATCH(F$1,[2]stages!$2:$2,0)-MATCH($D$1,[2]stages!$2:$2,0)+1,FALSE)</f>
        <v>【中級】雪の歌姫</v>
      </c>
      <c r="G31" s="99">
        <v>2</v>
      </c>
      <c r="H31" s="12" t="str">
        <f t="shared" si="2"/>
        <v>39008_2-2</v>
      </c>
      <c r="I31" s="4">
        <f ca="1">VLOOKUP($H31,OFFSET(floors!$A$1,0,0,COUNTA(floors!$A:$A),MATCH(I$1,floors!$1:$1,0)-MATCH($H$1,floors!$1:$1,0)+1),MATCH(I$1,floors!$1:$1,0)-MATCH($H$1,floors!$1:$1,0)+1,FALSE)</f>
        <v>60</v>
      </c>
      <c r="J31" s="4">
        <f ca="1">VLOOKUP($H31,OFFSET(floors!$A$1,0,0,COUNTA(floors!$A:$A),MATCH(J$1,floors!$1:$1,0)-MATCH($H$1,floors!$1:$1,0)+1),MATCH(J$1,floors!$1:$1,0)-MATCH($H$1,floors!$1:$1,0)+1,FALSE)</f>
        <v>60</v>
      </c>
      <c r="K31" s="32" t="s">
        <v>245</v>
      </c>
      <c r="L31" s="97">
        <v>531</v>
      </c>
      <c r="M31" s="14" t="str">
        <f ca="1">VLOOKUP($L31,OFFSET([3]enemies!$A$1,0,0,COUNTA([3]enemies!$A:$A),MATCH(M$1,[3]enemies!$1:$1,0)-MATCH($L$1,[3]enemies!$1:$1,0)+1),MATCH(M$1,[3]enemies!$1:$1,0)-MATCH($L$1,[3]enemies!$1:$1,0)+1,FALSE)</f>
        <v>冬服ポチ</v>
      </c>
      <c r="N31" s="14" t="str">
        <f ca="1">VLOOKUP($L31,OFFSET([3]enemies!$A$1,0,0,COUNTA([3]enemies!$A:$A),MATCH(N$1,[3]enemies!$1:$1,0)-MATCH($L$1,[3]enemies!$1:$1,0)+1),MATCH(N$1,[3]enemies!$1:$1,0)-MATCH($L$1,[3]enemies!$1:$1,0)+1,FALSE)</f>
        <v>blue</v>
      </c>
      <c r="O31" s="14" t="str">
        <f ca="1">VLOOKUP($L31,OFFSET([4]characters!$A$1,0,0,COUNTA([4]characters!$A:$A),MATCH(O$1,[4]characters!$1:$1,0)-MATCH($L$1,[4]characters!$1:$1,0)+1),MATCH(O$1,[4]characters!$1:$1,0)-MATCH($L$1,[4]characters!$1:$1,0)+1,FALSE)</f>
        <v>Drop1T</v>
      </c>
      <c r="P31" s="14" t="str">
        <f ca="1">VLOOKUP($L31,OFFSET([3]enemies!$A$1,0,0,COUNTA([3]enemies!$A:$A),MATCH(P$1,[3]enemies!$1:$1,0)-MATCH($L$1,[3]enemies!$1:$1,0)+1),MATCH(P$1,[3]enemies!$1:$1,0)-MATCH($L$1,[3]enemies!$1:$1,0)+1,FALSE)</f>
        <v>unknown</v>
      </c>
      <c r="Q31" s="14">
        <f ca="1">VLOOKUP($L31,OFFSET([3]enemies!$A$1,0,0,COUNTA([3]enemies!$A:$A),MATCH(Q$1,[3]enemies!$1:$1,0)-MATCH($L$1,[3]enemies!$1:$1,0)+1),MATCH(Q$1,[3]enemies!$1:$1,0)-MATCH($L$1,[3]enemies!$1:$1,0)+1,FALSE)</f>
        <v>15</v>
      </c>
      <c r="R31" s="5">
        <v>25</v>
      </c>
      <c r="S31" s="19">
        <v>1</v>
      </c>
      <c r="T31" s="92">
        <f ca="1">ROUND(VLOOKUP(R31,[3]enemy_base_stats!$A:$F,2,FALSE) *INDIRECT("[EnemyMasterData.xlsm]enemies!Y"&amp;(L31+1))*  INDIRECT("[EnemyMasterData.xlsm]enemies!J"&amp;(L31+1))* INDIRECT("[EnemyMasterData.xlsm]enemies!O"&amp;(L31+1))* INDIRECT("[EnemyMasterData.xlsm]enemies!E"&amp;(L31+1))* INDIRECT("[EnemyMasterData.xlsm]enemies!S"&amp;(L31+1))* INDIRECT("[EnemyMasterData.xlsm]enemies!AD"&amp;(L31+1))*[4]ステータス!$B$2,0)*S31</f>
        <v>4240</v>
      </c>
      <c r="U31" s="19">
        <v>0.8</v>
      </c>
      <c r="V31" s="92">
        <f ca="1">ROUND(VLOOKUP(R31,[3]enemy_base_stats!$A:$F,3,FALSE) *INDIRECT("[EnemyMasterData.xlsm]enemies!Z"&amp;(L31+1))*  INDIRECT("[EnemyMasterData.xlsm]enemies!K"&amp;(L31+1))* INDIRECT("[EnemyMasterData.xlsm]enemies!P"&amp;(L31+1))* INDIRECT("[EnemyMasterData.xlsm]enemies!F"&amp;(L31+1))* INDIRECT("[EnemyMasterData.xlsm]enemies!T"&amp;(L31+1))* INDIRECT("[EnemyMasterData.xlsm]enemies!AE"&amp;(L31+1))*[4]ステータス!$C$2,0)*U31</f>
        <v>972</v>
      </c>
      <c r="W31" s="5">
        <v>0</v>
      </c>
      <c r="X31" s="4" t="e">
        <f ca="1">VLOOKUP($Y31,OFFSET(enemy_skill_sets!$B$1,0,0,COUNTA(enemy_skill_sets!$B:$B),MATCH(M$1,enemy_skill_sets!$1:$1,0)-MATCH($Y$1,enemy_skill_sets!$1:$1,0)+2),MATCH(M$1,enemy_skill_sets!$1:$1,0)-MATCH($Y$1,enemy_skill_sets!$1:$1,0)+2,FALSE)</f>
        <v>#N/A</v>
      </c>
      <c r="Y31" s="4">
        <f ca="1">VLOOKUP($L31,OFFSET([3]enemies!$A$1,0,0,COUNTA([3]enemies!$A:$A),MATCH(Y$1,[3]enemies!$1:$1,0)-MATCH($L$1,[3]enemies!$1:$1,0)+1),MATCH(Y$1,[3]enemies!$1:$1,0)-MATCH($L$1,[3]enemies!$1:$1,0)+1,FALSE)</f>
        <v>0</v>
      </c>
      <c r="Z31" s="6">
        <v>0</v>
      </c>
      <c r="AA31" s="6">
        <v>100</v>
      </c>
      <c r="AB31" s="6">
        <v>0</v>
      </c>
      <c r="AC31" s="14">
        <v>3</v>
      </c>
      <c r="AD31" s="98">
        <f t="shared" si="3"/>
        <v>531</v>
      </c>
      <c r="AE31" s="4" t="str">
        <f ca="1">VLOOKUP($AD31,OFFSET([4]characters!$A$1,0,0,COUNTA([4]characters!$A:$A),MATCH(AE$1,[4]characters!$1:$1,0)-MATCH("character_id",[4]characters!$1:$1,0)+1),MATCH(AE$1,[4]characters!$1:$1,0)-MATCH("character_id",[4]characters!$1:$1,0)+1,FALSE)</f>
        <v>冬服ポチ</v>
      </c>
      <c r="AF31" s="4">
        <f ca="1">VLOOKUP($AD31,OFFSET([4]characters!$A$1,0,0,COUNTA([4]characters!$A:$A),MATCH(AF$1,[4]characters!$1:$1,0)-MATCH("character_id",[4]characters!$1:$1,0)+1),MATCH(AF$1,[4]characters!$1:$1,0)-MATCH("character_id",[4]characters!$1:$1,0)+1,FALSE)</f>
        <v>1</v>
      </c>
      <c r="AG31" s="4" t="str">
        <f ca="1">VLOOKUP($AD31,OFFSET([4]characters!$A$1,0,0,COUNTA([4]characters!$A:$A),MATCH(AG$1,[4]characters!$1:$1,0)-MATCH("character_id",[4]characters!$1:$1,0)+1),MATCH(AG$1,[4]characters!$1:$1,0)-MATCH("character_id",[4]characters!$1:$1,0)+1,FALSE)</f>
        <v>Drop1T</v>
      </c>
      <c r="AH31" s="94">
        <v>1</v>
      </c>
      <c r="AI31" s="98">
        <f t="shared" ca="1" si="4"/>
        <v>1</v>
      </c>
      <c r="AJ31" s="7">
        <v>20</v>
      </c>
      <c r="AK31" s="94">
        <v>0</v>
      </c>
      <c r="AL31" s="94">
        <v>0</v>
      </c>
      <c r="AM31" s="94">
        <v>0</v>
      </c>
      <c r="AN31" s="94">
        <v>0</v>
      </c>
      <c r="AO31" s="94">
        <v>1</v>
      </c>
      <c r="AP31" s="62">
        <v>1</v>
      </c>
    </row>
    <row r="32" spans="1:42" ht="21" customHeight="1" x14ac:dyDescent="0.15">
      <c r="A32" s="13" t="str">
        <f t="shared" si="0"/>
        <v>39008_2-2/532&lt;lv25&gt;s2</v>
      </c>
      <c r="B32" s="17">
        <v>39008</v>
      </c>
      <c r="C32" s="95">
        <v>2</v>
      </c>
      <c r="D32" s="12" t="str">
        <f t="shared" si="1"/>
        <v>39008_2</v>
      </c>
      <c r="E32" s="4" t="str">
        <f ca="1">VLOOKUP($B32,OFFSET([2]quests!$A$1,0,0,COUNTA([2]quests!$A:$A),MATCH(E$1,[2]quests!$1:$1,0)-MATCH($B$1,[2]quests!$1:$1,0)+1),MATCH(E$1,[2]quests!$1:$1,0)-MATCH($B$1,[2]quests!$1:$1,0)+1,FALSE)</f>
        <v>雪の歌姫</v>
      </c>
      <c r="F32" s="4" t="str">
        <f ca="1">VLOOKUP($D32,OFFSET([2]stages!$A$1,0,0,COUNTA([2]stages!$A:$A),MATCH(F$1,[2]stages!$2:$2,0)-MATCH($D$1,[2]stages!$2:$2,0)+1),MATCH(F$1,[2]stages!$2:$2,0)-MATCH($D$1,[2]stages!$2:$2,0)+1,FALSE)</f>
        <v>【中級】雪の歌姫</v>
      </c>
      <c r="G32" s="99">
        <v>2</v>
      </c>
      <c r="H32" s="12" t="str">
        <f t="shared" si="2"/>
        <v>39008_2-2</v>
      </c>
      <c r="I32" s="4">
        <f ca="1">VLOOKUP($H32,OFFSET(floors!$A$1,0,0,COUNTA(floors!$A:$A),MATCH(I$1,floors!$1:$1,0)-MATCH($H$1,floors!$1:$1,0)+1),MATCH(I$1,floors!$1:$1,0)-MATCH($H$1,floors!$1:$1,0)+1,FALSE)</f>
        <v>60</v>
      </c>
      <c r="J32" s="4">
        <f ca="1">VLOOKUP($H32,OFFSET(floors!$A$1,0,0,COUNTA(floors!$A:$A),MATCH(J$1,floors!$1:$1,0)-MATCH($H$1,floors!$1:$1,0)+1),MATCH(J$1,floors!$1:$1,0)-MATCH($H$1,floors!$1:$1,0)+1,FALSE)</f>
        <v>60</v>
      </c>
      <c r="K32" s="32" t="s">
        <v>245</v>
      </c>
      <c r="L32" s="97">
        <v>532</v>
      </c>
      <c r="M32" s="14" t="str">
        <f ca="1">VLOOKUP($L32,OFFSET([3]enemies!$A$1,0,0,COUNTA([3]enemies!$A:$A),MATCH(M$1,[3]enemies!$1:$1,0)-MATCH($L$1,[3]enemies!$1:$1,0)+1),MATCH(M$1,[3]enemies!$1:$1,0)-MATCH($L$1,[3]enemies!$1:$1,0)+1,FALSE)</f>
        <v>冬服エレキポット</v>
      </c>
      <c r="N32" s="14" t="str">
        <f ca="1">VLOOKUP($L32,OFFSET([3]enemies!$A$1,0,0,COUNTA([3]enemies!$A:$A),MATCH(N$1,[3]enemies!$1:$1,0)-MATCH($L$1,[3]enemies!$1:$1,0)+1),MATCH(N$1,[3]enemies!$1:$1,0)-MATCH($L$1,[3]enemies!$1:$1,0)+1,FALSE)</f>
        <v>yellow</v>
      </c>
      <c r="O32" s="14" t="str">
        <f ca="1">VLOOKUP($L32,OFFSET([4]characters!$A$1,0,0,COUNTA([4]characters!$A:$A),MATCH(O$1,[4]characters!$1:$1,0)-MATCH($L$1,[4]characters!$1:$1,0)+1),MATCH(O$1,[4]characters!$1:$1,0)-MATCH($L$1,[4]characters!$1:$1,0)+1,FALSE)</f>
        <v>Drop1T</v>
      </c>
      <c r="P32" s="14" t="str">
        <f ca="1">VLOOKUP($L32,OFFSET([3]enemies!$A$1,0,0,COUNTA([3]enemies!$A:$A),MATCH(P$1,[3]enemies!$1:$1,0)-MATCH($L$1,[3]enemies!$1:$1,0)+1),MATCH(P$1,[3]enemies!$1:$1,0)-MATCH($L$1,[3]enemies!$1:$1,0)+1,FALSE)</f>
        <v>unknown</v>
      </c>
      <c r="Q32" s="14">
        <f ca="1">VLOOKUP($L32,OFFSET([3]enemies!$A$1,0,0,COUNTA([3]enemies!$A:$A),MATCH(Q$1,[3]enemies!$1:$1,0)-MATCH($L$1,[3]enemies!$1:$1,0)+1),MATCH(Q$1,[3]enemies!$1:$1,0)-MATCH($L$1,[3]enemies!$1:$1,0)+1,FALSE)</f>
        <v>15</v>
      </c>
      <c r="R32" s="5">
        <v>25</v>
      </c>
      <c r="S32" s="19">
        <v>1</v>
      </c>
      <c r="T32" s="92">
        <f ca="1">ROUND(VLOOKUP(R32,[3]enemy_base_stats!$A:$F,2,FALSE) *INDIRECT("[EnemyMasterData.xlsm]enemies!Y"&amp;(L32+1))*  INDIRECT("[EnemyMasterData.xlsm]enemies!J"&amp;(L32+1))* INDIRECT("[EnemyMasterData.xlsm]enemies!O"&amp;(L32+1))* INDIRECT("[EnemyMasterData.xlsm]enemies!E"&amp;(L32+1))* INDIRECT("[EnemyMasterData.xlsm]enemies!S"&amp;(L32+1))* INDIRECT("[EnemyMasterData.xlsm]enemies!AD"&amp;(L32+1))*[4]ステータス!$B$2,0)*S32</f>
        <v>5194</v>
      </c>
      <c r="U32" s="19">
        <v>0.4</v>
      </c>
      <c r="V32" s="92">
        <f ca="1">ROUND(VLOOKUP(R32,[3]enemy_base_stats!$A:$F,3,FALSE) *INDIRECT("[EnemyMasterData.xlsm]enemies!Z"&amp;(L32+1))*  INDIRECT("[EnemyMasterData.xlsm]enemies!K"&amp;(L32+1))* INDIRECT("[EnemyMasterData.xlsm]enemies!P"&amp;(L32+1))* INDIRECT("[EnemyMasterData.xlsm]enemies!F"&amp;(L32+1))* INDIRECT("[EnemyMasterData.xlsm]enemies!T"&amp;(L32+1))* INDIRECT("[EnemyMasterData.xlsm]enemies!AE"&amp;(L32+1))*[4]ステータス!$C$2,0)*U32</f>
        <v>854.40000000000009</v>
      </c>
      <c r="W32" s="5">
        <v>0</v>
      </c>
      <c r="X32" s="4" t="e">
        <f ca="1">VLOOKUP($Y32,OFFSET(enemy_skill_sets!$B$1,0,0,COUNTA(enemy_skill_sets!$B:$B),MATCH(M$1,enemy_skill_sets!$1:$1,0)-MATCH($Y$1,enemy_skill_sets!$1:$1,0)+2),MATCH(M$1,enemy_skill_sets!$1:$1,0)-MATCH($Y$1,enemy_skill_sets!$1:$1,0)+2,FALSE)</f>
        <v>#N/A</v>
      </c>
      <c r="Y32" s="4">
        <f ca="1">VLOOKUP($L32,OFFSET([3]enemies!$A$1,0,0,COUNTA([3]enemies!$A:$A),MATCH(Y$1,[3]enemies!$1:$1,0)-MATCH($L$1,[3]enemies!$1:$1,0)+1),MATCH(Y$1,[3]enemies!$1:$1,0)-MATCH($L$1,[3]enemies!$1:$1,0)+1,FALSE)</f>
        <v>0</v>
      </c>
      <c r="Z32" s="6">
        <v>0</v>
      </c>
      <c r="AA32" s="6">
        <v>100</v>
      </c>
      <c r="AB32" s="6">
        <v>0</v>
      </c>
      <c r="AC32" s="14">
        <v>2</v>
      </c>
      <c r="AD32" s="98">
        <f t="shared" si="3"/>
        <v>532</v>
      </c>
      <c r="AE32" s="4" t="str">
        <f ca="1">VLOOKUP($AD32,OFFSET([4]characters!$A$1,0,0,COUNTA([4]characters!$A:$A),MATCH(AE$1,[4]characters!$1:$1,0)-MATCH("character_id",[4]characters!$1:$1,0)+1),MATCH(AE$1,[4]characters!$1:$1,0)-MATCH("character_id",[4]characters!$1:$1,0)+1,FALSE)</f>
        <v>冬服エレキポット</v>
      </c>
      <c r="AF32" s="4">
        <f ca="1">VLOOKUP($AD32,OFFSET([4]characters!$A$1,0,0,COUNTA([4]characters!$A:$A),MATCH(AF$1,[4]characters!$1:$1,0)-MATCH("character_id",[4]characters!$1:$1,0)+1),MATCH(AF$1,[4]characters!$1:$1,0)-MATCH("character_id",[4]characters!$1:$1,0)+1,FALSE)</f>
        <v>1</v>
      </c>
      <c r="AG32" s="4" t="str">
        <f ca="1">VLOOKUP($AD32,OFFSET([4]characters!$A$1,0,0,COUNTA([4]characters!$A:$A),MATCH(AG$1,[4]characters!$1:$1,0)-MATCH("character_id",[4]characters!$1:$1,0)+1),MATCH(AG$1,[4]characters!$1:$1,0)-MATCH("character_id",[4]characters!$1:$1,0)+1,FALSE)</f>
        <v>Drop1T</v>
      </c>
      <c r="AH32" s="94">
        <v>1</v>
      </c>
      <c r="AI32" s="98">
        <f t="shared" ca="1" si="4"/>
        <v>1</v>
      </c>
      <c r="AJ32" s="7">
        <v>20</v>
      </c>
      <c r="AK32" s="94">
        <v>0</v>
      </c>
      <c r="AL32" s="94">
        <v>0</v>
      </c>
      <c r="AM32" s="94">
        <v>0</v>
      </c>
      <c r="AN32" s="94">
        <v>0</v>
      </c>
      <c r="AO32" s="94">
        <v>1</v>
      </c>
      <c r="AP32" s="62">
        <v>1</v>
      </c>
    </row>
    <row r="33" spans="1:42" ht="21" customHeight="1" x14ac:dyDescent="0.15">
      <c r="A33" s="13" t="str">
        <f t="shared" si="0"/>
        <v>39008_2-2/533&lt;lv25&gt;s3</v>
      </c>
      <c r="B33" s="17">
        <v>39008</v>
      </c>
      <c r="C33" s="95">
        <v>2</v>
      </c>
      <c r="D33" s="12" t="str">
        <f t="shared" si="1"/>
        <v>39008_2</v>
      </c>
      <c r="E33" s="4" t="str">
        <f ca="1">VLOOKUP($B33,OFFSET([2]quests!$A$1,0,0,COUNTA([2]quests!$A:$A),MATCH(E$1,[2]quests!$1:$1,0)-MATCH($B$1,[2]quests!$1:$1,0)+1),MATCH(E$1,[2]quests!$1:$1,0)-MATCH($B$1,[2]quests!$1:$1,0)+1,FALSE)</f>
        <v>雪の歌姫</v>
      </c>
      <c r="F33" s="4" t="str">
        <f ca="1">VLOOKUP($D33,OFFSET([2]stages!$A$1,0,0,COUNTA([2]stages!$A:$A),MATCH(F$1,[2]stages!$2:$2,0)-MATCH($D$1,[2]stages!$2:$2,0)+1),MATCH(F$1,[2]stages!$2:$2,0)-MATCH($D$1,[2]stages!$2:$2,0)+1,FALSE)</f>
        <v>【中級】雪の歌姫</v>
      </c>
      <c r="G33" s="99">
        <v>2</v>
      </c>
      <c r="H33" s="12" t="str">
        <f t="shared" si="2"/>
        <v>39008_2-2</v>
      </c>
      <c r="I33" s="4">
        <f ca="1">VLOOKUP($H33,OFFSET(floors!$A$1,0,0,COUNTA(floors!$A:$A),MATCH(I$1,floors!$1:$1,0)-MATCH($H$1,floors!$1:$1,0)+1),MATCH(I$1,floors!$1:$1,0)-MATCH($H$1,floors!$1:$1,0)+1,FALSE)</f>
        <v>60</v>
      </c>
      <c r="J33" s="4">
        <f ca="1">VLOOKUP($H33,OFFSET(floors!$A$1,0,0,COUNTA(floors!$A:$A),MATCH(J$1,floors!$1:$1,0)-MATCH($H$1,floors!$1:$1,0)+1),MATCH(J$1,floors!$1:$1,0)-MATCH($H$1,floors!$1:$1,0)+1,FALSE)</f>
        <v>60</v>
      </c>
      <c r="K33" s="32" t="s">
        <v>245</v>
      </c>
      <c r="L33" s="97">
        <v>533</v>
      </c>
      <c r="M33" s="14" t="str">
        <f ca="1">VLOOKUP($L33,OFFSET([3]enemies!$A$1,0,0,COUNTA([3]enemies!$A:$A),MATCH(M$1,[3]enemies!$1:$1,0)-MATCH($L$1,[3]enemies!$1:$1,0)+1),MATCH(M$1,[3]enemies!$1:$1,0)-MATCH($L$1,[3]enemies!$1:$1,0)+1,FALSE)</f>
        <v>冬服アカネ</v>
      </c>
      <c r="N33" s="14" t="str">
        <f ca="1">VLOOKUP($L33,OFFSET([3]enemies!$A$1,0,0,COUNTA([3]enemies!$A:$A),MATCH(N$1,[3]enemies!$1:$1,0)-MATCH($L$1,[3]enemies!$1:$1,0)+1),MATCH(N$1,[3]enemies!$1:$1,0)-MATCH($L$1,[3]enemies!$1:$1,0)+1,FALSE)</f>
        <v>red</v>
      </c>
      <c r="O33" s="14" t="str">
        <f ca="1">VLOOKUP($L33,OFFSET([4]characters!$A$1,0,0,COUNTA([4]characters!$A:$A),MATCH(O$1,[4]characters!$1:$1,0)-MATCH($L$1,[4]characters!$1:$1,0)+1),MATCH(O$1,[4]characters!$1:$1,0)-MATCH($L$1,[4]characters!$1:$1,0)+1,FALSE)</f>
        <v>Drop1W</v>
      </c>
      <c r="P33" s="14" t="str">
        <f ca="1">VLOOKUP($L33,OFFSET([3]enemies!$A$1,0,0,COUNTA([3]enemies!$A:$A),MATCH(P$1,[3]enemies!$1:$1,0)-MATCH($L$1,[3]enemies!$1:$1,0)+1),MATCH(P$1,[3]enemies!$1:$1,0)-MATCH($L$1,[3]enemies!$1:$1,0)+1,FALSE)</f>
        <v>human</v>
      </c>
      <c r="Q33" s="14">
        <f ca="1">VLOOKUP($L33,OFFSET([3]enemies!$A$1,0,0,COUNTA([3]enemies!$A:$A),MATCH(Q$1,[3]enemies!$1:$1,0)-MATCH($L$1,[3]enemies!$1:$1,0)+1),MATCH(Q$1,[3]enemies!$1:$1,0)-MATCH($L$1,[3]enemies!$1:$1,0)+1,FALSE)</f>
        <v>15</v>
      </c>
      <c r="R33" s="5">
        <v>25</v>
      </c>
      <c r="S33" s="19">
        <v>1</v>
      </c>
      <c r="T33" s="92">
        <f ca="1">ROUND(VLOOKUP(R33,[3]enemy_base_stats!$A:$F,2,FALSE) *INDIRECT("[EnemyMasterData.xlsm]enemies!Y"&amp;(L33+1))*  INDIRECT("[EnemyMasterData.xlsm]enemies!J"&amp;(L33+1))* INDIRECT("[EnemyMasterData.xlsm]enemies!O"&amp;(L33+1))* INDIRECT("[EnemyMasterData.xlsm]enemies!E"&amp;(L33+1))* INDIRECT("[EnemyMasterData.xlsm]enemies!S"&amp;(L33+1))* INDIRECT("[EnemyMasterData.xlsm]enemies!AD"&amp;(L33+1))*[4]ステータス!$B$2,0)*S33</f>
        <v>4982</v>
      </c>
      <c r="U33" s="19">
        <v>0.6</v>
      </c>
      <c r="V33" s="92">
        <f ca="1">ROUND(VLOOKUP(R33,[3]enemy_base_stats!$A:$F,3,FALSE) *INDIRECT("[EnemyMasterData.xlsm]enemies!Z"&amp;(L33+1))*  INDIRECT("[EnemyMasterData.xlsm]enemies!K"&amp;(L33+1))* INDIRECT("[EnemyMasterData.xlsm]enemies!P"&amp;(L33+1))* INDIRECT("[EnemyMasterData.xlsm]enemies!F"&amp;(L33+1))* INDIRECT("[EnemyMasterData.xlsm]enemies!T"&amp;(L33+1))* INDIRECT("[EnemyMasterData.xlsm]enemies!AE"&amp;(L33+1))*[4]ステータス!$C$2,0)*U33</f>
        <v>963.59999999999991</v>
      </c>
      <c r="W33" s="5">
        <v>0</v>
      </c>
      <c r="X33" s="4" t="e">
        <f ca="1">VLOOKUP($Y33,OFFSET(enemy_skill_sets!$B$1,0,0,COUNTA(enemy_skill_sets!$B:$B),MATCH(M$1,enemy_skill_sets!$1:$1,0)-MATCH($Y$1,enemy_skill_sets!$1:$1,0)+2),MATCH(M$1,enemy_skill_sets!$1:$1,0)-MATCH($Y$1,enemy_skill_sets!$1:$1,0)+2,FALSE)</f>
        <v>#N/A</v>
      </c>
      <c r="Y33" s="4">
        <f ca="1">VLOOKUP($L33,OFFSET([3]enemies!$A$1,0,0,COUNTA([3]enemies!$A:$A),MATCH(Y$1,[3]enemies!$1:$1,0)-MATCH($L$1,[3]enemies!$1:$1,0)+1),MATCH(Y$1,[3]enemies!$1:$1,0)-MATCH($L$1,[3]enemies!$1:$1,0)+1,FALSE)</f>
        <v>0</v>
      </c>
      <c r="Z33" s="6">
        <v>0</v>
      </c>
      <c r="AA33" s="6">
        <v>100</v>
      </c>
      <c r="AB33" s="6">
        <v>0</v>
      </c>
      <c r="AC33" s="14">
        <v>3</v>
      </c>
      <c r="AD33" s="98">
        <f t="shared" si="3"/>
        <v>533</v>
      </c>
      <c r="AE33" s="4" t="str">
        <f ca="1">VLOOKUP($AD33,OFFSET([4]characters!$A$1,0,0,COUNTA([4]characters!$A:$A),MATCH(AE$1,[4]characters!$1:$1,0)-MATCH("character_id",[4]characters!$1:$1,0)+1),MATCH(AE$1,[4]characters!$1:$1,0)-MATCH("character_id",[4]characters!$1:$1,0)+1,FALSE)</f>
        <v>冬服アカネ</v>
      </c>
      <c r="AF33" s="4">
        <f ca="1">VLOOKUP($AD33,OFFSET([4]characters!$A$1,0,0,COUNTA([4]characters!$A:$A),MATCH(AF$1,[4]characters!$1:$1,0)-MATCH("character_id",[4]characters!$1:$1,0)+1),MATCH(AF$1,[4]characters!$1:$1,0)-MATCH("character_id",[4]characters!$1:$1,0)+1,FALSE)</f>
        <v>1</v>
      </c>
      <c r="AG33" s="4" t="str">
        <f ca="1">VLOOKUP($AD33,OFFSET([4]characters!$A$1,0,0,COUNTA([4]characters!$A:$A),MATCH(AG$1,[4]characters!$1:$1,0)-MATCH("character_id",[4]characters!$1:$1,0)+1),MATCH(AG$1,[4]characters!$1:$1,0)-MATCH("character_id",[4]characters!$1:$1,0)+1,FALSE)</f>
        <v>Drop1W</v>
      </c>
      <c r="AH33" s="94">
        <v>1</v>
      </c>
      <c r="AI33" s="98">
        <f t="shared" ca="1" si="4"/>
        <v>1</v>
      </c>
      <c r="AJ33" s="7">
        <v>20</v>
      </c>
      <c r="AK33" s="94">
        <v>0</v>
      </c>
      <c r="AL33" s="94">
        <v>0</v>
      </c>
      <c r="AM33" s="94">
        <v>0</v>
      </c>
      <c r="AN33" s="94">
        <v>0</v>
      </c>
      <c r="AO33" s="94">
        <v>1</v>
      </c>
      <c r="AP33" s="62">
        <v>1</v>
      </c>
    </row>
    <row r="34" spans="1:42" ht="21" customHeight="1" x14ac:dyDescent="0.15">
      <c r="A34" s="13" t="str">
        <f t="shared" si="0"/>
        <v>39008_2-2/534&lt;lv25&gt;s1</v>
      </c>
      <c r="B34" s="17">
        <v>39008</v>
      </c>
      <c r="C34" s="95">
        <v>2</v>
      </c>
      <c r="D34" s="12" t="str">
        <f t="shared" si="1"/>
        <v>39008_2</v>
      </c>
      <c r="E34" s="4" t="str">
        <f ca="1">VLOOKUP($B34,OFFSET([2]quests!$A$1,0,0,COUNTA([2]quests!$A:$A),MATCH(E$1,[2]quests!$1:$1,0)-MATCH($B$1,[2]quests!$1:$1,0)+1),MATCH(E$1,[2]quests!$1:$1,0)-MATCH($B$1,[2]quests!$1:$1,0)+1,FALSE)</f>
        <v>雪の歌姫</v>
      </c>
      <c r="F34" s="4" t="str">
        <f ca="1">VLOOKUP($D34,OFFSET([2]stages!$A$1,0,0,COUNTA([2]stages!$A:$A),MATCH(F$1,[2]stages!$2:$2,0)-MATCH($D$1,[2]stages!$2:$2,0)+1),MATCH(F$1,[2]stages!$2:$2,0)-MATCH($D$1,[2]stages!$2:$2,0)+1,FALSE)</f>
        <v>【中級】雪の歌姫</v>
      </c>
      <c r="G34" s="99">
        <v>2</v>
      </c>
      <c r="H34" s="12" t="str">
        <f t="shared" si="2"/>
        <v>39008_2-2</v>
      </c>
      <c r="I34" s="4">
        <f ca="1">VLOOKUP($H34,OFFSET(floors!$A$1,0,0,COUNTA(floors!$A:$A),MATCH(I$1,floors!$1:$1,0)-MATCH($H$1,floors!$1:$1,0)+1),MATCH(I$1,floors!$1:$1,0)-MATCH($H$1,floors!$1:$1,0)+1,FALSE)</f>
        <v>60</v>
      </c>
      <c r="J34" s="4">
        <f ca="1">VLOOKUP($H34,OFFSET(floors!$A$1,0,0,COUNTA(floors!$A:$A),MATCH(J$1,floors!$1:$1,0)-MATCH($H$1,floors!$1:$1,0)+1),MATCH(J$1,floors!$1:$1,0)-MATCH($H$1,floors!$1:$1,0)+1,FALSE)</f>
        <v>60</v>
      </c>
      <c r="K34" s="32" t="s">
        <v>245</v>
      </c>
      <c r="L34" s="97">
        <v>534</v>
      </c>
      <c r="M34" s="14" t="str">
        <f ca="1">VLOOKUP($L34,OFFSET([3]enemies!$A$1,0,0,COUNTA([3]enemies!$A:$A),MATCH(M$1,[3]enemies!$1:$1,0)-MATCH($L$1,[3]enemies!$1:$1,0)+1),MATCH(M$1,[3]enemies!$1:$1,0)-MATCH($L$1,[3]enemies!$1:$1,0)+1,FALSE)</f>
        <v>冬服パトライン</v>
      </c>
      <c r="N34" s="14" t="str">
        <f ca="1">VLOOKUP($L34,OFFSET([3]enemies!$A$1,0,0,COUNTA([3]enemies!$A:$A),MATCH(N$1,[3]enemies!$1:$1,0)-MATCH($L$1,[3]enemies!$1:$1,0)+1),MATCH(N$1,[3]enemies!$1:$1,0)-MATCH($L$1,[3]enemies!$1:$1,0)+1,FALSE)</f>
        <v>green</v>
      </c>
      <c r="O34" s="14" t="str">
        <f ca="1">VLOOKUP($L34,OFFSET([4]characters!$A$1,0,0,COUNTA([4]characters!$A:$A),MATCH(O$1,[4]characters!$1:$1,0)-MATCH($L$1,[4]characters!$1:$1,0)+1),MATCH(O$1,[4]characters!$1:$1,0)-MATCH($L$1,[4]characters!$1:$1,0)+1,FALSE)</f>
        <v>Drop1W</v>
      </c>
      <c r="P34" s="14" t="str">
        <f ca="1">VLOOKUP($L34,OFFSET([3]enemies!$A$1,0,0,COUNTA([3]enemies!$A:$A),MATCH(P$1,[3]enemies!$1:$1,0)-MATCH($L$1,[3]enemies!$1:$1,0)+1),MATCH(P$1,[3]enemies!$1:$1,0)-MATCH($L$1,[3]enemies!$1:$1,0)+1,FALSE)</f>
        <v>machine</v>
      </c>
      <c r="Q34" s="14">
        <f ca="1">VLOOKUP($L34,OFFSET([3]enemies!$A$1,0,0,COUNTA([3]enemies!$A:$A),MATCH(Q$1,[3]enemies!$1:$1,0)-MATCH($L$1,[3]enemies!$1:$1,0)+1),MATCH(Q$1,[3]enemies!$1:$1,0)-MATCH($L$1,[3]enemies!$1:$1,0)+1,FALSE)</f>
        <v>15</v>
      </c>
      <c r="R34" s="5">
        <v>25</v>
      </c>
      <c r="S34" s="19">
        <v>1</v>
      </c>
      <c r="T34" s="92">
        <f ca="1">ROUND(VLOOKUP(R34,[3]enemy_base_stats!$A:$F,2,FALSE) *INDIRECT("[EnemyMasterData.xlsm]enemies!Y"&amp;(L34+1))*  INDIRECT("[EnemyMasterData.xlsm]enemies!J"&amp;(L34+1))* INDIRECT("[EnemyMasterData.xlsm]enemies!O"&amp;(L34+1))* INDIRECT("[EnemyMasterData.xlsm]enemies!E"&amp;(L34+1))* INDIRECT("[EnemyMasterData.xlsm]enemies!S"&amp;(L34+1))* INDIRECT("[EnemyMasterData.xlsm]enemies!AD"&amp;(L34+1))*[4]ステータス!$B$2,0)*S34</f>
        <v>4325</v>
      </c>
      <c r="U34" s="19">
        <v>0.6</v>
      </c>
      <c r="V34" s="92">
        <f ca="1">ROUND(VLOOKUP(R34,[3]enemy_base_stats!$A:$F,3,FALSE) *INDIRECT("[EnemyMasterData.xlsm]enemies!Z"&amp;(L34+1))*  INDIRECT("[EnemyMasterData.xlsm]enemies!K"&amp;(L34+1))* INDIRECT("[EnemyMasterData.xlsm]enemies!P"&amp;(L34+1))* INDIRECT("[EnemyMasterData.xlsm]enemies!F"&amp;(L34+1))* INDIRECT("[EnemyMasterData.xlsm]enemies!T"&amp;(L34+1))* INDIRECT("[EnemyMasterData.xlsm]enemies!AE"&amp;(L34+1))*[4]ステータス!$C$2,0)*U34</f>
        <v>729</v>
      </c>
      <c r="W34" s="5">
        <v>0</v>
      </c>
      <c r="X34" s="4" t="e">
        <f ca="1">VLOOKUP($Y34,OFFSET(enemy_skill_sets!$B$1,0,0,COUNTA(enemy_skill_sets!$B:$B),MATCH(M$1,enemy_skill_sets!$1:$1,0)-MATCH($Y$1,enemy_skill_sets!$1:$1,0)+2),MATCH(M$1,enemy_skill_sets!$1:$1,0)-MATCH($Y$1,enemy_skill_sets!$1:$1,0)+2,FALSE)</f>
        <v>#N/A</v>
      </c>
      <c r="Y34" s="4">
        <f ca="1">VLOOKUP($L34,OFFSET([3]enemies!$A$1,0,0,COUNTA([3]enemies!$A:$A),MATCH(Y$1,[3]enemies!$1:$1,0)-MATCH($L$1,[3]enemies!$1:$1,0)+1),MATCH(Y$1,[3]enemies!$1:$1,0)-MATCH($L$1,[3]enemies!$1:$1,0)+1,FALSE)</f>
        <v>0</v>
      </c>
      <c r="Z34" s="6">
        <v>0</v>
      </c>
      <c r="AA34" s="6">
        <v>100</v>
      </c>
      <c r="AB34" s="6">
        <v>0</v>
      </c>
      <c r="AC34" s="14">
        <v>1</v>
      </c>
      <c r="AD34" s="98">
        <f t="shared" si="3"/>
        <v>534</v>
      </c>
      <c r="AE34" s="4" t="str">
        <f ca="1">VLOOKUP($AD34,OFFSET([4]characters!$A$1,0,0,COUNTA([4]characters!$A:$A),MATCH(AE$1,[4]characters!$1:$1,0)-MATCH("character_id",[4]characters!$1:$1,0)+1),MATCH(AE$1,[4]characters!$1:$1,0)-MATCH("character_id",[4]characters!$1:$1,0)+1,FALSE)</f>
        <v>冬服パトライン</v>
      </c>
      <c r="AF34" s="4">
        <f ca="1">VLOOKUP($AD34,OFFSET([4]characters!$A$1,0,0,COUNTA([4]characters!$A:$A),MATCH(AF$1,[4]characters!$1:$1,0)-MATCH("character_id",[4]characters!$1:$1,0)+1),MATCH(AF$1,[4]characters!$1:$1,0)-MATCH("character_id",[4]characters!$1:$1,0)+1,FALSE)</f>
        <v>1</v>
      </c>
      <c r="AG34" s="4" t="str">
        <f ca="1">VLOOKUP($AD34,OFFSET([4]characters!$A$1,0,0,COUNTA([4]characters!$A:$A),MATCH(AG$1,[4]characters!$1:$1,0)-MATCH("character_id",[4]characters!$1:$1,0)+1),MATCH(AG$1,[4]characters!$1:$1,0)-MATCH("character_id",[4]characters!$1:$1,0)+1,FALSE)</f>
        <v>Drop1W</v>
      </c>
      <c r="AH34" s="94">
        <v>1</v>
      </c>
      <c r="AI34" s="98">
        <f t="shared" ca="1" si="4"/>
        <v>1</v>
      </c>
      <c r="AJ34" s="7">
        <v>20</v>
      </c>
      <c r="AK34" s="94">
        <v>0</v>
      </c>
      <c r="AL34" s="94">
        <v>0</v>
      </c>
      <c r="AM34" s="94">
        <v>0</v>
      </c>
      <c r="AN34" s="94">
        <v>0</v>
      </c>
      <c r="AO34" s="94">
        <v>1</v>
      </c>
      <c r="AP34" s="62">
        <v>1</v>
      </c>
    </row>
    <row r="35" spans="1:42" ht="21" customHeight="1" x14ac:dyDescent="0.15">
      <c r="A35" s="13" t="str">
        <f t="shared" si="0"/>
        <v>39008_2-2/535&lt;lv25&gt;s2</v>
      </c>
      <c r="B35" s="17">
        <v>39008</v>
      </c>
      <c r="C35" s="95">
        <v>2</v>
      </c>
      <c r="D35" s="12" t="str">
        <f t="shared" si="1"/>
        <v>39008_2</v>
      </c>
      <c r="E35" s="4" t="str">
        <f ca="1">VLOOKUP($B35,OFFSET([2]quests!$A$1,0,0,COUNTA([2]quests!$A:$A),MATCH(E$1,[2]quests!$1:$1,0)-MATCH($B$1,[2]quests!$1:$1,0)+1),MATCH(E$1,[2]quests!$1:$1,0)-MATCH($B$1,[2]quests!$1:$1,0)+1,FALSE)</f>
        <v>雪の歌姫</v>
      </c>
      <c r="F35" s="4" t="str">
        <f ca="1">VLOOKUP($D35,OFFSET([2]stages!$A$1,0,0,COUNTA([2]stages!$A:$A),MATCH(F$1,[2]stages!$2:$2,0)-MATCH($D$1,[2]stages!$2:$2,0)+1),MATCH(F$1,[2]stages!$2:$2,0)-MATCH($D$1,[2]stages!$2:$2,0)+1,FALSE)</f>
        <v>【中級】雪の歌姫</v>
      </c>
      <c r="G35" s="99">
        <v>2</v>
      </c>
      <c r="H35" s="12" t="str">
        <f t="shared" si="2"/>
        <v>39008_2-2</v>
      </c>
      <c r="I35" s="4">
        <f ca="1">VLOOKUP($H35,OFFSET(floors!$A$1,0,0,COUNTA(floors!$A:$A),MATCH(I$1,floors!$1:$1,0)-MATCH($H$1,floors!$1:$1,0)+1),MATCH(I$1,floors!$1:$1,0)-MATCH($H$1,floors!$1:$1,0)+1,FALSE)</f>
        <v>60</v>
      </c>
      <c r="J35" s="4">
        <f ca="1">VLOOKUP($H35,OFFSET(floors!$A$1,0,0,COUNTA(floors!$A:$A),MATCH(J$1,floors!$1:$1,0)-MATCH($H$1,floors!$1:$1,0)+1),MATCH(J$1,floors!$1:$1,0)-MATCH($H$1,floors!$1:$1,0)+1,FALSE)</f>
        <v>60</v>
      </c>
      <c r="K35" s="32" t="s">
        <v>245</v>
      </c>
      <c r="L35" s="97">
        <v>535</v>
      </c>
      <c r="M35" s="14" t="str">
        <f ca="1">VLOOKUP($L35,OFFSET([3]enemies!$A$1,0,0,COUNTA([3]enemies!$A:$A),MATCH(M$1,[3]enemies!$1:$1,0)-MATCH($L$1,[3]enemies!$1:$1,0)+1),MATCH(M$1,[3]enemies!$1:$1,0)-MATCH($L$1,[3]enemies!$1:$1,0)+1,FALSE)</f>
        <v>冬服リム</v>
      </c>
      <c r="N35" s="14" t="str">
        <f ca="1">VLOOKUP($L35,OFFSET([3]enemies!$A$1,0,0,COUNTA([3]enemies!$A:$A),MATCH(N$1,[3]enemies!$1:$1,0)-MATCH($L$1,[3]enemies!$1:$1,0)+1),MATCH(N$1,[3]enemies!$1:$1,0)-MATCH($L$1,[3]enemies!$1:$1,0)+1,FALSE)</f>
        <v>blue</v>
      </c>
      <c r="O35" s="14" t="str">
        <f ca="1">VLOOKUP($L35,OFFSET([4]characters!$A$1,0,0,COUNTA([4]characters!$A:$A),MATCH(O$1,[4]characters!$1:$1,0)-MATCH($L$1,[4]characters!$1:$1,0)+1),MATCH(O$1,[4]characters!$1:$1,0)-MATCH($L$1,[4]characters!$1:$1,0)+1,FALSE)</f>
        <v>Drop1W</v>
      </c>
      <c r="P35" s="14" t="str">
        <f ca="1">VLOOKUP($L35,OFFSET([3]enemies!$A$1,0,0,COUNTA([3]enemies!$A:$A),MATCH(P$1,[3]enemies!$1:$1,0)-MATCH($L$1,[3]enemies!$1:$1,0)+1),MATCH(P$1,[3]enemies!$1:$1,0)-MATCH($L$1,[3]enemies!$1:$1,0)+1,FALSE)</f>
        <v>human</v>
      </c>
      <c r="Q35" s="14">
        <f ca="1">VLOOKUP($L35,OFFSET([3]enemies!$A$1,0,0,COUNTA([3]enemies!$A:$A),MATCH(Q$1,[3]enemies!$1:$1,0)-MATCH($L$1,[3]enemies!$1:$1,0)+1),MATCH(Q$1,[3]enemies!$1:$1,0)-MATCH($L$1,[3]enemies!$1:$1,0)+1,FALSE)</f>
        <v>15</v>
      </c>
      <c r="R35" s="5">
        <v>25</v>
      </c>
      <c r="S35" s="19">
        <v>1</v>
      </c>
      <c r="T35" s="92">
        <f ca="1">ROUND(VLOOKUP(R35,[3]enemy_base_stats!$A:$F,2,FALSE) *INDIRECT("[EnemyMasterData.xlsm]enemies!Y"&amp;(L35+1))*  INDIRECT("[EnemyMasterData.xlsm]enemies!J"&amp;(L35+1))* INDIRECT("[EnemyMasterData.xlsm]enemies!O"&amp;(L35+1))* INDIRECT("[EnemyMasterData.xlsm]enemies!E"&amp;(L35+1))* INDIRECT("[EnemyMasterData.xlsm]enemies!S"&amp;(L35+1))* INDIRECT("[EnemyMasterData.xlsm]enemies!AD"&amp;(L35+1))*[4]ステータス!$B$2,0)*S35</f>
        <v>4982</v>
      </c>
      <c r="U35" s="19">
        <v>0.6</v>
      </c>
      <c r="V35" s="92">
        <f ca="1">ROUND(VLOOKUP(R35,[3]enemy_base_stats!$A:$F,3,FALSE) *INDIRECT("[EnemyMasterData.xlsm]enemies!Z"&amp;(L35+1))*  INDIRECT("[EnemyMasterData.xlsm]enemies!K"&amp;(L35+1))* INDIRECT("[EnemyMasterData.xlsm]enemies!P"&amp;(L35+1))* INDIRECT("[EnemyMasterData.xlsm]enemies!F"&amp;(L35+1))* INDIRECT("[EnemyMasterData.xlsm]enemies!T"&amp;(L35+1))* INDIRECT("[EnemyMasterData.xlsm]enemies!AE"&amp;(L35+1))*[4]ステータス!$C$2,0)*U35</f>
        <v>925.8</v>
      </c>
      <c r="W35" s="5">
        <v>0</v>
      </c>
      <c r="X35" s="4" t="e">
        <f ca="1">VLOOKUP($Y35,OFFSET(enemy_skill_sets!$B$1,0,0,COUNTA(enemy_skill_sets!$B:$B),MATCH(M$1,enemy_skill_sets!$1:$1,0)-MATCH($Y$1,enemy_skill_sets!$1:$1,0)+2),MATCH(M$1,enemy_skill_sets!$1:$1,0)-MATCH($Y$1,enemy_skill_sets!$1:$1,0)+2,FALSE)</f>
        <v>#N/A</v>
      </c>
      <c r="Y35" s="4">
        <f ca="1">VLOOKUP($L35,OFFSET([3]enemies!$A$1,0,0,COUNTA([3]enemies!$A:$A),MATCH(Y$1,[3]enemies!$1:$1,0)-MATCH($L$1,[3]enemies!$1:$1,0)+1),MATCH(Y$1,[3]enemies!$1:$1,0)-MATCH($L$1,[3]enemies!$1:$1,0)+1,FALSE)</f>
        <v>0</v>
      </c>
      <c r="Z35" s="6">
        <v>0</v>
      </c>
      <c r="AA35" s="6">
        <v>100</v>
      </c>
      <c r="AB35" s="6">
        <v>0</v>
      </c>
      <c r="AC35" s="14">
        <v>2</v>
      </c>
      <c r="AD35" s="98">
        <f t="shared" si="3"/>
        <v>535</v>
      </c>
      <c r="AE35" s="4" t="str">
        <f ca="1">VLOOKUP($AD35,OFFSET([4]characters!$A$1,0,0,COUNTA([4]characters!$A:$A),MATCH(AE$1,[4]characters!$1:$1,0)-MATCH("character_id",[4]characters!$1:$1,0)+1),MATCH(AE$1,[4]characters!$1:$1,0)-MATCH("character_id",[4]characters!$1:$1,0)+1,FALSE)</f>
        <v>冬服リム</v>
      </c>
      <c r="AF35" s="4">
        <f ca="1">VLOOKUP($AD35,OFFSET([4]characters!$A$1,0,0,COUNTA([4]characters!$A:$A),MATCH(AF$1,[4]characters!$1:$1,0)-MATCH("character_id",[4]characters!$1:$1,0)+1),MATCH(AF$1,[4]characters!$1:$1,0)-MATCH("character_id",[4]characters!$1:$1,0)+1,FALSE)</f>
        <v>1</v>
      </c>
      <c r="AG35" s="4" t="str">
        <f ca="1">VLOOKUP($AD35,OFFSET([4]characters!$A$1,0,0,COUNTA([4]characters!$A:$A),MATCH(AG$1,[4]characters!$1:$1,0)-MATCH("character_id",[4]characters!$1:$1,0)+1),MATCH(AG$1,[4]characters!$1:$1,0)-MATCH("character_id",[4]characters!$1:$1,0)+1,FALSE)</f>
        <v>Drop1W</v>
      </c>
      <c r="AH35" s="94">
        <v>1</v>
      </c>
      <c r="AI35" s="98">
        <f t="shared" ca="1" si="4"/>
        <v>1</v>
      </c>
      <c r="AJ35" s="7">
        <v>20</v>
      </c>
      <c r="AK35" s="94">
        <v>0</v>
      </c>
      <c r="AL35" s="94">
        <v>0</v>
      </c>
      <c r="AM35" s="94">
        <v>0</v>
      </c>
      <c r="AN35" s="94">
        <v>0</v>
      </c>
      <c r="AO35" s="94">
        <v>1</v>
      </c>
      <c r="AP35" s="62">
        <v>1</v>
      </c>
    </row>
    <row r="36" spans="1:42" ht="21" customHeight="1" x14ac:dyDescent="0.15">
      <c r="A36" s="13" t="str">
        <f t="shared" si="0"/>
        <v>39008_2-2/536&lt;lv25&gt;s2</v>
      </c>
      <c r="B36" s="17">
        <v>39008</v>
      </c>
      <c r="C36" s="95">
        <v>2</v>
      </c>
      <c r="D36" s="12" t="str">
        <f t="shared" si="1"/>
        <v>39008_2</v>
      </c>
      <c r="E36" s="4" t="str">
        <f ca="1">VLOOKUP($B36,OFFSET([2]quests!$A$1,0,0,COUNTA([2]quests!$A:$A),MATCH(E$1,[2]quests!$1:$1,0)-MATCH($B$1,[2]quests!$1:$1,0)+1),MATCH(E$1,[2]quests!$1:$1,0)-MATCH($B$1,[2]quests!$1:$1,0)+1,FALSE)</f>
        <v>雪の歌姫</v>
      </c>
      <c r="F36" s="4" t="str">
        <f ca="1">VLOOKUP($D36,OFFSET([2]stages!$A$1,0,0,COUNTA([2]stages!$A:$A),MATCH(F$1,[2]stages!$2:$2,0)-MATCH($D$1,[2]stages!$2:$2,0)+1),MATCH(F$1,[2]stages!$2:$2,0)-MATCH($D$1,[2]stages!$2:$2,0)+1,FALSE)</f>
        <v>【中級】雪の歌姫</v>
      </c>
      <c r="G36" s="99">
        <v>2</v>
      </c>
      <c r="H36" s="12" t="str">
        <f t="shared" si="2"/>
        <v>39008_2-2</v>
      </c>
      <c r="I36" s="4">
        <f ca="1">VLOOKUP($H36,OFFSET(floors!$A$1,0,0,COUNTA(floors!$A:$A),MATCH(I$1,floors!$1:$1,0)-MATCH($H$1,floors!$1:$1,0)+1),MATCH(I$1,floors!$1:$1,0)-MATCH($H$1,floors!$1:$1,0)+1,FALSE)</f>
        <v>60</v>
      </c>
      <c r="J36" s="4">
        <f ca="1">VLOOKUP($H36,OFFSET(floors!$A$1,0,0,COUNTA(floors!$A:$A),MATCH(J$1,floors!$1:$1,0)-MATCH($H$1,floors!$1:$1,0)+1),MATCH(J$1,floors!$1:$1,0)-MATCH($H$1,floors!$1:$1,0)+1,FALSE)</f>
        <v>60</v>
      </c>
      <c r="K36" s="32" t="s">
        <v>245</v>
      </c>
      <c r="L36" s="97">
        <v>536</v>
      </c>
      <c r="M36" s="14" t="str">
        <f ca="1">VLOOKUP($L36,OFFSET([3]enemies!$A$1,0,0,COUNTA([3]enemies!$A:$A),MATCH(M$1,[3]enemies!$1:$1,0)-MATCH($L$1,[3]enemies!$1:$1,0)+1),MATCH(M$1,[3]enemies!$1:$1,0)-MATCH($L$1,[3]enemies!$1:$1,0)+1,FALSE)</f>
        <v>冬服ミミ</v>
      </c>
      <c r="N36" s="14" t="str">
        <f ca="1">VLOOKUP($L36,OFFSET([3]enemies!$A$1,0,0,COUNTA([3]enemies!$A:$A),MATCH(N$1,[3]enemies!$1:$1,0)-MATCH($L$1,[3]enemies!$1:$1,0)+1),MATCH(N$1,[3]enemies!$1:$1,0)-MATCH($L$1,[3]enemies!$1:$1,0)+1,FALSE)</f>
        <v>yellow</v>
      </c>
      <c r="O36" s="14" t="str">
        <f ca="1">VLOOKUP($L36,OFFSET([4]characters!$A$1,0,0,COUNTA([4]characters!$A:$A),MATCH(O$1,[4]characters!$1:$1,0)-MATCH($L$1,[4]characters!$1:$1,0)+1),MATCH(O$1,[4]characters!$1:$1,0)-MATCH($L$1,[4]characters!$1:$1,0)+1,FALSE)</f>
        <v>Drop1W</v>
      </c>
      <c r="P36" s="14" t="str">
        <f ca="1">VLOOKUP($L36,OFFSET([3]enemies!$A$1,0,0,COUNTA([3]enemies!$A:$A),MATCH(P$1,[3]enemies!$1:$1,0)-MATCH($L$1,[3]enemies!$1:$1,0)+1),MATCH(P$1,[3]enemies!$1:$1,0)-MATCH($L$1,[3]enemies!$1:$1,0)+1,FALSE)</f>
        <v>animal</v>
      </c>
      <c r="Q36" s="14">
        <f ca="1">VLOOKUP($L36,OFFSET([3]enemies!$A$1,0,0,COUNTA([3]enemies!$A:$A),MATCH(Q$1,[3]enemies!$1:$1,0)-MATCH($L$1,[3]enemies!$1:$1,0)+1),MATCH(Q$1,[3]enemies!$1:$1,0)-MATCH($L$1,[3]enemies!$1:$1,0)+1,FALSE)</f>
        <v>15</v>
      </c>
      <c r="R36" s="5">
        <v>25</v>
      </c>
      <c r="S36" s="19">
        <v>1</v>
      </c>
      <c r="T36" s="92">
        <f ca="1">ROUND(VLOOKUP(R36,[3]enemy_base_stats!$A:$F,2,FALSE) *INDIRECT("[EnemyMasterData.xlsm]enemies!Y"&amp;(L36+1))*  INDIRECT("[EnemyMasterData.xlsm]enemies!J"&amp;(L36+1))* INDIRECT("[EnemyMasterData.xlsm]enemies!O"&amp;(L36+1))* INDIRECT("[EnemyMasterData.xlsm]enemies!E"&amp;(L36+1))* INDIRECT("[EnemyMasterData.xlsm]enemies!S"&amp;(L36+1))* INDIRECT("[EnemyMasterData.xlsm]enemies!AD"&amp;(L36+1))*[4]ステータス!$B$2,0)*S36</f>
        <v>5194</v>
      </c>
      <c r="U36" s="19">
        <v>0.4</v>
      </c>
      <c r="V36" s="92">
        <f ca="1">ROUND(VLOOKUP(R36,[3]enemy_base_stats!$A:$F,3,FALSE) *INDIRECT("[EnemyMasterData.xlsm]enemies!Z"&amp;(L36+1))*  INDIRECT("[EnemyMasterData.xlsm]enemies!K"&amp;(L36+1))* INDIRECT("[EnemyMasterData.xlsm]enemies!P"&amp;(L36+1))* INDIRECT("[EnemyMasterData.xlsm]enemies!F"&amp;(L36+1))* INDIRECT("[EnemyMasterData.xlsm]enemies!T"&amp;(L36+1))* INDIRECT("[EnemyMasterData.xlsm]enemies!AE"&amp;(L36+1))*[4]ステータス!$C$2,0)*U36</f>
        <v>939.6</v>
      </c>
      <c r="W36" s="5">
        <v>0</v>
      </c>
      <c r="X36" s="4" t="e">
        <f ca="1">VLOOKUP($Y36,OFFSET(enemy_skill_sets!$B$1,0,0,COUNTA(enemy_skill_sets!$B:$B),MATCH(M$1,enemy_skill_sets!$1:$1,0)-MATCH($Y$1,enemy_skill_sets!$1:$1,0)+2),MATCH(M$1,enemy_skill_sets!$1:$1,0)-MATCH($Y$1,enemy_skill_sets!$1:$1,0)+2,FALSE)</f>
        <v>#N/A</v>
      </c>
      <c r="Y36" s="4">
        <f ca="1">VLOOKUP($L36,OFFSET([3]enemies!$A$1,0,0,COUNTA([3]enemies!$A:$A),MATCH(Y$1,[3]enemies!$1:$1,0)-MATCH($L$1,[3]enemies!$1:$1,0)+1),MATCH(Y$1,[3]enemies!$1:$1,0)-MATCH($L$1,[3]enemies!$1:$1,0)+1,FALSE)</f>
        <v>0</v>
      </c>
      <c r="Z36" s="6">
        <v>0</v>
      </c>
      <c r="AA36" s="6">
        <v>100</v>
      </c>
      <c r="AB36" s="6">
        <v>0</v>
      </c>
      <c r="AC36" s="14">
        <v>2</v>
      </c>
      <c r="AD36" s="98">
        <f t="shared" si="3"/>
        <v>536</v>
      </c>
      <c r="AE36" s="4" t="str">
        <f ca="1">VLOOKUP($AD36,OFFSET([4]characters!$A$1,0,0,COUNTA([4]characters!$A:$A),MATCH(AE$1,[4]characters!$1:$1,0)-MATCH("character_id",[4]characters!$1:$1,0)+1),MATCH(AE$1,[4]characters!$1:$1,0)-MATCH("character_id",[4]characters!$1:$1,0)+1,FALSE)</f>
        <v>冬服ミミ</v>
      </c>
      <c r="AF36" s="4">
        <f ca="1">VLOOKUP($AD36,OFFSET([4]characters!$A$1,0,0,COUNTA([4]characters!$A:$A),MATCH(AF$1,[4]characters!$1:$1,0)-MATCH("character_id",[4]characters!$1:$1,0)+1),MATCH(AF$1,[4]characters!$1:$1,0)-MATCH("character_id",[4]characters!$1:$1,0)+1,FALSE)</f>
        <v>1</v>
      </c>
      <c r="AG36" s="4" t="str">
        <f ca="1">VLOOKUP($AD36,OFFSET([4]characters!$A$1,0,0,COUNTA([4]characters!$A:$A),MATCH(AG$1,[4]characters!$1:$1,0)-MATCH("character_id",[4]characters!$1:$1,0)+1),MATCH(AG$1,[4]characters!$1:$1,0)-MATCH("character_id",[4]characters!$1:$1,0)+1,FALSE)</f>
        <v>Drop1W</v>
      </c>
      <c r="AH36" s="94">
        <v>1</v>
      </c>
      <c r="AI36" s="98">
        <f t="shared" ca="1" si="4"/>
        <v>1</v>
      </c>
      <c r="AJ36" s="7">
        <v>20</v>
      </c>
      <c r="AK36" s="94">
        <v>0</v>
      </c>
      <c r="AL36" s="94">
        <v>0</v>
      </c>
      <c r="AM36" s="94">
        <v>0</v>
      </c>
      <c r="AN36" s="94">
        <v>0</v>
      </c>
      <c r="AO36" s="94">
        <v>1</v>
      </c>
      <c r="AP36" s="62">
        <v>1</v>
      </c>
    </row>
    <row r="37" spans="1:42" ht="21" customHeight="1" x14ac:dyDescent="0.15">
      <c r="A37" s="13" t="str">
        <f t="shared" si="0"/>
        <v>39008_2-2/537&lt;lv25&gt;s2</v>
      </c>
      <c r="B37" s="17">
        <v>39008</v>
      </c>
      <c r="C37" s="95">
        <v>2</v>
      </c>
      <c r="D37" s="12" t="str">
        <f t="shared" si="1"/>
        <v>39008_2</v>
      </c>
      <c r="E37" s="4" t="str">
        <f ca="1">VLOOKUP($B37,OFFSET([2]quests!$A$1,0,0,COUNTA([2]quests!$A:$A),MATCH(E$1,[2]quests!$1:$1,0)-MATCH($B$1,[2]quests!$1:$1,0)+1),MATCH(E$1,[2]quests!$1:$1,0)-MATCH($B$1,[2]quests!$1:$1,0)+1,FALSE)</f>
        <v>雪の歌姫</v>
      </c>
      <c r="F37" s="4" t="str">
        <f ca="1">VLOOKUP($D37,OFFSET([2]stages!$A$1,0,0,COUNTA([2]stages!$A:$A),MATCH(F$1,[2]stages!$2:$2,0)-MATCH($D$1,[2]stages!$2:$2,0)+1),MATCH(F$1,[2]stages!$2:$2,0)-MATCH($D$1,[2]stages!$2:$2,0)+1,FALSE)</f>
        <v>【中級】雪の歌姫</v>
      </c>
      <c r="G37" s="99">
        <v>2</v>
      </c>
      <c r="H37" s="12" t="str">
        <f t="shared" si="2"/>
        <v>39008_2-2</v>
      </c>
      <c r="I37" s="4">
        <f ca="1">VLOOKUP($H37,OFFSET(floors!$A$1,0,0,COUNTA(floors!$A:$A),MATCH(I$1,floors!$1:$1,0)-MATCH($H$1,floors!$1:$1,0)+1),MATCH(I$1,floors!$1:$1,0)-MATCH($H$1,floors!$1:$1,0)+1,FALSE)</f>
        <v>60</v>
      </c>
      <c r="J37" s="4">
        <f ca="1">VLOOKUP($H37,OFFSET(floors!$A$1,0,0,COUNTA(floors!$A:$A),MATCH(J$1,floors!$1:$1,0)-MATCH($H$1,floors!$1:$1,0)+1),MATCH(J$1,floors!$1:$1,0)-MATCH($H$1,floors!$1:$1,0)+1,FALSE)</f>
        <v>60</v>
      </c>
      <c r="K37" s="32" t="s">
        <v>245</v>
      </c>
      <c r="L37" s="97">
        <v>537</v>
      </c>
      <c r="M37" s="14" t="str">
        <f ca="1">VLOOKUP($L37,OFFSET([3]enemies!$A$1,0,0,COUNTA([3]enemies!$A:$A),MATCH(M$1,[3]enemies!$1:$1,0)-MATCH($L$1,[3]enemies!$1:$1,0)+1),MATCH(M$1,[3]enemies!$1:$1,0)-MATCH($L$1,[3]enemies!$1:$1,0)+1,FALSE)</f>
        <v>冬服ハッピー100</v>
      </c>
      <c r="N37" s="14" t="str">
        <f ca="1">VLOOKUP($L37,OFFSET([3]enemies!$A$1,0,0,COUNTA([3]enemies!$A:$A),MATCH(N$1,[3]enemies!$1:$1,0)-MATCH($L$1,[3]enemies!$1:$1,0)+1),MATCH(N$1,[3]enemies!$1:$1,0)-MATCH($L$1,[3]enemies!$1:$1,0)+1,FALSE)</f>
        <v>green</v>
      </c>
      <c r="O37" s="14" t="str">
        <f ca="1">VLOOKUP($L37,OFFSET([4]characters!$A$1,0,0,COUNTA([4]characters!$A:$A),MATCH(O$1,[4]characters!$1:$1,0)-MATCH($L$1,[4]characters!$1:$1,0)+1),MATCH(O$1,[4]characters!$1:$1,0)-MATCH($L$1,[4]characters!$1:$1,0)+1,FALSE)</f>
        <v>DropWizW</v>
      </c>
      <c r="P37" s="14" t="str">
        <f ca="1">VLOOKUP($L37,OFFSET([3]enemies!$A$1,0,0,COUNTA([3]enemies!$A:$A),MATCH(P$1,[3]enemies!$1:$1,0)-MATCH($L$1,[3]enemies!$1:$1,0)+1),MATCH(P$1,[3]enemies!$1:$1,0)-MATCH($L$1,[3]enemies!$1:$1,0)+1,FALSE)</f>
        <v>unknown</v>
      </c>
      <c r="Q37" s="14">
        <f ca="1">VLOOKUP($L37,OFFSET([3]enemies!$A$1,0,0,COUNTA([3]enemies!$A:$A),MATCH(Q$1,[3]enemies!$1:$1,0)-MATCH($L$1,[3]enemies!$1:$1,0)+1),MATCH(Q$1,[3]enemies!$1:$1,0)-MATCH($L$1,[3]enemies!$1:$1,0)+1,FALSE)</f>
        <v>25</v>
      </c>
      <c r="R37" s="5">
        <v>25</v>
      </c>
      <c r="S37" s="19">
        <v>2</v>
      </c>
      <c r="T37" s="92">
        <f ca="1">ROUND(VLOOKUP(R37,[3]enemy_base_stats!$A:$F,2,FALSE) *INDIRECT("[EnemyMasterData.xlsm]enemies!Y"&amp;(L37+1))*  INDIRECT("[EnemyMasterData.xlsm]enemies!J"&amp;(L37+1))* INDIRECT("[EnemyMasterData.xlsm]enemies!O"&amp;(L37+1))* INDIRECT("[EnemyMasterData.xlsm]enemies!E"&amp;(L37+1))* INDIRECT("[EnemyMasterData.xlsm]enemies!S"&amp;(L37+1))* INDIRECT("[EnemyMasterData.xlsm]enemies!AD"&amp;(L37+1))*[4]ステータス!$B$2,0)*S37</f>
        <v>10380</v>
      </c>
      <c r="U37" s="19">
        <v>1</v>
      </c>
      <c r="V37" s="92">
        <f ca="1">ROUND(VLOOKUP(R37,[3]enemy_base_stats!$A:$F,3,FALSE) *INDIRECT("[EnemyMasterData.xlsm]enemies!Z"&amp;(L37+1))*  INDIRECT("[EnemyMasterData.xlsm]enemies!K"&amp;(L37+1))* INDIRECT("[EnemyMasterData.xlsm]enemies!P"&amp;(L37+1))* INDIRECT("[EnemyMasterData.xlsm]enemies!F"&amp;(L37+1))* INDIRECT("[EnemyMasterData.xlsm]enemies!T"&amp;(L37+1))* INDIRECT("[EnemyMasterData.xlsm]enemies!AE"&amp;(L37+1))*[4]ステータス!$C$2,0)*U37</f>
        <v>1519</v>
      </c>
      <c r="W37" s="5">
        <v>0</v>
      </c>
      <c r="X37" s="4" t="e">
        <f ca="1">VLOOKUP($Y37,OFFSET(enemy_skill_sets!$B$1,0,0,COUNTA(enemy_skill_sets!$B:$B),MATCH(M$1,enemy_skill_sets!$1:$1,0)-MATCH($Y$1,enemy_skill_sets!$1:$1,0)+2),MATCH(M$1,enemy_skill_sets!$1:$1,0)-MATCH($Y$1,enemy_skill_sets!$1:$1,0)+2,FALSE)</f>
        <v>#N/A</v>
      </c>
      <c r="Y37" s="4">
        <f ca="1">VLOOKUP($L37,OFFSET([3]enemies!$A$1,0,0,COUNTA([3]enemies!$A:$A),MATCH(Y$1,[3]enemies!$1:$1,0)-MATCH($L$1,[3]enemies!$1:$1,0)+1),MATCH(Y$1,[3]enemies!$1:$1,0)-MATCH($L$1,[3]enemies!$1:$1,0)+1,FALSE)</f>
        <v>0</v>
      </c>
      <c r="Z37" s="6">
        <v>0</v>
      </c>
      <c r="AA37" s="6">
        <v>30</v>
      </c>
      <c r="AB37" s="6">
        <v>1</v>
      </c>
      <c r="AC37" s="14">
        <v>2</v>
      </c>
      <c r="AD37" s="98">
        <f t="shared" si="3"/>
        <v>537</v>
      </c>
      <c r="AE37" s="4" t="str">
        <f ca="1">VLOOKUP($AD37,OFFSET([4]characters!$A$1,0,0,COUNTA([4]characters!$A:$A),MATCH(AE$1,[4]characters!$1:$1,0)-MATCH("character_id",[4]characters!$1:$1,0)+1),MATCH(AE$1,[4]characters!$1:$1,0)-MATCH("character_id",[4]characters!$1:$1,0)+1,FALSE)</f>
        <v>冬服ハッピー100</v>
      </c>
      <c r="AF37" s="4">
        <f ca="1">VLOOKUP($AD37,OFFSET([4]characters!$A$1,0,0,COUNTA([4]characters!$A:$A),MATCH(AF$1,[4]characters!$1:$1,0)-MATCH("character_id",[4]characters!$1:$1,0)+1),MATCH(AF$1,[4]characters!$1:$1,0)-MATCH("character_id",[4]characters!$1:$1,0)+1,FALSE)</f>
        <v>3</v>
      </c>
      <c r="AG37" s="4" t="str">
        <f ca="1">VLOOKUP($AD37,OFFSET([4]characters!$A$1,0,0,COUNTA([4]characters!$A:$A),MATCH(AG$1,[4]characters!$1:$1,0)-MATCH("character_id",[4]characters!$1:$1,0)+1),MATCH(AG$1,[4]characters!$1:$1,0)-MATCH("character_id",[4]characters!$1:$1,0)+1,FALSE)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37" s="94">
        <v>1</v>
      </c>
      <c r="AI37" s="98">
        <f t="shared" ca="1" si="4"/>
        <v>3</v>
      </c>
      <c r="AJ37" s="7">
        <v>20</v>
      </c>
      <c r="AK37" s="94">
        <v>0</v>
      </c>
      <c r="AL37" s="94">
        <v>0</v>
      </c>
      <c r="AM37" s="94">
        <v>0</v>
      </c>
      <c r="AN37" s="94">
        <v>0</v>
      </c>
      <c r="AO37" s="94">
        <v>1</v>
      </c>
      <c r="AP37" s="62">
        <v>1</v>
      </c>
    </row>
    <row r="38" spans="1:42" ht="21" customHeight="1" x14ac:dyDescent="0.15">
      <c r="A38" s="13" t="str">
        <f t="shared" si="0"/>
        <v>39008_2-2/538&lt;lv25&gt;s2</v>
      </c>
      <c r="B38" s="17">
        <v>39008</v>
      </c>
      <c r="C38" s="95">
        <v>2</v>
      </c>
      <c r="D38" s="12" t="str">
        <f t="shared" si="1"/>
        <v>39008_2</v>
      </c>
      <c r="E38" s="4" t="str">
        <f ca="1">VLOOKUP($B38,OFFSET([2]quests!$A$1,0,0,COUNTA([2]quests!$A:$A),MATCH(E$1,[2]quests!$1:$1,0)-MATCH($B$1,[2]quests!$1:$1,0)+1),MATCH(E$1,[2]quests!$1:$1,0)-MATCH($B$1,[2]quests!$1:$1,0)+1,FALSE)</f>
        <v>雪の歌姫</v>
      </c>
      <c r="F38" s="4" t="str">
        <f ca="1">VLOOKUP($D38,OFFSET([2]stages!$A$1,0,0,COUNTA([2]stages!$A:$A),MATCH(F$1,[2]stages!$2:$2,0)-MATCH($D$1,[2]stages!$2:$2,0)+1),MATCH(F$1,[2]stages!$2:$2,0)-MATCH($D$1,[2]stages!$2:$2,0)+1,FALSE)</f>
        <v>【中級】雪の歌姫</v>
      </c>
      <c r="G38" s="99">
        <v>2</v>
      </c>
      <c r="H38" s="12" t="str">
        <f t="shared" si="2"/>
        <v>39008_2-2</v>
      </c>
      <c r="I38" s="4">
        <f ca="1">VLOOKUP($H38,OFFSET(floors!$A$1,0,0,COUNTA(floors!$A:$A),MATCH(I$1,floors!$1:$1,0)-MATCH($H$1,floors!$1:$1,0)+1),MATCH(I$1,floors!$1:$1,0)-MATCH($H$1,floors!$1:$1,0)+1,FALSE)</f>
        <v>60</v>
      </c>
      <c r="J38" s="4">
        <f ca="1">VLOOKUP($H38,OFFSET(floors!$A$1,0,0,COUNTA(floors!$A:$A),MATCH(J$1,floors!$1:$1,0)-MATCH($H$1,floors!$1:$1,0)+1),MATCH(J$1,floors!$1:$1,0)-MATCH($H$1,floors!$1:$1,0)+1,FALSE)</f>
        <v>60</v>
      </c>
      <c r="K38" s="32" t="s">
        <v>245</v>
      </c>
      <c r="L38" s="97">
        <v>538</v>
      </c>
      <c r="M38" s="14" t="str">
        <f ca="1">VLOOKUP($L38,OFFSET([3]enemies!$A$1,0,0,COUNTA([3]enemies!$A:$A),MATCH(M$1,[3]enemies!$1:$1,0)-MATCH($L$1,[3]enemies!$1:$1,0)+1),MATCH(M$1,[3]enemies!$1:$1,0)-MATCH($L$1,[3]enemies!$1:$1,0)+1,FALSE)</f>
        <v>冬服ニムダ</v>
      </c>
      <c r="N38" s="14" t="str">
        <f ca="1">VLOOKUP($L38,OFFSET([3]enemies!$A$1,0,0,COUNTA([3]enemies!$A:$A),MATCH(N$1,[3]enemies!$1:$1,0)-MATCH($L$1,[3]enemies!$1:$1,0)+1),MATCH(N$1,[3]enemies!$1:$1,0)-MATCH($L$1,[3]enemies!$1:$1,0)+1,FALSE)</f>
        <v>yellow</v>
      </c>
      <c r="O38" s="14" t="str">
        <f ca="1">VLOOKUP($L38,OFFSET([4]characters!$A$1,0,0,COUNTA([4]characters!$A:$A),MATCH(O$1,[4]characters!$1:$1,0)-MATCH($L$1,[4]characters!$1:$1,0)+1),MATCH(O$1,[4]characters!$1:$1,0)-MATCH($L$1,[4]characters!$1:$1,0)+1,FALSE)</f>
        <v>DropWizW</v>
      </c>
      <c r="P38" s="14" t="str">
        <f ca="1">VLOOKUP($L38,OFFSET([3]enemies!$A$1,0,0,COUNTA([3]enemies!$A:$A),MATCH(P$1,[3]enemies!$1:$1,0)-MATCH($L$1,[3]enemies!$1:$1,0)+1),MATCH(P$1,[3]enemies!$1:$1,0)-MATCH($L$1,[3]enemies!$1:$1,0)+1,FALSE)</f>
        <v>unknown</v>
      </c>
      <c r="Q38" s="14">
        <f ca="1">VLOOKUP($L38,OFFSET([3]enemies!$A$1,0,0,COUNTA([3]enemies!$A:$A),MATCH(Q$1,[3]enemies!$1:$1,0)-MATCH($L$1,[3]enemies!$1:$1,0)+1),MATCH(Q$1,[3]enemies!$1:$1,0)-MATCH($L$1,[3]enemies!$1:$1,0)+1,FALSE)</f>
        <v>25</v>
      </c>
      <c r="R38" s="5">
        <v>25</v>
      </c>
      <c r="S38" s="19">
        <v>2</v>
      </c>
      <c r="T38" s="92">
        <f ca="1">ROUND(VLOOKUP(R38,[3]enemy_base_stats!$A:$F,2,FALSE) *INDIRECT("[EnemyMasterData.xlsm]enemies!Y"&amp;(L38+1))*  INDIRECT("[EnemyMasterData.xlsm]enemies!J"&amp;(L38+1))* INDIRECT("[EnemyMasterData.xlsm]enemies!O"&amp;(L38+1))* INDIRECT("[EnemyMasterData.xlsm]enemies!E"&amp;(L38+1))* INDIRECT("[EnemyMasterData.xlsm]enemies!S"&amp;(L38+1))* INDIRECT("[EnemyMasterData.xlsm]enemies!AD"&amp;(L38+1))*[4]ステータス!$B$2,0)*S38</f>
        <v>9972</v>
      </c>
      <c r="U38" s="19">
        <v>1</v>
      </c>
      <c r="V38" s="92">
        <f ca="1">ROUND(VLOOKUP(R38,[3]enemy_base_stats!$A:$F,3,FALSE) *INDIRECT("[EnemyMasterData.xlsm]enemies!Z"&amp;(L38+1))*  INDIRECT("[EnemyMasterData.xlsm]enemies!K"&amp;(L38+1))* INDIRECT("[EnemyMasterData.xlsm]enemies!P"&amp;(L38+1))* INDIRECT("[EnemyMasterData.xlsm]enemies!F"&amp;(L38+1))* INDIRECT("[EnemyMasterData.xlsm]enemies!T"&amp;(L38+1))* INDIRECT("[EnemyMasterData.xlsm]enemies!AE"&amp;(L38+1))*[4]ステータス!$C$2,0)*U38</f>
        <v>1566</v>
      </c>
      <c r="W38" s="5">
        <v>0</v>
      </c>
      <c r="X38" s="4" t="e">
        <f ca="1">VLOOKUP($Y38,OFFSET(enemy_skill_sets!$B$1,0,0,COUNTA(enemy_skill_sets!$B:$B),MATCH(M$1,enemy_skill_sets!$1:$1,0)-MATCH($Y$1,enemy_skill_sets!$1:$1,0)+2),MATCH(M$1,enemy_skill_sets!$1:$1,0)-MATCH($Y$1,enemy_skill_sets!$1:$1,0)+2,FALSE)</f>
        <v>#N/A</v>
      </c>
      <c r="Y38" s="4">
        <f ca="1">VLOOKUP($L38,OFFSET([3]enemies!$A$1,0,0,COUNTA([3]enemies!$A:$A),MATCH(Y$1,[3]enemies!$1:$1,0)-MATCH($L$1,[3]enemies!$1:$1,0)+1),MATCH(Y$1,[3]enemies!$1:$1,0)-MATCH($L$1,[3]enemies!$1:$1,0)+1,FALSE)</f>
        <v>0</v>
      </c>
      <c r="Z38" s="6">
        <v>0</v>
      </c>
      <c r="AA38" s="6">
        <v>30</v>
      </c>
      <c r="AB38" s="6">
        <v>1</v>
      </c>
      <c r="AC38" s="14">
        <v>2</v>
      </c>
      <c r="AD38" s="98">
        <f t="shared" si="3"/>
        <v>538</v>
      </c>
      <c r="AE38" s="4" t="str">
        <f ca="1">VLOOKUP($AD38,OFFSET([4]characters!$A$1,0,0,COUNTA([4]characters!$A:$A),MATCH(AE$1,[4]characters!$1:$1,0)-MATCH("character_id",[4]characters!$1:$1,0)+1),MATCH(AE$1,[4]characters!$1:$1,0)-MATCH("character_id",[4]characters!$1:$1,0)+1,FALSE)</f>
        <v>冬服ニムダ</v>
      </c>
      <c r="AF38" s="4">
        <f ca="1">VLOOKUP($AD38,OFFSET([4]characters!$A$1,0,0,COUNTA([4]characters!$A:$A),MATCH(AF$1,[4]characters!$1:$1,0)-MATCH("character_id",[4]characters!$1:$1,0)+1),MATCH(AF$1,[4]characters!$1:$1,0)-MATCH("character_id",[4]characters!$1:$1,0)+1,FALSE)</f>
        <v>3</v>
      </c>
      <c r="AG38" s="4" t="str">
        <f ca="1">VLOOKUP($AD38,OFFSET([4]characters!$A$1,0,0,COUNTA([4]characters!$A:$A),MATCH(AG$1,[4]characters!$1:$1,0)-MATCH("character_id",[4]characters!$1:$1,0)+1),MATCH(AG$1,[4]characters!$1:$1,0)-MATCH("character_id",[4]characters!$1:$1,0)+1,FALSE)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38" s="94">
        <v>1</v>
      </c>
      <c r="AI38" s="98">
        <f t="shared" ca="1" si="4"/>
        <v>3</v>
      </c>
      <c r="AJ38" s="7">
        <v>20</v>
      </c>
      <c r="AK38" s="94">
        <v>0</v>
      </c>
      <c r="AL38" s="94">
        <v>0</v>
      </c>
      <c r="AM38" s="94">
        <v>0</v>
      </c>
      <c r="AN38" s="94">
        <v>0</v>
      </c>
      <c r="AO38" s="94">
        <v>1</v>
      </c>
      <c r="AP38" s="62">
        <v>1</v>
      </c>
    </row>
    <row r="39" spans="1:42" s="187" customFormat="1" ht="21" customHeight="1" thickBot="1" x14ac:dyDescent="0.2">
      <c r="A39" s="169" t="str">
        <f t="shared" si="0"/>
        <v>39008_2-3/525&lt;lv35&gt;s2</v>
      </c>
      <c r="B39" s="170">
        <v>39008</v>
      </c>
      <c r="C39" s="171">
        <v>2</v>
      </c>
      <c r="D39" s="172" t="str">
        <f t="shared" si="1"/>
        <v>39008_2</v>
      </c>
      <c r="E39" s="173" t="str">
        <f ca="1">VLOOKUP($B39,OFFSET([2]quests!$A$1,0,0,COUNTA([2]quests!$A:$A),MATCH(E$1,[2]quests!$1:$1,0)-MATCH($B$1,[2]quests!$1:$1,0)+1),MATCH(E$1,[2]quests!$1:$1,0)-MATCH($B$1,[2]quests!$1:$1,0)+1,FALSE)</f>
        <v>雪の歌姫</v>
      </c>
      <c r="F39" s="173" t="str">
        <f ca="1">VLOOKUP($D39,OFFSET([2]stages!$A$1,0,0,COUNTA([2]stages!$A:$A),MATCH(F$1,[2]stages!$2:$2,0)-MATCH($D$1,[2]stages!$2:$2,0)+1),MATCH(F$1,[2]stages!$2:$2,0)-MATCH($D$1,[2]stages!$2:$2,0)+1,FALSE)</f>
        <v>【中級】雪の歌姫</v>
      </c>
      <c r="G39" s="174">
        <v>3</v>
      </c>
      <c r="H39" s="172" t="str">
        <f t="shared" si="2"/>
        <v>39008_2-3</v>
      </c>
      <c r="I39" s="173">
        <f ca="1">VLOOKUP($H39,OFFSET(floors!$A$1,0,0,COUNTA(floors!$A:$A),MATCH(I$1,floors!$1:$1,0)-MATCH($H$1,floors!$1:$1,0)+1),MATCH(I$1,floors!$1:$1,0)-MATCH($H$1,floors!$1:$1,0)+1,FALSE)</f>
        <v>30</v>
      </c>
      <c r="J39" s="173">
        <f ca="1">VLOOKUP($H39,OFFSET(floors!$A$1,0,0,COUNTA(floors!$A:$A),MATCH(J$1,floors!$1:$1,0)-MATCH($H$1,floors!$1:$1,0)+1),MATCH(J$1,floors!$1:$1,0)-MATCH($H$1,floors!$1:$1,0)+1,FALSE)</f>
        <v>30</v>
      </c>
      <c r="K39" s="175" t="s">
        <v>245</v>
      </c>
      <c r="L39" s="176">
        <v>525</v>
      </c>
      <c r="M39" s="177" t="str">
        <f ca="1">VLOOKUP($L39,OFFSET([3]enemies!$A$1,0,0,COUNTA([3]enemies!$A:$A),MATCH(M$1,[3]enemies!$1:$1,0)-MATCH($L$1,[3]enemies!$1:$1,0)+1),MATCH(M$1,[3]enemies!$1:$1,0)-MATCH($L$1,[3]enemies!$1:$1,0)+1,FALSE)</f>
        <v>ウィンタースポーツ 雪ミク</v>
      </c>
      <c r="N39" s="177" t="str">
        <f ca="1">VLOOKUP($L39,OFFSET([3]enemies!$A$1,0,0,COUNTA([3]enemies!$A:$A),MATCH(N$1,[3]enemies!$1:$1,0)-MATCH($L$1,[3]enemies!$1:$1,0)+1),MATCH(N$1,[3]enemies!$1:$1,0)-MATCH($L$1,[3]enemies!$1:$1,0)+1,FALSE)</f>
        <v>blue</v>
      </c>
      <c r="O39" s="177" t="str">
        <f ca="1">VLOOKUP($L39,OFFSET([4]characters!$A$1,0,0,COUNTA([4]characters!$A:$A),MATCH(O$1,[4]characters!$1:$1,0)-MATCH($L$1,[4]characters!$1:$1,0)+1),MATCH(O$1,[4]characters!$1:$1,0)-MATCH($L$1,[4]characters!$1:$1,0)+1,FALSE)</f>
        <v>Drop2N</v>
      </c>
      <c r="P39" s="177" t="str">
        <f ca="1">VLOOKUP($L39,OFFSET([3]enemies!$A$1,0,0,COUNTA([3]enemies!$A:$A),MATCH(P$1,[3]enemies!$1:$1,0)-MATCH($L$1,[3]enemies!$1:$1,0)+1),MATCH(P$1,[3]enemies!$1:$1,0)-MATCH($L$1,[3]enemies!$1:$1,0)+1,FALSE)</f>
        <v>unknown</v>
      </c>
      <c r="Q39" s="177">
        <f ca="1">VLOOKUP($L39,OFFSET([3]enemies!$A$1,0,0,COUNTA([3]enemies!$A:$A),MATCH(Q$1,[3]enemies!$1:$1,0)-MATCH($L$1,[3]enemies!$1:$1,0)+1),MATCH(Q$1,[3]enemies!$1:$1,0)-MATCH($L$1,[3]enemies!$1:$1,0)+1,FALSE)</f>
        <v>30</v>
      </c>
      <c r="R39" s="178">
        <v>35</v>
      </c>
      <c r="S39" s="179">
        <v>1.9</v>
      </c>
      <c r="T39" s="180">
        <f ca="1">ROUND(VLOOKUP(R39,[3]enemy_base_stats!$A:$F,2,FALSE) *INDIRECT("[EnemyMasterData.xlsm]enemies!Y"&amp;(L39+1))*  INDIRECT("[EnemyMasterData.xlsm]enemies!J"&amp;(L39+1))* INDIRECT("[EnemyMasterData.xlsm]enemies!O"&amp;(L39+1))* INDIRECT("[EnemyMasterData.xlsm]enemies!E"&amp;(L39+1))* INDIRECT("[EnemyMasterData.xlsm]enemies!S"&amp;(L39+1))* INDIRECT("[EnemyMasterData.xlsm]enemies!AD"&amp;(L39+1))*[4]ステータス!$B$2,0)*S39</f>
        <v>67795.8</v>
      </c>
      <c r="U39" s="179">
        <v>1</v>
      </c>
      <c r="V39" s="180">
        <f ca="1">ROUND(VLOOKUP(R39,[3]enemy_base_stats!$A:$F,3,FALSE) *INDIRECT("[EnemyMasterData.xlsm]enemies!Z"&amp;(L39+1))*  INDIRECT("[EnemyMasterData.xlsm]enemies!K"&amp;(L39+1))* INDIRECT("[EnemyMasterData.xlsm]enemies!P"&amp;(L39+1))* INDIRECT("[EnemyMasterData.xlsm]enemies!F"&amp;(L39+1))* INDIRECT("[EnemyMasterData.xlsm]enemies!T"&amp;(L39+1))* INDIRECT("[EnemyMasterData.xlsm]enemies!AE"&amp;(L39+1))*[4]ステータス!$C$2,0)*U39</f>
        <v>2801</v>
      </c>
      <c r="W39" s="178">
        <v>0</v>
      </c>
      <c r="X39" s="173" t="str">
        <f ca="1">VLOOKUP($Y39,OFFSET(enemy_skill_sets!$B$1,0,0,COUNTA(enemy_skill_sets!$B:$B),MATCH(M$1,enemy_skill_sets!$1:$1,0)-MATCH($Y$1,enemy_skill_sets!$1:$1,0)+2),MATCH(M$1,enemy_skill_sets!$1:$1,0)-MATCH($Y$1,enemy_skill_sets!$1:$1,0)+2,FALSE)</f>
        <v>3ターン自身の防御力UP</v>
      </c>
      <c r="Y39" s="181">
        <v>39008006</v>
      </c>
      <c r="Z39" s="182">
        <v>0</v>
      </c>
      <c r="AA39" s="182">
        <v>100</v>
      </c>
      <c r="AB39" s="182">
        <v>0</v>
      </c>
      <c r="AC39" s="177">
        <v>2</v>
      </c>
      <c r="AD39" s="183">
        <f t="shared" si="3"/>
        <v>525</v>
      </c>
      <c r="AE39" s="173" t="str">
        <f ca="1">VLOOKUP($AD39,OFFSET([4]characters!$A$1,0,0,COUNTA([4]characters!$A:$A),MATCH(AE$1,[4]characters!$1:$1,0)-MATCH("character_id",[4]characters!$1:$1,0)+1),MATCH(AE$1,[4]characters!$1:$1,0)-MATCH("character_id",[4]characters!$1:$1,0)+1,FALSE)</f>
        <v>ウィンタースポーツ 雪ミク</v>
      </c>
      <c r="AF39" s="173">
        <f ca="1">VLOOKUP($AD39,OFFSET([4]characters!$A$1,0,0,COUNTA([4]characters!$A:$A),MATCH(AF$1,[4]characters!$1:$1,0)-MATCH("character_id",[4]characters!$1:$1,0)+1),MATCH(AF$1,[4]characters!$1:$1,0)-MATCH("character_id",[4]characters!$1:$1,0)+1,FALSE)</f>
        <v>4</v>
      </c>
      <c r="AG39" s="173" t="str">
        <f ca="1">VLOOKUP($AD39,OFFSET([4]characters!$A$1,0,0,COUNTA([4]characters!$A:$A),MATCH(AG$1,[4]characters!$1:$1,0)-MATCH("character_id",[4]characters!$1:$1,0)+1),MATCH(AG$1,[4]characters!$1:$1,0)-MATCH("character_id",[4]characters!$1:$1,0)+1,FALSE)</f>
        <v>Drop2N</v>
      </c>
      <c r="AH39" s="184">
        <v>1</v>
      </c>
      <c r="AI39" s="183">
        <f t="shared" ca="1" si="4"/>
        <v>4</v>
      </c>
      <c r="AJ39" s="185">
        <v>65</v>
      </c>
      <c r="AK39" s="184">
        <v>0</v>
      </c>
      <c r="AL39" s="184">
        <v>0</v>
      </c>
      <c r="AM39" s="184">
        <v>0</v>
      </c>
      <c r="AN39" s="184">
        <v>0</v>
      </c>
      <c r="AO39" s="184">
        <v>1</v>
      </c>
      <c r="AP39" s="186">
        <v>1</v>
      </c>
    </row>
    <row r="40" spans="1:42" ht="21" customHeight="1" x14ac:dyDescent="0.15">
      <c r="A40" s="13" t="str">
        <f t="shared" si="0"/>
        <v>39008_3-1/529&lt;lv35&gt;s1</v>
      </c>
      <c r="B40" s="17">
        <v>39008</v>
      </c>
      <c r="C40" s="156">
        <v>3</v>
      </c>
      <c r="D40" s="157" t="str">
        <f t="shared" si="1"/>
        <v>39008_3</v>
      </c>
      <c r="E40" s="4" t="str">
        <f ca="1">VLOOKUP($B40,OFFSET([2]quests!$A$1,0,0,COUNTA([2]quests!$A:$A),MATCH(E$1,[2]quests!$1:$1,0)-MATCH($B$1,[2]quests!$1:$1,0)+1),MATCH(E$1,[2]quests!$1:$1,0)-MATCH($B$1,[2]quests!$1:$1,0)+1,FALSE)</f>
        <v>雪の歌姫</v>
      </c>
      <c r="F40" s="4" t="str">
        <f ca="1">VLOOKUP($D40,OFFSET([2]stages!$A$1,0,0,COUNTA([2]stages!$A:$A),MATCH(F$1,[2]stages!$2:$2,0)-MATCH($D$1,[2]stages!$2:$2,0)+1),MATCH(F$1,[2]stages!$2:$2,0)-MATCH($D$1,[2]stages!$2:$2,0)+1,FALSE)</f>
        <v>【上級】雪の歌姫</v>
      </c>
      <c r="G40" s="158">
        <v>1</v>
      </c>
      <c r="H40" s="157" t="str">
        <f t="shared" si="2"/>
        <v>39008_3-1</v>
      </c>
      <c r="I40" s="4">
        <f ca="1">VLOOKUP($H40,OFFSET(floors!$A$1,0,0,COUNTA(floors!$A:$A),MATCH(I$1,floors!$1:$1,0)-MATCH($H$1,floors!$1:$1,0)+1),MATCH(I$1,floors!$1:$1,0)-MATCH($H$1,floors!$1:$1,0)+1,FALSE)</f>
        <v>45</v>
      </c>
      <c r="J40" s="4">
        <f ca="1">VLOOKUP($H40,OFFSET(floors!$A$1,0,0,COUNTA(floors!$A:$A),MATCH(J$1,floors!$1:$1,0)-MATCH($H$1,floors!$1:$1,0)+1),MATCH(J$1,floors!$1:$1,0)-MATCH($H$1,floors!$1:$1,0)+1,FALSE)</f>
        <v>45</v>
      </c>
      <c r="K40" s="159" t="s">
        <v>245</v>
      </c>
      <c r="L40" s="160">
        <v>529</v>
      </c>
      <c r="M40" s="14" t="str">
        <f ca="1">VLOOKUP($L40,OFFSET([3]enemies!$A$1,0,0,COUNTA([3]enemies!$A:$A),MATCH(M$1,[3]enemies!$1:$1,0)-MATCH($L$1,[3]enemies!$1:$1,0)+1),MATCH(M$1,[3]enemies!$1:$1,0)-MATCH($L$1,[3]enemies!$1:$1,0)+1,FALSE)</f>
        <v>冬服ジェリー</v>
      </c>
      <c r="N40" s="14" t="str">
        <f ca="1">VLOOKUP($L40,OFFSET([3]enemies!$A$1,0,0,COUNTA([3]enemies!$A:$A),MATCH(N$1,[3]enemies!$1:$1,0)-MATCH($L$1,[3]enemies!$1:$1,0)+1),MATCH(N$1,[3]enemies!$1:$1,0)-MATCH($L$1,[3]enemies!$1:$1,0)+1,FALSE)</f>
        <v>red</v>
      </c>
      <c r="O40" s="14" t="str">
        <f ca="1">VLOOKUP($L40,OFFSET([4]characters!$A$1,0,0,COUNTA([4]characters!$A:$A),MATCH(O$1,[4]characters!$1:$1,0)-MATCH($L$1,[4]characters!$1:$1,0)+1),MATCH(O$1,[4]characters!$1:$1,0)-MATCH($L$1,[4]characters!$1:$1,0)+1,FALSE)</f>
        <v>Drop1T</v>
      </c>
      <c r="P40" s="14" t="str">
        <f ca="1">VLOOKUP($L40,OFFSET([3]enemies!$A$1,0,0,COUNTA([3]enemies!$A:$A),MATCH(P$1,[3]enemies!$1:$1,0)-MATCH($L$1,[3]enemies!$1:$1,0)+1),MATCH(P$1,[3]enemies!$1:$1,0)-MATCH($L$1,[3]enemies!$1:$1,0)+1,FALSE)</f>
        <v>unknown</v>
      </c>
      <c r="Q40" s="14">
        <f ca="1">VLOOKUP($L40,OFFSET([3]enemies!$A$1,0,0,COUNTA([3]enemies!$A:$A),MATCH(Q$1,[3]enemies!$1:$1,0)-MATCH($L$1,[3]enemies!$1:$1,0)+1),MATCH(Q$1,[3]enemies!$1:$1,0)-MATCH($L$1,[3]enemies!$1:$1,0)+1,FALSE)</f>
        <v>15</v>
      </c>
      <c r="R40" s="161">
        <v>35</v>
      </c>
      <c r="S40" s="162">
        <v>1.1000000000000001</v>
      </c>
      <c r="T40" s="163">
        <f ca="1">ROUND(VLOOKUP(R40,[3]enemy_base_stats!$A:$F,2,FALSE) *INDIRECT("[EnemyMasterData.xlsm]enemies!Y"&amp;(L40+1))*  INDIRECT("[EnemyMasterData.xlsm]enemies!J"&amp;(L40+1))* INDIRECT("[EnemyMasterData.xlsm]enemies!O"&amp;(L40+1))* INDIRECT("[EnemyMasterData.xlsm]enemies!E"&amp;(L40+1))* INDIRECT("[EnemyMasterData.xlsm]enemies!S"&amp;(L40+1))* INDIRECT("[EnemyMasterData.xlsm]enemies!AD"&amp;(L40+1))*[4]ステータス!$B$2,0)*S40</f>
        <v>8030.0000000000009</v>
      </c>
      <c r="U40" s="162">
        <v>0.4</v>
      </c>
      <c r="V40" s="163">
        <f ca="1">ROUND(VLOOKUP(R40,[3]enemy_base_stats!$A:$F,3,FALSE) *INDIRECT("[EnemyMasterData.xlsm]enemies!Z"&amp;(L40+1))*  INDIRECT("[EnemyMasterData.xlsm]enemies!K"&amp;(L40+1))* INDIRECT("[EnemyMasterData.xlsm]enemies!P"&amp;(L40+1))* INDIRECT("[EnemyMasterData.xlsm]enemies!F"&amp;(L40+1))* INDIRECT("[EnemyMasterData.xlsm]enemies!T"&amp;(L40+1))* INDIRECT("[EnemyMasterData.xlsm]enemies!AE"&amp;(L40+1))*[4]ステータス!$C$2,0)*U40</f>
        <v>1200.4000000000001</v>
      </c>
      <c r="W40" s="161">
        <v>0</v>
      </c>
      <c r="X40" s="4" t="e">
        <f ca="1">VLOOKUP($Y40,OFFSET(enemy_skill_sets!$B$1,0,0,COUNTA(enemy_skill_sets!$B:$B),MATCH(M$1,enemy_skill_sets!$1:$1,0)-MATCH($Y$1,enemy_skill_sets!$1:$1,0)+2),MATCH(M$1,enemy_skill_sets!$1:$1,0)-MATCH($Y$1,enemy_skill_sets!$1:$1,0)+2,FALSE)</f>
        <v>#N/A</v>
      </c>
      <c r="Y40" s="4">
        <f ca="1">VLOOKUP($L40,OFFSET([3]enemies!$A$1,0,0,COUNTA([3]enemies!$A:$A),MATCH(Y$1,[3]enemies!$1:$1,0)-MATCH($L$1,[3]enemies!$1:$1,0)+1),MATCH(Y$1,[3]enemies!$1:$1,0)-MATCH($L$1,[3]enemies!$1:$1,0)+1,FALSE)</f>
        <v>0</v>
      </c>
      <c r="Z40" s="164">
        <v>0</v>
      </c>
      <c r="AA40" s="164">
        <v>100</v>
      </c>
      <c r="AB40" s="164">
        <v>0</v>
      </c>
      <c r="AC40" s="14">
        <v>1</v>
      </c>
      <c r="AD40" s="165">
        <f t="shared" si="3"/>
        <v>529</v>
      </c>
      <c r="AE40" s="4" t="str">
        <f ca="1">VLOOKUP($AD40,OFFSET([4]characters!$A$1,0,0,COUNTA([4]characters!$A:$A),MATCH(AE$1,[4]characters!$1:$1,0)-MATCH("character_id",[4]characters!$1:$1,0)+1),MATCH(AE$1,[4]characters!$1:$1,0)-MATCH("character_id",[4]characters!$1:$1,0)+1,FALSE)</f>
        <v>冬服ジェリー</v>
      </c>
      <c r="AF40" s="4">
        <f ca="1">VLOOKUP($AD40,OFFSET([4]characters!$A$1,0,0,COUNTA([4]characters!$A:$A),MATCH(AF$1,[4]characters!$1:$1,0)-MATCH("character_id",[4]characters!$1:$1,0)+1),MATCH(AF$1,[4]characters!$1:$1,0)-MATCH("character_id",[4]characters!$1:$1,0)+1,FALSE)</f>
        <v>1</v>
      </c>
      <c r="AG40" s="4" t="str">
        <f ca="1">VLOOKUP($AD40,OFFSET([4]characters!$A$1,0,0,COUNTA([4]characters!$A:$A),MATCH(AG$1,[4]characters!$1:$1,0)-MATCH("character_id",[4]characters!$1:$1,0)+1),MATCH(AG$1,[4]characters!$1:$1,0)-MATCH("character_id",[4]characters!$1:$1,0)+1,FALSE)</f>
        <v>Drop1T</v>
      </c>
      <c r="AH40" s="166">
        <v>1</v>
      </c>
      <c r="AI40" s="165">
        <f t="shared" ca="1" si="4"/>
        <v>1</v>
      </c>
      <c r="AJ40" s="167">
        <v>20</v>
      </c>
      <c r="AK40" s="166">
        <v>0</v>
      </c>
      <c r="AL40" s="166">
        <v>0</v>
      </c>
      <c r="AM40" s="166">
        <v>0</v>
      </c>
      <c r="AN40" s="166">
        <v>0</v>
      </c>
      <c r="AO40" s="166">
        <v>1</v>
      </c>
      <c r="AP40" s="168">
        <v>1</v>
      </c>
    </row>
    <row r="41" spans="1:42" ht="21" customHeight="1" x14ac:dyDescent="0.15">
      <c r="A41" s="13" t="str">
        <f t="shared" si="0"/>
        <v>39008_3-1/530&lt;lv35&gt;s2</v>
      </c>
      <c r="B41" s="17">
        <v>39008</v>
      </c>
      <c r="C41" s="95">
        <v>3</v>
      </c>
      <c r="D41" s="12" t="str">
        <f t="shared" si="1"/>
        <v>39008_3</v>
      </c>
      <c r="E41" s="4" t="str">
        <f ca="1">VLOOKUP($B41,OFFSET([2]quests!$A$1,0,0,COUNTA([2]quests!$A:$A),MATCH(E$1,[2]quests!$1:$1,0)-MATCH($B$1,[2]quests!$1:$1,0)+1),MATCH(E$1,[2]quests!$1:$1,0)-MATCH($B$1,[2]quests!$1:$1,0)+1,FALSE)</f>
        <v>雪の歌姫</v>
      </c>
      <c r="F41" s="4" t="str">
        <f ca="1">VLOOKUP($D41,OFFSET([2]stages!$A$1,0,0,COUNTA([2]stages!$A:$A),MATCH(F$1,[2]stages!$2:$2,0)-MATCH($D$1,[2]stages!$2:$2,0)+1),MATCH(F$1,[2]stages!$2:$2,0)-MATCH($D$1,[2]stages!$2:$2,0)+1,FALSE)</f>
        <v>【上級】雪の歌姫</v>
      </c>
      <c r="G41" s="96">
        <v>1</v>
      </c>
      <c r="H41" s="12" t="str">
        <f t="shared" si="2"/>
        <v>39008_3-1</v>
      </c>
      <c r="I41" s="4">
        <f ca="1">VLOOKUP($H41,OFFSET(floors!$A$1,0,0,COUNTA(floors!$A:$A),MATCH(I$1,floors!$1:$1,0)-MATCH($H$1,floors!$1:$1,0)+1),MATCH(I$1,floors!$1:$1,0)-MATCH($H$1,floors!$1:$1,0)+1,FALSE)</f>
        <v>45</v>
      </c>
      <c r="J41" s="4">
        <f ca="1">VLOOKUP($H41,OFFSET(floors!$A$1,0,0,COUNTA(floors!$A:$A),MATCH(J$1,floors!$1:$1,0)-MATCH($H$1,floors!$1:$1,0)+1),MATCH(J$1,floors!$1:$1,0)-MATCH($H$1,floors!$1:$1,0)+1,FALSE)</f>
        <v>45</v>
      </c>
      <c r="K41" s="32" t="s">
        <v>245</v>
      </c>
      <c r="L41" s="97">
        <v>530</v>
      </c>
      <c r="M41" s="14" t="str">
        <f ca="1">VLOOKUP($L41,OFFSET([3]enemies!$A$1,0,0,COUNTA([3]enemies!$A:$A),MATCH(M$1,[3]enemies!$1:$1,0)-MATCH($L$1,[3]enemies!$1:$1,0)+1),MATCH(M$1,[3]enemies!$1:$1,0)-MATCH($L$1,[3]enemies!$1:$1,0)+1,FALSE)</f>
        <v>冬服ジョー</v>
      </c>
      <c r="N41" s="14" t="str">
        <f ca="1">VLOOKUP($L41,OFFSET([3]enemies!$A$1,0,0,COUNTA([3]enemies!$A:$A),MATCH(N$1,[3]enemies!$1:$1,0)-MATCH($L$1,[3]enemies!$1:$1,0)+1),MATCH(N$1,[3]enemies!$1:$1,0)-MATCH($L$1,[3]enemies!$1:$1,0)+1,FALSE)</f>
        <v>green</v>
      </c>
      <c r="O41" s="14" t="str">
        <f ca="1">VLOOKUP($L41,OFFSET([4]characters!$A$1,0,0,COUNTA([4]characters!$A:$A),MATCH(O$1,[4]characters!$1:$1,0)-MATCH($L$1,[4]characters!$1:$1,0)+1),MATCH(O$1,[4]characters!$1:$1,0)-MATCH($L$1,[4]characters!$1:$1,0)+1,FALSE)</f>
        <v>Drop1T</v>
      </c>
      <c r="P41" s="14" t="str">
        <f ca="1">VLOOKUP($L41,OFFSET([3]enemies!$A$1,0,0,COUNTA([3]enemies!$A:$A),MATCH(P$1,[3]enemies!$1:$1,0)-MATCH($L$1,[3]enemies!$1:$1,0)+1),MATCH(P$1,[3]enemies!$1:$1,0)-MATCH($L$1,[3]enemies!$1:$1,0)+1,FALSE)</f>
        <v>unknown</v>
      </c>
      <c r="Q41" s="14">
        <f ca="1">VLOOKUP($L41,OFFSET([3]enemies!$A$1,0,0,COUNTA([3]enemies!$A:$A),MATCH(Q$1,[3]enemies!$1:$1,0)-MATCH($L$1,[3]enemies!$1:$1,0)+1),MATCH(Q$1,[3]enemies!$1:$1,0)-MATCH($L$1,[3]enemies!$1:$1,0)+1,FALSE)</f>
        <v>15</v>
      </c>
      <c r="R41" s="5">
        <v>35</v>
      </c>
      <c r="S41" s="19">
        <v>1.2</v>
      </c>
      <c r="T41" s="92">
        <f ca="1">ROUND(VLOOKUP(R41,[3]enemy_base_stats!$A:$F,2,FALSE) *INDIRECT("[EnemyMasterData.xlsm]enemies!Y"&amp;(L41+1))*  INDIRECT("[EnemyMasterData.xlsm]enemies!J"&amp;(L41+1))* INDIRECT("[EnemyMasterData.xlsm]enemies!O"&amp;(L41+1))* INDIRECT("[EnemyMasterData.xlsm]enemies!E"&amp;(L41+1))* INDIRECT("[EnemyMasterData.xlsm]enemies!S"&amp;(L41+1))* INDIRECT("[EnemyMasterData.xlsm]enemies!AD"&amp;(L41+1))*[4]ステータス!$B$2,0)*S41</f>
        <v>8935.1999999999989</v>
      </c>
      <c r="U41" s="19">
        <v>0.5</v>
      </c>
      <c r="V41" s="92">
        <f ca="1">ROUND(VLOOKUP(R41,[3]enemy_base_stats!$A:$F,3,FALSE) *INDIRECT("[EnemyMasterData.xlsm]enemies!Z"&amp;(L41+1))*  INDIRECT("[EnemyMasterData.xlsm]enemies!K"&amp;(L41+1))* INDIRECT("[EnemyMasterData.xlsm]enemies!P"&amp;(L41+1))* INDIRECT("[EnemyMasterData.xlsm]enemies!F"&amp;(L41+1))* INDIRECT("[EnemyMasterData.xlsm]enemies!T"&amp;(L41+1))* INDIRECT("[EnemyMasterData.xlsm]enemies!AE"&amp;(L41+1))*[4]ステータス!$C$2,0)*U41</f>
        <v>1073</v>
      </c>
      <c r="W41" s="5">
        <v>0</v>
      </c>
      <c r="X41" s="4" t="e">
        <f ca="1">VLOOKUP($Y41,OFFSET(enemy_skill_sets!$B$1,0,0,COUNTA(enemy_skill_sets!$B:$B),MATCH(M$1,enemy_skill_sets!$1:$1,0)-MATCH($Y$1,enemy_skill_sets!$1:$1,0)+2),MATCH(M$1,enemy_skill_sets!$1:$1,0)-MATCH($Y$1,enemy_skill_sets!$1:$1,0)+2,FALSE)</f>
        <v>#N/A</v>
      </c>
      <c r="Y41" s="4">
        <f ca="1">VLOOKUP($L41,OFFSET([3]enemies!$A$1,0,0,COUNTA([3]enemies!$A:$A),MATCH(Y$1,[3]enemies!$1:$1,0)-MATCH($L$1,[3]enemies!$1:$1,0)+1),MATCH(Y$1,[3]enemies!$1:$1,0)-MATCH($L$1,[3]enemies!$1:$1,0)+1,FALSE)</f>
        <v>0</v>
      </c>
      <c r="Z41" s="6">
        <v>0</v>
      </c>
      <c r="AA41" s="6">
        <v>100</v>
      </c>
      <c r="AB41" s="6">
        <v>0</v>
      </c>
      <c r="AC41" s="14">
        <v>2</v>
      </c>
      <c r="AD41" s="98">
        <f t="shared" si="3"/>
        <v>530</v>
      </c>
      <c r="AE41" s="4" t="str">
        <f ca="1">VLOOKUP($AD41,OFFSET([4]characters!$A$1,0,0,COUNTA([4]characters!$A:$A),MATCH(AE$1,[4]characters!$1:$1,0)-MATCH("character_id",[4]characters!$1:$1,0)+1),MATCH(AE$1,[4]characters!$1:$1,0)-MATCH("character_id",[4]characters!$1:$1,0)+1,FALSE)</f>
        <v>冬服ジョー</v>
      </c>
      <c r="AF41" s="4">
        <f ca="1">VLOOKUP($AD41,OFFSET([4]characters!$A$1,0,0,COUNTA([4]characters!$A:$A),MATCH(AF$1,[4]characters!$1:$1,0)-MATCH("character_id",[4]characters!$1:$1,0)+1),MATCH(AF$1,[4]characters!$1:$1,0)-MATCH("character_id",[4]characters!$1:$1,0)+1,FALSE)</f>
        <v>1</v>
      </c>
      <c r="AG41" s="4" t="str">
        <f ca="1">VLOOKUP($AD41,OFFSET([4]characters!$A$1,0,0,COUNTA([4]characters!$A:$A),MATCH(AG$1,[4]characters!$1:$1,0)-MATCH("character_id",[4]characters!$1:$1,0)+1),MATCH(AG$1,[4]characters!$1:$1,0)-MATCH("character_id",[4]characters!$1:$1,0)+1,FALSE)</f>
        <v>Drop1T</v>
      </c>
      <c r="AH41" s="94">
        <v>1</v>
      </c>
      <c r="AI41" s="98">
        <f t="shared" ca="1" si="4"/>
        <v>1</v>
      </c>
      <c r="AJ41" s="7">
        <v>20</v>
      </c>
      <c r="AK41" s="94">
        <v>0</v>
      </c>
      <c r="AL41" s="94">
        <v>0</v>
      </c>
      <c r="AM41" s="94">
        <v>0</v>
      </c>
      <c r="AN41" s="94">
        <v>0</v>
      </c>
      <c r="AO41" s="94">
        <v>1</v>
      </c>
      <c r="AP41" s="62">
        <v>1</v>
      </c>
    </row>
    <row r="42" spans="1:42" ht="21" customHeight="1" x14ac:dyDescent="0.15">
      <c r="A42" s="13" t="str">
        <f t="shared" si="0"/>
        <v>39008_3-1/531&lt;lv35&gt;s3</v>
      </c>
      <c r="B42" s="17">
        <v>39008</v>
      </c>
      <c r="C42" s="95">
        <v>3</v>
      </c>
      <c r="D42" s="12" t="str">
        <f t="shared" si="1"/>
        <v>39008_3</v>
      </c>
      <c r="E42" s="4" t="str">
        <f ca="1">VLOOKUP($B42,OFFSET([2]quests!$A$1,0,0,COUNTA([2]quests!$A:$A),MATCH(E$1,[2]quests!$1:$1,0)-MATCH($B$1,[2]quests!$1:$1,0)+1),MATCH(E$1,[2]quests!$1:$1,0)-MATCH($B$1,[2]quests!$1:$1,0)+1,FALSE)</f>
        <v>雪の歌姫</v>
      </c>
      <c r="F42" s="4" t="str">
        <f ca="1">VLOOKUP($D42,OFFSET([2]stages!$A$1,0,0,COUNTA([2]stages!$A:$A),MATCH(F$1,[2]stages!$2:$2,0)-MATCH($D$1,[2]stages!$2:$2,0)+1),MATCH(F$1,[2]stages!$2:$2,0)-MATCH($D$1,[2]stages!$2:$2,0)+1,FALSE)</f>
        <v>【上級】雪の歌姫</v>
      </c>
      <c r="G42" s="96">
        <v>1</v>
      </c>
      <c r="H42" s="12" t="str">
        <f t="shared" si="2"/>
        <v>39008_3-1</v>
      </c>
      <c r="I42" s="4">
        <f ca="1">VLOOKUP($H42,OFFSET(floors!$A$1,0,0,COUNTA(floors!$A:$A),MATCH(I$1,floors!$1:$1,0)-MATCH($H$1,floors!$1:$1,0)+1),MATCH(I$1,floors!$1:$1,0)-MATCH($H$1,floors!$1:$1,0)+1,FALSE)</f>
        <v>45</v>
      </c>
      <c r="J42" s="4">
        <f ca="1">VLOOKUP($H42,OFFSET(floors!$A$1,0,0,COUNTA(floors!$A:$A),MATCH(J$1,floors!$1:$1,0)-MATCH($H$1,floors!$1:$1,0)+1),MATCH(J$1,floors!$1:$1,0)-MATCH($H$1,floors!$1:$1,0)+1,FALSE)</f>
        <v>45</v>
      </c>
      <c r="K42" s="32" t="s">
        <v>245</v>
      </c>
      <c r="L42" s="97">
        <v>531</v>
      </c>
      <c r="M42" s="14" t="str">
        <f ca="1">VLOOKUP($L42,OFFSET([3]enemies!$A$1,0,0,COUNTA([3]enemies!$A:$A),MATCH(M$1,[3]enemies!$1:$1,0)-MATCH($L$1,[3]enemies!$1:$1,0)+1),MATCH(M$1,[3]enemies!$1:$1,0)-MATCH($L$1,[3]enemies!$1:$1,0)+1,FALSE)</f>
        <v>冬服ポチ</v>
      </c>
      <c r="N42" s="14" t="str">
        <f ca="1">VLOOKUP($L42,OFFSET([3]enemies!$A$1,0,0,COUNTA([3]enemies!$A:$A),MATCH(N$1,[3]enemies!$1:$1,0)-MATCH($L$1,[3]enemies!$1:$1,0)+1),MATCH(N$1,[3]enemies!$1:$1,0)-MATCH($L$1,[3]enemies!$1:$1,0)+1,FALSE)</f>
        <v>blue</v>
      </c>
      <c r="O42" s="14" t="str">
        <f ca="1">VLOOKUP($L42,OFFSET([4]characters!$A$1,0,0,COUNTA([4]characters!$A:$A),MATCH(O$1,[4]characters!$1:$1,0)-MATCH($L$1,[4]characters!$1:$1,0)+1),MATCH(O$1,[4]characters!$1:$1,0)-MATCH($L$1,[4]characters!$1:$1,0)+1,FALSE)</f>
        <v>Drop1T</v>
      </c>
      <c r="P42" s="14" t="str">
        <f ca="1">VLOOKUP($L42,OFFSET([3]enemies!$A$1,0,0,COUNTA([3]enemies!$A:$A),MATCH(P$1,[3]enemies!$1:$1,0)-MATCH($L$1,[3]enemies!$1:$1,0)+1),MATCH(P$1,[3]enemies!$1:$1,0)-MATCH($L$1,[3]enemies!$1:$1,0)+1,FALSE)</f>
        <v>unknown</v>
      </c>
      <c r="Q42" s="14">
        <f ca="1">VLOOKUP($L42,OFFSET([3]enemies!$A$1,0,0,COUNTA([3]enemies!$A:$A),MATCH(Q$1,[3]enemies!$1:$1,0)-MATCH($L$1,[3]enemies!$1:$1,0)+1),MATCH(Q$1,[3]enemies!$1:$1,0)-MATCH($L$1,[3]enemies!$1:$1,0)+1,FALSE)</f>
        <v>15</v>
      </c>
      <c r="R42" s="5">
        <v>35</v>
      </c>
      <c r="S42" s="19">
        <v>1</v>
      </c>
      <c r="T42" s="92">
        <f ca="1">ROUND(VLOOKUP(R42,[3]enemy_base_stats!$A:$F,2,FALSE) *INDIRECT("[EnemyMasterData.xlsm]enemies!Y"&amp;(L42+1))*  INDIRECT("[EnemyMasterData.xlsm]enemies!J"&amp;(L42+1))* INDIRECT("[EnemyMasterData.xlsm]enemies!O"&amp;(L42+1))* INDIRECT("[EnemyMasterData.xlsm]enemies!E"&amp;(L42+1))* INDIRECT("[EnemyMasterData.xlsm]enemies!S"&amp;(L42+1))* INDIRECT("[EnemyMasterData.xlsm]enemies!AD"&amp;(L42+1))*[4]ステータス!$B$2,0)*S42</f>
        <v>5840</v>
      </c>
      <c r="U42" s="19">
        <v>0.8</v>
      </c>
      <c r="V42" s="92">
        <f ca="1">ROUND(VLOOKUP(R42,[3]enemy_base_stats!$A:$F,3,FALSE) *INDIRECT("[EnemyMasterData.xlsm]enemies!Z"&amp;(L42+1))*  INDIRECT("[EnemyMasterData.xlsm]enemies!K"&amp;(L42+1))* INDIRECT("[EnemyMasterData.xlsm]enemies!P"&amp;(L42+1))* INDIRECT("[EnemyMasterData.xlsm]enemies!F"&amp;(L42+1))* INDIRECT("[EnemyMasterData.xlsm]enemies!T"&amp;(L42+1))* INDIRECT("[EnemyMasterData.xlsm]enemies!AE"&amp;(L42+1))*[4]ステータス!$C$2,0)*U42</f>
        <v>1339.2</v>
      </c>
      <c r="W42" s="5">
        <v>0</v>
      </c>
      <c r="X42" s="4" t="e">
        <f ca="1">VLOOKUP($Y42,OFFSET(enemy_skill_sets!$B$1,0,0,COUNTA(enemy_skill_sets!$B:$B),MATCH(M$1,enemy_skill_sets!$1:$1,0)-MATCH($Y$1,enemy_skill_sets!$1:$1,0)+2),MATCH(M$1,enemy_skill_sets!$1:$1,0)-MATCH($Y$1,enemy_skill_sets!$1:$1,0)+2,FALSE)</f>
        <v>#N/A</v>
      </c>
      <c r="Y42" s="4">
        <f ca="1">VLOOKUP($L42,OFFSET([3]enemies!$A$1,0,0,COUNTA([3]enemies!$A:$A),MATCH(Y$1,[3]enemies!$1:$1,0)-MATCH($L$1,[3]enemies!$1:$1,0)+1),MATCH(Y$1,[3]enemies!$1:$1,0)-MATCH($L$1,[3]enemies!$1:$1,0)+1,FALSE)</f>
        <v>0</v>
      </c>
      <c r="Z42" s="6">
        <v>0</v>
      </c>
      <c r="AA42" s="6">
        <v>100</v>
      </c>
      <c r="AB42" s="6">
        <v>0</v>
      </c>
      <c r="AC42" s="14">
        <v>3</v>
      </c>
      <c r="AD42" s="98">
        <f t="shared" si="3"/>
        <v>531</v>
      </c>
      <c r="AE42" s="4" t="str">
        <f ca="1">VLOOKUP($AD42,OFFSET([4]characters!$A$1,0,0,COUNTA([4]characters!$A:$A),MATCH(AE$1,[4]characters!$1:$1,0)-MATCH("character_id",[4]characters!$1:$1,0)+1),MATCH(AE$1,[4]characters!$1:$1,0)-MATCH("character_id",[4]characters!$1:$1,0)+1,FALSE)</f>
        <v>冬服ポチ</v>
      </c>
      <c r="AF42" s="4">
        <f ca="1">VLOOKUP($AD42,OFFSET([4]characters!$A$1,0,0,COUNTA([4]characters!$A:$A),MATCH(AF$1,[4]characters!$1:$1,0)-MATCH("character_id",[4]characters!$1:$1,0)+1),MATCH(AF$1,[4]characters!$1:$1,0)-MATCH("character_id",[4]characters!$1:$1,0)+1,FALSE)</f>
        <v>1</v>
      </c>
      <c r="AG42" s="4" t="str">
        <f ca="1">VLOOKUP($AD42,OFFSET([4]characters!$A$1,0,0,COUNTA([4]characters!$A:$A),MATCH(AG$1,[4]characters!$1:$1,0)-MATCH("character_id",[4]characters!$1:$1,0)+1),MATCH(AG$1,[4]characters!$1:$1,0)-MATCH("character_id",[4]characters!$1:$1,0)+1,FALSE)</f>
        <v>Drop1T</v>
      </c>
      <c r="AH42" s="94">
        <v>1</v>
      </c>
      <c r="AI42" s="98">
        <f t="shared" ca="1" si="4"/>
        <v>1</v>
      </c>
      <c r="AJ42" s="7">
        <v>20</v>
      </c>
      <c r="AK42" s="94">
        <v>0</v>
      </c>
      <c r="AL42" s="94">
        <v>0</v>
      </c>
      <c r="AM42" s="94">
        <v>0</v>
      </c>
      <c r="AN42" s="94">
        <v>0</v>
      </c>
      <c r="AO42" s="94">
        <v>1</v>
      </c>
      <c r="AP42" s="62">
        <v>1</v>
      </c>
    </row>
    <row r="43" spans="1:42" ht="21" customHeight="1" x14ac:dyDescent="0.15">
      <c r="A43" s="13" t="str">
        <f t="shared" si="0"/>
        <v>39008_3-1/532&lt;lv35&gt;s2</v>
      </c>
      <c r="B43" s="17">
        <v>39008</v>
      </c>
      <c r="C43" s="95">
        <v>3</v>
      </c>
      <c r="D43" s="12" t="str">
        <f t="shared" si="1"/>
        <v>39008_3</v>
      </c>
      <c r="E43" s="4" t="str">
        <f ca="1">VLOOKUP($B43,OFFSET([2]quests!$A$1,0,0,COUNTA([2]quests!$A:$A),MATCH(E$1,[2]quests!$1:$1,0)-MATCH($B$1,[2]quests!$1:$1,0)+1),MATCH(E$1,[2]quests!$1:$1,0)-MATCH($B$1,[2]quests!$1:$1,0)+1,FALSE)</f>
        <v>雪の歌姫</v>
      </c>
      <c r="F43" s="4" t="str">
        <f ca="1">VLOOKUP($D43,OFFSET([2]stages!$A$1,0,0,COUNTA([2]stages!$A:$A),MATCH(F$1,[2]stages!$2:$2,0)-MATCH($D$1,[2]stages!$2:$2,0)+1),MATCH(F$1,[2]stages!$2:$2,0)-MATCH($D$1,[2]stages!$2:$2,0)+1,FALSE)</f>
        <v>【上級】雪の歌姫</v>
      </c>
      <c r="G43" s="96">
        <v>1</v>
      </c>
      <c r="H43" s="12" t="str">
        <f t="shared" si="2"/>
        <v>39008_3-1</v>
      </c>
      <c r="I43" s="4">
        <f ca="1">VLOOKUP($H43,OFFSET(floors!$A$1,0,0,COUNTA(floors!$A:$A),MATCH(I$1,floors!$1:$1,0)-MATCH($H$1,floors!$1:$1,0)+1),MATCH(I$1,floors!$1:$1,0)-MATCH($H$1,floors!$1:$1,0)+1,FALSE)</f>
        <v>45</v>
      </c>
      <c r="J43" s="4">
        <f ca="1">VLOOKUP($H43,OFFSET(floors!$A$1,0,0,COUNTA(floors!$A:$A),MATCH(J$1,floors!$1:$1,0)-MATCH($H$1,floors!$1:$1,0)+1),MATCH(J$1,floors!$1:$1,0)-MATCH($H$1,floors!$1:$1,0)+1,FALSE)</f>
        <v>45</v>
      </c>
      <c r="K43" s="32" t="s">
        <v>245</v>
      </c>
      <c r="L43" s="97">
        <v>532</v>
      </c>
      <c r="M43" s="14" t="str">
        <f ca="1">VLOOKUP($L43,OFFSET([3]enemies!$A$1,0,0,COUNTA([3]enemies!$A:$A),MATCH(M$1,[3]enemies!$1:$1,0)-MATCH($L$1,[3]enemies!$1:$1,0)+1),MATCH(M$1,[3]enemies!$1:$1,0)-MATCH($L$1,[3]enemies!$1:$1,0)+1,FALSE)</f>
        <v>冬服エレキポット</v>
      </c>
      <c r="N43" s="14" t="str">
        <f ca="1">VLOOKUP($L43,OFFSET([3]enemies!$A$1,0,0,COUNTA([3]enemies!$A:$A),MATCH(N$1,[3]enemies!$1:$1,0)-MATCH($L$1,[3]enemies!$1:$1,0)+1),MATCH(N$1,[3]enemies!$1:$1,0)-MATCH($L$1,[3]enemies!$1:$1,0)+1,FALSE)</f>
        <v>yellow</v>
      </c>
      <c r="O43" s="14" t="str">
        <f ca="1">VLOOKUP($L43,OFFSET([4]characters!$A$1,0,0,COUNTA([4]characters!$A:$A),MATCH(O$1,[4]characters!$1:$1,0)-MATCH($L$1,[4]characters!$1:$1,0)+1),MATCH(O$1,[4]characters!$1:$1,0)-MATCH($L$1,[4]characters!$1:$1,0)+1,FALSE)</f>
        <v>Drop1T</v>
      </c>
      <c r="P43" s="14" t="str">
        <f ca="1">VLOOKUP($L43,OFFSET([3]enemies!$A$1,0,0,COUNTA([3]enemies!$A:$A),MATCH(P$1,[3]enemies!$1:$1,0)-MATCH($L$1,[3]enemies!$1:$1,0)+1),MATCH(P$1,[3]enemies!$1:$1,0)-MATCH($L$1,[3]enemies!$1:$1,0)+1,FALSE)</f>
        <v>unknown</v>
      </c>
      <c r="Q43" s="14">
        <f ca="1">VLOOKUP($L43,OFFSET([3]enemies!$A$1,0,0,COUNTA([3]enemies!$A:$A),MATCH(Q$1,[3]enemies!$1:$1,0)-MATCH($L$1,[3]enemies!$1:$1,0)+1),MATCH(Q$1,[3]enemies!$1:$1,0)-MATCH($L$1,[3]enemies!$1:$1,0)+1,FALSE)</f>
        <v>15</v>
      </c>
      <c r="R43" s="5">
        <v>35</v>
      </c>
      <c r="S43" s="19">
        <v>1.1000000000000001</v>
      </c>
      <c r="T43" s="92">
        <f ca="1">ROUND(VLOOKUP(R43,[3]enemy_base_stats!$A:$F,2,FALSE) *INDIRECT("[EnemyMasterData.xlsm]enemies!Y"&amp;(L43+1))*  INDIRECT("[EnemyMasterData.xlsm]enemies!J"&amp;(L43+1))* INDIRECT("[EnemyMasterData.xlsm]enemies!O"&amp;(L43+1))* INDIRECT("[EnemyMasterData.xlsm]enemies!E"&amp;(L43+1))* INDIRECT("[EnemyMasterData.xlsm]enemies!S"&amp;(L43+1))* INDIRECT("[EnemyMasterData.xlsm]enemies!AD"&amp;(L43+1))*[4]ステータス!$B$2,0)*S43</f>
        <v>7869.4000000000005</v>
      </c>
      <c r="U43" s="19">
        <v>0.4</v>
      </c>
      <c r="V43" s="92">
        <f ca="1">ROUND(VLOOKUP(R43,[3]enemy_base_stats!$A:$F,3,FALSE) *INDIRECT("[EnemyMasterData.xlsm]enemies!Z"&amp;(L43+1))*  INDIRECT("[EnemyMasterData.xlsm]enemies!K"&amp;(L43+1))* INDIRECT("[EnemyMasterData.xlsm]enemies!P"&amp;(L43+1))* INDIRECT("[EnemyMasterData.xlsm]enemies!F"&amp;(L43+1))* INDIRECT("[EnemyMasterData.xlsm]enemies!T"&amp;(L43+1))* INDIRECT("[EnemyMasterData.xlsm]enemies!AE"&amp;(L43+1))*[4]ステータス!$C$2,0)*U43</f>
        <v>1176.8</v>
      </c>
      <c r="W43" s="5">
        <v>0</v>
      </c>
      <c r="X43" s="4" t="e">
        <f ca="1">VLOOKUP($Y43,OFFSET(enemy_skill_sets!$B$1,0,0,COUNTA(enemy_skill_sets!$B:$B),MATCH(M$1,enemy_skill_sets!$1:$1,0)-MATCH($Y$1,enemy_skill_sets!$1:$1,0)+2),MATCH(M$1,enemy_skill_sets!$1:$1,0)-MATCH($Y$1,enemy_skill_sets!$1:$1,0)+2,FALSE)</f>
        <v>#N/A</v>
      </c>
      <c r="Y43" s="4">
        <f ca="1">VLOOKUP($L43,OFFSET([3]enemies!$A$1,0,0,COUNTA([3]enemies!$A:$A),MATCH(Y$1,[3]enemies!$1:$1,0)-MATCH($L$1,[3]enemies!$1:$1,0)+1),MATCH(Y$1,[3]enemies!$1:$1,0)-MATCH($L$1,[3]enemies!$1:$1,0)+1,FALSE)</f>
        <v>0</v>
      </c>
      <c r="Z43" s="6">
        <v>0</v>
      </c>
      <c r="AA43" s="6">
        <v>100</v>
      </c>
      <c r="AB43" s="6">
        <v>0</v>
      </c>
      <c r="AC43" s="14">
        <v>2</v>
      </c>
      <c r="AD43" s="98">
        <f t="shared" si="3"/>
        <v>532</v>
      </c>
      <c r="AE43" s="4" t="str">
        <f ca="1">VLOOKUP($AD43,OFFSET([4]characters!$A$1,0,0,COUNTA([4]characters!$A:$A),MATCH(AE$1,[4]characters!$1:$1,0)-MATCH("character_id",[4]characters!$1:$1,0)+1),MATCH(AE$1,[4]characters!$1:$1,0)-MATCH("character_id",[4]characters!$1:$1,0)+1,FALSE)</f>
        <v>冬服エレキポット</v>
      </c>
      <c r="AF43" s="4">
        <f ca="1">VLOOKUP($AD43,OFFSET([4]characters!$A$1,0,0,COUNTA([4]characters!$A:$A),MATCH(AF$1,[4]characters!$1:$1,0)-MATCH("character_id",[4]characters!$1:$1,0)+1),MATCH(AF$1,[4]characters!$1:$1,0)-MATCH("character_id",[4]characters!$1:$1,0)+1,FALSE)</f>
        <v>1</v>
      </c>
      <c r="AG43" s="4" t="str">
        <f ca="1">VLOOKUP($AD43,OFFSET([4]characters!$A$1,0,0,COUNTA([4]characters!$A:$A),MATCH(AG$1,[4]characters!$1:$1,0)-MATCH("character_id",[4]characters!$1:$1,0)+1),MATCH(AG$1,[4]characters!$1:$1,0)-MATCH("character_id",[4]characters!$1:$1,0)+1,FALSE)</f>
        <v>Drop1T</v>
      </c>
      <c r="AH43" s="94">
        <v>1</v>
      </c>
      <c r="AI43" s="98">
        <f t="shared" ca="1" si="4"/>
        <v>1</v>
      </c>
      <c r="AJ43" s="7">
        <v>20</v>
      </c>
      <c r="AK43" s="94">
        <v>0</v>
      </c>
      <c r="AL43" s="94">
        <v>0</v>
      </c>
      <c r="AM43" s="94">
        <v>0</v>
      </c>
      <c r="AN43" s="94">
        <v>0</v>
      </c>
      <c r="AO43" s="94">
        <v>1</v>
      </c>
      <c r="AP43" s="62">
        <v>1</v>
      </c>
    </row>
    <row r="44" spans="1:42" ht="21" customHeight="1" x14ac:dyDescent="0.15">
      <c r="A44" s="13" t="str">
        <f t="shared" si="0"/>
        <v>39008_3-1/533&lt;lv35&gt;s3</v>
      </c>
      <c r="B44" s="17">
        <v>39008</v>
      </c>
      <c r="C44" s="95">
        <v>3</v>
      </c>
      <c r="D44" s="12" t="str">
        <f t="shared" si="1"/>
        <v>39008_3</v>
      </c>
      <c r="E44" s="4" t="str">
        <f ca="1">VLOOKUP($B44,OFFSET([2]quests!$A$1,0,0,COUNTA([2]quests!$A:$A),MATCH(E$1,[2]quests!$1:$1,0)-MATCH($B$1,[2]quests!$1:$1,0)+1),MATCH(E$1,[2]quests!$1:$1,0)-MATCH($B$1,[2]quests!$1:$1,0)+1,FALSE)</f>
        <v>雪の歌姫</v>
      </c>
      <c r="F44" s="4" t="str">
        <f ca="1">VLOOKUP($D44,OFFSET([2]stages!$A$1,0,0,COUNTA([2]stages!$A:$A),MATCH(F$1,[2]stages!$2:$2,0)-MATCH($D$1,[2]stages!$2:$2,0)+1),MATCH(F$1,[2]stages!$2:$2,0)-MATCH($D$1,[2]stages!$2:$2,0)+1,FALSE)</f>
        <v>【上級】雪の歌姫</v>
      </c>
      <c r="G44" s="96">
        <v>1</v>
      </c>
      <c r="H44" s="12" t="str">
        <f t="shared" si="2"/>
        <v>39008_3-1</v>
      </c>
      <c r="I44" s="4">
        <f ca="1">VLOOKUP($H44,OFFSET(floors!$A$1,0,0,COUNTA(floors!$A:$A),MATCH(I$1,floors!$1:$1,0)-MATCH($H$1,floors!$1:$1,0)+1),MATCH(I$1,floors!$1:$1,0)-MATCH($H$1,floors!$1:$1,0)+1,FALSE)</f>
        <v>45</v>
      </c>
      <c r="J44" s="4">
        <f ca="1">VLOOKUP($H44,OFFSET(floors!$A$1,0,0,COUNTA(floors!$A:$A),MATCH(J$1,floors!$1:$1,0)-MATCH($H$1,floors!$1:$1,0)+1),MATCH(J$1,floors!$1:$1,0)-MATCH($H$1,floors!$1:$1,0)+1,FALSE)</f>
        <v>45</v>
      </c>
      <c r="K44" s="32" t="s">
        <v>245</v>
      </c>
      <c r="L44" s="97">
        <v>533</v>
      </c>
      <c r="M44" s="14" t="str">
        <f ca="1">VLOOKUP($L44,OFFSET([3]enemies!$A$1,0,0,COUNTA([3]enemies!$A:$A),MATCH(M$1,[3]enemies!$1:$1,0)-MATCH($L$1,[3]enemies!$1:$1,0)+1),MATCH(M$1,[3]enemies!$1:$1,0)-MATCH($L$1,[3]enemies!$1:$1,0)+1,FALSE)</f>
        <v>冬服アカネ</v>
      </c>
      <c r="N44" s="14" t="str">
        <f ca="1">VLOOKUP($L44,OFFSET([3]enemies!$A$1,0,0,COUNTA([3]enemies!$A:$A),MATCH(N$1,[3]enemies!$1:$1,0)-MATCH($L$1,[3]enemies!$1:$1,0)+1),MATCH(N$1,[3]enemies!$1:$1,0)-MATCH($L$1,[3]enemies!$1:$1,0)+1,FALSE)</f>
        <v>red</v>
      </c>
      <c r="O44" s="14" t="str">
        <f ca="1">VLOOKUP($L44,OFFSET([4]characters!$A$1,0,0,COUNTA([4]characters!$A:$A),MATCH(O$1,[4]characters!$1:$1,0)-MATCH($L$1,[4]characters!$1:$1,0)+1),MATCH(O$1,[4]characters!$1:$1,0)-MATCH($L$1,[4]characters!$1:$1,0)+1,FALSE)</f>
        <v>Drop1W</v>
      </c>
      <c r="P44" s="14" t="str">
        <f ca="1">VLOOKUP($L44,OFFSET([3]enemies!$A$1,0,0,COUNTA([3]enemies!$A:$A),MATCH(P$1,[3]enemies!$1:$1,0)-MATCH($L$1,[3]enemies!$1:$1,0)+1),MATCH(P$1,[3]enemies!$1:$1,0)-MATCH($L$1,[3]enemies!$1:$1,0)+1,FALSE)</f>
        <v>human</v>
      </c>
      <c r="Q44" s="14">
        <f ca="1">VLOOKUP($L44,OFFSET([3]enemies!$A$1,0,0,COUNTA([3]enemies!$A:$A),MATCH(Q$1,[3]enemies!$1:$1,0)-MATCH($L$1,[3]enemies!$1:$1,0)+1),MATCH(Q$1,[3]enemies!$1:$1,0)-MATCH($L$1,[3]enemies!$1:$1,0)+1,FALSE)</f>
        <v>15</v>
      </c>
      <c r="R44" s="5">
        <v>35</v>
      </c>
      <c r="S44" s="19">
        <v>1.1000000000000001</v>
      </c>
      <c r="T44" s="92">
        <f ca="1">ROUND(VLOOKUP(R44,[3]enemy_base_stats!$A:$F,2,FALSE) *INDIRECT("[EnemyMasterData.xlsm]enemies!Y"&amp;(L44+1))*  INDIRECT("[EnemyMasterData.xlsm]enemies!J"&amp;(L44+1))* INDIRECT("[EnemyMasterData.xlsm]enemies!O"&amp;(L44+1))* INDIRECT("[EnemyMasterData.xlsm]enemies!E"&amp;(L44+1))* INDIRECT("[EnemyMasterData.xlsm]enemies!S"&amp;(L44+1))* INDIRECT("[EnemyMasterData.xlsm]enemies!AD"&amp;(L44+1))*[4]ステータス!$B$2,0)*S44</f>
        <v>7548.2000000000007</v>
      </c>
      <c r="U44" s="19">
        <v>0.6</v>
      </c>
      <c r="V44" s="92">
        <f ca="1">ROUND(VLOOKUP(R44,[3]enemy_base_stats!$A:$F,3,FALSE) *INDIRECT("[EnemyMasterData.xlsm]enemies!Z"&amp;(L44+1))*  INDIRECT("[EnemyMasterData.xlsm]enemies!K"&amp;(L44+1))* INDIRECT("[EnemyMasterData.xlsm]enemies!P"&amp;(L44+1))* INDIRECT("[EnemyMasterData.xlsm]enemies!F"&amp;(L44+1))* INDIRECT("[EnemyMasterData.xlsm]enemies!T"&amp;(L44+1))* INDIRECT("[EnemyMasterData.xlsm]enemies!AE"&amp;(L44+1))*[4]ステータス!$C$2,0)*U44</f>
        <v>1326.6</v>
      </c>
      <c r="W44" s="5">
        <v>0</v>
      </c>
      <c r="X44" s="4" t="e">
        <f ca="1">VLOOKUP($Y44,OFFSET(enemy_skill_sets!$B$1,0,0,COUNTA(enemy_skill_sets!$B:$B),MATCH(M$1,enemy_skill_sets!$1:$1,0)-MATCH($Y$1,enemy_skill_sets!$1:$1,0)+2),MATCH(M$1,enemy_skill_sets!$1:$1,0)-MATCH($Y$1,enemy_skill_sets!$1:$1,0)+2,FALSE)</f>
        <v>#N/A</v>
      </c>
      <c r="Y44" s="4">
        <f ca="1">VLOOKUP($L44,OFFSET([3]enemies!$A$1,0,0,COUNTA([3]enemies!$A:$A),MATCH(Y$1,[3]enemies!$1:$1,0)-MATCH($L$1,[3]enemies!$1:$1,0)+1),MATCH(Y$1,[3]enemies!$1:$1,0)-MATCH($L$1,[3]enemies!$1:$1,0)+1,FALSE)</f>
        <v>0</v>
      </c>
      <c r="Z44" s="6">
        <v>0</v>
      </c>
      <c r="AA44" s="6">
        <v>100</v>
      </c>
      <c r="AB44" s="6">
        <v>0</v>
      </c>
      <c r="AC44" s="14">
        <v>3</v>
      </c>
      <c r="AD44" s="98">
        <f t="shared" si="3"/>
        <v>533</v>
      </c>
      <c r="AE44" s="4" t="str">
        <f ca="1">VLOOKUP($AD44,OFFSET([4]characters!$A$1,0,0,COUNTA([4]characters!$A:$A),MATCH(AE$1,[4]characters!$1:$1,0)-MATCH("character_id",[4]characters!$1:$1,0)+1),MATCH(AE$1,[4]characters!$1:$1,0)-MATCH("character_id",[4]characters!$1:$1,0)+1,FALSE)</f>
        <v>冬服アカネ</v>
      </c>
      <c r="AF44" s="4">
        <f ca="1">VLOOKUP($AD44,OFFSET([4]characters!$A$1,0,0,COUNTA([4]characters!$A:$A),MATCH(AF$1,[4]characters!$1:$1,0)-MATCH("character_id",[4]characters!$1:$1,0)+1),MATCH(AF$1,[4]characters!$1:$1,0)-MATCH("character_id",[4]characters!$1:$1,0)+1,FALSE)</f>
        <v>1</v>
      </c>
      <c r="AG44" s="4" t="str">
        <f ca="1">VLOOKUP($AD44,OFFSET([4]characters!$A$1,0,0,COUNTA([4]characters!$A:$A),MATCH(AG$1,[4]characters!$1:$1,0)-MATCH("character_id",[4]characters!$1:$1,0)+1),MATCH(AG$1,[4]characters!$1:$1,0)-MATCH("character_id",[4]characters!$1:$1,0)+1,FALSE)</f>
        <v>Drop1W</v>
      </c>
      <c r="AH44" s="94">
        <v>1</v>
      </c>
      <c r="AI44" s="98">
        <f t="shared" ca="1" si="4"/>
        <v>1</v>
      </c>
      <c r="AJ44" s="7">
        <v>20</v>
      </c>
      <c r="AK44" s="94">
        <v>0</v>
      </c>
      <c r="AL44" s="94">
        <v>0</v>
      </c>
      <c r="AM44" s="94">
        <v>0</v>
      </c>
      <c r="AN44" s="94">
        <v>0</v>
      </c>
      <c r="AO44" s="94">
        <v>1</v>
      </c>
      <c r="AP44" s="62">
        <v>1</v>
      </c>
    </row>
    <row r="45" spans="1:42" ht="21" customHeight="1" x14ac:dyDescent="0.15">
      <c r="A45" s="13" t="str">
        <f t="shared" si="0"/>
        <v>39008_3-1/534&lt;lv35&gt;s1</v>
      </c>
      <c r="B45" s="17">
        <v>39008</v>
      </c>
      <c r="C45" s="95">
        <v>3</v>
      </c>
      <c r="D45" s="12" t="str">
        <f t="shared" si="1"/>
        <v>39008_3</v>
      </c>
      <c r="E45" s="4" t="str">
        <f ca="1">VLOOKUP($B45,OFFSET([2]quests!$A$1,0,0,COUNTA([2]quests!$A:$A),MATCH(E$1,[2]quests!$1:$1,0)-MATCH($B$1,[2]quests!$1:$1,0)+1),MATCH(E$1,[2]quests!$1:$1,0)-MATCH($B$1,[2]quests!$1:$1,0)+1,FALSE)</f>
        <v>雪の歌姫</v>
      </c>
      <c r="F45" s="4" t="str">
        <f ca="1">VLOOKUP($D45,OFFSET([2]stages!$A$1,0,0,COUNTA([2]stages!$A:$A),MATCH(F$1,[2]stages!$2:$2,0)-MATCH($D$1,[2]stages!$2:$2,0)+1),MATCH(F$1,[2]stages!$2:$2,0)-MATCH($D$1,[2]stages!$2:$2,0)+1,FALSE)</f>
        <v>【上級】雪の歌姫</v>
      </c>
      <c r="G45" s="96">
        <v>1</v>
      </c>
      <c r="H45" s="12" t="str">
        <f t="shared" si="2"/>
        <v>39008_3-1</v>
      </c>
      <c r="I45" s="4">
        <f ca="1">VLOOKUP($H45,OFFSET(floors!$A$1,0,0,COUNTA(floors!$A:$A),MATCH(I$1,floors!$1:$1,0)-MATCH($H$1,floors!$1:$1,0)+1),MATCH(I$1,floors!$1:$1,0)-MATCH($H$1,floors!$1:$1,0)+1,FALSE)</f>
        <v>45</v>
      </c>
      <c r="J45" s="4">
        <f ca="1">VLOOKUP($H45,OFFSET(floors!$A$1,0,0,COUNTA(floors!$A:$A),MATCH(J$1,floors!$1:$1,0)-MATCH($H$1,floors!$1:$1,0)+1),MATCH(J$1,floors!$1:$1,0)-MATCH($H$1,floors!$1:$1,0)+1,FALSE)</f>
        <v>45</v>
      </c>
      <c r="K45" s="32" t="s">
        <v>245</v>
      </c>
      <c r="L45" s="97">
        <v>534</v>
      </c>
      <c r="M45" s="14" t="str">
        <f ca="1">VLOOKUP($L45,OFFSET([3]enemies!$A$1,0,0,COUNTA([3]enemies!$A:$A),MATCH(M$1,[3]enemies!$1:$1,0)-MATCH($L$1,[3]enemies!$1:$1,0)+1),MATCH(M$1,[3]enemies!$1:$1,0)-MATCH($L$1,[3]enemies!$1:$1,0)+1,FALSE)</f>
        <v>冬服パトライン</v>
      </c>
      <c r="N45" s="14" t="str">
        <f ca="1">VLOOKUP($L45,OFFSET([3]enemies!$A$1,0,0,COUNTA([3]enemies!$A:$A),MATCH(N$1,[3]enemies!$1:$1,0)-MATCH($L$1,[3]enemies!$1:$1,0)+1),MATCH(N$1,[3]enemies!$1:$1,0)-MATCH($L$1,[3]enemies!$1:$1,0)+1,FALSE)</f>
        <v>green</v>
      </c>
      <c r="O45" s="14" t="str">
        <f ca="1">VLOOKUP($L45,OFFSET([4]characters!$A$1,0,0,COUNTA([4]characters!$A:$A),MATCH(O$1,[4]characters!$1:$1,0)-MATCH($L$1,[4]characters!$1:$1,0)+1),MATCH(O$1,[4]characters!$1:$1,0)-MATCH($L$1,[4]characters!$1:$1,0)+1,FALSE)</f>
        <v>Drop1W</v>
      </c>
      <c r="P45" s="14" t="str">
        <f ca="1">VLOOKUP($L45,OFFSET([3]enemies!$A$1,0,0,COUNTA([3]enemies!$A:$A),MATCH(P$1,[3]enemies!$1:$1,0)-MATCH($L$1,[3]enemies!$1:$1,0)+1),MATCH(P$1,[3]enemies!$1:$1,0)-MATCH($L$1,[3]enemies!$1:$1,0)+1,FALSE)</f>
        <v>machine</v>
      </c>
      <c r="Q45" s="14">
        <f ca="1">VLOOKUP($L45,OFFSET([3]enemies!$A$1,0,0,COUNTA([3]enemies!$A:$A),MATCH(Q$1,[3]enemies!$1:$1,0)-MATCH($L$1,[3]enemies!$1:$1,0)+1),MATCH(Q$1,[3]enemies!$1:$1,0)-MATCH($L$1,[3]enemies!$1:$1,0)+1,FALSE)</f>
        <v>15</v>
      </c>
      <c r="R45" s="5">
        <v>35</v>
      </c>
      <c r="S45" s="19">
        <v>1.2</v>
      </c>
      <c r="T45" s="92">
        <f ca="1">ROUND(VLOOKUP(R45,[3]enemy_base_stats!$A:$F,2,FALSE) *INDIRECT("[EnemyMasterData.xlsm]enemies!Y"&amp;(L45+1))*  INDIRECT("[EnemyMasterData.xlsm]enemies!J"&amp;(L45+1))* INDIRECT("[EnemyMasterData.xlsm]enemies!O"&amp;(L45+1))* INDIRECT("[EnemyMasterData.xlsm]enemies!E"&amp;(L45+1))* INDIRECT("[EnemyMasterData.xlsm]enemies!S"&amp;(L45+1))* INDIRECT("[EnemyMasterData.xlsm]enemies!AD"&amp;(L45+1))*[4]ステータス!$B$2,0)*S45</f>
        <v>7148.4</v>
      </c>
      <c r="U45" s="19">
        <v>0.6</v>
      </c>
      <c r="V45" s="92">
        <f ca="1">ROUND(VLOOKUP(R45,[3]enemy_base_stats!$A:$F,3,FALSE) *INDIRECT("[EnemyMasterData.xlsm]enemies!Z"&amp;(L45+1))*  INDIRECT("[EnemyMasterData.xlsm]enemies!K"&amp;(L45+1))* INDIRECT("[EnemyMasterData.xlsm]enemies!P"&amp;(L45+1))* INDIRECT("[EnemyMasterData.xlsm]enemies!F"&amp;(L45+1))* INDIRECT("[EnemyMasterData.xlsm]enemies!T"&amp;(L45+1))* INDIRECT("[EnemyMasterData.xlsm]enemies!AE"&amp;(L45+1))*[4]ステータス!$C$2,0)*U45</f>
        <v>1004.4</v>
      </c>
      <c r="W45" s="5">
        <v>0</v>
      </c>
      <c r="X45" s="4" t="e">
        <f ca="1">VLOOKUP($Y45,OFFSET(enemy_skill_sets!$B$1,0,0,COUNTA(enemy_skill_sets!$B:$B),MATCH(M$1,enemy_skill_sets!$1:$1,0)-MATCH($Y$1,enemy_skill_sets!$1:$1,0)+2),MATCH(M$1,enemy_skill_sets!$1:$1,0)-MATCH($Y$1,enemy_skill_sets!$1:$1,0)+2,FALSE)</f>
        <v>#N/A</v>
      </c>
      <c r="Y45" s="4">
        <f ca="1">VLOOKUP($L45,OFFSET([3]enemies!$A$1,0,0,COUNTA([3]enemies!$A:$A),MATCH(Y$1,[3]enemies!$1:$1,0)-MATCH($L$1,[3]enemies!$1:$1,0)+1),MATCH(Y$1,[3]enemies!$1:$1,0)-MATCH($L$1,[3]enemies!$1:$1,0)+1,FALSE)</f>
        <v>0</v>
      </c>
      <c r="Z45" s="6">
        <v>0</v>
      </c>
      <c r="AA45" s="6">
        <v>100</v>
      </c>
      <c r="AB45" s="6">
        <v>0</v>
      </c>
      <c r="AC45" s="14">
        <v>1</v>
      </c>
      <c r="AD45" s="98">
        <f t="shared" si="3"/>
        <v>534</v>
      </c>
      <c r="AE45" s="4" t="str">
        <f ca="1">VLOOKUP($AD45,OFFSET([4]characters!$A$1,0,0,COUNTA([4]characters!$A:$A),MATCH(AE$1,[4]characters!$1:$1,0)-MATCH("character_id",[4]characters!$1:$1,0)+1),MATCH(AE$1,[4]characters!$1:$1,0)-MATCH("character_id",[4]characters!$1:$1,0)+1,FALSE)</f>
        <v>冬服パトライン</v>
      </c>
      <c r="AF45" s="4">
        <f ca="1">VLOOKUP($AD45,OFFSET([4]characters!$A$1,0,0,COUNTA([4]characters!$A:$A),MATCH(AF$1,[4]characters!$1:$1,0)-MATCH("character_id",[4]characters!$1:$1,0)+1),MATCH(AF$1,[4]characters!$1:$1,0)-MATCH("character_id",[4]characters!$1:$1,0)+1,FALSE)</f>
        <v>1</v>
      </c>
      <c r="AG45" s="4" t="str">
        <f ca="1">VLOOKUP($AD45,OFFSET([4]characters!$A$1,0,0,COUNTA([4]characters!$A:$A),MATCH(AG$1,[4]characters!$1:$1,0)-MATCH("character_id",[4]characters!$1:$1,0)+1),MATCH(AG$1,[4]characters!$1:$1,0)-MATCH("character_id",[4]characters!$1:$1,0)+1,FALSE)</f>
        <v>Drop1W</v>
      </c>
      <c r="AH45" s="94">
        <v>1</v>
      </c>
      <c r="AI45" s="98">
        <f t="shared" ca="1" si="4"/>
        <v>1</v>
      </c>
      <c r="AJ45" s="7">
        <v>20</v>
      </c>
      <c r="AK45" s="94">
        <v>0</v>
      </c>
      <c r="AL45" s="94">
        <v>0</v>
      </c>
      <c r="AM45" s="94">
        <v>0</v>
      </c>
      <c r="AN45" s="94">
        <v>0</v>
      </c>
      <c r="AO45" s="94">
        <v>1</v>
      </c>
      <c r="AP45" s="62">
        <v>1</v>
      </c>
    </row>
    <row r="46" spans="1:42" ht="21" customHeight="1" x14ac:dyDescent="0.15">
      <c r="A46" s="13" t="str">
        <f t="shared" si="0"/>
        <v>39008_3-1/535&lt;lv35&gt;s2</v>
      </c>
      <c r="B46" s="17">
        <v>39008</v>
      </c>
      <c r="C46" s="95">
        <v>3</v>
      </c>
      <c r="D46" s="12" t="str">
        <f t="shared" si="1"/>
        <v>39008_3</v>
      </c>
      <c r="E46" s="4" t="str">
        <f ca="1">VLOOKUP($B46,OFFSET([2]quests!$A$1,0,0,COUNTA([2]quests!$A:$A),MATCH(E$1,[2]quests!$1:$1,0)-MATCH($B$1,[2]quests!$1:$1,0)+1),MATCH(E$1,[2]quests!$1:$1,0)-MATCH($B$1,[2]quests!$1:$1,0)+1,FALSE)</f>
        <v>雪の歌姫</v>
      </c>
      <c r="F46" s="4" t="str">
        <f ca="1">VLOOKUP($D46,OFFSET([2]stages!$A$1,0,0,COUNTA([2]stages!$A:$A),MATCH(F$1,[2]stages!$2:$2,0)-MATCH($D$1,[2]stages!$2:$2,0)+1),MATCH(F$1,[2]stages!$2:$2,0)-MATCH($D$1,[2]stages!$2:$2,0)+1,FALSE)</f>
        <v>【上級】雪の歌姫</v>
      </c>
      <c r="G46" s="96">
        <v>1</v>
      </c>
      <c r="H46" s="12" t="str">
        <f t="shared" si="2"/>
        <v>39008_3-1</v>
      </c>
      <c r="I46" s="4">
        <f ca="1">VLOOKUP($H46,OFFSET(floors!$A$1,0,0,COUNTA(floors!$A:$A),MATCH(I$1,floors!$1:$1,0)-MATCH($H$1,floors!$1:$1,0)+1),MATCH(I$1,floors!$1:$1,0)-MATCH($H$1,floors!$1:$1,0)+1,FALSE)</f>
        <v>45</v>
      </c>
      <c r="J46" s="4">
        <f ca="1">VLOOKUP($H46,OFFSET(floors!$A$1,0,0,COUNTA(floors!$A:$A),MATCH(J$1,floors!$1:$1,0)-MATCH($H$1,floors!$1:$1,0)+1),MATCH(J$1,floors!$1:$1,0)-MATCH($H$1,floors!$1:$1,0)+1,FALSE)</f>
        <v>45</v>
      </c>
      <c r="K46" s="32" t="s">
        <v>245</v>
      </c>
      <c r="L46" s="97">
        <v>535</v>
      </c>
      <c r="M46" s="14" t="str">
        <f ca="1">VLOOKUP($L46,OFFSET([3]enemies!$A$1,0,0,COUNTA([3]enemies!$A:$A),MATCH(M$1,[3]enemies!$1:$1,0)-MATCH($L$1,[3]enemies!$1:$1,0)+1),MATCH(M$1,[3]enemies!$1:$1,0)-MATCH($L$1,[3]enemies!$1:$1,0)+1,FALSE)</f>
        <v>冬服リム</v>
      </c>
      <c r="N46" s="14" t="str">
        <f ca="1">VLOOKUP($L46,OFFSET([3]enemies!$A$1,0,0,COUNTA([3]enemies!$A:$A),MATCH(N$1,[3]enemies!$1:$1,0)-MATCH($L$1,[3]enemies!$1:$1,0)+1),MATCH(N$1,[3]enemies!$1:$1,0)-MATCH($L$1,[3]enemies!$1:$1,0)+1,FALSE)</f>
        <v>blue</v>
      </c>
      <c r="O46" s="14" t="str">
        <f ca="1">VLOOKUP($L46,OFFSET([4]characters!$A$1,0,0,COUNTA([4]characters!$A:$A),MATCH(O$1,[4]characters!$1:$1,0)-MATCH($L$1,[4]characters!$1:$1,0)+1),MATCH(O$1,[4]characters!$1:$1,0)-MATCH($L$1,[4]characters!$1:$1,0)+1,FALSE)</f>
        <v>Drop1W</v>
      </c>
      <c r="P46" s="14" t="str">
        <f ca="1">VLOOKUP($L46,OFFSET([3]enemies!$A$1,0,0,COUNTA([3]enemies!$A:$A),MATCH(P$1,[3]enemies!$1:$1,0)-MATCH($L$1,[3]enemies!$1:$1,0)+1),MATCH(P$1,[3]enemies!$1:$1,0)-MATCH($L$1,[3]enemies!$1:$1,0)+1,FALSE)</f>
        <v>human</v>
      </c>
      <c r="Q46" s="14">
        <f ca="1">VLOOKUP($L46,OFFSET([3]enemies!$A$1,0,0,COUNTA([3]enemies!$A:$A),MATCH(Q$1,[3]enemies!$1:$1,0)-MATCH($L$1,[3]enemies!$1:$1,0)+1),MATCH(Q$1,[3]enemies!$1:$1,0)-MATCH($L$1,[3]enemies!$1:$1,0)+1,FALSE)</f>
        <v>15</v>
      </c>
      <c r="R46" s="5">
        <v>35</v>
      </c>
      <c r="S46" s="19">
        <v>1</v>
      </c>
      <c r="T46" s="92">
        <f ca="1">ROUND(VLOOKUP(R46,[3]enemy_base_stats!$A:$F,2,FALSE) *INDIRECT("[EnemyMasterData.xlsm]enemies!Y"&amp;(L46+1))*  INDIRECT("[EnemyMasterData.xlsm]enemies!J"&amp;(L46+1))* INDIRECT("[EnemyMasterData.xlsm]enemies!O"&amp;(L46+1))* INDIRECT("[EnemyMasterData.xlsm]enemies!E"&amp;(L46+1))* INDIRECT("[EnemyMasterData.xlsm]enemies!S"&amp;(L46+1))* INDIRECT("[EnemyMasterData.xlsm]enemies!AD"&amp;(L46+1))*[4]ステータス!$B$2,0)*S46</f>
        <v>6862</v>
      </c>
      <c r="U46" s="19">
        <v>0.6</v>
      </c>
      <c r="V46" s="92">
        <f ca="1">ROUND(VLOOKUP(R46,[3]enemy_base_stats!$A:$F,3,FALSE) *INDIRECT("[EnemyMasterData.xlsm]enemies!Z"&amp;(L46+1))*  INDIRECT("[EnemyMasterData.xlsm]enemies!K"&amp;(L46+1))* INDIRECT("[EnemyMasterData.xlsm]enemies!P"&amp;(L46+1))* INDIRECT("[EnemyMasterData.xlsm]enemies!F"&amp;(L46+1))* INDIRECT("[EnemyMasterData.xlsm]enemies!T"&amp;(L46+1))* INDIRECT("[EnemyMasterData.xlsm]enemies!AE"&amp;(L46+1))*[4]ステータス!$C$2,0)*U46</f>
        <v>1275</v>
      </c>
      <c r="W46" s="5">
        <v>0</v>
      </c>
      <c r="X46" s="4" t="e">
        <f ca="1">VLOOKUP($Y46,OFFSET(enemy_skill_sets!$B$1,0,0,COUNTA(enemy_skill_sets!$B:$B),MATCH(M$1,enemy_skill_sets!$1:$1,0)-MATCH($Y$1,enemy_skill_sets!$1:$1,0)+2),MATCH(M$1,enemy_skill_sets!$1:$1,0)-MATCH($Y$1,enemy_skill_sets!$1:$1,0)+2,FALSE)</f>
        <v>#N/A</v>
      </c>
      <c r="Y46" s="4">
        <f ca="1">VLOOKUP($L46,OFFSET([3]enemies!$A$1,0,0,COUNTA([3]enemies!$A:$A),MATCH(Y$1,[3]enemies!$1:$1,0)-MATCH($L$1,[3]enemies!$1:$1,0)+1),MATCH(Y$1,[3]enemies!$1:$1,0)-MATCH($L$1,[3]enemies!$1:$1,0)+1,FALSE)</f>
        <v>0</v>
      </c>
      <c r="Z46" s="6">
        <v>0</v>
      </c>
      <c r="AA46" s="6">
        <v>100</v>
      </c>
      <c r="AB46" s="6">
        <v>0</v>
      </c>
      <c r="AC46" s="14">
        <v>2</v>
      </c>
      <c r="AD46" s="98">
        <f t="shared" si="3"/>
        <v>535</v>
      </c>
      <c r="AE46" s="4" t="str">
        <f ca="1">VLOOKUP($AD46,OFFSET([4]characters!$A$1,0,0,COUNTA([4]characters!$A:$A),MATCH(AE$1,[4]characters!$1:$1,0)-MATCH("character_id",[4]characters!$1:$1,0)+1),MATCH(AE$1,[4]characters!$1:$1,0)-MATCH("character_id",[4]characters!$1:$1,0)+1,FALSE)</f>
        <v>冬服リム</v>
      </c>
      <c r="AF46" s="4">
        <f ca="1">VLOOKUP($AD46,OFFSET([4]characters!$A$1,0,0,COUNTA([4]characters!$A:$A),MATCH(AF$1,[4]characters!$1:$1,0)-MATCH("character_id",[4]characters!$1:$1,0)+1),MATCH(AF$1,[4]characters!$1:$1,0)-MATCH("character_id",[4]characters!$1:$1,0)+1,FALSE)</f>
        <v>1</v>
      </c>
      <c r="AG46" s="4" t="str">
        <f ca="1">VLOOKUP($AD46,OFFSET([4]characters!$A$1,0,0,COUNTA([4]characters!$A:$A),MATCH(AG$1,[4]characters!$1:$1,0)-MATCH("character_id",[4]characters!$1:$1,0)+1),MATCH(AG$1,[4]characters!$1:$1,0)-MATCH("character_id",[4]characters!$1:$1,0)+1,FALSE)</f>
        <v>Drop1W</v>
      </c>
      <c r="AH46" s="94">
        <v>1</v>
      </c>
      <c r="AI46" s="98">
        <f t="shared" ca="1" si="4"/>
        <v>1</v>
      </c>
      <c r="AJ46" s="7">
        <v>20</v>
      </c>
      <c r="AK46" s="94">
        <v>0</v>
      </c>
      <c r="AL46" s="94">
        <v>0</v>
      </c>
      <c r="AM46" s="94">
        <v>0</v>
      </c>
      <c r="AN46" s="94">
        <v>0</v>
      </c>
      <c r="AO46" s="94">
        <v>1</v>
      </c>
      <c r="AP46" s="62">
        <v>1</v>
      </c>
    </row>
    <row r="47" spans="1:42" ht="21" customHeight="1" x14ac:dyDescent="0.15">
      <c r="A47" s="13" t="str">
        <f t="shared" si="0"/>
        <v>39008_3-1/536&lt;lv35&gt;s2</v>
      </c>
      <c r="B47" s="17">
        <v>39008</v>
      </c>
      <c r="C47" s="95">
        <v>3</v>
      </c>
      <c r="D47" s="12" t="str">
        <f t="shared" si="1"/>
        <v>39008_3</v>
      </c>
      <c r="E47" s="4" t="str">
        <f ca="1">VLOOKUP($B47,OFFSET([2]quests!$A$1,0,0,COUNTA([2]quests!$A:$A),MATCH(E$1,[2]quests!$1:$1,0)-MATCH($B$1,[2]quests!$1:$1,0)+1),MATCH(E$1,[2]quests!$1:$1,0)-MATCH($B$1,[2]quests!$1:$1,0)+1,FALSE)</f>
        <v>雪の歌姫</v>
      </c>
      <c r="F47" s="4" t="str">
        <f ca="1">VLOOKUP($D47,OFFSET([2]stages!$A$1,0,0,COUNTA([2]stages!$A:$A),MATCH(F$1,[2]stages!$2:$2,0)-MATCH($D$1,[2]stages!$2:$2,0)+1),MATCH(F$1,[2]stages!$2:$2,0)-MATCH($D$1,[2]stages!$2:$2,0)+1,FALSE)</f>
        <v>【上級】雪の歌姫</v>
      </c>
      <c r="G47" s="96">
        <v>1</v>
      </c>
      <c r="H47" s="12" t="str">
        <f t="shared" si="2"/>
        <v>39008_3-1</v>
      </c>
      <c r="I47" s="4">
        <f ca="1">VLOOKUP($H47,OFFSET(floors!$A$1,0,0,COUNTA(floors!$A:$A),MATCH(I$1,floors!$1:$1,0)-MATCH($H$1,floors!$1:$1,0)+1),MATCH(I$1,floors!$1:$1,0)-MATCH($H$1,floors!$1:$1,0)+1,FALSE)</f>
        <v>45</v>
      </c>
      <c r="J47" s="4">
        <f ca="1">VLOOKUP($H47,OFFSET(floors!$A$1,0,0,COUNTA(floors!$A:$A),MATCH(J$1,floors!$1:$1,0)-MATCH($H$1,floors!$1:$1,0)+1),MATCH(J$1,floors!$1:$1,0)-MATCH($H$1,floors!$1:$1,0)+1,FALSE)</f>
        <v>45</v>
      </c>
      <c r="K47" s="32" t="s">
        <v>245</v>
      </c>
      <c r="L47" s="97">
        <v>536</v>
      </c>
      <c r="M47" s="14" t="str">
        <f ca="1">VLOOKUP($L47,OFFSET([3]enemies!$A$1,0,0,COUNTA([3]enemies!$A:$A),MATCH(M$1,[3]enemies!$1:$1,0)-MATCH($L$1,[3]enemies!$1:$1,0)+1),MATCH(M$1,[3]enemies!$1:$1,0)-MATCH($L$1,[3]enemies!$1:$1,0)+1,FALSE)</f>
        <v>冬服ミミ</v>
      </c>
      <c r="N47" s="14" t="str">
        <f ca="1">VLOOKUP($L47,OFFSET([3]enemies!$A$1,0,0,COUNTA([3]enemies!$A:$A),MATCH(N$1,[3]enemies!$1:$1,0)-MATCH($L$1,[3]enemies!$1:$1,0)+1),MATCH(N$1,[3]enemies!$1:$1,0)-MATCH($L$1,[3]enemies!$1:$1,0)+1,FALSE)</f>
        <v>yellow</v>
      </c>
      <c r="O47" s="14" t="str">
        <f ca="1">VLOOKUP($L47,OFFSET([4]characters!$A$1,0,0,COUNTA([4]characters!$A:$A),MATCH(O$1,[4]characters!$1:$1,0)-MATCH($L$1,[4]characters!$1:$1,0)+1),MATCH(O$1,[4]characters!$1:$1,0)-MATCH($L$1,[4]characters!$1:$1,0)+1,FALSE)</f>
        <v>Drop1W</v>
      </c>
      <c r="P47" s="14" t="str">
        <f ca="1">VLOOKUP($L47,OFFSET([3]enemies!$A$1,0,0,COUNTA([3]enemies!$A:$A),MATCH(P$1,[3]enemies!$1:$1,0)-MATCH($L$1,[3]enemies!$1:$1,0)+1),MATCH(P$1,[3]enemies!$1:$1,0)-MATCH($L$1,[3]enemies!$1:$1,0)+1,FALSE)</f>
        <v>animal</v>
      </c>
      <c r="Q47" s="14">
        <f ca="1">VLOOKUP($L47,OFFSET([3]enemies!$A$1,0,0,COUNTA([3]enemies!$A:$A),MATCH(Q$1,[3]enemies!$1:$1,0)-MATCH($L$1,[3]enemies!$1:$1,0)+1),MATCH(Q$1,[3]enemies!$1:$1,0)-MATCH($L$1,[3]enemies!$1:$1,0)+1,FALSE)</f>
        <v>15</v>
      </c>
      <c r="R47" s="5">
        <v>35</v>
      </c>
      <c r="S47" s="19">
        <v>1.1000000000000001</v>
      </c>
      <c r="T47" s="92">
        <f ca="1">ROUND(VLOOKUP(R47,[3]enemy_base_stats!$A:$F,2,FALSE) *INDIRECT("[EnemyMasterData.xlsm]enemies!Y"&amp;(L47+1))*  INDIRECT("[EnemyMasterData.xlsm]enemies!J"&amp;(L47+1))* INDIRECT("[EnemyMasterData.xlsm]enemies!O"&amp;(L47+1))* INDIRECT("[EnemyMasterData.xlsm]enemies!E"&amp;(L47+1))* INDIRECT("[EnemyMasterData.xlsm]enemies!S"&amp;(L47+1))* INDIRECT("[EnemyMasterData.xlsm]enemies!AD"&amp;(L47+1))*[4]ステータス!$B$2,0)*S47</f>
        <v>7869.4000000000005</v>
      </c>
      <c r="U47" s="19">
        <v>0.4</v>
      </c>
      <c r="V47" s="92">
        <f ca="1">ROUND(VLOOKUP(R47,[3]enemy_base_stats!$A:$F,3,FALSE) *INDIRECT("[EnemyMasterData.xlsm]enemies!Z"&amp;(L47+1))*  INDIRECT("[EnemyMasterData.xlsm]enemies!K"&amp;(L47+1))* INDIRECT("[EnemyMasterData.xlsm]enemies!P"&amp;(L47+1))* INDIRECT("[EnemyMasterData.xlsm]enemies!F"&amp;(L47+1))* INDIRECT("[EnemyMasterData.xlsm]enemies!T"&amp;(L47+1))* INDIRECT("[EnemyMasterData.xlsm]enemies!AE"&amp;(L47+1))*[4]ステータス!$C$2,0)*U47</f>
        <v>1294.4000000000001</v>
      </c>
      <c r="W47" s="5">
        <v>0</v>
      </c>
      <c r="X47" s="4" t="e">
        <f ca="1">VLOOKUP($Y47,OFFSET(enemy_skill_sets!$B$1,0,0,COUNTA(enemy_skill_sets!$B:$B),MATCH(M$1,enemy_skill_sets!$1:$1,0)-MATCH($Y$1,enemy_skill_sets!$1:$1,0)+2),MATCH(M$1,enemy_skill_sets!$1:$1,0)-MATCH($Y$1,enemy_skill_sets!$1:$1,0)+2,FALSE)</f>
        <v>#N/A</v>
      </c>
      <c r="Y47" s="4">
        <f ca="1">VLOOKUP($L47,OFFSET([3]enemies!$A$1,0,0,COUNTA([3]enemies!$A:$A),MATCH(Y$1,[3]enemies!$1:$1,0)-MATCH($L$1,[3]enemies!$1:$1,0)+1),MATCH(Y$1,[3]enemies!$1:$1,0)-MATCH($L$1,[3]enemies!$1:$1,0)+1,FALSE)</f>
        <v>0</v>
      </c>
      <c r="Z47" s="6">
        <v>0</v>
      </c>
      <c r="AA47" s="6">
        <v>100</v>
      </c>
      <c r="AB47" s="6">
        <v>0</v>
      </c>
      <c r="AC47" s="14">
        <v>2</v>
      </c>
      <c r="AD47" s="98">
        <f t="shared" si="3"/>
        <v>536</v>
      </c>
      <c r="AE47" s="4" t="str">
        <f ca="1">VLOOKUP($AD47,OFFSET([4]characters!$A$1,0,0,COUNTA([4]characters!$A:$A),MATCH(AE$1,[4]characters!$1:$1,0)-MATCH("character_id",[4]characters!$1:$1,0)+1),MATCH(AE$1,[4]characters!$1:$1,0)-MATCH("character_id",[4]characters!$1:$1,0)+1,FALSE)</f>
        <v>冬服ミミ</v>
      </c>
      <c r="AF47" s="4">
        <f ca="1">VLOOKUP($AD47,OFFSET([4]characters!$A$1,0,0,COUNTA([4]characters!$A:$A),MATCH(AF$1,[4]characters!$1:$1,0)-MATCH("character_id",[4]characters!$1:$1,0)+1),MATCH(AF$1,[4]characters!$1:$1,0)-MATCH("character_id",[4]characters!$1:$1,0)+1,FALSE)</f>
        <v>1</v>
      </c>
      <c r="AG47" s="4" t="str">
        <f ca="1">VLOOKUP($AD47,OFFSET([4]characters!$A$1,0,0,COUNTA([4]characters!$A:$A),MATCH(AG$1,[4]characters!$1:$1,0)-MATCH("character_id",[4]characters!$1:$1,0)+1),MATCH(AG$1,[4]characters!$1:$1,0)-MATCH("character_id",[4]characters!$1:$1,0)+1,FALSE)</f>
        <v>Drop1W</v>
      </c>
      <c r="AH47" s="94">
        <v>1</v>
      </c>
      <c r="AI47" s="98">
        <f t="shared" ca="1" si="4"/>
        <v>1</v>
      </c>
      <c r="AJ47" s="7">
        <v>20</v>
      </c>
      <c r="AK47" s="94">
        <v>0</v>
      </c>
      <c r="AL47" s="94">
        <v>0</v>
      </c>
      <c r="AM47" s="94">
        <v>0</v>
      </c>
      <c r="AN47" s="94">
        <v>0</v>
      </c>
      <c r="AO47" s="94">
        <v>1</v>
      </c>
      <c r="AP47" s="62">
        <v>1</v>
      </c>
    </row>
    <row r="48" spans="1:42" ht="21" customHeight="1" x14ac:dyDescent="0.15">
      <c r="A48" s="13" t="str">
        <f t="shared" si="0"/>
        <v>39008_3-2/529&lt;lv40&gt;s1</v>
      </c>
      <c r="B48" s="17">
        <v>39008</v>
      </c>
      <c r="C48" s="95">
        <v>3</v>
      </c>
      <c r="D48" s="12" t="str">
        <f t="shared" si="1"/>
        <v>39008_3</v>
      </c>
      <c r="E48" s="4" t="str">
        <f ca="1">VLOOKUP($B48,OFFSET([2]quests!$A$1,0,0,COUNTA([2]quests!$A:$A),MATCH(E$1,[2]quests!$1:$1,0)-MATCH($B$1,[2]quests!$1:$1,0)+1),MATCH(E$1,[2]quests!$1:$1,0)-MATCH($B$1,[2]quests!$1:$1,0)+1,FALSE)</f>
        <v>雪の歌姫</v>
      </c>
      <c r="F48" s="4" t="str">
        <f ca="1">VLOOKUP($D48,OFFSET([2]stages!$A$1,0,0,COUNTA([2]stages!$A:$A),MATCH(F$1,[2]stages!$2:$2,0)-MATCH($D$1,[2]stages!$2:$2,0)+1),MATCH(F$1,[2]stages!$2:$2,0)-MATCH($D$1,[2]stages!$2:$2,0)+1,FALSE)</f>
        <v>【上級】雪の歌姫</v>
      </c>
      <c r="G48" s="99">
        <v>2</v>
      </c>
      <c r="H48" s="12" t="str">
        <f t="shared" si="2"/>
        <v>39008_3-2</v>
      </c>
      <c r="I48" s="4">
        <f ca="1">VLOOKUP($H48,OFFSET(floors!$A$1,0,0,COUNTA(floors!$A:$A),MATCH(I$1,floors!$1:$1,0)-MATCH($H$1,floors!$1:$1,0)+1),MATCH(I$1,floors!$1:$1,0)-MATCH($H$1,floors!$1:$1,0)+1,FALSE)</f>
        <v>60</v>
      </c>
      <c r="J48" s="4">
        <f ca="1">VLOOKUP($H48,OFFSET(floors!$A$1,0,0,COUNTA(floors!$A:$A),MATCH(J$1,floors!$1:$1,0)-MATCH($H$1,floors!$1:$1,0)+1),MATCH(J$1,floors!$1:$1,0)-MATCH($H$1,floors!$1:$1,0)+1,FALSE)</f>
        <v>60</v>
      </c>
      <c r="K48" s="32" t="s">
        <v>245</v>
      </c>
      <c r="L48" s="97">
        <v>529</v>
      </c>
      <c r="M48" s="14" t="str">
        <f ca="1">VLOOKUP($L48,OFFSET([3]enemies!$A$1,0,0,COUNTA([3]enemies!$A:$A),MATCH(M$1,[3]enemies!$1:$1,0)-MATCH($L$1,[3]enemies!$1:$1,0)+1),MATCH(M$1,[3]enemies!$1:$1,0)-MATCH($L$1,[3]enemies!$1:$1,0)+1,FALSE)</f>
        <v>冬服ジェリー</v>
      </c>
      <c r="N48" s="14" t="str">
        <f ca="1">VLOOKUP($L48,OFFSET([3]enemies!$A$1,0,0,COUNTA([3]enemies!$A:$A),MATCH(N$1,[3]enemies!$1:$1,0)-MATCH($L$1,[3]enemies!$1:$1,0)+1),MATCH(N$1,[3]enemies!$1:$1,0)-MATCH($L$1,[3]enemies!$1:$1,0)+1,FALSE)</f>
        <v>red</v>
      </c>
      <c r="O48" s="14" t="str">
        <f ca="1">VLOOKUP($L48,OFFSET([4]characters!$A$1,0,0,COUNTA([4]characters!$A:$A),MATCH(O$1,[4]characters!$1:$1,0)-MATCH($L$1,[4]characters!$1:$1,0)+1),MATCH(O$1,[4]characters!$1:$1,0)-MATCH($L$1,[4]characters!$1:$1,0)+1,FALSE)</f>
        <v>Drop1T</v>
      </c>
      <c r="P48" s="14" t="str">
        <f ca="1">VLOOKUP($L48,OFFSET([3]enemies!$A$1,0,0,COUNTA([3]enemies!$A:$A),MATCH(P$1,[3]enemies!$1:$1,0)-MATCH($L$1,[3]enemies!$1:$1,0)+1),MATCH(P$1,[3]enemies!$1:$1,0)-MATCH($L$1,[3]enemies!$1:$1,0)+1,FALSE)</f>
        <v>unknown</v>
      </c>
      <c r="Q48" s="14">
        <f ca="1">VLOOKUP($L48,OFFSET([3]enemies!$A$1,0,0,COUNTA([3]enemies!$A:$A),MATCH(Q$1,[3]enemies!$1:$1,0)-MATCH($L$1,[3]enemies!$1:$1,0)+1),MATCH(Q$1,[3]enemies!$1:$1,0)-MATCH($L$1,[3]enemies!$1:$1,0)+1,FALSE)</f>
        <v>15</v>
      </c>
      <c r="R48" s="5">
        <v>40</v>
      </c>
      <c r="S48" s="19">
        <v>1</v>
      </c>
      <c r="T48" s="92">
        <f ca="1">ROUND(VLOOKUP(R48,[3]enemy_base_stats!$A:$F,2,FALSE) *INDIRECT("[EnemyMasterData.xlsm]enemies!Y"&amp;(L48+1))*  INDIRECT("[EnemyMasterData.xlsm]enemies!J"&amp;(L48+1))* INDIRECT("[EnemyMasterData.xlsm]enemies!O"&amp;(L48+1))* INDIRECT("[EnemyMasterData.xlsm]enemies!E"&amp;(L48+1))* INDIRECT("[EnemyMasterData.xlsm]enemies!S"&amp;(L48+1))* INDIRECT("[EnemyMasterData.xlsm]enemies!AD"&amp;(L48+1))*[4]ステータス!$B$2,0)*S48</f>
        <v>8300</v>
      </c>
      <c r="U48" s="19">
        <v>0.4</v>
      </c>
      <c r="V48" s="92">
        <f ca="1">ROUND(VLOOKUP(R48,[3]enemy_base_stats!$A:$F,3,FALSE) *INDIRECT("[EnemyMasterData.xlsm]enemies!Z"&amp;(L48+1))*  INDIRECT("[EnemyMasterData.xlsm]enemies!K"&amp;(L48+1))* INDIRECT("[EnemyMasterData.xlsm]enemies!P"&amp;(L48+1))* INDIRECT("[EnemyMasterData.xlsm]enemies!F"&amp;(L48+1))* INDIRECT("[EnemyMasterData.xlsm]enemies!T"&amp;(L48+1))* INDIRECT("[EnemyMasterData.xlsm]enemies!AE"&amp;(L48+1))*[4]ステータス!$C$2,0)*U48</f>
        <v>1364.8000000000002</v>
      </c>
      <c r="W48" s="5">
        <v>0</v>
      </c>
      <c r="X48" s="4" t="e">
        <f ca="1">VLOOKUP($Y48,OFFSET(enemy_skill_sets!$B$1,0,0,COUNTA(enemy_skill_sets!$B:$B),MATCH(M$1,enemy_skill_sets!$1:$1,0)-MATCH($Y$1,enemy_skill_sets!$1:$1,0)+2),MATCH(M$1,enemy_skill_sets!$1:$1,0)-MATCH($Y$1,enemy_skill_sets!$1:$1,0)+2,FALSE)</f>
        <v>#N/A</v>
      </c>
      <c r="Y48" s="4">
        <f ca="1">VLOOKUP($L48,OFFSET([3]enemies!$A$1,0,0,COUNTA([3]enemies!$A:$A),MATCH(Y$1,[3]enemies!$1:$1,0)-MATCH($L$1,[3]enemies!$1:$1,0)+1),MATCH(Y$1,[3]enemies!$1:$1,0)-MATCH($L$1,[3]enemies!$1:$1,0)+1,FALSE)</f>
        <v>0</v>
      </c>
      <c r="Z48" s="6">
        <v>0</v>
      </c>
      <c r="AA48" s="6">
        <v>100</v>
      </c>
      <c r="AB48" s="6">
        <v>0</v>
      </c>
      <c r="AC48" s="14">
        <v>1</v>
      </c>
      <c r="AD48" s="98">
        <f t="shared" si="3"/>
        <v>529</v>
      </c>
      <c r="AE48" s="4" t="str">
        <f ca="1">VLOOKUP($AD48,OFFSET([4]characters!$A$1,0,0,COUNTA([4]characters!$A:$A),MATCH(AE$1,[4]characters!$1:$1,0)-MATCH("character_id",[4]characters!$1:$1,0)+1),MATCH(AE$1,[4]characters!$1:$1,0)-MATCH("character_id",[4]characters!$1:$1,0)+1,FALSE)</f>
        <v>冬服ジェリー</v>
      </c>
      <c r="AF48" s="4">
        <f ca="1">VLOOKUP($AD48,OFFSET([4]characters!$A$1,0,0,COUNTA([4]characters!$A:$A),MATCH(AF$1,[4]characters!$1:$1,0)-MATCH("character_id",[4]characters!$1:$1,0)+1),MATCH(AF$1,[4]characters!$1:$1,0)-MATCH("character_id",[4]characters!$1:$1,0)+1,FALSE)</f>
        <v>1</v>
      </c>
      <c r="AG48" s="4" t="str">
        <f ca="1">VLOOKUP($AD48,OFFSET([4]characters!$A$1,0,0,COUNTA([4]characters!$A:$A),MATCH(AG$1,[4]characters!$1:$1,0)-MATCH("character_id",[4]characters!$1:$1,0)+1),MATCH(AG$1,[4]characters!$1:$1,0)-MATCH("character_id",[4]characters!$1:$1,0)+1,FALSE)</f>
        <v>Drop1T</v>
      </c>
      <c r="AH48" s="94">
        <v>1</v>
      </c>
      <c r="AI48" s="98">
        <f t="shared" ca="1" si="4"/>
        <v>1</v>
      </c>
      <c r="AJ48" s="7">
        <v>20</v>
      </c>
      <c r="AK48" s="94">
        <v>0</v>
      </c>
      <c r="AL48" s="94">
        <v>0</v>
      </c>
      <c r="AM48" s="94">
        <v>0</v>
      </c>
      <c r="AN48" s="94">
        <v>0</v>
      </c>
      <c r="AO48" s="94">
        <v>1</v>
      </c>
      <c r="AP48" s="62">
        <v>1</v>
      </c>
    </row>
    <row r="49" spans="1:42" ht="21" customHeight="1" x14ac:dyDescent="0.15">
      <c r="A49" s="13" t="str">
        <f t="shared" si="0"/>
        <v>39008_3-2/530&lt;lv40&gt;s2</v>
      </c>
      <c r="B49" s="17">
        <v>39008</v>
      </c>
      <c r="C49" s="95">
        <v>3</v>
      </c>
      <c r="D49" s="12" t="str">
        <f t="shared" si="1"/>
        <v>39008_3</v>
      </c>
      <c r="E49" s="4" t="str">
        <f ca="1">VLOOKUP($B49,OFFSET([2]quests!$A$1,0,0,COUNTA([2]quests!$A:$A),MATCH(E$1,[2]quests!$1:$1,0)-MATCH($B$1,[2]quests!$1:$1,0)+1),MATCH(E$1,[2]quests!$1:$1,0)-MATCH($B$1,[2]quests!$1:$1,0)+1,FALSE)</f>
        <v>雪の歌姫</v>
      </c>
      <c r="F49" s="4" t="str">
        <f ca="1">VLOOKUP($D49,OFFSET([2]stages!$A$1,0,0,COUNTA([2]stages!$A:$A),MATCH(F$1,[2]stages!$2:$2,0)-MATCH($D$1,[2]stages!$2:$2,0)+1),MATCH(F$1,[2]stages!$2:$2,0)-MATCH($D$1,[2]stages!$2:$2,0)+1,FALSE)</f>
        <v>【上級】雪の歌姫</v>
      </c>
      <c r="G49" s="99">
        <v>2</v>
      </c>
      <c r="H49" s="12" t="str">
        <f t="shared" si="2"/>
        <v>39008_3-2</v>
      </c>
      <c r="I49" s="4">
        <f ca="1">VLOOKUP($H49,OFFSET(floors!$A$1,0,0,COUNTA(floors!$A:$A),MATCH(I$1,floors!$1:$1,0)-MATCH($H$1,floors!$1:$1,0)+1),MATCH(I$1,floors!$1:$1,0)-MATCH($H$1,floors!$1:$1,0)+1,FALSE)</f>
        <v>60</v>
      </c>
      <c r="J49" s="4">
        <f ca="1">VLOOKUP($H49,OFFSET(floors!$A$1,0,0,COUNTA(floors!$A:$A),MATCH(J$1,floors!$1:$1,0)-MATCH($H$1,floors!$1:$1,0)+1),MATCH(J$1,floors!$1:$1,0)-MATCH($H$1,floors!$1:$1,0)+1,FALSE)</f>
        <v>60</v>
      </c>
      <c r="K49" s="32" t="s">
        <v>245</v>
      </c>
      <c r="L49" s="97">
        <v>530</v>
      </c>
      <c r="M49" s="14" t="str">
        <f ca="1">VLOOKUP($L49,OFFSET([3]enemies!$A$1,0,0,COUNTA([3]enemies!$A:$A),MATCH(M$1,[3]enemies!$1:$1,0)-MATCH($L$1,[3]enemies!$1:$1,0)+1),MATCH(M$1,[3]enemies!$1:$1,0)-MATCH($L$1,[3]enemies!$1:$1,0)+1,FALSE)</f>
        <v>冬服ジョー</v>
      </c>
      <c r="N49" s="14" t="str">
        <f ca="1">VLOOKUP($L49,OFFSET([3]enemies!$A$1,0,0,COUNTA([3]enemies!$A:$A),MATCH(N$1,[3]enemies!$1:$1,0)-MATCH($L$1,[3]enemies!$1:$1,0)+1),MATCH(N$1,[3]enemies!$1:$1,0)-MATCH($L$1,[3]enemies!$1:$1,0)+1,FALSE)</f>
        <v>green</v>
      </c>
      <c r="O49" s="14" t="str">
        <f ca="1">VLOOKUP($L49,OFFSET([4]characters!$A$1,0,0,COUNTA([4]characters!$A:$A),MATCH(O$1,[4]characters!$1:$1,0)-MATCH($L$1,[4]characters!$1:$1,0)+1),MATCH(O$1,[4]characters!$1:$1,0)-MATCH($L$1,[4]characters!$1:$1,0)+1,FALSE)</f>
        <v>Drop1T</v>
      </c>
      <c r="P49" s="14" t="str">
        <f ca="1">VLOOKUP($L49,OFFSET([3]enemies!$A$1,0,0,COUNTA([3]enemies!$A:$A),MATCH(P$1,[3]enemies!$1:$1,0)-MATCH($L$1,[3]enemies!$1:$1,0)+1),MATCH(P$1,[3]enemies!$1:$1,0)-MATCH($L$1,[3]enemies!$1:$1,0)+1,FALSE)</f>
        <v>unknown</v>
      </c>
      <c r="Q49" s="14">
        <f ca="1">VLOOKUP($L49,OFFSET([3]enemies!$A$1,0,0,COUNTA([3]enemies!$A:$A),MATCH(Q$1,[3]enemies!$1:$1,0)-MATCH($L$1,[3]enemies!$1:$1,0)+1),MATCH(Q$1,[3]enemies!$1:$1,0)-MATCH($L$1,[3]enemies!$1:$1,0)+1,FALSE)</f>
        <v>15</v>
      </c>
      <c r="R49" s="5">
        <v>40</v>
      </c>
      <c r="S49" s="19">
        <v>1</v>
      </c>
      <c r="T49" s="92">
        <f ca="1">ROUND(VLOOKUP(R49,[3]enemy_base_stats!$A:$F,2,FALSE) *INDIRECT("[EnemyMasterData.xlsm]enemies!Y"&amp;(L49+1))*  INDIRECT("[EnemyMasterData.xlsm]enemies!J"&amp;(L49+1))* INDIRECT("[EnemyMasterData.xlsm]enemies!O"&amp;(L49+1))* INDIRECT("[EnemyMasterData.xlsm]enemies!E"&amp;(L49+1))* INDIRECT("[EnemyMasterData.xlsm]enemies!S"&amp;(L49+1))* INDIRECT("[EnemyMasterData.xlsm]enemies!AD"&amp;(L49+1))*[4]ステータス!$B$2,0)*S49</f>
        <v>8466</v>
      </c>
      <c r="U49" s="19">
        <v>0.5</v>
      </c>
      <c r="V49" s="92">
        <f ca="1">ROUND(VLOOKUP(R49,[3]enemy_base_stats!$A:$F,3,FALSE) *INDIRECT("[EnemyMasterData.xlsm]enemies!Z"&amp;(L49+1))*  INDIRECT("[EnemyMasterData.xlsm]enemies!K"&amp;(L49+1))* INDIRECT("[EnemyMasterData.xlsm]enemies!P"&amp;(L49+1))* INDIRECT("[EnemyMasterData.xlsm]enemies!F"&amp;(L49+1))* INDIRECT("[EnemyMasterData.xlsm]enemies!T"&amp;(L49+1))* INDIRECT("[EnemyMasterData.xlsm]enemies!AE"&amp;(L49+1))*[4]ステータス!$C$2,0)*U49</f>
        <v>1220</v>
      </c>
      <c r="W49" s="5">
        <v>0</v>
      </c>
      <c r="X49" s="4" t="e">
        <f ca="1">VLOOKUP($Y49,OFFSET(enemy_skill_sets!$B$1,0,0,COUNTA(enemy_skill_sets!$B:$B),MATCH(M$1,enemy_skill_sets!$1:$1,0)-MATCH($Y$1,enemy_skill_sets!$1:$1,0)+2),MATCH(M$1,enemy_skill_sets!$1:$1,0)-MATCH($Y$1,enemy_skill_sets!$1:$1,0)+2,FALSE)</f>
        <v>#N/A</v>
      </c>
      <c r="Y49" s="4">
        <f ca="1">VLOOKUP($L49,OFFSET([3]enemies!$A$1,0,0,COUNTA([3]enemies!$A:$A),MATCH(Y$1,[3]enemies!$1:$1,0)-MATCH($L$1,[3]enemies!$1:$1,0)+1),MATCH(Y$1,[3]enemies!$1:$1,0)-MATCH($L$1,[3]enemies!$1:$1,0)+1,FALSE)</f>
        <v>0</v>
      </c>
      <c r="Z49" s="6">
        <v>0</v>
      </c>
      <c r="AA49" s="6">
        <v>100</v>
      </c>
      <c r="AB49" s="6">
        <v>0</v>
      </c>
      <c r="AC49" s="14">
        <v>2</v>
      </c>
      <c r="AD49" s="98">
        <f t="shared" si="3"/>
        <v>530</v>
      </c>
      <c r="AE49" s="4" t="str">
        <f ca="1">VLOOKUP($AD49,OFFSET([4]characters!$A$1,0,0,COUNTA([4]characters!$A:$A),MATCH(AE$1,[4]characters!$1:$1,0)-MATCH("character_id",[4]characters!$1:$1,0)+1),MATCH(AE$1,[4]characters!$1:$1,0)-MATCH("character_id",[4]characters!$1:$1,0)+1,FALSE)</f>
        <v>冬服ジョー</v>
      </c>
      <c r="AF49" s="4">
        <f ca="1">VLOOKUP($AD49,OFFSET([4]characters!$A$1,0,0,COUNTA([4]characters!$A:$A),MATCH(AF$1,[4]characters!$1:$1,0)-MATCH("character_id",[4]characters!$1:$1,0)+1),MATCH(AF$1,[4]characters!$1:$1,0)-MATCH("character_id",[4]characters!$1:$1,0)+1,FALSE)</f>
        <v>1</v>
      </c>
      <c r="AG49" s="4" t="str">
        <f ca="1">VLOOKUP($AD49,OFFSET([4]characters!$A$1,0,0,COUNTA([4]characters!$A:$A),MATCH(AG$1,[4]characters!$1:$1,0)-MATCH("character_id",[4]characters!$1:$1,0)+1),MATCH(AG$1,[4]characters!$1:$1,0)-MATCH("character_id",[4]characters!$1:$1,0)+1,FALSE)</f>
        <v>Drop1T</v>
      </c>
      <c r="AH49" s="94">
        <v>1</v>
      </c>
      <c r="AI49" s="98">
        <f t="shared" ca="1" si="4"/>
        <v>1</v>
      </c>
      <c r="AJ49" s="7">
        <v>20</v>
      </c>
      <c r="AK49" s="94">
        <v>0</v>
      </c>
      <c r="AL49" s="94">
        <v>0</v>
      </c>
      <c r="AM49" s="94">
        <v>0</v>
      </c>
      <c r="AN49" s="94">
        <v>0</v>
      </c>
      <c r="AO49" s="94">
        <v>1</v>
      </c>
      <c r="AP49" s="62">
        <v>1</v>
      </c>
    </row>
    <row r="50" spans="1:42" ht="21" customHeight="1" x14ac:dyDescent="0.15">
      <c r="A50" s="13" t="str">
        <f t="shared" ref="A50:A66" si="5">B50&amp;"_"&amp;C50&amp;"-"&amp;G50&amp;"/"&amp;L50&amp;"&lt;lv"&amp;R50&amp;"&gt;s"&amp;AC50</f>
        <v>39008_3-2/531&lt;lv40&gt;s3</v>
      </c>
      <c r="B50" s="17">
        <v>39008</v>
      </c>
      <c r="C50" s="95">
        <v>3</v>
      </c>
      <c r="D50" s="12" t="str">
        <f t="shared" ref="D50:D66" si="6">B50&amp;"_"&amp;C50</f>
        <v>39008_3</v>
      </c>
      <c r="E50" s="4" t="str">
        <f ca="1">VLOOKUP($B50,OFFSET([2]quests!$A$1,0,0,COUNTA([2]quests!$A:$A),MATCH(E$1,[2]quests!$1:$1,0)-MATCH($B$1,[2]quests!$1:$1,0)+1),MATCH(E$1,[2]quests!$1:$1,0)-MATCH($B$1,[2]quests!$1:$1,0)+1,FALSE)</f>
        <v>雪の歌姫</v>
      </c>
      <c r="F50" s="4" t="str">
        <f ca="1">VLOOKUP($D50,OFFSET([2]stages!$A$1,0,0,COUNTA([2]stages!$A:$A),MATCH(F$1,[2]stages!$2:$2,0)-MATCH($D$1,[2]stages!$2:$2,0)+1),MATCH(F$1,[2]stages!$2:$2,0)-MATCH($D$1,[2]stages!$2:$2,0)+1,FALSE)</f>
        <v>【上級】雪の歌姫</v>
      </c>
      <c r="G50" s="99">
        <v>2</v>
      </c>
      <c r="H50" s="12" t="str">
        <f t="shared" ref="H50:H66" si="7">B50&amp;"_"&amp;C50&amp;"-"&amp;G50</f>
        <v>39008_3-2</v>
      </c>
      <c r="I50" s="4">
        <f ca="1">VLOOKUP($H50,OFFSET(floors!$A$1,0,0,COUNTA(floors!$A:$A),MATCH(I$1,floors!$1:$1,0)-MATCH($H$1,floors!$1:$1,0)+1),MATCH(I$1,floors!$1:$1,0)-MATCH($H$1,floors!$1:$1,0)+1,FALSE)</f>
        <v>60</v>
      </c>
      <c r="J50" s="4">
        <f ca="1">VLOOKUP($H50,OFFSET(floors!$A$1,0,0,COUNTA(floors!$A:$A),MATCH(J$1,floors!$1:$1,0)-MATCH($H$1,floors!$1:$1,0)+1),MATCH(J$1,floors!$1:$1,0)-MATCH($H$1,floors!$1:$1,0)+1,FALSE)</f>
        <v>60</v>
      </c>
      <c r="K50" s="32" t="s">
        <v>245</v>
      </c>
      <c r="L50" s="97">
        <v>531</v>
      </c>
      <c r="M50" s="14" t="str">
        <f ca="1">VLOOKUP($L50,OFFSET([3]enemies!$A$1,0,0,COUNTA([3]enemies!$A:$A),MATCH(M$1,[3]enemies!$1:$1,0)-MATCH($L$1,[3]enemies!$1:$1,0)+1),MATCH(M$1,[3]enemies!$1:$1,0)-MATCH($L$1,[3]enemies!$1:$1,0)+1,FALSE)</f>
        <v>冬服ポチ</v>
      </c>
      <c r="N50" s="14" t="str">
        <f ca="1">VLOOKUP($L50,OFFSET([3]enemies!$A$1,0,0,COUNTA([3]enemies!$A:$A),MATCH(N$1,[3]enemies!$1:$1,0)-MATCH($L$1,[3]enemies!$1:$1,0)+1),MATCH(N$1,[3]enemies!$1:$1,0)-MATCH($L$1,[3]enemies!$1:$1,0)+1,FALSE)</f>
        <v>blue</v>
      </c>
      <c r="O50" s="14" t="str">
        <f ca="1">VLOOKUP($L50,OFFSET([4]characters!$A$1,0,0,COUNTA([4]characters!$A:$A),MATCH(O$1,[4]characters!$1:$1,0)-MATCH($L$1,[4]characters!$1:$1,0)+1),MATCH(O$1,[4]characters!$1:$1,0)-MATCH($L$1,[4]characters!$1:$1,0)+1,FALSE)</f>
        <v>Drop1T</v>
      </c>
      <c r="P50" s="14" t="str">
        <f ca="1">VLOOKUP($L50,OFFSET([3]enemies!$A$1,0,0,COUNTA([3]enemies!$A:$A),MATCH(P$1,[3]enemies!$1:$1,0)-MATCH($L$1,[3]enemies!$1:$1,0)+1),MATCH(P$1,[3]enemies!$1:$1,0)-MATCH($L$1,[3]enemies!$1:$1,0)+1,FALSE)</f>
        <v>unknown</v>
      </c>
      <c r="Q50" s="14">
        <f ca="1">VLOOKUP($L50,OFFSET([3]enemies!$A$1,0,0,COUNTA([3]enemies!$A:$A),MATCH(Q$1,[3]enemies!$1:$1,0)-MATCH($L$1,[3]enemies!$1:$1,0)+1),MATCH(Q$1,[3]enemies!$1:$1,0)-MATCH($L$1,[3]enemies!$1:$1,0)+1,FALSE)</f>
        <v>15</v>
      </c>
      <c r="R50" s="5">
        <v>40</v>
      </c>
      <c r="S50" s="19">
        <v>1</v>
      </c>
      <c r="T50" s="92">
        <f ca="1">ROUND(VLOOKUP(R50,[3]enemy_base_stats!$A:$F,2,FALSE) *INDIRECT("[EnemyMasterData.xlsm]enemies!Y"&amp;(L50+1))*  INDIRECT("[EnemyMasterData.xlsm]enemies!J"&amp;(L50+1))* INDIRECT("[EnemyMasterData.xlsm]enemies!O"&amp;(L50+1))* INDIRECT("[EnemyMasterData.xlsm]enemies!E"&amp;(L50+1))* INDIRECT("[EnemyMasterData.xlsm]enemies!S"&amp;(L50+1))* INDIRECT("[EnemyMasterData.xlsm]enemies!AD"&amp;(L50+1))*[4]ステータス!$B$2,0)*S50</f>
        <v>6640</v>
      </c>
      <c r="U50" s="19">
        <v>0.8</v>
      </c>
      <c r="V50" s="92">
        <f ca="1">ROUND(VLOOKUP(R50,[3]enemy_base_stats!$A:$F,3,FALSE) *INDIRECT("[EnemyMasterData.xlsm]enemies!Z"&amp;(L50+1))*  INDIRECT("[EnemyMasterData.xlsm]enemies!K"&amp;(L50+1))* INDIRECT("[EnemyMasterData.xlsm]enemies!P"&amp;(L50+1))* INDIRECT("[EnemyMasterData.xlsm]enemies!F"&amp;(L50+1))* INDIRECT("[EnemyMasterData.xlsm]enemies!T"&amp;(L50+1))* INDIRECT("[EnemyMasterData.xlsm]enemies!AE"&amp;(L50+1))*[4]ステータス!$C$2,0)*U50</f>
        <v>1522.4</v>
      </c>
      <c r="W50" s="5">
        <v>0</v>
      </c>
      <c r="X50" s="4" t="e">
        <f ca="1">VLOOKUP($Y50,OFFSET(enemy_skill_sets!$B$1,0,0,COUNTA(enemy_skill_sets!$B:$B),MATCH(M$1,enemy_skill_sets!$1:$1,0)-MATCH($Y$1,enemy_skill_sets!$1:$1,0)+2),MATCH(M$1,enemy_skill_sets!$1:$1,0)-MATCH($Y$1,enemy_skill_sets!$1:$1,0)+2,FALSE)</f>
        <v>#N/A</v>
      </c>
      <c r="Y50" s="4">
        <f ca="1">VLOOKUP($L50,OFFSET([3]enemies!$A$1,0,0,COUNTA([3]enemies!$A:$A),MATCH(Y$1,[3]enemies!$1:$1,0)-MATCH($L$1,[3]enemies!$1:$1,0)+1),MATCH(Y$1,[3]enemies!$1:$1,0)-MATCH($L$1,[3]enemies!$1:$1,0)+1,FALSE)</f>
        <v>0</v>
      </c>
      <c r="Z50" s="6">
        <v>0</v>
      </c>
      <c r="AA50" s="6">
        <v>100</v>
      </c>
      <c r="AB50" s="6">
        <v>0</v>
      </c>
      <c r="AC50" s="14">
        <v>3</v>
      </c>
      <c r="AD50" s="98">
        <f t="shared" ref="AD50:AD66" si="8">L50</f>
        <v>531</v>
      </c>
      <c r="AE50" s="4" t="str">
        <f ca="1">VLOOKUP($AD50,OFFSET([4]characters!$A$1,0,0,COUNTA([4]characters!$A:$A),MATCH(AE$1,[4]characters!$1:$1,0)-MATCH("character_id",[4]characters!$1:$1,0)+1),MATCH(AE$1,[4]characters!$1:$1,0)-MATCH("character_id",[4]characters!$1:$1,0)+1,FALSE)</f>
        <v>冬服ポチ</v>
      </c>
      <c r="AF50" s="4">
        <f ca="1">VLOOKUP($AD50,OFFSET([4]characters!$A$1,0,0,COUNTA([4]characters!$A:$A),MATCH(AF$1,[4]characters!$1:$1,0)-MATCH("character_id",[4]characters!$1:$1,0)+1),MATCH(AF$1,[4]characters!$1:$1,0)-MATCH("character_id",[4]characters!$1:$1,0)+1,FALSE)</f>
        <v>1</v>
      </c>
      <c r="AG50" s="4" t="str">
        <f ca="1">VLOOKUP($AD50,OFFSET([4]characters!$A$1,0,0,COUNTA([4]characters!$A:$A),MATCH(AG$1,[4]characters!$1:$1,0)-MATCH("character_id",[4]characters!$1:$1,0)+1),MATCH(AG$1,[4]characters!$1:$1,0)-MATCH("character_id",[4]characters!$1:$1,0)+1,FALSE)</f>
        <v>Drop1T</v>
      </c>
      <c r="AH50" s="94">
        <v>1</v>
      </c>
      <c r="AI50" s="98">
        <f t="shared" ref="AI50:AI66" ca="1" si="9">AF50</f>
        <v>1</v>
      </c>
      <c r="AJ50" s="7">
        <v>20</v>
      </c>
      <c r="AK50" s="94">
        <v>0</v>
      </c>
      <c r="AL50" s="94">
        <v>0</v>
      </c>
      <c r="AM50" s="94">
        <v>0</v>
      </c>
      <c r="AN50" s="94">
        <v>0</v>
      </c>
      <c r="AO50" s="94">
        <v>1</v>
      </c>
      <c r="AP50" s="62">
        <v>1</v>
      </c>
    </row>
    <row r="51" spans="1:42" ht="21" customHeight="1" x14ac:dyDescent="0.15">
      <c r="A51" s="13" t="str">
        <f t="shared" si="5"/>
        <v>39008_3-2/532&lt;lv40&gt;s2</v>
      </c>
      <c r="B51" s="17">
        <v>39008</v>
      </c>
      <c r="C51" s="95">
        <v>3</v>
      </c>
      <c r="D51" s="12" t="str">
        <f t="shared" si="6"/>
        <v>39008_3</v>
      </c>
      <c r="E51" s="4" t="str">
        <f ca="1">VLOOKUP($B51,OFFSET([2]quests!$A$1,0,0,COUNTA([2]quests!$A:$A),MATCH(E$1,[2]quests!$1:$1,0)-MATCH($B$1,[2]quests!$1:$1,0)+1),MATCH(E$1,[2]quests!$1:$1,0)-MATCH($B$1,[2]quests!$1:$1,0)+1,FALSE)</f>
        <v>雪の歌姫</v>
      </c>
      <c r="F51" s="4" t="str">
        <f ca="1">VLOOKUP($D51,OFFSET([2]stages!$A$1,0,0,COUNTA([2]stages!$A:$A),MATCH(F$1,[2]stages!$2:$2,0)-MATCH($D$1,[2]stages!$2:$2,0)+1),MATCH(F$1,[2]stages!$2:$2,0)-MATCH($D$1,[2]stages!$2:$2,0)+1,FALSE)</f>
        <v>【上級】雪の歌姫</v>
      </c>
      <c r="G51" s="99">
        <v>2</v>
      </c>
      <c r="H51" s="12" t="str">
        <f t="shared" si="7"/>
        <v>39008_3-2</v>
      </c>
      <c r="I51" s="4">
        <f ca="1">VLOOKUP($H51,OFFSET(floors!$A$1,0,0,COUNTA(floors!$A:$A),MATCH(I$1,floors!$1:$1,0)-MATCH($H$1,floors!$1:$1,0)+1),MATCH(I$1,floors!$1:$1,0)-MATCH($H$1,floors!$1:$1,0)+1,FALSE)</f>
        <v>60</v>
      </c>
      <c r="J51" s="4">
        <f ca="1">VLOOKUP($H51,OFFSET(floors!$A$1,0,0,COUNTA(floors!$A:$A),MATCH(J$1,floors!$1:$1,0)-MATCH($H$1,floors!$1:$1,0)+1),MATCH(J$1,floors!$1:$1,0)-MATCH($H$1,floors!$1:$1,0)+1,FALSE)</f>
        <v>60</v>
      </c>
      <c r="K51" s="32" t="s">
        <v>245</v>
      </c>
      <c r="L51" s="97">
        <v>532</v>
      </c>
      <c r="M51" s="14" t="str">
        <f ca="1">VLOOKUP($L51,OFFSET([3]enemies!$A$1,0,0,COUNTA([3]enemies!$A:$A),MATCH(M$1,[3]enemies!$1:$1,0)-MATCH($L$1,[3]enemies!$1:$1,0)+1),MATCH(M$1,[3]enemies!$1:$1,0)-MATCH($L$1,[3]enemies!$1:$1,0)+1,FALSE)</f>
        <v>冬服エレキポット</v>
      </c>
      <c r="N51" s="14" t="str">
        <f ca="1">VLOOKUP($L51,OFFSET([3]enemies!$A$1,0,0,COUNTA([3]enemies!$A:$A),MATCH(N$1,[3]enemies!$1:$1,0)-MATCH($L$1,[3]enemies!$1:$1,0)+1),MATCH(N$1,[3]enemies!$1:$1,0)-MATCH($L$1,[3]enemies!$1:$1,0)+1,FALSE)</f>
        <v>yellow</v>
      </c>
      <c r="O51" s="14" t="str">
        <f ca="1">VLOOKUP($L51,OFFSET([4]characters!$A$1,0,0,COUNTA([4]characters!$A:$A),MATCH(O$1,[4]characters!$1:$1,0)-MATCH($L$1,[4]characters!$1:$1,0)+1),MATCH(O$1,[4]characters!$1:$1,0)-MATCH($L$1,[4]characters!$1:$1,0)+1,FALSE)</f>
        <v>Drop1T</v>
      </c>
      <c r="P51" s="14" t="str">
        <f ca="1">VLOOKUP($L51,OFFSET([3]enemies!$A$1,0,0,COUNTA([3]enemies!$A:$A),MATCH(P$1,[3]enemies!$1:$1,0)-MATCH($L$1,[3]enemies!$1:$1,0)+1),MATCH(P$1,[3]enemies!$1:$1,0)-MATCH($L$1,[3]enemies!$1:$1,0)+1,FALSE)</f>
        <v>unknown</v>
      </c>
      <c r="Q51" s="14">
        <f ca="1">VLOOKUP($L51,OFFSET([3]enemies!$A$1,0,0,COUNTA([3]enemies!$A:$A),MATCH(Q$1,[3]enemies!$1:$1,0)-MATCH($L$1,[3]enemies!$1:$1,0)+1),MATCH(Q$1,[3]enemies!$1:$1,0)-MATCH($L$1,[3]enemies!$1:$1,0)+1,FALSE)</f>
        <v>15</v>
      </c>
      <c r="R51" s="5">
        <v>40</v>
      </c>
      <c r="S51" s="19">
        <v>1</v>
      </c>
      <c r="T51" s="92">
        <f ca="1">ROUND(VLOOKUP(R51,[3]enemy_base_stats!$A:$F,2,FALSE) *INDIRECT("[EnemyMasterData.xlsm]enemies!Y"&amp;(L51+1))*  INDIRECT("[EnemyMasterData.xlsm]enemies!J"&amp;(L51+1))* INDIRECT("[EnemyMasterData.xlsm]enemies!O"&amp;(L51+1))* INDIRECT("[EnemyMasterData.xlsm]enemies!E"&amp;(L51+1))* INDIRECT("[EnemyMasterData.xlsm]enemies!S"&amp;(L51+1))* INDIRECT("[EnemyMasterData.xlsm]enemies!AD"&amp;(L51+1))*[4]ステータス!$B$2,0)*S51</f>
        <v>8134</v>
      </c>
      <c r="U51" s="19">
        <v>0.4</v>
      </c>
      <c r="V51" s="92">
        <f ca="1">ROUND(VLOOKUP(R51,[3]enemy_base_stats!$A:$F,3,FALSE) *INDIRECT("[EnemyMasterData.xlsm]enemies!Z"&amp;(L51+1))*  INDIRECT("[EnemyMasterData.xlsm]enemies!K"&amp;(L51+1))* INDIRECT("[EnemyMasterData.xlsm]enemies!P"&amp;(L51+1))* INDIRECT("[EnemyMasterData.xlsm]enemies!F"&amp;(L51+1))* INDIRECT("[EnemyMasterData.xlsm]enemies!T"&amp;(L51+1))* INDIRECT("[EnemyMasterData.xlsm]enemies!AE"&amp;(L51+1))*[4]ステータス!$C$2,0)*U51</f>
        <v>1338</v>
      </c>
      <c r="W51" s="5">
        <v>0</v>
      </c>
      <c r="X51" s="4" t="e">
        <f ca="1">VLOOKUP($Y51,OFFSET(enemy_skill_sets!$B$1,0,0,COUNTA(enemy_skill_sets!$B:$B),MATCH(M$1,enemy_skill_sets!$1:$1,0)-MATCH($Y$1,enemy_skill_sets!$1:$1,0)+2),MATCH(M$1,enemy_skill_sets!$1:$1,0)-MATCH($Y$1,enemy_skill_sets!$1:$1,0)+2,FALSE)</f>
        <v>#N/A</v>
      </c>
      <c r="Y51" s="4">
        <f ca="1">VLOOKUP($L51,OFFSET([3]enemies!$A$1,0,0,COUNTA([3]enemies!$A:$A),MATCH(Y$1,[3]enemies!$1:$1,0)-MATCH($L$1,[3]enemies!$1:$1,0)+1),MATCH(Y$1,[3]enemies!$1:$1,0)-MATCH($L$1,[3]enemies!$1:$1,0)+1,FALSE)</f>
        <v>0</v>
      </c>
      <c r="Z51" s="6">
        <v>0</v>
      </c>
      <c r="AA51" s="6">
        <v>100</v>
      </c>
      <c r="AB51" s="6">
        <v>0</v>
      </c>
      <c r="AC51" s="14">
        <v>2</v>
      </c>
      <c r="AD51" s="98">
        <f t="shared" si="8"/>
        <v>532</v>
      </c>
      <c r="AE51" s="4" t="str">
        <f ca="1">VLOOKUP($AD51,OFFSET([4]characters!$A$1,0,0,COUNTA([4]characters!$A:$A),MATCH(AE$1,[4]characters!$1:$1,0)-MATCH("character_id",[4]characters!$1:$1,0)+1),MATCH(AE$1,[4]characters!$1:$1,0)-MATCH("character_id",[4]characters!$1:$1,0)+1,FALSE)</f>
        <v>冬服エレキポット</v>
      </c>
      <c r="AF51" s="4">
        <f ca="1">VLOOKUP($AD51,OFFSET([4]characters!$A$1,0,0,COUNTA([4]characters!$A:$A),MATCH(AF$1,[4]characters!$1:$1,0)-MATCH("character_id",[4]characters!$1:$1,0)+1),MATCH(AF$1,[4]characters!$1:$1,0)-MATCH("character_id",[4]characters!$1:$1,0)+1,FALSE)</f>
        <v>1</v>
      </c>
      <c r="AG51" s="4" t="str">
        <f ca="1">VLOOKUP($AD51,OFFSET([4]characters!$A$1,0,0,COUNTA([4]characters!$A:$A),MATCH(AG$1,[4]characters!$1:$1,0)-MATCH("character_id",[4]characters!$1:$1,0)+1),MATCH(AG$1,[4]characters!$1:$1,0)-MATCH("character_id",[4]characters!$1:$1,0)+1,FALSE)</f>
        <v>Drop1T</v>
      </c>
      <c r="AH51" s="94">
        <v>1</v>
      </c>
      <c r="AI51" s="98">
        <f t="shared" ca="1" si="9"/>
        <v>1</v>
      </c>
      <c r="AJ51" s="7">
        <v>20</v>
      </c>
      <c r="AK51" s="94">
        <v>0</v>
      </c>
      <c r="AL51" s="94">
        <v>0</v>
      </c>
      <c r="AM51" s="94">
        <v>0</v>
      </c>
      <c r="AN51" s="94">
        <v>0</v>
      </c>
      <c r="AO51" s="94">
        <v>1</v>
      </c>
      <c r="AP51" s="62">
        <v>1</v>
      </c>
    </row>
    <row r="52" spans="1:42" ht="21" customHeight="1" x14ac:dyDescent="0.15">
      <c r="A52" s="13" t="str">
        <f t="shared" si="5"/>
        <v>39008_3-2/533&lt;lv40&gt;s3</v>
      </c>
      <c r="B52" s="17">
        <v>39008</v>
      </c>
      <c r="C52" s="95">
        <v>3</v>
      </c>
      <c r="D52" s="12" t="str">
        <f t="shared" si="6"/>
        <v>39008_3</v>
      </c>
      <c r="E52" s="4" t="str">
        <f ca="1">VLOOKUP($B52,OFFSET([2]quests!$A$1,0,0,COUNTA([2]quests!$A:$A),MATCH(E$1,[2]quests!$1:$1,0)-MATCH($B$1,[2]quests!$1:$1,0)+1),MATCH(E$1,[2]quests!$1:$1,0)-MATCH($B$1,[2]quests!$1:$1,0)+1,FALSE)</f>
        <v>雪の歌姫</v>
      </c>
      <c r="F52" s="4" t="str">
        <f ca="1">VLOOKUP($D52,OFFSET([2]stages!$A$1,0,0,COUNTA([2]stages!$A:$A),MATCH(F$1,[2]stages!$2:$2,0)-MATCH($D$1,[2]stages!$2:$2,0)+1),MATCH(F$1,[2]stages!$2:$2,0)-MATCH($D$1,[2]stages!$2:$2,0)+1,FALSE)</f>
        <v>【上級】雪の歌姫</v>
      </c>
      <c r="G52" s="99">
        <v>2</v>
      </c>
      <c r="H52" s="12" t="str">
        <f t="shared" si="7"/>
        <v>39008_3-2</v>
      </c>
      <c r="I52" s="4">
        <f ca="1">VLOOKUP($H52,OFFSET(floors!$A$1,0,0,COUNTA(floors!$A:$A),MATCH(I$1,floors!$1:$1,0)-MATCH($H$1,floors!$1:$1,0)+1),MATCH(I$1,floors!$1:$1,0)-MATCH($H$1,floors!$1:$1,0)+1,FALSE)</f>
        <v>60</v>
      </c>
      <c r="J52" s="4">
        <f ca="1">VLOOKUP($H52,OFFSET(floors!$A$1,0,0,COUNTA(floors!$A:$A),MATCH(J$1,floors!$1:$1,0)-MATCH($H$1,floors!$1:$1,0)+1),MATCH(J$1,floors!$1:$1,0)-MATCH($H$1,floors!$1:$1,0)+1,FALSE)</f>
        <v>60</v>
      </c>
      <c r="K52" s="32" t="s">
        <v>245</v>
      </c>
      <c r="L52" s="97">
        <v>533</v>
      </c>
      <c r="M52" s="14" t="str">
        <f ca="1">VLOOKUP($L52,OFFSET([3]enemies!$A$1,0,0,COUNTA([3]enemies!$A:$A),MATCH(M$1,[3]enemies!$1:$1,0)-MATCH($L$1,[3]enemies!$1:$1,0)+1),MATCH(M$1,[3]enemies!$1:$1,0)-MATCH($L$1,[3]enemies!$1:$1,0)+1,FALSE)</f>
        <v>冬服アカネ</v>
      </c>
      <c r="N52" s="14" t="str">
        <f ca="1">VLOOKUP($L52,OFFSET([3]enemies!$A$1,0,0,COUNTA([3]enemies!$A:$A),MATCH(N$1,[3]enemies!$1:$1,0)-MATCH($L$1,[3]enemies!$1:$1,0)+1),MATCH(N$1,[3]enemies!$1:$1,0)-MATCH($L$1,[3]enemies!$1:$1,0)+1,FALSE)</f>
        <v>red</v>
      </c>
      <c r="O52" s="14" t="str">
        <f ca="1">VLOOKUP($L52,OFFSET([4]characters!$A$1,0,0,COUNTA([4]characters!$A:$A),MATCH(O$1,[4]characters!$1:$1,0)-MATCH($L$1,[4]characters!$1:$1,0)+1),MATCH(O$1,[4]characters!$1:$1,0)-MATCH($L$1,[4]characters!$1:$1,0)+1,FALSE)</f>
        <v>Drop1W</v>
      </c>
      <c r="P52" s="14" t="str">
        <f ca="1">VLOOKUP($L52,OFFSET([3]enemies!$A$1,0,0,COUNTA([3]enemies!$A:$A),MATCH(P$1,[3]enemies!$1:$1,0)-MATCH($L$1,[3]enemies!$1:$1,0)+1),MATCH(P$1,[3]enemies!$1:$1,0)-MATCH($L$1,[3]enemies!$1:$1,0)+1,FALSE)</f>
        <v>human</v>
      </c>
      <c r="Q52" s="14">
        <f ca="1">VLOOKUP($L52,OFFSET([3]enemies!$A$1,0,0,COUNTA([3]enemies!$A:$A),MATCH(Q$1,[3]enemies!$1:$1,0)-MATCH($L$1,[3]enemies!$1:$1,0)+1),MATCH(Q$1,[3]enemies!$1:$1,0)-MATCH($L$1,[3]enemies!$1:$1,0)+1,FALSE)</f>
        <v>15</v>
      </c>
      <c r="R52" s="5">
        <v>40</v>
      </c>
      <c r="S52" s="19">
        <v>1</v>
      </c>
      <c r="T52" s="92">
        <f ca="1">ROUND(VLOOKUP(R52,[3]enemy_base_stats!$A:$F,2,FALSE) *INDIRECT("[EnemyMasterData.xlsm]enemies!Y"&amp;(L52+1))*  INDIRECT("[EnemyMasterData.xlsm]enemies!J"&amp;(L52+1))* INDIRECT("[EnemyMasterData.xlsm]enemies!O"&amp;(L52+1))* INDIRECT("[EnemyMasterData.xlsm]enemies!E"&amp;(L52+1))* INDIRECT("[EnemyMasterData.xlsm]enemies!S"&amp;(L52+1))* INDIRECT("[EnemyMasterData.xlsm]enemies!AD"&amp;(L52+1))*[4]ステータス!$B$2,0)*S52</f>
        <v>7802</v>
      </c>
      <c r="U52" s="19">
        <v>0.6</v>
      </c>
      <c r="V52" s="92">
        <f ca="1">ROUND(VLOOKUP(R52,[3]enemy_base_stats!$A:$F,3,FALSE) *INDIRECT("[EnemyMasterData.xlsm]enemies!Z"&amp;(L52+1))*  INDIRECT("[EnemyMasterData.xlsm]enemies!K"&amp;(L52+1))* INDIRECT("[EnemyMasterData.xlsm]enemies!P"&amp;(L52+1))* INDIRECT("[EnemyMasterData.xlsm]enemies!F"&amp;(L52+1))* INDIRECT("[EnemyMasterData.xlsm]enemies!T"&amp;(L52+1))* INDIRECT("[EnemyMasterData.xlsm]enemies!AE"&amp;(L52+1))*[4]ステータス!$C$2,0)*U52</f>
        <v>1508.3999999999999</v>
      </c>
      <c r="W52" s="5">
        <v>0</v>
      </c>
      <c r="X52" s="4" t="e">
        <f ca="1">VLOOKUP($Y52,OFFSET(enemy_skill_sets!$B$1,0,0,COUNTA(enemy_skill_sets!$B:$B),MATCH(M$1,enemy_skill_sets!$1:$1,0)-MATCH($Y$1,enemy_skill_sets!$1:$1,0)+2),MATCH(M$1,enemy_skill_sets!$1:$1,0)-MATCH($Y$1,enemy_skill_sets!$1:$1,0)+2,FALSE)</f>
        <v>#N/A</v>
      </c>
      <c r="Y52" s="4">
        <f ca="1">VLOOKUP($L52,OFFSET([3]enemies!$A$1,0,0,COUNTA([3]enemies!$A:$A),MATCH(Y$1,[3]enemies!$1:$1,0)-MATCH($L$1,[3]enemies!$1:$1,0)+1),MATCH(Y$1,[3]enemies!$1:$1,0)-MATCH($L$1,[3]enemies!$1:$1,0)+1,FALSE)</f>
        <v>0</v>
      </c>
      <c r="Z52" s="6">
        <v>0</v>
      </c>
      <c r="AA52" s="6">
        <v>100</v>
      </c>
      <c r="AB52" s="6">
        <v>0</v>
      </c>
      <c r="AC52" s="14">
        <v>3</v>
      </c>
      <c r="AD52" s="98">
        <f t="shared" si="8"/>
        <v>533</v>
      </c>
      <c r="AE52" s="4" t="str">
        <f ca="1">VLOOKUP($AD52,OFFSET([4]characters!$A$1,0,0,COUNTA([4]characters!$A:$A),MATCH(AE$1,[4]characters!$1:$1,0)-MATCH("character_id",[4]characters!$1:$1,0)+1),MATCH(AE$1,[4]characters!$1:$1,0)-MATCH("character_id",[4]characters!$1:$1,0)+1,FALSE)</f>
        <v>冬服アカネ</v>
      </c>
      <c r="AF52" s="4">
        <f ca="1">VLOOKUP($AD52,OFFSET([4]characters!$A$1,0,0,COUNTA([4]characters!$A:$A),MATCH(AF$1,[4]characters!$1:$1,0)-MATCH("character_id",[4]characters!$1:$1,0)+1),MATCH(AF$1,[4]characters!$1:$1,0)-MATCH("character_id",[4]characters!$1:$1,0)+1,FALSE)</f>
        <v>1</v>
      </c>
      <c r="AG52" s="4" t="str">
        <f ca="1">VLOOKUP($AD52,OFFSET([4]characters!$A$1,0,0,COUNTA([4]characters!$A:$A),MATCH(AG$1,[4]characters!$1:$1,0)-MATCH("character_id",[4]characters!$1:$1,0)+1),MATCH(AG$1,[4]characters!$1:$1,0)-MATCH("character_id",[4]characters!$1:$1,0)+1,FALSE)</f>
        <v>Drop1W</v>
      </c>
      <c r="AH52" s="94">
        <v>1</v>
      </c>
      <c r="AI52" s="98">
        <f t="shared" ca="1" si="9"/>
        <v>1</v>
      </c>
      <c r="AJ52" s="7">
        <v>20</v>
      </c>
      <c r="AK52" s="94">
        <v>0</v>
      </c>
      <c r="AL52" s="94">
        <v>0</v>
      </c>
      <c r="AM52" s="94">
        <v>0</v>
      </c>
      <c r="AN52" s="94">
        <v>0</v>
      </c>
      <c r="AO52" s="94">
        <v>1</v>
      </c>
      <c r="AP52" s="62">
        <v>1</v>
      </c>
    </row>
    <row r="53" spans="1:42" ht="21" customHeight="1" x14ac:dyDescent="0.15">
      <c r="A53" s="13" t="str">
        <f t="shared" si="5"/>
        <v>39008_3-2/534&lt;lv40&gt;s1</v>
      </c>
      <c r="B53" s="17">
        <v>39008</v>
      </c>
      <c r="C53" s="95">
        <v>3</v>
      </c>
      <c r="D53" s="12" t="str">
        <f t="shared" si="6"/>
        <v>39008_3</v>
      </c>
      <c r="E53" s="4" t="str">
        <f ca="1">VLOOKUP($B53,OFFSET([2]quests!$A$1,0,0,COUNTA([2]quests!$A:$A),MATCH(E$1,[2]quests!$1:$1,0)-MATCH($B$1,[2]quests!$1:$1,0)+1),MATCH(E$1,[2]quests!$1:$1,0)-MATCH($B$1,[2]quests!$1:$1,0)+1,FALSE)</f>
        <v>雪の歌姫</v>
      </c>
      <c r="F53" s="4" t="str">
        <f ca="1">VLOOKUP($D53,OFFSET([2]stages!$A$1,0,0,COUNTA([2]stages!$A:$A),MATCH(F$1,[2]stages!$2:$2,0)-MATCH($D$1,[2]stages!$2:$2,0)+1),MATCH(F$1,[2]stages!$2:$2,0)-MATCH($D$1,[2]stages!$2:$2,0)+1,FALSE)</f>
        <v>【上級】雪の歌姫</v>
      </c>
      <c r="G53" s="99">
        <v>2</v>
      </c>
      <c r="H53" s="12" t="str">
        <f t="shared" si="7"/>
        <v>39008_3-2</v>
      </c>
      <c r="I53" s="4">
        <f ca="1">VLOOKUP($H53,OFFSET(floors!$A$1,0,0,COUNTA(floors!$A:$A),MATCH(I$1,floors!$1:$1,0)-MATCH($H$1,floors!$1:$1,0)+1),MATCH(I$1,floors!$1:$1,0)-MATCH($H$1,floors!$1:$1,0)+1,FALSE)</f>
        <v>60</v>
      </c>
      <c r="J53" s="4">
        <f ca="1">VLOOKUP($H53,OFFSET(floors!$A$1,0,0,COUNTA(floors!$A:$A),MATCH(J$1,floors!$1:$1,0)-MATCH($H$1,floors!$1:$1,0)+1),MATCH(J$1,floors!$1:$1,0)-MATCH($H$1,floors!$1:$1,0)+1,FALSE)</f>
        <v>60</v>
      </c>
      <c r="K53" s="32" t="s">
        <v>245</v>
      </c>
      <c r="L53" s="97">
        <v>534</v>
      </c>
      <c r="M53" s="14" t="str">
        <f ca="1">VLOOKUP($L53,OFFSET([3]enemies!$A$1,0,0,COUNTA([3]enemies!$A:$A),MATCH(M$1,[3]enemies!$1:$1,0)-MATCH($L$1,[3]enemies!$1:$1,0)+1),MATCH(M$1,[3]enemies!$1:$1,0)-MATCH($L$1,[3]enemies!$1:$1,0)+1,FALSE)</f>
        <v>冬服パトライン</v>
      </c>
      <c r="N53" s="14" t="str">
        <f ca="1">VLOOKUP($L53,OFFSET([3]enemies!$A$1,0,0,COUNTA([3]enemies!$A:$A),MATCH(N$1,[3]enemies!$1:$1,0)-MATCH($L$1,[3]enemies!$1:$1,0)+1),MATCH(N$1,[3]enemies!$1:$1,0)-MATCH($L$1,[3]enemies!$1:$1,0)+1,FALSE)</f>
        <v>green</v>
      </c>
      <c r="O53" s="14" t="str">
        <f ca="1">VLOOKUP($L53,OFFSET([4]characters!$A$1,0,0,COUNTA([4]characters!$A:$A),MATCH(O$1,[4]characters!$1:$1,0)-MATCH($L$1,[4]characters!$1:$1,0)+1),MATCH(O$1,[4]characters!$1:$1,0)-MATCH($L$1,[4]characters!$1:$1,0)+1,FALSE)</f>
        <v>Drop1W</v>
      </c>
      <c r="P53" s="14" t="str">
        <f ca="1">VLOOKUP($L53,OFFSET([3]enemies!$A$1,0,0,COUNTA([3]enemies!$A:$A),MATCH(P$1,[3]enemies!$1:$1,0)-MATCH($L$1,[3]enemies!$1:$1,0)+1),MATCH(P$1,[3]enemies!$1:$1,0)-MATCH($L$1,[3]enemies!$1:$1,0)+1,FALSE)</f>
        <v>machine</v>
      </c>
      <c r="Q53" s="14">
        <f ca="1">VLOOKUP($L53,OFFSET([3]enemies!$A$1,0,0,COUNTA([3]enemies!$A:$A),MATCH(Q$1,[3]enemies!$1:$1,0)-MATCH($L$1,[3]enemies!$1:$1,0)+1),MATCH(Q$1,[3]enemies!$1:$1,0)-MATCH($L$1,[3]enemies!$1:$1,0)+1,FALSE)</f>
        <v>15</v>
      </c>
      <c r="R53" s="5">
        <v>40</v>
      </c>
      <c r="S53" s="19">
        <v>1</v>
      </c>
      <c r="T53" s="92">
        <f ca="1">ROUND(VLOOKUP(R53,[3]enemy_base_stats!$A:$F,2,FALSE) *INDIRECT("[EnemyMasterData.xlsm]enemies!Y"&amp;(L53+1))*  INDIRECT("[EnemyMasterData.xlsm]enemies!J"&amp;(L53+1))* INDIRECT("[EnemyMasterData.xlsm]enemies!O"&amp;(L53+1))* INDIRECT("[EnemyMasterData.xlsm]enemies!E"&amp;(L53+1))* INDIRECT("[EnemyMasterData.xlsm]enemies!S"&amp;(L53+1))* INDIRECT("[EnemyMasterData.xlsm]enemies!AD"&amp;(L53+1))*[4]ステータス!$B$2,0)*S53</f>
        <v>6773</v>
      </c>
      <c r="U53" s="19">
        <v>0.6</v>
      </c>
      <c r="V53" s="92">
        <f ca="1">ROUND(VLOOKUP(R53,[3]enemy_base_stats!$A:$F,3,FALSE) *INDIRECT("[EnemyMasterData.xlsm]enemies!Z"&amp;(L53+1))*  INDIRECT("[EnemyMasterData.xlsm]enemies!K"&amp;(L53+1))* INDIRECT("[EnemyMasterData.xlsm]enemies!P"&amp;(L53+1))* INDIRECT("[EnemyMasterData.xlsm]enemies!F"&amp;(L53+1))* INDIRECT("[EnemyMasterData.xlsm]enemies!T"&amp;(L53+1))* INDIRECT("[EnemyMasterData.xlsm]enemies!AE"&amp;(L53+1))*[4]ステータス!$C$2,0)*U53</f>
        <v>1141.8</v>
      </c>
      <c r="W53" s="5">
        <v>0</v>
      </c>
      <c r="X53" s="4" t="e">
        <f ca="1">VLOOKUP($Y53,OFFSET(enemy_skill_sets!$B$1,0,0,COUNTA(enemy_skill_sets!$B:$B),MATCH(M$1,enemy_skill_sets!$1:$1,0)-MATCH($Y$1,enemy_skill_sets!$1:$1,0)+2),MATCH(M$1,enemy_skill_sets!$1:$1,0)-MATCH($Y$1,enemy_skill_sets!$1:$1,0)+2,FALSE)</f>
        <v>#N/A</v>
      </c>
      <c r="Y53" s="4">
        <f ca="1">VLOOKUP($L53,OFFSET([3]enemies!$A$1,0,0,COUNTA([3]enemies!$A:$A),MATCH(Y$1,[3]enemies!$1:$1,0)-MATCH($L$1,[3]enemies!$1:$1,0)+1),MATCH(Y$1,[3]enemies!$1:$1,0)-MATCH($L$1,[3]enemies!$1:$1,0)+1,FALSE)</f>
        <v>0</v>
      </c>
      <c r="Z53" s="6">
        <v>0</v>
      </c>
      <c r="AA53" s="6">
        <v>100</v>
      </c>
      <c r="AB53" s="6">
        <v>0</v>
      </c>
      <c r="AC53" s="14">
        <v>1</v>
      </c>
      <c r="AD53" s="98">
        <f t="shared" si="8"/>
        <v>534</v>
      </c>
      <c r="AE53" s="4" t="str">
        <f ca="1">VLOOKUP($AD53,OFFSET([4]characters!$A$1,0,0,COUNTA([4]characters!$A:$A),MATCH(AE$1,[4]characters!$1:$1,0)-MATCH("character_id",[4]characters!$1:$1,0)+1),MATCH(AE$1,[4]characters!$1:$1,0)-MATCH("character_id",[4]characters!$1:$1,0)+1,FALSE)</f>
        <v>冬服パトライン</v>
      </c>
      <c r="AF53" s="4">
        <f ca="1">VLOOKUP($AD53,OFFSET([4]characters!$A$1,0,0,COUNTA([4]characters!$A:$A),MATCH(AF$1,[4]characters!$1:$1,0)-MATCH("character_id",[4]characters!$1:$1,0)+1),MATCH(AF$1,[4]characters!$1:$1,0)-MATCH("character_id",[4]characters!$1:$1,0)+1,FALSE)</f>
        <v>1</v>
      </c>
      <c r="AG53" s="4" t="str">
        <f ca="1">VLOOKUP($AD53,OFFSET([4]characters!$A$1,0,0,COUNTA([4]characters!$A:$A),MATCH(AG$1,[4]characters!$1:$1,0)-MATCH("character_id",[4]characters!$1:$1,0)+1),MATCH(AG$1,[4]characters!$1:$1,0)-MATCH("character_id",[4]characters!$1:$1,0)+1,FALSE)</f>
        <v>Drop1W</v>
      </c>
      <c r="AH53" s="94">
        <v>1</v>
      </c>
      <c r="AI53" s="98">
        <f t="shared" ca="1" si="9"/>
        <v>1</v>
      </c>
      <c r="AJ53" s="7">
        <v>20</v>
      </c>
      <c r="AK53" s="94">
        <v>0</v>
      </c>
      <c r="AL53" s="94">
        <v>0</v>
      </c>
      <c r="AM53" s="94">
        <v>0</v>
      </c>
      <c r="AN53" s="94">
        <v>0</v>
      </c>
      <c r="AO53" s="94">
        <v>1</v>
      </c>
      <c r="AP53" s="62">
        <v>1</v>
      </c>
    </row>
    <row r="54" spans="1:42" ht="21" customHeight="1" x14ac:dyDescent="0.15">
      <c r="A54" s="13" t="str">
        <f t="shared" si="5"/>
        <v>39008_3-2/535&lt;lv40&gt;s2</v>
      </c>
      <c r="B54" s="17">
        <v>39008</v>
      </c>
      <c r="C54" s="95">
        <v>3</v>
      </c>
      <c r="D54" s="12" t="str">
        <f t="shared" si="6"/>
        <v>39008_3</v>
      </c>
      <c r="E54" s="4" t="str">
        <f ca="1">VLOOKUP($B54,OFFSET([2]quests!$A$1,0,0,COUNTA([2]quests!$A:$A),MATCH(E$1,[2]quests!$1:$1,0)-MATCH($B$1,[2]quests!$1:$1,0)+1),MATCH(E$1,[2]quests!$1:$1,0)-MATCH($B$1,[2]quests!$1:$1,0)+1,FALSE)</f>
        <v>雪の歌姫</v>
      </c>
      <c r="F54" s="4" t="str">
        <f ca="1">VLOOKUP($D54,OFFSET([2]stages!$A$1,0,0,COUNTA([2]stages!$A:$A),MATCH(F$1,[2]stages!$2:$2,0)-MATCH($D$1,[2]stages!$2:$2,0)+1),MATCH(F$1,[2]stages!$2:$2,0)-MATCH($D$1,[2]stages!$2:$2,0)+1,FALSE)</f>
        <v>【上級】雪の歌姫</v>
      </c>
      <c r="G54" s="99">
        <v>2</v>
      </c>
      <c r="H54" s="12" t="str">
        <f t="shared" si="7"/>
        <v>39008_3-2</v>
      </c>
      <c r="I54" s="4">
        <f ca="1">VLOOKUP($H54,OFFSET(floors!$A$1,0,0,COUNTA(floors!$A:$A),MATCH(I$1,floors!$1:$1,0)-MATCH($H$1,floors!$1:$1,0)+1),MATCH(I$1,floors!$1:$1,0)-MATCH($H$1,floors!$1:$1,0)+1,FALSE)</f>
        <v>60</v>
      </c>
      <c r="J54" s="4">
        <f ca="1">VLOOKUP($H54,OFFSET(floors!$A$1,0,0,COUNTA(floors!$A:$A),MATCH(J$1,floors!$1:$1,0)-MATCH($H$1,floors!$1:$1,0)+1),MATCH(J$1,floors!$1:$1,0)-MATCH($H$1,floors!$1:$1,0)+1,FALSE)</f>
        <v>60</v>
      </c>
      <c r="K54" s="32" t="s">
        <v>245</v>
      </c>
      <c r="L54" s="97">
        <v>535</v>
      </c>
      <c r="M54" s="14" t="str">
        <f ca="1">VLOOKUP($L54,OFFSET([3]enemies!$A$1,0,0,COUNTA([3]enemies!$A:$A),MATCH(M$1,[3]enemies!$1:$1,0)-MATCH($L$1,[3]enemies!$1:$1,0)+1),MATCH(M$1,[3]enemies!$1:$1,0)-MATCH($L$1,[3]enemies!$1:$1,0)+1,FALSE)</f>
        <v>冬服リム</v>
      </c>
      <c r="N54" s="14" t="str">
        <f ca="1">VLOOKUP($L54,OFFSET([3]enemies!$A$1,0,0,COUNTA([3]enemies!$A:$A),MATCH(N$1,[3]enemies!$1:$1,0)-MATCH($L$1,[3]enemies!$1:$1,0)+1),MATCH(N$1,[3]enemies!$1:$1,0)-MATCH($L$1,[3]enemies!$1:$1,0)+1,FALSE)</f>
        <v>blue</v>
      </c>
      <c r="O54" s="14" t="str">
        <f ca="1">VLOOKUP($L54,OFFSET([4]characters!$A$1,0,0,COUNTA([4]characters!$A:$A),MATCH(O$1,[4]characters!$1:$1,0)-MATCH($L$1,[4]characters!$1:$1,0)+1),MATCH(O$1,[4]characters!$1:$1,0)-MATCH($L$1,[4]characters!$1:$1,0)+1,FALSE)</f>
        <v>Drop1W</v>
      </c>
      <c r="P54" s="14" t="str">
        <f ca="1">VLOOKUP($L54,OFFSET([3]enemies!$A$1,0,0,COUNTA([3]enemies!$A:$A),MATCH(P$1,[3]enemies!$1:$1,0)-MATCH($L$1,[3]enemies!$1:$1,0)+1),MATCH(P$1,[3]enemies!$1:$1,0)-MATCH($L$1,[3]enemies!$1:$1,0)+1,FALSE)</f>
        <v>human</v>
      </c>
      <c r="Q54" s="14">
        <f ca="1">VLOOKUP($L54,OFFSET([3]enemies!$A$1,0,0,COUNTA([3]enemies!$A:$A),MATCH(Q$1,[3]enemies!$1:$1,0)-MATCH($L$1,[3]enemies!$1:$1,0)+1),MATCH(Q$1,[3]enemies!$1:$1,0)-MATCH($L$1,[3]enemies!$1:$1,0)+1,FALSE)</f>
        <v>15</v>
      </c>
      <c r="R54" s="5">
        <v>40</v>
      </c>
      <c r="S54" s="19">
        <v>1</v>
      </c>
      <c r="T54" s="92">
        <f ca="1">ROUND(VLOOKUP(R54,[3]enemy_base_stats!$A:$F,2,FALSE) *INDIRECT("[EnemyMasterData.xlsm]enemies!Y"&amp;(L54+1))*  INDIRECT("[EnemyMasterData.xlsm]enemies!J"&amp;(L54+1))* INDIRECT("[EnemyMasterData.xlsm]enemies!O"&amp;(L54+1))* INDIRECT("[EnemyMasterData.xlsm]enemies!E"&amp;(L54+1))* INDIRECT("[EnemyMasterData.xlsm]enemies!S"&amp;(L54+1))* INDIRECT("[EnemyMasterData.xlsm]enemies!AD"&amp;(L54+1))*[4]ステータス!$B$2,0)*S54</f>
        <v>7802</v>
      </c>
      <c r="U54" s="19">
        <v>0.6</v>
      </c>
      <c r="V54" s="92">
        <f ca="1">ROUND(VLOOKUP(R54,[3]enemy_base_stats!$A:$F,3,FALSE) *INDIRECT("[EnemyMasterData.xlsm]enemies!Z"&amp;(L54+1))*  INDIRECT("[EnemyMasterData.xlsm]enemies!K"&amp;(L54+1))* INDIRECT("[EnemyMasterData.xlsm]enemies!P"&amp;(L54+1))* INDIRECT("[EnemyMasterData.xlsm]enemies!F"&amp;(L54+1))* INDIRECT("[EnemyMasterData.xlsm]enemies!T"&amp;(L54+1))* INDIRECT("[EnemyMasterData.xlsm]enemies!AE"&amp;(L54+1))*[4]ステータス!$C$2,0)*U54</f>
        <v>1449.6</v>
      </c>
      <c r="W54" s="5">
        <v>0</v>
      </c>
      <c r="X54" s="4" t="e">
        <f ca="1">VLOOKUP($Y54,OFFSET(enemy_skill_sets!$B$1,0,0,COUNTA(enemy_skill_sets!$B:$B),MATCH(M$1,enemy_skill_sets!$1:$1,0)-MATCH($Y$1,enemy_skill_sets!$1:$1,0)+2),MATCH(M$1,enemy_skill_sets!$1:$1,0)-MATCH($Y$1,enemy_skill_sets!$1:$1,0)+2,FALSE)</f>
        <v>#N/A</v>
      </c>
      <c r="Y54" s="4">
        <f ca="1">VLOOKUP($L54,OFFSET([3]enemies!$A$1,0,0,COUNTA([3]enemies!$A:$A),MATCH(Y$1,[3]enemies!$1:$1,0)-MATCH($L$1,[3]enemies!$1:$1,0)+1),MATCH(Y$1,[3]enemies!$1:$1,0)-MATCH($L$1,[3]enemies!$1:$1,0)+1,FALSE)</f>
        <v>0</v>
      </c>
      <c r="Z54" s="6">
        <v>0</v>
      </c>
      <c r="AA54" s="6">
        <v>100</v>
      </c>
      <c r="AB54" s="6">
        <v>0</v>
      </c>
      <c r="AC54" s="14">
        <v>2</v>
      </c>
      <c r="AD54" s="98">
        <f t="shared" si="8"/>
        <v>535</v>
      </c>
      <c r="AE54" s="4" t="str">
        <f ca="1">VLOOKUP($AD54,OFFSET([4]characters!$A$1,0,0,COUNTA([4]characters!$A:$A),MATCH(AE$1,[4]characters!$1:$1,0)-MATCH("character_id",[4]characters!$1:$1,0)+1),MATCH(AE$1,[4]characters!$1:$1,0)-MATCH("character_id",[4]characters!$1:$1,0)+1,FALSE)</f>
        <v>冬服リム</v>
      </c>
      <c r="AF54" s="4">
        <f ca="1">VLOOKUP($AD54,OFFSET([4]characters!$A$1,0,0,COUNTA([4]characters!$A:$A),MATCH(AF$1,[4]characters!$1:$1,0)-MATCH("character_id",[4]characters!$1:$1,0)+1),MATCH(AF$1,[4]characters!$1:$1,0)-MATCH("character_id",[4]characters!$1:$1,0)+1,FALSE)</f>
        <v>1</v>
      </c>
      <c r="AG54" s="4" t="str">
        <f ca="1">VLOOKUP($AD54,OFFSET([4]characters!$A$1,0,0,COUNTA([4]characters!$A:$A),MATCH(AG$1,[4]characters!$1:$1,0)-MATCH("character_id",[4]characters!$1:$1,0)+1),MATCH(AG$1,[4]characters!$1:$1,0)-MATCH("character_id",[4]characters!$1:$1,0)+1,FALSE)</f>
        <v>Drop1W</v>
      </c>
      <c r="AH54" s="94">
        <v>1</v>
      </c>
      <c r="AI54" s="98">
        <f t="shared" ca="1" si="9"/>
        <v>1</v>
      </c>
      <c r="AJ54" s="7">
        <v>20</v>
      </c>
      <c r="AK54" s="94">
        <v>0</v>
      </c>
      <c r="AL54" s="94">
        <v>0</v>
      </c>
      <c r="AM54" s="94">
        <v>0</v>
      </c>
      <c r="AN54" s="94">
        <v>0</v>
      </c>
      <c r="AO54" s="94">
        <v>1</v>
      </c>
      <c r="AP54" s="62">
        <v>1</v>
      </c>
    </row>
    <row r="55" spans="1:42" ht="21" customHeight="1" x14ac:dyDescent="0.15">
      <c r="A55" s="13" t="str">
        <f t="shared" si="5"/>
        <v>39008_3-2/536&lt;lv40&gt;s2</v>
      </c>
      <c r="B55" s="17">
        <v>39008</v>
      </c>
      <c r="C55" s="95">
        <v>3</v>
      </c>
      <c r="D55" s="12" t="str">
        <f t="shared" si="6"/>
        <v>39008_3</v>
      </c>
      <c r="E55" s="4" t="str">
        <f ca="1">VLOOKUP($B55,OFFSET([2]quests!$A$1,0,0,COUNTA([2]quests!$A:$A),MATCH(E$1,[2]quests!$1:$1,0)-MATCH($B$1,[2]quests!$1:$1,0)+1),MATCH(E$1,[2]quests!$1:$1,0)-MATCH($B$1,[2]quests!$1:$1,0)+1,FALSE)</f>
        <v>雪の歌姫</v>
      </c>
      <c r="F55" s="4" t="str">
        <f ca="1">VLOOKUP($D55,OFFSET([2]stages!$A$1,0,0,COUNTA([2]stages!$A:$A),MATCH(F$1,[2]stages!$2:$2,0)-MATCH($D$1,[2]stages!$2:$2,0)+1),MATCH(F$1,[2]stages!$2:$2,0)-MATCH($D$1,[2]stages!$2:$2,0)+1,FALSE)</f>
        <v>【上級】雪の歌姫</v>
      </c>
      <c r="G55" s="99">
        <v>2</v>
      </c>
      <c r="H55" s="12" t="str">
        <f t="shared" si="7"/>
        <v>39008_3-2</v>
      </c>
      <c r="I55" s="4">
        <f ca="1">VLOOKUP($H55,OFFSET(floors!$A$1,0,0,COUNTA(floors!$A:$A),MATCH(I$1,floors!$1:$1,0)-MATCH($H$1,floors!$1:$1,0)+1),MATCH(I$1,floors!$1:$1,0)-MATCH($H$1,floors!$1:$1,0)+1,FALSE)</f>
        <v>60</v>
      </c>
      <c r="J55" s="4">
        <f ca="1">VLOOKUP($H55,OFFSET(floors!$A$1,0,0,COUNTA(floors!$A:$A),MATCH(J$1,floors!$1:$1,0)-MATCH($H$1,floors!$1:$1,0)+1),MATCH(J$1,floors!$1:$1,0)-MATCH($H$1,floors!$1:$1,0)+1,FALSE)</f>
        <v>60</v>
      </c>
      <c r="K55" s="32" t="s">
        <v>245</v>
      </c>
      <c r="L55" s="97">
        <v>536</v>
      </c>
      <c r="M55" s="14" t="str">
        <f ca="1">VLOOKUP($L55,OFFSET([3]enemies!$A$1,0,0,COUNTA([3]enemies!$A:$A),MATCH(M$1,[3]enemies!$1:$1,0)-MATCH($L$1,[3]enemies!$1:$1,0)+1),MATCH(M$1,[3]enemies!$1:$1,0)-MATCH($L$1,[3]enemies!$1:$1,0)+1,FALSE)</f>
        <v>冬服ミミ</v>
      </c>
      <c r="N55" s="14" t="str">
        <f ca="1">VLOOKUP($L55,OFFSET([3]enemies!$A$1,0,0,COUNTA([3]enemies!$A:$A),MATCH(N$1,[3]enemies!$1:$1,0)-MATCH($L$1,[3]enemies!$1:$1,0)+1),MATCH(N$1,[3]enemies!$1:$1,0)-MATCH($L$1,[3]enemies!$1:$1,0)+1,FALSE)</f>
        <v>yellow</v>
      </c>
      <c r="O55" s="14" t="str">
        <f ca="1">VLOOKUP($L55,OFFSET([4]characters!$A$1,0,0,COUNTA([4]characters!$A:$A),MATCH(O$1,[4]characters!$1:$1,0)-MATCH($L$1,[4]characters!$1:$1,0)+1),MATCH(O$1,[4]characters!$1:$1,0)-MATCH($L$1,[4]characters!$1:$1,0)+1,FALSE)</f>
        <v>Drop1W</v>
      </c>
      <c r="P55" s="14" t="str">
        <f ca="1">VLOOKUP($L55,OFFSET([3]enemies!$A$1,0,0,COUNTA([3]enemies!$A:$A),MATCH(P$1,[3]enemies!$1:$1,0)-MATCH($L$1,[3]enemies!$1:$1,0)+1),MATCH(P$1,[3]enemies!$1:$1,0)-MATCH($L$1,[3]enemies!$1:$1,0)+1,FALSE)</f>
        <v>animal</v>
      </c>
      <c r="Q55" s="14">
        <f ca="1">VLOOKUP($L55,OFFSET([3]enemies!$A$1,0,0,COUNTA([3]enemies!$A:$A),MATCH(Q$1,[3]enemies!$1:$1,0)-MATCH($L$1,[3]enemies!$1:$1,0)+1),MATCH(Q$1,[3]enemies!$1:$1,0)-MATCH($L$1,[3]enemies!$1:$1,0)+1,FALSE)</f>
        <v>15</v>
      </c>
      <c r="R55" s="5">
        <v>40</v>
      </c>
      <c r="S55" s="19">
        <v>1</v>
      </c>
      <c r="T55" s="92">
        <f ca="1">ROUND(VLOOKUP(R55,[3]enemy_base_stats!$A:$F,2,FALSE) *INDIRECT("[EnemyMasterData.xlsm]enemies!Y"&amp;(L55+1))*  INDIRECT("[EnemyMasterData.xlsm]enemies!J"&amp;(L55+1))* INDIRECT("[EnemyMasterData.xlsm]enemies!O"&amp;(L55+1))* INDIRECT("[EnemyMasterData.xlsm]enemies!E"&amp;(L55+1))* INDIRECT("[EnemyMasterData.xlsm]enemies!S"&amp;(L55+1))* INDIRECT("[EnemyMasterData.xlsm]enemies!AD"&amp;(L55+1))*[4]ステータス!$B$2,0)*S55</f>
        <v>8134</v>
      </c>
      <c r="U55" s="19">
        <v>0.4</v>
      </c>
      <c r="V55" s="92">
        <f ca="1">ROUND(VLOOKUP(R55,[3]enemy_base_stats!$A:$F,3,FALSE) *INDIRECT("[EnemyMasterData.xlsm]enemies!Z"&amp;(L55+1))*  INDIRECT("[EnemyMasterData.xlsm]enemies!K"&amp;(L55+1))* INDIRECT("[EnemyMasterData.xlsm]enemies!P"&amp;(L55+1))* INDIRECT("[EnemyMasterData.xlsm]enemies!F"&amp;(L55+1))* INDIRECT("[EnemyMasterData.xlsm]enemies!T"&amp;(L55+1))* INDIRECT("[EnemyMasterData.xlsm]enemies!AE"&amp;(L55+1))*[4]ステータス!$C$2,0)*U55</f>
        <v>1471.6000000000001</v>
      </c>
      <c r="W55" s="5">
        <v>0</v>
      </c>
      <c r="X55" s="4" t="e">
        <f ca="1">VLOOKUP($Y55,OFFSET(enemy_skill_sets!$B$1,0,0,COUNTA(enemy_skill_sets!$B:$B),MATCH(M$1,enemy_skill_sets!$1:$1,0)-MATCH($Y$1,enemy_skill_sets!$1:$1,0)+2),MATCH(M$1,enemy_skill_sets!$1:$1,0)-MATCH($Y$1,enemy_skill_sets!$1:$1,0)+2,FALSE)</f>
        <v>#N/A</v>
      </c>
      <c r="Y55" s="4">
        <f ca="1">VLOOKUP($L55,OFFSET([3]enemies!$A$1,0,0,COUNTA([3]enemies!$A:$A),MATCH(Y$1,[3]enemies!$1:$1,0)-MATCH($L$1,[3]enemies!$1:$1,0)+1),MATCH(Y$1,[3]enemies!$1:$1,0)-MATCH($L$1,[3]enemies!$1:$1,0)+1,FALSE)</f>
        <v>0</v>
      </c>
      <c r="Z55" s="6">
        <v>0</v>
      </c>
      <c r="AA55" s="6">
        <v>100</v>
      </c>
      <c r="AB55" s="6">
        <v>0</v>
      </c>
      <c r="AC55" s="14">
        <v>2</v>
      </c>
      <c r="AD55" s="98">
        <f t="shared" si="8"/>
        <v>536</v>
      </c>
      <c r="AE55" s="4" t="str">
        <f ca="1">VLOOKUP($AD55,OFFSET([4]characters!$A$1,0,0,COUNTA([4]characters!$A:$A),MATCH(AE$1,[4]characters!$1:$1,0)-MATCH("character_id",[4]characters!$1:$1,0)+1),MATCH(AE$1,[4]characters!$1:$1,0)-MATCH("character_id",[4]characters!$1:$1,0)+1,FALSE)</f>
        <v>冬服ミミ</v>
      </c>
      <c r="AF55" s="4">
        <f ca="1">VLOOKUP($AD55,OFFSET([4]characters!$A$1,0,0,COUNTA([4]characters!$A:$A),MATCH(AF$1,[4]characters!$1:$1,0)-MATCH("character_id",[4]characters!$1:$1,0)+1),MATCH(AF$1,[4]characters!$1:$1,0)-MATCH("character_id",[4]characters!$1:$1,0)+1,FALSE)</f>
        <v>1</v>
      </c>
      <c r="AG55" s="4" t="str">
        <f ca="1">VLOOKUP($AD55,OFFSET([4]characters!$A$1,0,0,COUNTA([4]characters!$A:$A),MATCH(AG$1,[4]characters!$1:$1,0)-MATCH("character_id",[4]characters!$1:$1,0)+1),MATCH(AG$1,[4]characters!$1:$1,0)-MATCH("character_id",[4]characters!$1:$1,0)+1,FALSE)</f>
        <v>Drop1W</v>
      </c>
      <c r="AH55" s="94">
        <v>1</v>
      </c>
      <c r="AI55" s="98">
        <f t="shared" ca="1" si="9"/>
        <v>1</v>
      </c>
      <c r="AJ55" s="7">
        <v>20</v>
      </c>
      <c r="AK55" s="94">
        <v>0</v>
      </c>
      <c r="AL55" s="94">
        <v>0</v>
      </c>
      <c r="AM55" s="94">
        <v>0</v>
      </c>
      <c r="AN55" s="94">
        <v>0</v>
      </c>
      <c r="AO55" s="94">
        <v>1</v>
      </c>
      <c r="AP55" s="62">
        <v>1</v>
      </c>
    </row>
    <row r="56" spans="1:42" ht="21" customHeight="1" x14ac:dyDescent="0.15">
      <c r="A56" s="13" t="str">
        <f t="shared" si="5"/>
        <v>39008_3-2/537&lt;lv40&gt;s2</v>
      </c>
      <c r="B56" s="17">
        <v>39008</v>
      </c>
      <c r="C56" s="95">
        <v>3</v>
      </c>
      <c r="D56" s="12" t="str">
        <f t="shared" si="6"/>
        <v>39008_3</v>
      </c>
      <c r="E56" s="4" t="str">
        <f ca="1">VLOOKUP($B56,OFFSET([2]quests!$A$1,0,0,COUNTA([2]quests!$A:$A),MATCH(E$1,[2]quests!$1:$1,0)-MATCH($B$1,[2]quests!$1:$1,0)+1),MATCH(E$1,[2]quests!$1:$1,0)-MATCH($B$1,[2]quests!$1:$1,0)+1,FALSE)</f>
        <v>雪の歌姫</v>
      </c>
      <c r="F56" s="4" t="str">
        <f ca="1">VLOOKUP($D56,OFFSET([2]stages!$A$1,0,0,COUNTA([2]stages!$A:$A),MATCH(F$1,[2]stages!$2:$2,0)-MATCH($D$1,[2]stages!$2:$2,0)+1),MATCH(F$1,[2]stages!$2:$2,0)-MATCH($D$1,[2]stages!$2:$2,0)+1,FALSE)</f>
        <v>【上級】雪の歌姫</v>
      </c>
      <c r="G56" s="99">
        <v>2</v>
      </c>
      <c r="H56" s="12" t="str">
        <f t="shared" si="7"/>
        <v>39008_3-2</v>
      </c>
      <c r="I56" s="4">
        <f ca="1">VLOOKUP($H56,OFFSET(floors!$A$1,0,0,COUNTA(floors!$A:$A),MATCH(I$1,floors!$1:$1,0)-MATCH($H$1,floors!$1:$1,0)+1),MATCH(I$1,floors!$1:$1,0)-MATCH($H$1,floors!$1:$1,0)+1,FALSE)</f>
        <v>60</v>
      </c>
      <c r="J56" s="4">
        <f ca="1">VLOOKUP($H56,OFFSET(floors!$A$1,0,0,COUNTA(floors!$A:$A),MATCH(J$1,floors!$1:$1,0)-MATCH($H$1,floors!$1:$1,0)+1),MATCH(J$1,floors!$1:$1,0)-MATCH($H$1,floors!$1:$1,0)+1,FALSE)</f>
        <v>60</v>
      </c>
      <c r="K56" s="32" t="s">
        <v>245</v>
      </c>
      <c r="L56" s="97">
        <v>537</v>
      </c>
      <c r="M56" s="14" t="str">
        <f ca="1">VLOOKUP($L56,OFFSET([3]enemies!$A$1,0,0,COUNTA([3]enemies!$A:$A),MATCH(M$1,[3]enemies!$1:$1,0)-MATCH($L$1,[3]enemies!$1:$1,0)+1),MATCH(M$1,[3]enemies!$1:$1,0)-MATCH($L$1,[3]enemies!$1:$1,0)+1,FALSE)</f>
        <v>冬服ハッピー100</v>
      </c>
      <c r="N56" s="14" t="str">
        <f ca="1">VLOOKUP($L56,OFFSET([3]enemies!$A$1,0,0,COUNTA([3]enemies!$A:$A),MATCH(N$1,[3]enemies!$1:$1,0)-MATCH($L$1,[3]enemies!$1:$1,0)+1),MATCH(N$1,[3]enemies!$1:$1,0)-MATCH($L$1,[3]enemies!$1:$1,0)+1,FALSE)</f>
        <v>green</v>
      </c>
      <c r="O56" s="14" t="str">
        <f ca="1">VLOOKUP($L56,OFFSET([4]characters!$A$1,0,0,COUNTA([4]characters!$A:$A),MATCH(O$1,[4]characters!$1:$1,0)-MATCH($L$1,[4]characters!$1:$1,0)+1),MATCH(O$1,[4]characters!$1:$1,0)-MATCH($L$1,[4]characters!$1:$1,0)+1,FALSE)</f>
        <v>DropWizW</v>
      </c>
      <c r="P56" s="14" t="str">
        <f ca="1">VLOOKUP($L56,OFFSET([3]enemies!$A$1,0,0,COUNTA([3]enemies!$A:$A),MATCH(P$1,[3]enemies!$1:$1,0)-MATCH($L$1,[3]enemies!$1:$1,0)+1),MATCH(P$1,[3]enemies!$1:$1,0)-MATCH($L$1,[3]enemies!$1:$1,0)+1,FALSE)</f>
        <v>unknown</v>
      </c>
      <c r="Q56" s="14">
        <f ca="1">VLOOKUP($L56,OFFSET([3]enemies!$A$1,0,0,COUNTA([3]enemies!$A:$A),MATCH(Q$1,[3]enemies!$1:$1,0)-MATCH($L$1,[3]enemies!$1:$1,0)+1),MATCH(Q$1,[3]enemies!$1:$1,0)-MATCH($L$1,[3]enemies!$1:$1,0)+1,FALSE)</f>
        <v>25</v>
      </c>
      <c r="R56" s="5">
        <v>40</v>
      </c>
      <c r="S56" s="19">
        <v>2</v>
      </c>
      <c r="T56" s="92">
        <f ca="1">ROUND(VLOOKUP(R56,[3]enemy_base_stats!$A:$F,2,FALSE) *INDIRECT("[EnemyMasterData.xlsm]enemies!Y"&amp;(L56+1))*  INDIRECT("[EnemyMasterData.xlsm]enemies!J"&amp;(L56+1))* INDIRECT("[EnemyMasterData.xlsm]enemies!O"&amp;(L56+1))* INDIRECT("[EnemyMasterData.xlsm]enemies!E"&amp;(L56+1))* INDIRECT("[EnemyMasterData.xlsm]enemies!S"&amp;(L56+1))* INDIRECT("[EnemyMasterData.xlsm]enemies!AD"&amp;(L56+1))*[4]ステータス!$B$2,0)*S56</f>
        <v>16254</v>
      </c>
      <c r="U56" s="19">
        <v>1</v>
      </c>
      <c r="V56" s="92">
        <f ca="1">ROUND(VLOOKUP(R56,[3]enemy_base_stats!$A:$F,3,FALSE) *INDIRECT("[EnemyMasterData.xlsm]enemies!Z"&amp;(L56+1))*  INDIRECT("[EnemyMasterData.xlsm]enemies!K"&amp;(L56+1))* INDIRECT("[EnemyMasterData.xlsm]enemies!P"&amp;(L56+1))* INDIRECT("[EnemyMasterData.xlsm]enemies!F"&amp;(L56+1))* INDIRECT("[EnemyMasterData.xlsm]enemies!T"&amp;(L56+1))* INDIRECT("[EnemyMasterData.xlsm]enemies!AE"&amp;(L56+1))*[4]ステータス!$C$2,0)*U56</f>
        <v>2379</v>
      </c>
      <c r="W56" s="5">
        <v>0</v>
      </c>
      <c r="X56" s="4" t="e">
        <f ca="1">VLOOKUP($Y56,OFFSET(enemy_skill_sets!$B$1,0,0,COUNTA(enemy_skill_sets!$B:$B),MATCH(M$1,enemy_skill_sets!$1:$1,0)-MATCH($Y$1,enemy_skill_sets!$1:$1,0)+2),MATCH(M$1,enemy_skill_sets!$1:$1,0)-MATCH($Y$1,enemy_skill_sets!$1:$1,0)+2,FALSE)</f>
        <v>#N/A</v>
      </c>
      <c r="Y56" s="4">
        <f ca="1">VLOOKUP($L56,OFFSET([3]enemies!$A$1,0,0,COUNTA([3]enemies!$A:$A),MATCH(Y$1,[3]enemies!$1:$1,0)-MATCH($L$1,[3]enemies!$1:$1,0)+1),MATCH(Y$1,[3]enemies!$1:$1,0)-MATCH($L$1,[3]enemies!$1:$1,0)+1,FALSE)</f>
        <v>0</v>
      </c>
      <c r="Z56" s="6">
        <v>0</v>
      </c>
      <c r="AA56" s="6">
        <v>30</v>
      </c>
      <c r="AB56" s="6">
        <v>1</v>
      </c>
      <c r="AC56" s="14">
        <v>2</v>
      </c>
      <c r="AD56" s="98">
        <f t="shared" si="8"/>
        <v>537</v>
      </c>
      <c r="AE56" s="4" t="str">
        <f ca="1">VLOOKUP($AD56,OFFSET([4]characters!$A$1,0,0,COUNTA([4]characters!$A:$A),MATCH(AE$1,[4]characters!$1:$1,0)-MATCH("character_id",[4]characters!$1:$1,0)+1),MATCH(AE$1,[4]characters!$1:$1,0)-MATCH("character_id",[4]characters!$1:$1,0)+1,FALSE)</f>
        <v>冬服ハッピー100</v>
      </c>
      <c r="AF56" s="4">
        <f ca="1">VLOOKUP($AD56,OFFSET([4]characters!$A$1,0,0,COUNTA([4]characters!$A:$A),MATCH(AF$1,[4]characters!$1:$1,0)-MATCH("character_id",[4]characters!$1:$1,0)+1),MATCH(AF$1,[4]characters!$1:$1,0)-MATCH("character_id",[4]characters!$1:$1,0)+1,FALSE)</f>
        <v>3</v>
      </c>
      <c r="AG56" s="4" t="str">
        <f ca="1">VLOOKUP($AD56,OFFSET([4]characters!$A$1,0,0,COUNTA([4]characters!$A:$A),MATCH(AG$1,[4]characters!$1:$1,0)-MATCH("character_id",[4]characters!$1:$1,0)+1),MATCH(AG$1,[4]characters!$1:$1,0)-MATCH("character_id",[4]characters!$1:$1,0)+1,FALSE)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56" s="94">
        <v>1</v>
      </c>
      <c r="AI56" s="98">
        <f t="shared" ca="1" si="9"/>
        <v>3</v>
      </c>
      <c r="AJ56" s="7">
        <v>20</v>
      </c>
      <c r="AK56" s="94">
        <v>0</v>
      </c>
      <c r="AL56" s="94">
        <v>0</v>
      </c>
      <c r="AM56" s="94">
        <v>0</v>
      </c>
      <c r="AN56" s="94">
        <v>0</v>
      </c>
      <c r="AO56" s="94">
        <v>1</v>
      </c>
      <c r="AP56" s="62">
        <v>1</v>
      </c>
    </row>
    <row r="57" spans="1:42" ht="21" customHeight="1" x14ac:dyDescent="0.15">
      <c r="A57" s="13" t="str">
        <f t="shared" si="5"/>
        <v>39008_3-2/538&lt;lv40&gt;s2</v>
      </c>
      <c r="B57" s="17">
        <v>39008</v>
      </c>
      <c r="C57" s="95">
        <v>3</v>
      </c>
      <c r="D57" s="12" t="str">
        <f t="shared" si="6"/>
        <v>39008_3</v>
      </c>
      <c r="E57" s="4" t="str">
        <f ca="1">VLOOKUP($B57,OFFSET([2]quests!$A$1,0,0,COUNTA([2]quests!$A:$A),MATCH(E$1,[2]quests!$1:$1,0)-MATCH($B$1,[2]quests!$1:$1,0)+1),MATCH(E$1,[2]quests!$1:$1,0)-MATCH($B$1,[2]quests!$1:$1,0)+1,FALSE)</f>
        <v>雪の歌姫</v>
      </c>
      <c r="F57" s="4" t="str">
        <f ca="1">VLOOKUP($D57,OFFSET([2]stages!$A$1,0,0,COUNTA([2]stages!$A:$A),MATCH(F$1,[2]stages!$2:$2,0)-MATCH($D$1,[2]stages!$2:$2,0)+1),MATCH(F$1,[2]stages!$2:$2,0)-MATCH($D$1,[2]stages!$2:$2,0)+1,FALSE)</f>
        <v>【上級】雪の歌姫</v>
      </c>
      <c r="G57" s="99">
        <v>2</v>
      </c>
      <c r="H57" s="12" t="str">
        <f t="shared" si="7"/>
        <v>39008_3-2</v>
      </c>
      <c r="I57" s="4">
        <f ca="1">VLOOKUP($H57,OFFSET(floors!$A$1,0,0,COUNTA(floors!$A:$A),MATCH(I$1,floors!$1:$1,0)-MATCH($H$1,floors!$1:$1,0)+1),MATCH(I$1,floors!$1:$1,0)-MATCH($H$1,floors!$1:$1,0)+1,FALSE)</f>
        <v>60</v>
      </c>
      <c r="J57" s="4">
        <f ca="1">VLOOKUP($H57,OFFSET(floors!$A$1,0,0,COUNTA(floors!$A:$A),MATCH(J$1,floors!$1:$1,0)-MATCH($H$1,floors!$1:$1,0)+1),MATCH(J$1,floors!$1:$1,0)-MATCH($H$1,floors!$1:$1,0)+1,FALSE)</f>
        <v>60</v>
      </c>
      <c r="K57" s="32" t="s">
        <v>245</v>
      </c>
      <c r="L57" s="97">
        <v>538</v>
      </c>
      <c r="M57" s="14" t="str">
        <f ca="1">VLOOKUP($L57,OFFSET([3]enemies!$A$1,0,0,COUNTA([3]enemies!$A:$A),MATCH(M$1,[3]enemies!$1:$1,0)-MATCH($L$1,[3]enemies!$1:$1,0)+1),MATCH(M$1,[3]enemies!$1:$1,0)-MATCH($L$1,[3]enemies!$1:$1,0)+1,FALSE)</f>
        <v>冬服ニムダ</v>
      </c>
      <c r="N57" s="14" t="str">
        <f ca="1">VLOOKUP($L57,OFFSET([3]enemies!$A$1,0,0,COUNTA([3]enemies!$A:$A),MATCH(N$1,[3]enemies!$1:$1,0)-MATCH($L$1,[3]enemies!$1:$1,0)+1),MATCH(N$1,[3]enemies!$1:$1,0)-MATCH($L$1,[3]enemies!$1:$1,0)+1,FALSE)</f>
        <v>yellow</v>
      </c>
      <c r="O57" s="14" t="str">
        <f ca="1">VLOOKUP($L57,OFFSET([4]characters!$A$1,0,0,COUNTA([4]characters!$A:$A),MATCH(O$1,[4]characters!$1:$1,0)-MATCH($L$1,[4]characters!$1:$1,0)+1),MATCH(O$1,[4]characters!$1:$1,0)-MATCH($L$1,[4]characters!$1:$1,0)+1,FALSE)</f>
        <v>DropWizW</v>
      </c>
      <c r="P57" s="14" t="str">
        <f ca="1">VLOOKUP($L57,OFFSET([3]enemies!$A$1,0,0,COUNTA([3]enemies!$A:$A),MATCH(P$1,[3]enemies!$1:$1,0)-MATCH($L$1,[3]enemies!$1:$1,0)+1),MATCH(P$1,[3]enemies!$1:$1,0)-MATCH($L$1,[3]enemies!$1:$1,0)+1,FALSE)</f>
        <v>unknown</v>
      </c>
      <c r="Q57" s="14">
        <f ca="1">VLOOKUP($L57,OFFSET([3]enemies!$A$1,0,0,COUNTA([3]enemies!$A:$A),MATCH(Q$1,[3]enemies!$1:$1,0)-MATCH($L$1,[3]enemies!$1:$1,0)+1),MATCH(Q$1,[3]enemies!$1:$1,0)-MATCH($L$1,[3]enemies!$1:$1,0)+1,FALSE)</f>
        <v>25</v>
      </c>
      <c r="R57" s="5">
        <v>40</v>
      </c>
      <c r="S57" s="19">
        <v>2</v>
      </c>
      <c r="T57" s="92">
        <f ca="1">ROUND(VLOOKUP(R57,[3]enemy_base_stats!$A:$F,2,FALSE) *INDIRECT("[EnemyMasterData.xlsm]enemies!Y"&amp;(L57+1))*  INDIRECT("[EnemyMasterData.xlsm]enemies!J"&amp;(L57+1))* INDIRECT("[EnemyMasterData.xlsm]enemies!O"&amp;(L57+1))* INDIRECT("[EnemyMasterData.xlsm]enemies!E"&amp;(L57+1))* INDIRECT("[EnemyMasterData.xlsm]enemies!S"&amp;(L57+1))* INDIRECT("[EnemyMasterData.xlsm]enemies!AD"&amp;(L57+1))*[4]ステータス!$B$2,0)*S57</f>
        <v>15618</v>
      </c>
      <c r="U57" s="19">
        <v>1</v>
      </c>
      <c r="V57" s="92">
        <f ca="1">ROUND(VLOOKUP(R57,[3]enemy_base_stats!$A:$F,3,FALSE) *INDIRECT("[EnemyMasterData.xlsm]enemies!Z"&amp;(L57+1))*  INDIRECT("[EnemyMasterData.xlsm]enemies!K"&amp;(L57+1))* INDIRECT("[EnemyMasterData.xlsm]enemies!P"&amp;(L57+1))* INDIRECT("[EnemyMasterData.xlsm]enemies!F"&amp;(L57+1))* INDIRECT("[EnemyMasterData.xlsm]enemies!T"&amp;(L57+1))* INDIRECT("[EnemyMasterData.xlsm]enemies!AE"&amp;(L57+1))*[4]ステータス!$C$2,0)*U57</f>
        <v>2452</v>
      </c>
      <c r="W57" s="5">
        <v>0</v>
      </c>
      <c r="X57" s="4" t="e">
        <f ca="1">VLOOKUP($Y57,OFFSET(enemy_skill_sets!$B$1,0,0,COUNTA(enemy_skill_sets!$B:$B),MATCH(M$1,enemy_skill_sets!$1:$1,0)-MATCH($Y$1,enemy_skill_sets!$1:$1,0)+2),MATCH(M$1,enemy_skill_sets!$1:$1,0)-MATCH($Y$1,enemy_skill_sets!$1:$1,0)+2,FALSE)</f>
        <v>#N/A</v>
      </c>
      <c r="Y57" s="4">
        <f ca="1">VLOOKUP($L57,OFFSET([3]enemies!$A$1,0,0,COUNTA([3]enemies!$A:$A),MATCH(Y$1,[3]enemies!$1:$1,0)-MATCH($L$1,[3]enemies!$1:$1,0)+1),MATCH(Y$1,[3]enemies!$1:$1,0)-MATCH($L$1,[3]enemies!$1:$1,0)+1,FALSE)</f>
        <v>0</v>
      </c>
      <c r="Z57" s="6">
        <v>0</v>
      </c>
      <c r="AA57" s="6">
        <v>30</v>
      </c>
      <c r="AB57" s="6">
        <v>1</v>
      </c>
      <c r="AC57" s="14">
        <v>2</v>
      </c>
      <c r="AD57" s="98">
        <f t="shared" si="8"/>
        <v>538</v>
      </c>
      <c r="AE57" s="4" t="str">
        <f ca="1">VLOOKUP($AD57,OFFSET([4]characters!$A$1,0,0,COUNTA([4]characters!$A:$A),MATCH(AE$1,[4]characters!$1:$1,0)-MATCH("character_id",[4]characters!$1:$1,0)+1),MATCH(AE$1,[4]characters!$1:$1,0)-MATCH("character_id",[4]characters!$1:$1,0)+1,FALSE)</f>
        <v>冬服ニムダ</v>
      </c>
      <c r="AF57" s="4">
        <f ca="1">VLOOKUP($AD57,OFFSET([4]characters!$A$1,0,0,COUNTA([4]characters!$A:$A),MATCH(AF$1,[4]characters!$1:$1,0)-MATCH("character_id",[4]characters!$1:$1,0)+1),MATCH(AF$1,[4]characters!$1:$1,0)-MATCH("character_id",[4]characters!$1:$1,0)+1,FALSE)</f>
        <v>3</v>
      </c>
      <c r="AG57" s="4" t="str">
        <f ca="1">VLOOKUP($AD57,OFFSET([4]characters!$A$1,0,0,COUNTA([4]characters!$A:$A),MATCH(AG$1,[4]characters!$1:$1,0)-MATCH("character_id",[4]characters!$1:$1,0)+1),MATCH(AG$1,[4]characters!$1:$1,0)-MATCH("character_id",[4]characters!$1:$1,0)+1,FALSE)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57" s="94">
        <v>1</v>
      </c>
      <c r="AI57" s="98">
        <f t="shared" ca="1" si="9"/>
        <v>3</v>
      </c>
      <c r="AJ57" s="7">
        <v>20</v>
      </c>
      <c r="AK57" s="94">
        <v>0</v>
      </c>
      <c r="AL57" s="94">
        <v>0</v>
      </c>
      <c r="AM57" s="94">
        <v>0</v>
      </c>
      <c r="AN57" s="94">
        <v>0</v>
      </c>
      <c r="AO57" s="94">
        <v>1</v>
      </c>
      <c r="AP57" s="62">
        <v>1</v>
      </c>
    </row>
    <row r="58" spans="1:42" ht="21" customHeight="1" x14ac:dyDescent="0.15">
      <c r="A58" s="13" t="str">
        <f t="shared" si="5"/>
        <v>39008_3-3/525&lt;lv45&gt;s2</v>
      </c>
      <c r="B58" s="17">
        <v>39008</v>
      </c>
      <c r="C58" s="95">
        <v>3</v>
      </c>
      <c r="D58" s="12" t="str">
        <f t="shared" si="6"/>
        <v>39008_3</v>
      </c>
      <c r="E58" s="4" t="str">
        <f ca="1">VLOOKUP($B58,OFFSET([2]quests!$A$1,0,0,COUNTA([2]quests!$A:$A),MATCH(E$1,[2]quests!$1:$1,0)-MATCH($B$1,[2]quests!$1:$1,0)+1),MATCH(E$1,[2]quests!$1:$1,0)-MATCH($B$1,[2]quests!$1:$1,0)+1,FALSE)</f>
        <v>雪の歌姫</v>
      </c>
      <c r="F58" s="4" t="str">
        <f ca="1">VLOOKUP($D58,OFFSET([2]stages!$A$1,0,0,COUNTA([2]stages!$A:$A),MATCH(F$1,[2]stages!$2:$2,0)-MATCH($D$1,[2]stages!$2:$2,0)+1),MATCH(F$1,[2]stages!$2:$2,0)-MATCH($D$1,[2]stages!$2:$2,0)+1,FALSE)</f>
        <v>【上級】雪の歌姫</v>
      </c>
      <c r="G58" s="101">
        <v>3</v>
      </c>
      <c r="H58" s="12" t="str">
        <f t="shared" si="7"/>
        <v>39008_3-3</v>
      </c>
      <c r="I58" s="4">
        <f ca="1">VLOOKUP($H58,OFFSET(floors!$A$1,0,0,COUNTA(floors!$A:$A),MATCH(I$1,floors!$1:$1,0)-MATCH($H$1,floors!$1:$1,0)+1),MATCH(I$1,floors!$1:$1,0)-MATCH($H$1,floors!$1:$1,0)+1,FALSE)</f>
        <v>60</v>
      </c>
      <c r="J58" s="4">
        <f ca="1">VLOOKUP($H58,OFFSET(floors!$A$1,0,0,COUNTA(floors!$A:$A),MATCH(J$1,floors!$1:$1,0)-MATCH($H$1,floors!$1:$1,0)+1),MATCH(J$1,floors!$1:$1,0)-MATCH($H$1,floors!$1:$1,0)+1,FALSE)</f>
        <v>60</v>
      </c>
      <c r="K58" s="32" t="s">
        <v>245</v>
      </c>
      <c r="L58" s="97">
        <v>525</v>
      </c>
      <c r="M58" s="14" t="str">
        <f ca="1">VLOOKUP($L58,OFFSET([3]enemies!$A$1,0,0,COUNTA([3]enemies!$A:$A),MATCH(M$1,[3]enemies!$1:$1,0)-MATCH($L$1,[3]enemies!$1:$1,0)+1),MATCH(M$1,[3]enemies!$1:$1,0)-MATCH($L$1,[3]enemies!$1:$1,0)+1,FALSE)</f>
        <v>ウィンタースポーツ 雪ミク</v>
      </c>
      <c r="N58" s="14" t="str">
        <f ca="1">VLOOKUP($L58,OFFSET([3]enemies!$A$1,0,0,COUNTA([3]enemies!$A:$A),MATCH(N$1,[3]enemies!$1:$1,0)-MATCH($L$1,[3]enemies!$1:$1,0)+1),MATCH(N$1,[3]enemies!$1:$1,0)-MATCH($L$1,[3]enemies!$1:$1,0)+1,FALSE)</f>
        <v>blue</v>
      </c>
      <c r="O58" s="14" t="str">
        <f ca="1">VLOOKUP($L58,OFFSET([4]characters!$A$1,0,0,COUNTA([4]characters!$A:$A),MATCH(O$1,[4]characters!$1:$1,0)-MATCH($L$1,[4]characters!$1:$1,0)+1),MATCH(O$1,[4]characters!$1:$1,0)-MATCH($L$1,[4]characters!$1:$1,0)+1,FALSE)</f>
        <v>Drop2N</v>
      </c>
      <c r="P58" s="14" t="str">
        <f ca="1">VLOOKUP($L58,OFFSET([3]enemies!$A$1,0,0,COUNTA([3]enemies!$A:$A),MATCH(P$1,[3]enemies!$1:$1,0)-MATCH($L$1,[3]enemies!$1:$1,0)+1),MATCH(P$1,[3]enemies!$1:$1,0)-MATCH($L$1,[3]enemies!$1:$1,0)+1,FALSE)</f>
        <v>unknown</v>
      </c>
      <c r="Q58" s="14">
        <f ca="1">VLOOKUP($L58,OFFSET([3]enemies!$A$1,0,0,COUNTA([3]enemies!$A:$A),MATCH(Q$1,[3]enemies!$1:$1,0)-MATCH($L$1,[3]enemies!$1:$1,0)+1),MATCH(Q$1,[3]enemies!$1:$1,0)-MATCH($L$1,[3]enemies!$1:$1,0)+1,FALSE)</f>
        <v>30</v>
      </c>
      <c r="R58" s="5">
        <v>45</v>
      </c>
      <c r="S58" s="19">
        <v>3</v>
      </c>
      <c r="T58" s="92">
        <f ca="1">ROUND(VLOOKUP(R58,[3]enemy_base_stats!$A:$F,2,FALSE) *INDIRECT("[EnemyMasterData.xlsm]enemies!Y"&amp;(L58+1))*  INDIRECT("[EnemyMasterData.xlsm]enemies!J"&amp;(L58+1))* INDIRECT("[EnemyMasterData.xlsm]enemies!O"&amp;(L58+1))* INDIRECT("[EnemyMasterData.xlsm]enemies!E"&amp;(L58+1))* INDIRECT("[EnemyMasterData.xlsm]enemies!S"&amp;(L58+1))* INDIRECT("[EnemyMasterData.xlsm]enemies!AD"&amp;(L58+1))*[4]ステータス!$B$2,0)*S58</f>
        <v>136374</v>
      </c>
      <c r="U58" s="19">
        <v>1</v>
      </c>
      <c r="V58" s="92">
        <f ca="1">ROUND(VLOOKUP(R58,[3]enemy_base_stats!$A:$F,3,FALSE) *INDIRECT("[EnemyMasterData.xlsm]enemies!Z"&amp;(L58+1))*  INDIRECT("[EnemyMasterData.xlsm]enemies!K"&amp;(L58+1))* INDIRECT("[EnemyMasterData.xlsm]enemies!P"&amp;(L58+1))* INDIRECT("[EnemyMasterData.xlsm]enemies!F"&amp;(L58+1))* INDIRECT("[EnemyMasterData.xlsm]enemies!T"&amp;(L58+1))* INDIRECT("[EnemyMasterData.xlsm]enemies!AE"&amp;(L58+1))*[4]ステータス!$C$2,0)*U58</f>
        <v>3568</v>
      </c>
      <c r="W58" s="5">
        <v>0</v>
      </c>
      <c r="X58" s="4" t="str">
        <f ca="1">VLOOKUP($Y58,OFFSET(enemy_skill_sets!$B$1,0,0,COUNTA(enemy_skill_sets!$B:$B),MATCH(M$1,enemy_skill_sets!$1:$1,0)-MATCH($Y$1,enemy_skill_sets!$1:$1,0)+2),MATCH(M$1,enemy_skill_sets!$1:$1,0)-MATCH($Y$1,enemy_skill_sets!$1:$1,0)+2,FALSE)</f>
        <v>3ターン敵全体の防御力UP</v>
      </c>
      <c r="Y58" s="102">
        <v>39008011</v>
      </c>
      <c r="Z58" s="6">
        <v>1</v>
      </c>
      <c r="AA58" s="6">
        <v>100</v>
      </c>
      <c r="AB58" s="6">
        <v>1</v>
      </c>
      <c r="AC58" s="14">
        <v>2</v>
      </c>
      <c r="AD58" s="98">
        <f t="shared" si="8"/>
        <v>525</v>
      </c>
      <c r="AE58" s="4" t="str">
        <f ca="1">VLOOKUP($AD58,OFFSET([4]characters!$A$1,0,0,COUNTA([4]characters!$A:$A),MATCH(AE$1,[4]characters!$1:$1,0)-MATCH("character_id",[4]characters!$1:$1,0)+1),MATCH(AE$1,[4]characters!$1:$1,0)-MATCH("character_id",[4]characters!$1:$1,0)+1,FALSE)</f>
        <v>ウィンタースポーツ 雪ミク</v>
      </c>
      <c r="AF58" s="4">
        <f ca="1">VLOOKUP($AD58,OFFSET([4]characters!$A$1,0,0,COUNTA([4]characters!$A:$A),MATCH(AF$1,[4]characters!$1:$1,0)-MATCH("character_id",[4]characters!$1:$1,0)+1),MATCH(AF$1,[4]characters!$1:$1,0)-MATCH("character_id",[4]characters!$1:$1,0)+1,FALSE)</f>
        <v>4</v>
      </c>
      <c r="AG58" s="4" t="str">
        <f ca="1">VLOOKUP($AD58,OFFSET([4]characters!$A$1,0,0,COUNTA([4]characters!$A:$A),MATCH(AG$1,[4]characters!$1:$1,0)-MATCH("character_id",[4]characters!$1:$1,0)+1),MATCH(AG$1,[4]characters!$1:$1,0)-MATCH("character_id",[4]characters!$1:$1,0)+1,FALSE)</f>
        <v>Drop2N</v>
      </c>
      <c r="AH58" s="94">
        <v>1</v>
      </c>
      <c r="AI58" s="98">
        <f t="shared" ca="1" si="9"/>
        <v>4</v>
      </c>
      <c r="AJ58" s="103">
        <v>75</v>
      </c>
      <c r="AK58" s="94">
        <v>0</v>
      </c>
      <c r="AL58" s="94">
        <v>0</v>
      </c>
      <c r="AM58" s="94">
        <v>0</v>
      </c>
      <c r="AN58" s="94">
        <v>0</v>
      </c>
      <c r="AO58" s="94">
        <v>1</v>
      </c>
      <c r="AP58" s="62">
        <v>1</v>
      </c>
    </row>
    <row r="59" spans="1:42" ht="21" customHeight="1" x14ac:dyDescent="0.15">
      <c r="A59" s="13" t="str">
        <f t="shared" si="5"/>
        <v>39008_3-3/529&lt;lv45&gt;s2</v>
      </c>
      <c r="B59" s="17">
        <v>39008</v>
      </c>
      <c r="C59" s="95">
        <v>3</v>
      </c>
      <c r="D59" s="12" t="str">
        <f t="shared" si="6"/>
        <v>39008_3</v>
      </c>
      <c r="E59" s="4" t="str">
        <f ca="1">VLOOKUP($B59,OFFSET([2]quests!$A$1,0,0,COUNTA([2]quests!$A:$A),MATCH(E$1,[2]quests!$1:$1,0)-MATCH($B$1,[2]quests!$1:$1,0)+1),MATCH(E$1,[2]quests!$1:$1,0)-MATCH($B$1,[2]quests!$1:$1,0)+1,FALSE)</f>
        <v>雪の歌姫</v>
      </c>
      <c r="F59" s="4" t="str">
        <f ca="1">VLOOKUP($D59,OFFSET([2]stages!$A$1,0,0,COUNTA([2]stages!$A:$A),MATCH(F$1,[2]stages!$2:$2,0)-MATCH($D$1,[2]stages!$2:$2,0)+1),MATCH(F$1,[2]stages!$2:$2,0)-MATCH($D$1,[2]stages!$2:$2,0)+1,FALSE)</f>
        <v>【上級】雪の歌姫</v>
      </c>
      <c r="G59" s="101">
        <v>3</v>
      </c>
      <c r="H59" s="12" t="str">
        <f t="shared" si="7"/>
        <v>39008_3-3</v>
      </c>
      <c r="I59" s="4">
        <f ca="1">VLOOKUP($H59,OFFSET(floors!$A$1,0,0,COUNTA(floors!$A:$A),MATCH(I$1,floors!$1:$1,0)-MATCH($H$1,floors!$1:$1,0)+1),MATCH(I$1,floors!$1:$1,0)-MATCH($H$1,floors!$1:$1,0)+1,FALSE)</f>
        <v>60</v>
      </c>
      <c r="J59" s="4">
        <f ca="1">VLOOKUP($H59,OFFSET(floors!$A$1,0,0,COUNTA(floors!$A:$A),MATCH(J$1,floors!$1:$1,0)-MATCH($H$1,floors!$1:$1,0)+1),MATCH(J$1,floors!$1:$1,0)-MATCH($H$1,floors!$1:$1,0)+1,FALSE)</f>
        <v>60</v>
      </c>
      <c r="K59" s="32" t="s">
        <v>245</v>
      </c>
      <c r="L59" s="97">
        <v>529</v>
      </c>
      <c r="M59" s="14" t="str">
        <f ca="1">VLOOKUP($L59,OFFSET([3]enemies!$A$1,0,0,COUNTA([3]enemies!$A:$A),MATCH(M$1,[3]enemies!$1:$1,0)-MATCH($L$1,[3]enemies!$1:$1,0)+1),MATCH(M$1,[3]enemies!$1:$1,0)-MATCH($L$1,[3]enemies!$1:$1,0)+1,FALSE)</f>
        <v>冬服ジェリー</v>
      </c>
      <c r="N59" s="14" t="str">
        <f ca="1">VLOOKUP($L59,OFFSET([3]enemies!$A$1,0,0,COUNTA([3]enemies!$A:$A),MATCH(N$1,[3]enemies!$1:$1,0)-MATCH($L$1,[3]enemies!$1:$1,0)+1),MATCH(N$1,[3]enemies!$1:$1,0)-MATCH($L$1,[3]enemies!$1:$1,0)+1,FALSE)</f>
        <v>red</v>
      </c>
      <c r="O59" s="14" t="str">
        <f ca="1">VLOOKUP($L59,OFFSET([4]characters!$A$1,0,0,COUNTA([4]characters!$A:$A),MATCH(O$1,[4]characters!$1:$1,0)-MATCH($L$1,[4]characters!$1:$1,0)+1),MATCH(O$1,[4]characters!$1:$1,0)-MATCH($L$1,[4]characters!$1:$1,0)+1,FALSE)</f>
        <v>Drop1T</v>
      </c>
      <c r="P59" s="14" t="str">
        <f ca="1">VLOOKUP($L59,OFFSET([3]enemies!$A$1,0,0,COUNTA([3]enemies!$A:$A),MATCH(P$1,[3]enemies!$1:$1,0)-MATCH($L$1,[3]enemies!$1:$1,0)+1),MATCH(P$1,[3]enemies!$1:$1,0)-MATCH($L$1,[3]enemies!$1:$1,0)+1,FALSE)</f>
        <v>unknown</v>
      </c>
      <c r="Q59" s="14">
        <f ca="1">VLOOKUP($L59,OFFSET([3]enemies!$A$1,0,0,COUNTA([3]enemies!$A:$A),MATCH(Q$1,[3]enemies!$1:$1,0)-MATCH($L$1,[3]enemies!$1:$1,0)+1),MATCH(Q$1,[3]enemies!$1:$1,0)-MATCH($L$1,[3]enemies!$1:$1,0)+1,FALSE)</f>
        <v>15</v>
      </c>
      <c r="R59" s="5">
        <v>45</v>
      </c>
      <c r="S59" s="19">
        <v>1.5</v>
      </c>
      <c r="T59" s="92">
        <f ca="1">ROUND(VLOOKUP(R59,[3]enemy_base_stats!$A:$F,2,FALSE) *INDIRECT("[EnemyMasterData.xlsm]enemies!Y"&amp;(L59+1))*  INDIRECT("[EnemyMasterData.xlsm]enemies!J"&amp;(L59+1))* INDIRECT("[EnemyMasterData.xlsm]enemies!O"&amp;(L59+1))* INDIRECT("[EnemyMasterData.xlsm]enemies!E"&amp;(L59+1))* INDIRECT("[EnemyMasterData.xlsm]enemies!S"&amp;(L59+1))* INDIRECT("[EnemyMasterData.xlsm]enemies!AD"&amp;(L59+1))*[4]ステータス!$B$2,0)*S59</f>
        <v>13950</v>
      </c>
      <c r="U59" s="19">
        <v>0.4</v>
      </c>
      <c r="V59" s="92">
        <f ca="1">ROUND(VLOOKUP(R59,[3]enemy_base_stats!$A:$F,3,FALSE) *INDIRECT("[EnemyMasterData.xlsm]enemies!Z"&amp;(L59+1))*  INDIRECT("[EnemyMasterData.xlsm]enemies!K"&amp;(L59+1))* INDIRECT("[EnemyMasterData.xlsm]enemies!P"&amp;(L59+1))* INDIRECT("[EnemyMasterData.xlsm]enemies!F"&amp;(L59+1))* INDIRECT("[EnemyMasterData.xlsm]enemies!T"&amp;(L59+1))* INDIRECT("[EnemyMasterData.xlsm]enemies!AE"&amp;(L59+1))*[4]ステータス!$C$2,0)*U59</f>
        <v>1529.2</v>
      </c>
      <c r="W59" s="5">
        <v>0</v>
      </c>
      <c r="X59" s="4" t="e">
        <f ca="1">VLOOKUP($Y59,OFFSET(enemy_skill_sets!$B$1,0,0,COUNTA(enemy_skill_sets!$B:$B),MATCH(M$1,enemy_skill_sets!$1:$1,0)-MATCH($Y$1,enemy_skill_sets!$1:$1,0)+2),MATCH(M$1,enemy_skill_sets!$1:$1,0)-MATCH($Y$1,enemy_skill_sets!$1:$1,0)+2,FALSE)</f>
        <v>#N/A</v>
      </c>
      <c r="Y59" s="4">
        <f ca="1">VLOOKUP($L59,OFFSET([3]enemies!$A$1,0,0,COUNTA([3]enemies!$A:$A),MATCH(Y$1,[3]enemies!$1:$1,0)-MATCH($L$1,[3]enemies!$1:$1,0)+1),MATCH(Y$1,[3]enemies!$1:$1,0)-MATCH($L$1,[3]enemies!$1:$1,0)+1,FALSE)</f>
        <v>0</v>
      </c>
      <c r="Z59" s="6">
        <v>0</v>
      </c>
      <c r="AA59" s="6">
        <v>100</v>
      </c>
      <c r="AB59" s="6">
        <v>2</v>
      </c>
      <c r="AC59" s="14">
        <v>2</v>
      </c>
      <c r="AD59" s="98">
        <f t="shared" si="8"/>
        <v>529</v>
      </c>
      <c r="AE59" s="4" t="str">
        <f ca="1">VLOOKUP($AD59,OFFSET([4]characters!$A$1,0,0,COUNTA([4]characters!$A:$A),MATCH(AE$1,[4]characters!$1:$1,0)-MATCH("character_id",[4]characters!$1:$1,0)+1),MATCH(AE$1,[4]characters!$1:$1,0)-MATCH("character_id",[4]characters!$1:$1,0)+1,FALSE)</f>
        <v>冬服ジェリー</v>
      </c>
      <c r="AF59" s="4">
        <f ca="1">VLOOKUP($AD59,OFFSET([4]characters!$A$1,0,0,COUNTA([4]characters!$A:$A),MATCH(AF$1,[4]characters!$1:$1,0)-MATCH("character_id",[4]characters!$1:$1,0)+1),MATCH(AF$1,[4]characters!$1:$1,0)-MATCH("character_id",[4]characters!$1:$1,0)+1,FALSE)</f>
        <v>1</v>
      </c>
      <c r="AG59" s="4" t="str">
        <f ca="1">VLOOKUP($AD59,OFFSET([4]characters!$A$1,0,0,COUNTA([4]characters!$A:$A),MATCH(AG$1,[4]characters!$1:$1,0)-MATCH("character_id",[4]characters!$1:$1,0)+1),MATCH(AG$1,[4]characters!$1:$1,0)-MATCH("character_id",[4]characters!$1:$1,0)+1,FALSE)</f>
        <v>Drop1T</v>
      </c>
      <c r="AH59" s="94">
        <v>1</v>
      </c>
      <c r="AI59" s="98">
        <f t="shared" ca="1" si="9"/>
        <v>1</v>
      </c>
      <c r="AJ59" s="7">
        <v>0</v>
      </c>
      <c r="AK59" s="94">
        <v>0</v>
      </c>
      <c r="AL59" s="94">
        <v>0</v>
      </c>
      <c r="AM59" s="94">
        <v>0</v>
      </c>
      <c r="AN59" s="94">
        <v>0</v>
      </c>
      <c r="AO59" s="94">
        <v>1</v>
      </c>
      <c r="AP59" s="62">
        <v>1</v>
      </c>
    </row>
    <row r="60" spans="1:42" ht="21" customHeight="1" x14ac:dyDescent="0.15">
      <c r="A60" s="13" t="str">
        <f t="shared" si="5"/>
        <v>39008_3-3/531&lt;lv45&gt;s2</v>
      </c>
      <c r="B60" s="17">
        <v>39008</v>
      </c>
      <c r="C60" s="95">
        <v>3</v>
      </c>
      <c r="D60" s="12" t="str">
        <f t="shared" si="6"/>
        <v>39008_3</v>
      </c>
      <c r="E60" s="4" t="str">
        <f ca="1">VLOOKUP($B60,OFFSET([2]quests!$A$1,0,0,COUNTA([2]quests!$A:$A),MATCH(E$1,[2]quests!$1:$1,0)-MATCH($B$1,[2]quests!$1:$1,0)+1),MATCH(E$1,[2]quests!$1:$1,0)-MATCH($B$1,[2]quests!$1:$1,0)+1,FALSE)</f>
        <v>雪の歌姫</v>
      </c>
      <c r="F60" s="4" t="str">
        <f ca="1">VLOOKUP($D60,OFFSET([2]stages!$A$1,0,0,COUNTA([2]stages!$A:$A),MATCH(F$1,[2]stages!$2:$2,0)-MATCH($D$1,[2]stages!$2:$2,0)+1),MATCH(F$1,[2]stages!$2:$2,0)-MATCH($D$1,[2]stages!$2:$2,0)+1,FALSE)</f>
        <v>【上級】雪の歌姫</v>
      </c>
      <c r="G60" s="101">
        <v>3</v>
      </c>
      <c r="H60" s="12" t="str">
        <f t="shared" si="7"/>
        <v>39008_3-3</v>
      </c>
      <c r="I60" s="4">
        <f ca="1">VLOOKUP($H60,OFFSET(floors!$A$1,0,0,COUNTA(floors!$A:$A),MATCH(I$1,floors!$1:$1,0)-MATCH($H$1,floors!$1:$1,0)+1),MATCH(I$1,floors!$1:$1,0)-MATCH($H$1,floors!$1:$1,0)+1,FALSE)</f>
        <v>60</v>
      </c>
      <c r="J60" s="4">
        <f ca="1">VLOOKUP($H60,OFFSET(floors!$A$1,0,0,COUNTA(floors!$A:$A),MATCH(J$1,floors!$1:$1,0)-MATCH($H$1,floors!$1:$1,0)+1),MATCH(J$1,floors!$1:$1,0)-MATCH($H$1,floors!$1:$1,0)+1,FALSE)</f>
        <v>60</v>
      </c>
      <c r="K60" s="32" t="s">
        <v>245</v>
      </c>
      <c r="L60" s="97">
        <v>531</v>
      </c>
      <c r="M60" s="14" t="str">
        <f ca="1">VLOOKUP($L60,OFFSET([3]enemies!$A$1,0,0,COUNTA([3]enemies!$A:$A),MATCH(M$1,[3]enemies!$1:$1,0)-MATCH($L$1,[3]enemies!$1:$1,0)+1),MATCH(M$1,[3]enemies!$1:$1,0)-MATCH($L$1,[3]enemies!$1:$1,0)+1,FALSE)</f>
        <v>冬服ポチ</v>
      </c>
      <c r="N60" s="14" t="str">
        <f ca="1">VLOOKUP($L60,OFFSET([3]enemies!$A$1,0,0,COUNTA([3]enemies!$A:$A),MATCH(N$1,[3]enemies!$1:$1,0)-MATCH($L$1,[3]enemies!$1:$1,0)+1),MATCH(N$1,[3]enemies!$1:$1,0)-MATCH($L$1,[3]enemies!$1:$1,0)+1,FALSE)</f>
        <v>blue</v>
      </c>
      <c r="O60" s="14" t="str">
        <f ca="1">VLOOKUP($L60,OFFSET([4]characters!$A$1,0,0,COUNTA([4]characters!$A:$A),MATCH(O$1,[4]characters!$1:$1,0)-MATCH($L$1,[4]characters!$1:$1,0)+1),MATCH(O$1,[4]characters!$1:$1,0)-MATCH($L$1,[4]characters!$1:$1,0)+1,FALSE)</f>
        <v>Drop1T</v>
      </c>
      <c r="P60" s="14" t="str">
        <f ca="1">VLOOKUP($L60,OFFSET([3]enemies!$A$1,0,0,COUNTA([3]enemies!$A:$A),MATCH(P$1,[3]enemies!$1:$1,0)-MATCH($L$1,[3]enemies!$1:$1,0)+1),MATCH(P$1,[3]enemies!$1:$1,0)-MATCH($L$1,[3]enemies!$1:$1,0)+1,FALSE)</f>
        <v>unknown</v>
      </c>
      <c r="Q60" s="14">
        <f ca="1">VLOOKUP($L60,OFFSET([3]enemies!$A$1,0,0,COUNTA([3]enemies!$A:$A),MATCH(Q$1,[3]enemies!$1:$1,0)-MATCH($L$1,[3]enemies!$1:$1,0)+1),MATCH(Q$1,[3]enemies!$1:$1,0)-MATCH($L$1,[3]enemies!$1:$1,0)+1,FALSE)</f>
        <v>15</v>
      </c>
      <c r="R60" s="5">
        <v>45</v>
      </c>
      <c r="S60" s="19">
        <v>1.5</v>
      </c>
      <c r="T60" s="92">
        <f ca="1">ROUND(VLOOKUP(R60,[3]enemy_base_stats!$A:$F,2,FALSE) *INDIRECT("[EnemyMasterData.xlsm]enemies!Y"&amp;(L60+1))*  INDIRECT("[EnemyMasterData.xlsm]enemies!J"&amp;(L60+1))* INDIRECT("[EnemyMasterData.xlsm]enemies!O"&amp;(L60+1))* INDIRECT("[EnemyMasterData.xlsm]enemies!E"&amp;(L60+1))* INDIRECT("[EnemyMasterData.xlsm]enemies!S"&amp;(L60+1))* INDIRECT("[EnemyMasterData.xlsm]enemies!AD"&amp;(L60+1))*[4]ステータス!$B$2,0)*S60</f>
        <v>11160</v>
      </c>
      <c r="U60" s="19">
        <v>0.8</v>
      </c>
      <c r="V60" s="92">
        <f ca="1">ROUND(VLOOKUP(R60,[3]enemy_base_stats!$A:$F,3,FALSE) *INDIRECT("[EnemyMasterData.xlsm]enemies!Z"&amp;(L60+1))*  INDIRECT("[EnemyMasterData.xlsm]enemies!K"&amp;(L60+1))* INDIRECT("[EnemyMasterData.xlsm]enemies!P"&amp;(L60+1))* INDIRECT("[EnemyMasterData.xlsm]enemies!F"&amp;(L60+1))* INDIRECT("[EnemyMasterData.xlsm]enemies!T"&amp;(L60+1))* INDIRECT("[EnemyMasterData.xlsm]enemies!AE"&amp;(L60+1))*[4]ステータス!$C$2,0)*U60</f>
        <v>1706.4</v>
      </c>
      <c r="W60" s="5">
        <v>0</v>
      </c>
      <c r="X60" s="4" t="e">
        <f ca="1">VLOOKUP($Y60,OFFSET(enemy_skill_sets!$B$1,0,0,COUNTA(enemy_skill_sets!$B:$B),MATCH(M$1,enemy_skill_sets!$1:$1,0)-MATCH($Y$1,enemy_skill_sets!$1:$1,0)+2),MATCH(M$1,enemy_skill_sets!$1:$1,0)-MATCH($Y$1,enemy_skill_sets!$1:$1,0)+2,FALSE)</f>
        <v>#N/A</v>
      </c>
      <c r="Y60" s="4">
        <f ca="1">VLOOKUP($L60,OFFSET([3]enemies!$A$1,0,0,COUNTA([3]enemies!$A:$A),MATCH(Y$1,[3]enemies!$1:$1,0)-MATCH($L$1,[3]enemies!$1:$1,0)+1),MATCH(Y$1,[3]enemies!$1:$1,0)-MATCH($L$1,[3]enemies!$1:$1,0)+1,FALSE)</f>
        <v>0</v>
      </c>
      <c r="Z60" s="6">
        <v>0</v>
      </c>
      <c r="AA60" s="6">
        <v>100</v>
      </c>
      <c r="AB60" s="6">
        <v>2</v>
      </c>
      <c r="AC60" s="14">
        <v>2</v>
      </c>
      <c r="AD60" s="98">
        <f t="shared" si="8"/>
        <v>531</v>
      </c>
      <c r="AE60" s="4" t="str">
        <f ca="1">VLOOKUP($AD60,OFFSET([4]characters!$A$1,0,0,COUNTA([4]characters!$A:$A),MATCH(AE$1,[4]characters!$1:$1,0)-MATCH("character_id",[4]characters!$1:$1,0)+1),MATCH(AE$1,[4]characters!$1:$1,0)-MATCH("character_id",[4]characters!$1:$1,0)+1,FALSE)</f>
        <v>冬服ポチ</v>
      </c>
      <c r="AF60" s="4">
        <f ca="1">VLOOKUP($AD60,OFFSET([4]characters!$A$1,0,0,COUNTA([4]characters!$A:$A),MATCH(AF$1,[4]characters!$1:$1,0)-MATCH("character_id",[4]characters!$1:$1,0)+1),MATCH(AF$1,[4]characters!$1:$1,0)-MATCH("character_id",[4]characters!$1:$1,0)+1,FALSE)</f>
        <v>1</v>
      </c>
      <c r="AG60" s="4" t="str">
        <f ca="1">VLOOKUP($AD60,OFFSET([4]characters!$A$1,0,0,COUNTA([4]characters!$A:$A),MATCH(AG$1,[4]characters!$1:$1,0)-MATCH("character_id",[4]characters!$1:$1,0)+1),MATCH(AG$1,[4]characters!$1:$1,0)-MATCH("character_id",[4]characters!$1:$1,0)+1,FALSE)</f>
        <v>Drop1T</v>
      </c>
      <c r="AH60" s="94">
        <v>1</v>
      </c>
      <c r="AI60" s="98">
        <f t="shared" ca="1" si="9"/>
        <v>1</v>
      </c>
      <c r="AJ60" s="7">
        <v>0</v>
      </c>
      <c r="AK60" s="94">
        <v>0</v>
      </c>
      <c r="AL60" s="94">
        <v>0</v>
      </c>
      <c r="AM60" s="94">
        <v>0</v>
      </c>
      <c r="AN60" s="94">
        <v>0</v>
      </c>
      <c r="AO60" s="94">
        <v>1</v>
      </c>
      <c r="AP60" s="62">
        <v>1</v>
      </c>
    </row>
    <row r="61" spans="1:42" ht="21" customHeight="1" x14ac:dyDescent="0.15">
      <c r="A61" s="13" t="str">
        <f t="shared" si="5"/>
        <v>39008_3-3/534&lt;lv45&gt;s2</v>
      </c>
      <c r="B61" s="17">
        <v>39008</v>
      </c>
      <c r="C61" s="95">
        <v>3</v>
      </c>
      <c r="D61" s="12" t="str">
        <f t="shared" si="6"/>
        <v>39008_3</v>
      </c>
      <c r="E61" s="4" t="str">
        <f ca="1">VLOOKUP($B61,OFFSET([2]quests!$A$1,0,0,COUNTA([2]quests!$A:$A),MATCH(E$1,[2]quests!$1:$1,0)-MATCH($B$1,[2]quests!$1:$1,0)+1),MATCH(E$1,[2]quests!$1:$1,0)-MATCH($B$1,[2]quests!$1:$1,0)+1,FALSE)</f>
        <v>雪の歌姫</v>
      </c>
      <c r="F61" s="4" t="str">
        <f ca="1">VLOOKUP($D61,OFFSET([2]stages!$A$1,0,0,COUNTA([2]stages!$A:$A),MATCH(F$1,[2]stages!$2:$2,0)-MATCH($D$1,[2]stages!$2:$2,0)+1),MATCH(F$1,[2]stages!$2:$2,0)-MATCH($D$1,[2]stages!$2:$2,0)+1,FALSE)</f>
        <v>【上級】雪の歌姫</v>
      </c>
      <c r="G61" s="101">
        <v>3</v>
      </c>
      <c r="H61" s="12" t="str">
        <f t="shared" si="7"/>
        <v>39008_3-3</v>
      </c>
      <c r="I61" s="4">
        <f ca="1">VLOOKUP($H61,OFFSET(floors!$A$1,0,0,COUNTA(floors!$A:$A),MATCH(I$1,floors!$1:$1,0)-MATCH($H$1,floors!$1:$1,0)+1),MATCH(I$1,floors!$1:$1,0)-MATCH($H$1,floors!$1:$1,0)+1,FALSE)</f>
        <v>60</v>
      </c>
      <c r="J61" s="4">
        <f ca="1">VLOOKUP($H61,OFFSET(floors!$A$1,0,0,COUNTA(floors!$A:$A),MATCH(J$1,floors!$1:$1,0)-MATCH($H$1,floors!$1:$1,0)+1),MATCH(J$1,floors!$1:$1,0)-MATCH($H$1,floors!$1:$1,0)+1,FALSE)</f>
        <v>60</v>
      </c>
      <c r="K61" s="32" t="s">
        <v>245</v>
      </c>
      <c r="L61" s="97">
        <v>534</v>
      </c>
      <c r="M61" s="14" t="str">
        <f ca="1">VLOOKUP($L61,OFFSET([3]enemies!$A$1,0,0,COUNTA([3]enemies!$A:$A),MATCH(M$1,[3]enemies!$1:$1,0)-MATCH($L$1,[3]enemies!$1:$1,0)+1),MATCH(M$1,[3]enemies!$1:$1,0)-MATCH($L$1,[3]enemies!$1:$1,0)+1,FALSE)</f>
        <v>冬服パトライン</v>
      </c>
      <c r="N61" s="14" t="str">
        <f ca="1">VLOOKUP($L61,OFFSET([3]enemies!$A$1,0,0,COUNTA([3]enemies!$A:$A),MATCH(N$1,[3]enemies!$1:$1,0)-MATCH($L$1,[3]enemies!$1:$1,0)+1),MATCH(N$1,[3]enemies!$1:$1,0)-MATCH($L$1,[3]enemies!$1:$1,0)+1,FALSE)</f>
        <v>green</v>
      </c>
      <c r="O61" s="14" t="str">
        <f ca="1">VLOOKUP($L61,OFFSET([4]characters!$A$1,0,0,COUNTA([4]characters!$A:$A),MATCH(O$1,[4]characters!$1:$1,0)-MATCH($L$1,[4]characters!$1:$1,0)+1),MATCH(O$1,[4]characters!$1:$1,0)-MATCH($L$1,[4]characters!$1:$1,0)+1,FALSE)</f>
        <v>Drop1W</v>
      </c>
      <c r="P61" s="14" t="str">
        <f ca="1">VLOOKUP($L61,OFFSET([3]enemies!$A$1,0,0,COUNTA([3]enemies!$A:$A),MATCH(P$1,[3]enemies!$1:$1,0)-MATCH($L$1,[3]enemies!$1:$1,0)+1),MATCH(P$1,[3]enemies!$1:$1,0)-MATCH($L$1,[3]enemies!$1:$1,0)+1,FALSE)</f>
        <v>machine</v>
      </c>
      <c r="Q61" s="14">
        <f ca="1">VLOOKUP($L61,OFFSET([3]enemies!$A$1,0,0,COUNTA([3]enemies!$A:$A),MATCH(Q$1,[3]enemies!$1:$1,0)-MATCH($L$1,[3]enemies!$1:$1,0)+1),MATCH(Q$1,[3]enemies!$1:$1,0)-MATCH($L$1,[3]enemies!$1:$1,0)+1,FALSE)</f>
        <v>15</v>
      </c>
      <c r="R61" s="5">
        <v>45</v>
      </c>
      <c r="S61" s="19">
        <v>1.5</v>
      </c>
      <c r="T61" s="92">
        <f ca="1">ROUND(VLOOKUP(R61,[3]enemy_base_stats!$A:$F,2,FALSE) *INDIRECT("[EnemyMasterData.xlsm]enemies!Y"&amp;(L61+1))*  INDIRECT("[EnemyMasterData.xlsm]enemies!J"&amp;(L61+1))* INDIRECT("[EnemyMasterData.xlsm]enemies!O"&amp;(L61+1))* INDIRECT("[EnemyMasterData.xlsm]enemies!E"&amp;(L61+1))* INDIRECT("[EnemyMasterData.xlsm]enemies!S"&amp;(L61+1))* INDIRECT("[EnemyMasterData.xlsm]enemies!AD"&amp;(L61+1))*[4]ステータス!$B$2,0)*S61</f>
        <v>11383.5</v>
      </c>
      <c r="U61" s="19">
        <v>0.6</v>
      </c>
      <c r="V61" s="92">
        <f ca="1">ROUND(VLOOKUP(R61,[3]enemy_base_stats!$A:$F,3,FALSE) *INDIRECT("[EnemyMasterData.xlsm]enemies!Z"&amp;(L61+1))*  INDIRECT("[EnemyMasterData.xlsm]enemies!K"&amp;(L61+1))* INDIRECT("[EnemyMasterData.xlsm]enemies!P"&amp;(L61+1))* INDIRECT("[EnemyMasterData.xlsm]enemies!F"&amp;(L61+1))* INDIRECT("[EnemyMasterData.xlsm]enemies!T"&amp;(L61+1))* INDIRECT("[EnemyMasterData.xlsm]enemies!AE"&amp;(L61+1))*[4]ステータス!$C$2,0)*U61</f>
        <v>1279.8</v>
      </c>
      <c r="W61" s="5">
        <v>0</v>
      </c>
      <c r="X61" s="4" t="e">
        <f ca="1">VLOOKUP($Y61,OFFSET(enemy_skill_sets!$B$1,0,0,COUNTA(enemy_skill_sets!$B:$B),MATCH(M$1,enemy_skill_sets!$1:$1,0)-MATCH($Y$1,enemy_skill_sets!$1:$1,0)+2),MATCH(M$1,enemy_skill_sets!$1:$1,0)-MATCH($Y$1,enemy_skill_sets!$1:$1,0)+2,FALSE)</f>
        <v>#N/A</v>
      </c>
      <c r="Y61" s="4">
        <f ca="1">VLOOKUP($L61,OFFSET([3]enemies!$A$1,0,0,COUNTA([3]enemies!$A:$A),MATCH(Y$1,[3]enemies!$1:$1,0)-MATCH($L$1,[3]enemies!$1:$1,0)+1),MATCH(Y$1,[3]enemies!$1:$1,0)-MATCH($L$1,[3]enemies!$1:$1,0)+1,FALSE)</f>
        <v>0</v>
      </c>
      <c r="Z61" s="6">
        <v>0</v>
      </c>
      <c r="AA61" s="6">
        <v>100</v>
      </c>
      <c r="AB61" s="6">
        <v>0</v>
      </c>
      <c r="AC61" s="14">
        <v>2</v>
      </c>
      <c r="AD61" s="98">
        <f t="shared" si="8"/>
        <v>534</v>
      </c>
      <c r="AE61" s="4" t="str">
        <f ca="1">VLOOKUP($AD61,OFFSET([4]characters!$A$1,0,0,COUNTA([4]characters!$A:$A),MATCH(AE$1,[4]characters!$1:$1,0)-MATCH("character_id",[4]characters!$1:$1,0)+1),MATCH(AE$1,[4]characters!$1:$1,0)-MATCH("character_id",[4]characters!$1:$1,0)+1,FALSE)</f>
        <v>冬服パトライン</v>
      </c>
      <c r="AF61" s="4">
        <f ca="1">VLOOKUP($AD61,OFFSET([4]characters!$A$1,0,0,COUNTA([4]characters!$A:$A),MATCH(AF$1,[4]characters!$1:$1,0)-MATCH("character_id",[4]characters!$1:$1,0)+1),MATCH(AF$1,[4]characters!$1:$1,0)-MATCH("character_id",[4]characters!$1:$1,0)+1,FALSE)</f>
        <v>1</v>
      </c>
      <c r="AG61" s="4" t="str">
        <f ca="1">VLOOKUP($AD61,OFFSET([4]characters!$A$1,0,0,COUNTA([4]characters!$A:$A),MATCH(AG$1,[4]characters!$1:$1,0)-MATCH("character_id",[4]characters!$1:$1,0)+1),MATCH(AG$1,[4]characters!$1:$1,0)-MATCH("character_id",[4]characters!$1:$1,0)+1,FALSE)</f>
        <v>Drop1W</v>
      </c>
      <c r="AH61" s="94">
        <v>1</v>
      </c>
      <c r="AI61" s="98">
        <f t="shared" ca="1" si="9"/>
        <v>1</v>
      </c>
      <c r="AJ61" s="7">
        <v>0</v>
      </c>
      <c r="AK61" s="94">
        <v>0</v>
      </c>
      <c r="AL61" s="94">
        <v>0</v>
      </c>
      <c r="AM61" s="94">
        <v>0</v>
      </c>
      <c r="AN61" s="94">
        <v>0</v>
      </c>
      <c r="AO61" s="94">
        <v>1</v>
      </c>
      <c r="AP61" s="62">
        <v>1</v>
      </c>
    </row>
    <row r="62" spans="1:42" s="187" customFormat="1" ht="21" customHeight="1" thickBot="1" x14ac:dyDescent="0.2">
      <c r="A62" s="169" t="str">
        <f t="shared" si="5"/>
        <v>39008_3-3/536&lt;lv45&gt;s2</v>
      </c>
      <c r="B62" s="170">
        <v>39008</v>
      </c>
      <c r="C62" s="171">
        <v>3</v>
      </c>
      <c r="D62" s="172" t="str">
        <f t="shared" si="6"/>
        <v>39008_3</v>
      </c>
      <c r="E62" s="173" t="str">
        <f ca="1">VLOOKUP($B62,OFFSET([2]quests!$A$1,0,0,COUNTA([2]quests!$A:$A),MATCH(E$1,[2]quests!$1:$1,0)-MATCH($B$1,[2]quests!$1:$1,0)+1),MATCH(E$1,[2]quests!$1:$1,0)-MATCH($B$1,[2]quests!$1:$1,0)+1,FALSE)</f>
        <v>雪の歌姫</v>
      </c>
      <c r="F62" s="173" t="str">
        <f ca="1">VLOOKUP($D62,OFFSET([2]stages!$A$1,0,0,COUNTA([2]stages!$A:$A),MATCH(F$1,[2]stages!$2:$2,0)-MATCH($D$1,[2]stages!$2:$2,0)+1),MATCH(F$1,[2]stages!$2:$2,0)-MATCH($D$1,[2]stages!$2:$2,0)+1,FALSE)</f>
        <v>【上級】雪の歌姫</v>
      </c>
      <c r="G62" s="174">
        <v>3</v>
      </c>
      <c r="H62" s="172" t="str">
        <f t="shared" si="7"/>
        <v>39008_3-3</v>
      </c>
      <c r="I62" s="173">
        <f ca="1">VLOOKUP($H62,OFFSET(floors!$A$1,0,0,COUNTA(floors!$A:$A),MATCH(I$1,floors!$1:$1,0)-MATCH($H$1,floors!$1:$1,0)+1),MATCH(I$1,floors!$1:$1,0)-MATCH($H$1,floors!$1:$1,0)+1,FALSE)</f>
        <v>60</v>
      </c>
      <c r="J62" s="173">
        <f ca="1">VLOOKUP($H62,OFFSET(floors!$A$1,0,0,COUNTA(floors!$A:$A),MATCH(J$1,floors!$1:$1,0)-MATCH($H$1,floors!$1:$1,0)+1),MATCH(J$1,floors!$1:$1,0)-MATCH($H$1,floors!$1:$1,0)+1,FALSE)</f>
        <v>60</v>
      </c>
      <c r="K62" s="175" t="s">
        <v>245</v>
      </c>
      <c r="L62" s="176">
        <v>536</v>
      </c>
      <c r="M62" s="177" t="str">
        <f ca="1">VLOOKUP($L62,OFFSET([3]enemies!$A$1,0,0,COUNTA([3]enemies!$A:$A),MATCH(M$1,[3]enemies!$1:$1,0)-MATCH($L$1,[3]enemies!$1:$1,0)+1),MATCH(M$1,[3]enemies!$1:$1,0)-MATCH($L$1,[3]enemies!$1:$1,0)+1,FALSE)</f>
        <v>冬服ミミ</v>
      </c>
      <c r="N62" s="177" t="str">
        <f ca="1">VLOOKUP($L62,OFFSET([3]enemies!$A$1,0,0,COUNTA([3]enemies!$A:$A),MATCH(N$1,[3]enemies!$1:$1,0)-MATCH($L$1,[3]enemies!$1:$1,0)+1),MATCH(N$1,[3]enemies!$1:$1,0)-MATCH($L$1,[3]enemies!$1:$1,0)+1,FALSE)</f>
        <v>yellow</v>
      </c>
      <c r="O62" s="177" t="str">
        <f ca="1">VLOOKUP($L62,OFFSET([4]characters!$A$1,0,0,COUNTA([4]characters!$A:$A),MATCH(O$1,[4]characters!$1:$1,0)-MATCH($L$1,[4]characters!$1:$1,0)+1),MATCH(O$1,[4]characters!$1:$1,0)-MATCH($L$1,[4]characters!$1:$1,0)+1,FALSE)</f>
        <v>Drop1W</v>
      </c>
      <c r="P62" s="177" t="str">
        <f ca="1">VLOOKUP($L62,OFFSET([3]enemies!$A$1,0,0,COUNTA([3]enemies!$A:$A),MATCH(P$1,[3]enemies!$1:$1,0)-MATCH($L$1,[3]enemies!$1:$1,0)+1),MATCH(P$1,[3]enemies!$1:$1,0)-MATCH($L$1,[3]enemies!$1:$1,0)+1,FALSE)</f>
        <v>animal</v>
      </c>
      <c r="Q62" s="177">
        <f ca="1">VLOOKUP($L62,OFFSET([3]enemies!$A$1,0,0,COUNTA([3]enemies!$A:$A),MATCH(Q$1,[3]enemies!$1:$1,0)-MATCH($L$1,[3]enemies!$1:$1,0)+1),MATCH(Q$1,[3]enemies!$1:$1,0)-MATCH($L$1,[3]enemies!$1:$1,0)+1,FALSE)</f>
        <v>15</v>
      </c>
      <c r="R62" s="178">
        <v>45</v>
      </c>
      <c r="S62" s="179">
        <v>1.5</v>
      </c>
      <c r="T62" s="180">
        <f ca="1">ROUND(VLOOKUP(R62,[3]enemy_base_stats!$A:$F,2,FALSE) *INDIRECT("[EnemyMasterData.xlsm]enemies!Y"&amp;(L62+1))*  INDIRECT("[EnemyMasterData.xlsm]enemies!J"&amp;(L62+1))* INDIRECT("[EnemyMasterData.xlsm]enemies!O"&amp;(L62+1))* INDIRECT("[EnemyMasterData.xlsm]enemies!E"&amp;(L62+1))* INDIRECT("[EnemyMasterData.xlsm]enemies!S"&amp;(L62+1))* INDIRECT("[EnemyMasterData.xlsm]enemies!AD"&amp;(L62+1))*[4]ステータス!$B$2,0)*S62</f>
        <v>13671</v>
      </c>
      <c r="U62" s="179">
        <v>0.4</v>
      </c>
      <c r="V62" s="180">
        <f ca="1">ROUND(VLOOKUP(R62,[3]enemy_base_stats!$A:$F,3,FALSE) *INDIRECT("[EnemyMasterData.xlsm]enemies!Z"&amp;(L62+1))*  INDIRECT("[EnemyMasterData.xlsm]enemies!K"&amp;(L62+1))* INDIRECT("[EnemyMasterData.xlsm]enemies!P"&amp;(L62+1))* INDIRECT("[EnemyMasterData.xlsm]enemies!F"&amp;(L62+1))* INDIRECT("[EnemyMasterData.xlsm]enemies!T"&amp;(L62+1))* INDIRECT("[EnemyMasterData.xlsm]enemies!AE"&amp;(L62+1))*[4]ステータス!$C$2,0)*U62</f>
        <v>1649.2</v>
      </c>
      <c r="W62" s="178">
        <v>0</v>
      </c>
      <c r="X62" s="173" t="e">
        <f ca="1">VLOOKUP($Y62,OFFSET(enemy_skill_sets!$B$1,0,0,COUNTA(enemy_skill_sets!$B:$B),MATCH(M$1,enemy_skill_sets!$1:$1,0)-MATCH($Y$1,enemy_skill_sets!$1:$1,0)+2),MATCH(M$1,enemy_skill_sets!$1:$1,0)-MATCH($Y$1,enemy_skill_sets!$1:$1,0)+2,FALSE)</f>
        <v>#N/A</v>
      </c>
      <c r="Y62" s="173">
        <f ca="1">VLOOKUP($L62,OFFSET([3]enemies!$A$1,0,0,COUNTA([3]enemies!$A:$A),MATCH(Y$1,[3]enemies!$1:$1,0)-MATCH($L$1,[3]enemies!$1:$1,0)+1),MATCH(Y$1,[3]enemies!$1:$1,0)-MATCH($L$1,[3]enemies!$1:$1,0)+1,FALSE)</f>
        <v>0</v>
      </c>
      <c r="Z62" s="182">
        <v>0</v>
      </c>
      <c r="AA62" s="182">
        <v>100</v>
      </c>
      <c r="AB62" s="182">
        <v>0</v>
      </c>
      <c r="AC62" s="177">
        <v>2</v>
      </c>
      <c r="AD62" s="183">
        <f t="shared" si="8"/>
        <v>536</v>
      </c>
      <c r="AE62" s="173" t="str">
        <f ca="1">VLOOKUP($AD62,OFFSET([4]characters!$A$1,0,0,COUNTA([4]characters!$A:$A),MATCH(AE$1,[4]characters!$1:$1,0)-MATCH("character_id",[4]characters!$1:$1,0)+1),MATCH(AE$1,[4]characters!$1:$1,0)-MATCH("character_id",[4]characters!$1:$1,0)+1,FALSE)</f>
        <v>冬服ミミ</v>
      </c>
      <c r="AF62" s="173">
        <f ca="1">VLOOKUP($AD62,OFFSET([4]characters!$A$1,0,0,COUNTA([4]characters!$A:$A),MATCH(AF$1,[4]characters!$1:$1,0)-MATCH("character_id",[4]characters!$1:$1,0)+1),MATCH(AF$1,[4]characters!$1:$1,0)-MATCH("character_id",[4]characters!$1:$1,0)+1,FALSE)</f>
        <v>1</v>
      </c>
      <c r="AG62" s="173" t="str">
        <f ca="1">VLOOKUP($AD62,OFFSET([4]characters!$A$1,0,0,COUNTA([4]characters!$A:$A),MATCH(AG$1,[4]characters!$1:$1,0)-MATCH("character_id",[4]characters!$1:$1,0)+1),MATCH(AG$1,[4]characters!$1:$1,0)-MATCH("character_id",[4]characters!$1:$1,0)+1,FALSE)</f>
        <v>Drop1W</v>
      </c>
      <c r="AH62" s="184">
        <v>1</v>
      </c>
      <c r="AI62" s="183">
        <f t="shared" ca="1" si="9"/>
        <v>1</v>
      </c>
      <c r="AJ62" s="188">
        <v>0</v>
      </c>
      <c r="AK62" s="184">
        <v>0</v>
      </c>
      <c r="AL62" s="184">
        <v>0</v>
      </c>
      <c r="AM62" s="184">
        <v>0</v>
      </c>
      <c r="AN62" s="184">
        <v>0</v>
      </c>
      <c r="AO62" s="184">
        <v>1</v>
      </c>
      <c r="AP62" s="186">
        <v>1</v>
      </c>
    </row>
    <row r="63" spans="1:42" ht="21" customHeight="1" x14ac:dyDescent="0.15">
      <c r="A63" s="13" t="str">
        <f t="shared" si="5"/>
        <v>39008_4-1/529&lt;lv50&gt;s1</v>
      </c>
      <c r="B63" s="17">
        <v>39008</v>
      </c>
      <c r="C63" s="156">
        <v>4</v>
      </c>
      <c r="D63" s="157" t="str">
        <f t="shared" si="6"/>
        <v>39008_4</v>
      </c>
      <c r="E63" s="4" t="str">
        <f ca="1">VLOOKUP($B63,OFFSET([2]quests!$A$1,0,0,COUNTA([2]quests!$A:$A),MATCH(E$1,[2]quests!$1:$1,0)-MATCH($B$1,[2]quests!$1:$1,0)+1),MATCH(E$1,[2]quests!$1:$1,0)-MATCH($B$1,[2]quests!$1:$1,0)+1,FALSE)</f>
        <v>雪の歌姫</v>
      </c>
      <c r="F63" s="4" t="str">
        <f ca="1">VLOOKUP($D63,OFFSET([2]stages!$A$1,0,0,COUNTA([2]stages!$A:$A),MATCH(F$1,[2]stages!$2:$2,0)-MATCH($D$1,[2]stages!$2:$2,0)+1),MATCH(F$1,[2]stages!$2:$2,0)-MATCH($D$1,[2]stages!$2:$2,0)+1,FALSE)</f>
        <v>【超級】雪の歌姫</v>
      </c>
      <c r="G63" s="158">
        <v>1</v>
      </c>
      <c r="H63" s="157" t="str">
        <f t="shared" si="7"/>
        <v>39008_4-1</v>
      </c>
      <c r="I63" s="4">
        <f ca="1">VLOOKUP($H63,OFFSET(floors!$A$1,0,0,COUNTA(floors!$A:$A),MATCH(I$1,floors!$1:$1,0)-MATCH($H$1,floors!$1:$1,0)+1),MATCH(I$1,floors!$1:$1,0)-MATCH($H$1,floors!$1:$1,0)+1,FALSE)</f>
        <v>60</v>
      </c>
      <c r="J63" s="4">
        <f ca="1">VLOOKUP($H63,OFFSET(floors!$A$1,0,0,COUNTA(floors!$A:$A),MATCH(J$1,floors!$1:$1,0)-MATCH($H$1,floors!$1:$1,0)+1),MATCH(J$1,floors!$1:$1,0)-MATCH($H$1,floors!$1:$1,0)+1,FALSE)</f>
        <v>60</v>
      </c>
      <c r="K63" s="159" t="s">
        <v>245</v>
      </c>
      <c r="L63" s="160">
        <v>529</v>
      </c>
      <c r="M63" s="14" t="str">
        <f ca="1">VLOOKUP($L63,OFFSET([3]enemies!$A$1,0,0,COUNTA([3]enemies!$A:$A),MATCH(M$1,[3]enemies!$1:$1,0)-MATCH($L$1,[3]enemies!$1:$1,0)+1),MATCH(M$1,[3]enemies!$1:$1,0)-MATCH($L$1,[3]enemies!$1:$1,0)+1,FALSE)</f>
        <v>冬服ジェリー</v>
      </c>
      <c r="N63" s="14" t="str">
        <f ca="1">VLOOKUP($L63,OFFSET([3]enemies!$A$1,0,0,COUNTA([3]enemies!$A:$A),MATCH(N$1,[3]enemies!$1:$1,0)-MATCH($L$1,[3]enemies!$1:$1,0)+1),MATCH(N$1,[3]enemies!$1:$1,0)-MATCH($L$1,[3]enemies!$1:$1,0)+1,FALSE)</f>
        <v>red</v>
      </c>
      <c r="O63" s="14" t="str">
        <f ca="1">VLOOKUP($L63,OFFSET([4]characters!$A$1,0,0,COUNTA([4]characters!$A:$A),MATCH(O$1,[4]characters!$1:$1,0)-MATCH($L$1,[4]characters!$1:$1,0)+1),MATCH(O$1,[4]characters!$1:$1,0)-MATCH($L$1,[4]characters!$1:$1,0)+1,FALSE)</f>
        <v>Drop1T</v>
      </c>
      <c r="P63" s="14" t="str">
        <f ca="1">VLOOKUP($L63,OFFSET([3]enemies!$A$1,0,0,COUNTA([3]enemies!$A:$A),MATCH(P$1,[3]enemies!$1:$1,0)-MATCH($L$1,[3]enemies!$1:$1,0)+1),MATCH(P$1,[3]enemies!$1:$1,0)-MATCH($L$1,[3]enemies!$1:$1,0)+1,FALSE)</f>
        <v>unknown</v>
      </c>
      <c r="Q63" s="14">
        <f ca="1">VLOOKUP($L63,OFFSET([3]enemies!$A$1,0,0,COUNTA([3]enemies!$A:$A),MATCH(Q$1,[3]enemies!$1:$1,0)-MATCH($L$1,[3]enemies!$1:$1,0)+1),MATCH(Q$1,[3]enemies!$1:$1,0)-MATCH($L$1,[3]enemies!$1:$1,0)+1,FALSE)</f>
        <v>15</v>
      </c>
      <c r="R63" s="161">
        <v>50</v>
      </c>
      <c r="S63" s="162">
        <v>1.1000000000000001</v>
      </c>
      <c r="T63" s="163">
        <f ca="1">ROUND(VLOOKUP(R63,[3]enemy_base_stats!$A:$F,2,FALSE) *INDIRECT("[EnemyMasterData.xlsm]enemies!Y"&amp;(L63+1))*  INDIRECT("[EnemyMasterData.xlsm]enemies!J"&amp;(L63+1))* INDIRECT("[EnemyMasterData.xlsm]enemies!O"&amp;(L63+1))* INDIRECT("[EnemyMasterData.xlsm]enemies!E"&amp;(L63+1))* INDIRECT("[EnemyMasterData.xlsm]enemies!S"&amp;(L63+1))* INDIRECT("[EnemyMasterData.xlsm]enemies!AD"&amp;(L63+1))*[4]ステータス!$B$2,0)*S63</f>
        <v>11330.000000000002</v>
      </c>
      <c r="U63" s="162">
        <v>0.4</v>
      </c>
      <c r="V63" s="163">
        <f ca="1">ROUND(VLOOKUP(R63,[3]enemy_base_stats!$A:$F,3,FALSE) *INDIRECT("[EnemyMasterData.xlsm]enemies!Z"&amp;(L63+1))*  INDIRECT("[EnemyMasterData.xlsm]enemies!K"&amp;(L63+1))* INDIRECT("[EnemyMasterData.xlsm]enemies!P"&amp;(L63+1))* INDIRECT("[EnemyMasterData.xlsm]enemies!F"&amp;(L63+1))* INDIRECT("[EnemyMasterData.xlsm]enemies!T"&amp;(L63+1))* INDIRECT("[EnemyMasterData.xlsm]enemies!AE"&amp;(L63+1))*[4]ステータス!$C$2,0)*U63</f>
        <v>1693.6000000000001</v>
      </c>
      <c r="W63" s="161">
        <v>0</v>
      </c>
      <c r="X63" s="4" t="e">
        <f ca="1">VLOOKUP($Y63,OFFSET(enemy_skill_sets!$B$1,0,0,COUNTA(enemy_skill_sets!$B:$B),MATCH(M$1,enemy_skill_sets!$1:$1,0)-MATCH($Y$1,enemy_skill_sets!$1:$1,0)+2),MATCH(M$1,enemy_skill_sets!$1:$1,0)-MATCH($Y$1,enemy_skill_sets!$1:$1,0)+2,FALSE)</f>
        <v>#N/A</v>
      </c>
      <c r="Y63" s="4">
        <f ca="1">VLOOKUP($L63,OFFSET([3]enemies!$A$1,0,0,COUNTA([3]enemies!$A:$A),MATCH(Y$1,[3]enemies!$1:$1,0)-MATCH($L$1,[3]enemies!$1:$1,0)+1),MATCH(Y$1,[3]enemies!$1:$1,0)-MATCH($L$1,[3]enemies!$1:$1,0)+1,FALSE)</f>
        <v>0</v>
      </c>
      <c r="Z63" s="164">
        <v>0</v>
      </c>
      <c r="AA63" s="164">
        <v>100</v>
      </c>
      <c r="AB63" s="164">
        <v>0</v>
      </c>
      <c r="AC63" s="14">
        <v>1</v>
      </c>
      <c r="AD63" s="165">
        <f t="shared" si="8"/>
        <v>529</v>
      </c>
      <c r="AE63" s="4" t="str">
        <f ca="1">VLOOKUP($AD63,OFFSET([4]characters!$A$1,0,0,COUNTA([4]characters!$A:$A),MATCH(AE$1,[4]characters!$1:$1,0)-MATCH("character_id",[4]characters!$1:$1,0)+1),MATCH(AE$1,[4]characters!$1:$1,0)-MATCH("character_id",[4]characters!$1:$1,0)+1,FALSE)</f>
        <v>冬服ジェリー</v>
      </c>
      <c r="AF63" s="4">
        <f ca="1">VLOOKUP($AD63,OFFSET([4]characters!$A$1,0,0,COUNTA([4]characters!$A:$A),MATCH(AF$1,[4]characters!$1:$1,0)-MATCH("character_id",[4]characters!$1:$1,0)+1),MATCH(AF$1,[4]characters!$1:$1,0)-MATCH("character_id",[4]characters!$1:$1,0)+1,FALSE)</f>
        <v>1</v>
      </c>
      <c r="AG63" s="4" t="str">
        <f ca="1">VLOOKUP($AD63,OFFSET([4]characters!$A$1,0,0,COUNTA([4]characters!$A:$A),MATCH(AG$1,[4]characters!$1:$1,0)-MATCH("character_id",[4]characters!$1:$1,0)+1),MATCH(AG$1,[4]characters!$1:$1,0)-MATCH("character_id",[4]characters!$1:$1,0)+1,FALSE)</f>
        <v>Drop1T</v>
      </c>
      <c r="AH63" s="166">
        <v>1</v>
      </c>
      <c r="AI63" s="165">
        <f t="shared" ca="1" si="9"/>
        <v>1</v>
      </c>
      <c r="AJ63" s="167">
        <v>20</v>
      </c>
      <c r="AK63" s="166">
        <v>0</v>
      </c>
      <c r="AL63" s="166">
        <v>0</v>
      </c>
      <c r="AM63" s="166">
        <v>0</v>
      </c>
      <c r="AN63" s="166">
        <v>0</v>
      </c>
      <c r="AO63" s="166">
        <v>1</v>
      </c>
      <c r="AP63" s="168">
        <v>1</v>
      </c>
    </row>
    <row r="64" spans="1:42" ht="21" customHeight="1" x14ac:dyDescent="0.15">
      <c r="A64" s="13" t="str">
        <f t="shared" si="5"/>
        <v>39008_4-1/530&lt;lv50&gt;s2</v>
      </c>
      <c r="B64" s="17">
        <v>39008</v>
      </c>
      <c r="C64" s="95">
        <v>4</v>
      </c>
      <c r="D64" s="12" t="str">
        <f t="shared" si="6"/>
        <v>39008_4</v>
      </c>
      <c r="E64" s="4" t="str">
        <f ca="1">VLOOKUP($B64,OFFSET([2]quests!$A$1,0,0,COUNTA([2]quests!$A:$A),MATCH(E$1,[2]quests!$1:$1,0)-MATCH($B$1,[2]quests!$1:$1,0)+1),MATCH(E$1,[2]quests!$1:$1,0)-MATCH($B$1,[2]quests!$1:$1,0)+1,FALSE)</f>
        <v>雪の歌姫</v>
      </c>
      <c r="F64" s="4" t="str">
        <f ca="1">VLOOKUP($D64,OFFSET([2]stages!$A$1,0,0,COUNTA([2]stages!$A:$A),MATCH(F$1,[2]stages!$2:$2,0)-MATCH($D$1,[2]stages!$2:$2,0)+1),MATCH(F$1,[2]stages!$2:$2,0)-MATCH($D$1,[2]stages!$2:$2,0)+1,FALSE)</f>
        <v>【超級】雪の歌姫</v>
      </c>
      <c r="G64" s="96">
        <v>1</v>
      </c>
      <c r="H64" s="12" t="str">
        <f t="shared" si="7"/>
        <v>39008_4-1</v>
      </c>
      <c r="I64" s="4">
        <f ca="1">VLOOKUP($H64,OFFSET(floors!$A$1,0,0,COUNTA(floors!$A:$A),MATCH(I$1,floors!$1:$1,0)-MATCH($H$1,floors!$1:$1,0)+1),MATCH(I$1,floors!$1:$1,0)-MATCH($H$1,floors!$1:$1,0)+1,FALSE)</f>
        <v>60</v>
      </c>
      <c r="J64" s="4">
        <f ca="1">VLOOKUP($H64,OFFSET(floors!$A$1,0,0,COUNTA(floors!$A:$A),MATCH(J$1,floors!$1:$1,0)-MATCH($H$1,floors!$1:$1,0)+1),MATCH(J$1,floors!$1:$1,0)-MATCH($H$1,floors!$1:$1,0)+1,FALSE)</f>
        <v>60</v>
      </c>
      <c r="K64" s="32" t="s">
        <v>245</v>
      </c>
      <c r="L64" s="97">
        <v>530</v>
      </c>
      <c r="M64" s="14" t="str">
        <f ca="1">VLOOKUP($L64,OFFSET([3]enemies!$A$1,0,0,COUNTA([3]enemies!$A:$A),MATCH(M$1,[3]enemies!$1:$1,0)-MATCH($L$1,[3]enemies!$1:$1,0)+1),MATCH(M$1,[3]enemies!$1:$1,0)-MATCH($L$1,[3]enemies!$1:$1,0)+1,FALSE)</f>
        <v>冬服ジョー</v>
      </c>
      <c r="N64" s="14" t="str">
        <f ca="1">VLOOKUP($L64,OFFSET([3]enemies!$A$1,0,0,COUNTA([3]enemies!$A:$A),MATCH(N$1,[3]enemies!$1:$1,0)-MATCH($L$1,[3]enemies!$1:$1,0)+1),MATCH(N$1,[3]enemies!$1:$1,0)-MATCH($L$1,[3]enemies!$1:$1,0)+1,FALSE)</f>
        <v>green</v>
      </c>
      <c r="O64" s="14" t="str">
        <f ca="1">VLOOKUP($L64,OFFSET([4]characters!$A$1,0,0,COUNTA([4]characters!$A:$A),MATCH(O$1,[4]characters!$1:$1,0)-MATCH($L$1,[4]characters!$1:$1,0)+1),MATCH(O$1,[4]characters!$1:$1,0)-MATCH($L$1,[4]characters!$1:$1,0)+1,FALSE)</f>
        <v>Drop1T</v>
      </c>
      <c r="P64" s="14" t="str">
        <f ca="1">VLOOKUP($L64,OFFSET([3]enemies!$A$1,0,0,COUNTA([3]enemies!$A:$A),MATCH(P$1,[3]enemies!$1:$1,0)-MATCH($L$1,[3]enemies!$1:$1,0)+1),MATCH(P$1,[3]enemies!$1:$1,0)-MATCH($L$1,[3]enemies!$1:$1,0)+1,FALSE)</f>
        <v>unknown</v>
      </c>
      <c r="Q64" s="14">
        <f ca="1">VLOOKUP($L64,OFFSET([3]enemies!$A$1,0,0,COUNTA([3]enemies!$A:$A),MATCH(Q$1,[3]enemies!$1:$1,0)-MATCH($L$1,[3]enemies!$1:$1,0)+1),MATCH(Q$1,[3]enemies!$1:$1,0)-MATCH($L$1,[3]enemies!$1:$1,0)+1,FALSE)</f>
        <v>15</v>
      </c>
      <c r="R64" s="5">
        <v>50</v>
      </c>
      <c r="S64" s="19">
        <v>1.2</v>
      </c>
      <c r="T64" s="92">
        <f ca="1">ROUND(VLOOKUP(R64,[3]enemy_base_stats!$A:$F,2,FALSE) *INDIRECT("[EnemyMasterData.xlsm]enemies!Y"&amp;(L64+1))*  INDIRECT("[EnemyMasterData.xlsm]enemies!J"&amp;(L64+1))* INDIRECT("[EnemyMasterData.xlsm]enemies!O"&amp;(L64+1))* INDIRECT("[EnemyMasterData.xlsm]enemies!E"&amp;(L64+1))* INDIRECT("[EnemyMasterData.xlsm]enemies!S"&amp;(L64+1))* INDIRECT("[EnemyMasterData.xlsm]enemies!AD"&amp;(L64+1))*[4]ステータス!$B$2,0)*S64</f>
        <v>12607.199999999999</v>
      </c>
      <c r="U64" s="19">
        <v>0.5</v>
      </c>
      <c r="V64" s="92">
        <f ca="1">ROUND(VLOOKUP(R64,[3]enemy_base_stats!$A:$F,3,FALSE) *INDIRECT("[EnemyMasterData.xlsm]enemies!Z"&amp;(L64+1))*  INDIRECT("[EnemyMasterData.xlsm]enemies!K"&amp;(L64+1))* INDIRECT("[EnemyMasterData.xlsm]enemies!P"&amp;(L64+1))* INDIRECT("[EnemyMasterData.xlsm]enemies!F"&amp;(L64+1))* INDIRECT("[EnemyMasterData.xlsm]enemies!T"&amp;(L64+1))* INDIRECT("[EnemyMasterData.xlsm]enemies!AE"&amp;(L64+1))*[4]ステータス!$C$2,0)*U64</f>
        <v>1514</v>
      </c>
      <c r="W64" s="5">
        <v>0</v>
      </c>
      <c r="X64" s="4" t="e">
        <f ca="1">VLOOKUP($Y64,OFFSET(enemy_skill_sets!$B$1,0,0,COUNTA(enemy_skill_sets!$B:$B),MATCH(M$1,enemy_skill_sets!$1:$1,0)-MATCH($Y$1,enemy_skill_sets!$1:$1,0)+2),MATCH(M$1,enemy_skill_sets!$1:$1,0)-MATCH($Y$1,enemy_skill_sets!$1:$1,0)+2,FALSE)</f>
        <v>#N/A</v>
      </c>
      <c r="Y64" s="4">
        <f ca="1">VLOOKUP($L64,OFFSET([3]enemies!$A$1,0,0,COUNTA([3]enemies!$A:$A),MATCH(Y$1,[3]enemies!$1:$1,0)-MATCH($L$1,[3]enemies!$1:$1,0)+1),MATCH(Y$1,[3]enemies!$1:$1,0)-MATCH($L$1,[3]enemies!$1:$1,0)+1,FALSE)</f>
        <v>0</v>
      </c>
      <c r="Z64" s="6">
        <v>0</v>
      </c>
      <c r="AA64" s="6">
        <v>100</v>
      </c>
      <c r="AB64" s="6">
        <v>0</v>
      </c>
      <c r="AC64" s="14">
        <v>2</v>
      </c>
      <c r="AD64" s="98">
        <f t="shared" si="8"/>
        <v>530</v>
      </c>
      <c r="AE64" s="4" t="str">
        <f ca="1">VLOOKUP($AD64,OFFSET([4]characters!$A$1,0,0,COUNTA([4]characters!$A:$A),MATCH(AE$1,[4]characters!$1:$1,0)-MATCH("character_id",[4]characters!$1:$1,0)+1),MATCH(AE$1,[4]characters!$1:$1,0)-MATCH("character_id",[4]characters!$1:$1,0)+1,FALSE)</f>
        <v>冬服ジョー</v>
      </c>
      <c r="AF64" s="4">
        <f ca="1">VLOOKUP($AD64,OFFSET([4]characters!$A$1,0,0,COUNTA([4]characters!$A:$A),MATCH(AF$1,[4]characters!$1:$1,0)-MATCH("character_id",[4]characters!$1:$1,0)+1),MATCH(AF$1,[4]characters!$1:$1,0)-MATCH("character_id",[4]characters!$1:$1,0)+1,FALSE)</f>
        <v>1</v>
      </c>
      <c r="AG64" s="4" t="str">
        <f ca="1">VLOOKUP($AD64,OFFSET([4]characters!$A$1,0,0,COUNTA([4]characters!$A:$A),MATCH(AG$1,[4]characters!$1:$1,0)-MATCH("character_id",[4]characters!$1:$1,0)+1),MATCH(AG$1,[4]characters!$1:$1,0)-MATCH("character_id",[4]characters!$1:$1,0)+1,FALSE)</f>
        <v>Drop1T</v>
      </c>
      <c r="AH64" s="94">
        <v>1</v>
      </c>
      <c r="AI64" s="98">
        <f t="shared" ca="1" si="9"/>
        <v>1</v>
      </c>
      <c r="AJ64" s="7">
        <v>20</v>
      </c>
      <c r="AK64" s="94">
        <v>0</v>
      </c>
      <c r="AL64" s="94">
        <v>0</v>
      </c>
      <c r="AM64" s="94">
        <v>0</v>
      </c>
      <c r="AN64" s="94">
        <v>0</v>
      </c>
      <c r="AO64" s="94">
        <v>1</v>
      </c>
      <c r="AP64" s="62">
        <v>1</v>
      </c>
    </row>
    <row r="65" spans="1:42" ht="21" customHeight="1" x14ac:dyDescent="0.15">
      <c r="A65" s="13" t="str">
        <f t="shared" si="5"/>
        <v>39008_4-1/531&lt;lv50&gt;s3</v>
      </c>
      <c r="B65" s="17">
        <v>39008</v>
      </c>
      <c r="C65" s="95">
        <v>4</v>
      </c>
      <c r="D65" s="12" t="str">
        <f t="shared" si="6"/>
        <v>39008_4</v>
      </c>
      <c r="E65" s="4" t="str">
        <f ca="1">VLOOKUP($B65,OFFSET([2]quests!$A$1,0,0,COUNTA([2]quests!$A:$A),MATCH(E$1,[2]quests!$1:$1,0)-MATCH($B$1,[2]quests!$1:$1,0)+1),MATCH(E$1,[2]quests!$1:$1,0)-MATCH($B$1,[2]quests!$1:$1,0)+1,FALSE)</f>
        <v>雪の歌姫</v>
      </c>
      <c r="F65" s="4" t="str">
        <f ca="1">VLOOKUP($D65,OFFSET([2]stages!$A$1,0,0,COUNTA([2]stages!$A:$A),MATCH(F$1,[2]stages!$2:$2,0)-MATCH($D$1,[2]stages!$2:$2,0)+1),MATCH(F$1,[2]stages!$2:$2,0)-MATCH($D$1,[2]stages!$2:$2,0)+1,FALSE)</f>
        <v>【超級】雪の歌姫</v>
      </c>
      <c r="G65" s="96">
        <v>1</v>
      </c>
      <c r="H65" s="12" t="str">
        <f t="shared" si="7"/>
        <v>39008_4-1</v>
      </c>
      <c r="I65" s="4">
        <f ca="1">VLOOKUP($H65,OFFSET(floors!$A$1,0,0,COUNTA(floors!$A:$A),MATCH(I$1,floors!$1:$1,0)-MATCH($H$1,floors!$1:$1,0)+1),MATCH(I$1,floors!$1:$1,0)-MATCH($H$1,floors!$1:$1,0)+1,FALSE)</f>
        <v>60</v>
      </c>
      <c r="J65" s="4">
        <f ca="1">VLOOKUP($H65,OFFSET(floors!$A$1,0,0,COUNTA(floors!$A:$A),MATCH(J$1,floors!$1:$1,0)-MATCH($H$1,floors!$1:$1,0)+1),MATCH(J$1,floors!$1:$1,0)-MATCH($H$1,floors!$1:$1,0)+1,FALSE)</f>
        <v>60</v>
      </c>
      <c r="K65" s="32" t="s">
        <v>245</v>
      </c>
      <c r="L65" s="97">
        <v>531</v>
      </c>
      <c r="M65" s="14" t="str">
        <f ca="1">VLOOKUP($L65,OFFSET([3]enemies!$A$1,0,0,COUNTA([3]enemies!$A:$A),MATCH(M$1,[3]enemies!$1:$1,0)-MATCH($L$1,[3]enemies!$1:$1,0)+1),MATCH(M$1,[3]enemies!$1:$1,0)-MATCH($L$1,[3]enemies!$1:$1,0)+1,FALSE)</f>
        <v>冬服ポチ</v>
      </c>
      <c r="N65" s="14" t="str">
        <f ca="1">VLOOKUP($L65,OFFSET([3]enemies!$A$1,0,0,COUNTA([3]enemies!$A:$A),MATCH(N$1,[3]enemies!$1:$1,0)-MATCH($L$1,[3]enemies!$1:$1,0)+1),MATCH(N$1,[3]enemies!$1:$1,0)-MATCH($L$1,[3]enemies!$1:$1,0)+1,FALSE)</f>
        <v>blue</v>
      </c>
      <c r="O65" s="14" t="str">
        <f ca="1">VLOOKUP($L65,OFFSET([4]characters!$A$1,0,0,COUNTA([4]characters!$A:$A),MATCH(O$1,[4]characters!$1:$1,0)-MATCH($L$1,[4]characters!$1:$1,0)+1),MATCH(O$1,[4]characters!$1:$1,0)-MATCH($L$1,[4]characters!$1:$1,0)+1,FALSE)</f>
        <v>Drop1T</v>
      </c>
      <c r="P65" s="14" t="str">
        <f ca="1">VLOOKUP($L65,OFFSET([3]enemies!$A$1,0,0,COUNTA([3]enemies!$A:$A),MATCH(P$1,[3]enemies!$1:$1,0)-MATCH($L$1,[3]enemies!$1:$1,0)+1),MATCH(P$1,[3]enemies!$1:$1,0)-MATCH($L$1,[3]enemies!$1:$1,0)+1,FALSE)</f>
        <v>unknown</v>
      </c>
      <c r="Q65" s="14">
        <f ca="1">VLOOKUP($L65,OFFSET([3]enemies!$A$1,0,0,COUNTA([3]enemies!$A:$A),MATCH(Q$1,[3]enemies!$1:$1,0)-MATCH($L$1,[3]enemies!$1:$1,0)+1),MATCH(Q$1,[3]enemies!$1:$1,0)-MATCH($L$1,[3]enemies!$1:$1,0)+1,FALSE)</f>
        <v>15</v>
      </c>
      <c r="R65" s="5">
        <v>50</v>
      </c>
      <c r="S65" s="19">
        <v>1</v>
      </c>
      <c r="T65" s="92">
        <f ca="1">ROUND(VLOOKUP(R65,[3]enemy_base_stats!$A:$F,2,FALSE) *INDIRECT("[EnemyMasterData.xlsm]enemies!Y"&amp;(L65+1))*  INDIRECT("[EnemyMasterData.xlsm]enemies!J"&amp;(L65+1))* INDIRECT("[EnemyMasterData.xlsm]enemies!O"&amp;(L65+1))* INDIRECT("[EnemyMasterData.xlsm]enemies!E"&amp;(L65+1))* INDIRECT("[EnemyMasterData.xlsm]enemies!S"&amp;(L65+1))* INDIRECT("[EnemyMasterData.xlsm]enemies!AD"&amp;(L65+1))*[4]ステータス!$B$2,0)*S65</f>
        <v>8240</v>
      </c>
      <c r="U65" s="19">
        <v>0.8</v>
      </c>
      <c r="V65" s="92">
        <f ca="1">ROUND(VLOOKUP(R65,[3]enemy_base_stats!$A:$F,3,FALSE) *INDIRECT("[EnemyMasterData.xlsm]enemies!Z"&amp;(L65+1))*  INDIRECT("[EnemyMasterData.xlsm]enemies!K"&amp;(L65+1))* INDIRECT("[EnemyMasterData.xlsm]enemies!P"&amp;(L65+1))* INDIRECT("[EnemyMasterData.xlsm]enemies!F"&amp;(L65+1))* INDIRECT("[EnemyMasterData.xlsm]enemies!T"&amp;(L65+1))* INDIRECT("[EnemyMasterData.xlsm]enemies!AE"&amp;(L65+1))*[4]ステータス!$C$2,0)*U65</f>
        <v>1889.6000000000001</v>
      </c>
      <c r="W65" s="5">
        <v>0</v>
      </c>
      <c r="X65" s="4" t="e">
        <f ca="1">VLOOKUP($Y65,OFFSET(enemy_skill_sets!$B$1,0,0,COUNTA(enemy_skill_sets!$B:$B),MATCH(M$1,enemy_skill_sets!$1:$1,0)-MATCH($Y$1,enemy_skill_sets!$1:$1,0)+2),MATCH(M$1,enemy_skill_sets!$1:$1,0)-MATCH($Y$1,enemy_skill_sets!$1:$1,0)+2,FALSE)</f>
        <v>#N/A</v>
      </c>
      <c r="Y65" s="4">
        <f ca="1">VLOOKUP($L65,OFFSET([3]enemies!$A$1,0,0,COUNTA([3]enemies!$A:$A),MATCH(Y$1,[3]enemies!$1:$1,0)-MATCH($L$1,[3]enemies!$1:$1,0)+1),MATCH(Y$1,[3]enemies!$1:$1,0)-MATCH($L$1,[3]enemies!$1:$1,0)+1,FALSE)</f>
        <v>0</v>
      </c>
      <c r="Z65" s="6">
        <v>0</v>
      </c>
      <c r="AA65" s="6">
        <v>100</v>
      </c>
      <c r="AB65" s="6">
        <v>0</v>
      </c>
      <c r="AC65" s="14">
        <v>3</v>
      </c>
      <c r="AD65" s="98">
        <f t="shared" si="8"/>
        <v>531</v>
      </c>
      <c r="AE65" s="4" t="str">
        <f ca="1">VLOOKUP($AD65,OFFSET([4]characters!$A$1,0,0,COUNTA([4]characters!$A:$A),MATCH(AE$1,[4]characters!$1:$1,0)-MATCH("character_id",[4]characters!$1:$1,0)+1),MATCH(AE$1,[4]characters!$1:$1,0)-MATCH("character_id",[4]characters!$1:$1,0)+1,FALSE)</f>
        <v>冬服ポチ</v>
      </c>
      <c r="AF65" s="4">
        <f ca="1">VLOOKUP($AD65,OFFSET([4]characters!$A$1,0,0,COUNTA([4]characters!$A:$A),MATCH(AF$1,[4]characters!$1:$1,0)-MATCH("character_id",[4]characters!$1:$1,0)+1),MATCH(AF$1,[4]characters!$1:$1,0)-MATCH("character_id",[4]characters!$1:$1,0)+1,FALSE)</f>
        <v>1</v>
      </c>
      <c r="AG65" s="4" t="str">
        <f ca="1">VLOOKUP($AD65,OFFSET([4]characters!$A$1,0,0,COUNTA([4]characters!$A:$A),MATCH(AG$1,[4]characters!$1:$1,0)-MATCH("character_id",[4]characters!$1:$1,0)+1),MATCH(AG$1,[4]characters!$1:$1,0)-MATCH("character_id",[4]characters!$1:$1,0)+1,FALSE)</f>
        <v>Drop1T</v>
      </c>
      <c r="AH65" s="94">
        <v>1</v>
      </c>
      <c r="AI65" s="98">
        <f t="shared" ca="1" si="9"/>
        <v>1</v>
      </c>
      <c r="AJ65" s="7">
        <v>20</v>
      </c>
      <c r="AK65" s="94">
        <v>0</v>
      </c>
      <c r="AL65" s="94">
        <v>0</v>
      </c>
      <c r="AM65" s="94">
        <v>0</v>
      </c>
      <c r="AN65" s="94">
        <v>0</v>
      </c>
      <c r="AO65" s="94">
        <v>1</v>
      </c>
      <c r="AP65" s="62">
        <v>1</v>
      </c>
    </row>
    <row r="66" spans="1:42" ht="21" customHeight="1" x14ac:dyDescent="0.15">
      <c r="A66" s="13" t="str">
        <f t="shared" si="5"/>
        <v>39008_4-1/532&lt;lv50&gt;s2</v>
      </c>
      <c r="B66" s="17">
        <v>39008</v>
      </c>
      <c r="C66" s="95">
        <v>4</v>
      </c>
      <c r="D66" s="12" t="str">
        <f t="shared" si="6"/>
        <v>39008_4</v>
      </c>
      <c r="E66" s="4" t="str">
        <f ca="1">VLOOKUP($B66,OFFSET([2]quests!$A$1,0,0,COUNTA([2]quests!$A:$A),MATCH(E$1,[2]quests!$1:$1,0)-MATCH($B$1,[2]quests!$1:$1,0)+1),MATCH(E$1,[2]quests!$1:$1,0)-MATCH($B$1,[2]quests!$1:$1,0)+1,FALSE)</f>
        <v>雪の歌姫</v>
      </c>
      <c r="F66" s="4" t="str">
        <f ca="1">VLOOKUP($D66,OFFSET([2]stages!$A$1,0,0,COUNTA([2]stages!$A:$A),MATCH(F$1,[2]stages!$2:$2,0)-MATCH($D$1,[2]stages!$2:$2,0)+1),MATCH(F$1,[2]stages!$2:$2,0)-MATCH($D$1,[2]stages!$2:$2,0)+1,FALSE)</f>
        <v>【超級】雪の歌姫</v>
      </c>
      <c r="G66" s="96">
        <v>1</v>
      </c>
      <c r="H66" s="12" t="str">
        <f t="shared" si="7"/>
        <v>39008_4-1</v>
      </c>
      <c r="I66" s="4">
        <f ca="1">VLOOKUP($H66,OFFSET(floors!$A$1,0,0,COUNTA(floors!$A:$A),MATCH(I$1,floors!$1:$1,0)-MATCH($H$1,floors!$1:$1,0)+1),MATCH(I$1,floors!$1:$1,0)-MATCH($H$1,floors!$1:$1,0)+1,FALSE)</f>
        <v>60</v>
      </c>
      <c r="J66" s="4">
        <f ca="1">VLOOKUP($H66,OFFSET(floors!$A$1,0,0,COUNTA(floors!$A:$A),MATCH(J$1,floors!$1:$1,0)-MATCH($H$1,floors!$1:$1,0)+1),MATCH(J$1,floors!$1:$1,0)-MATCH($H$1,floors!$1:$1,0)+1,FALSE)</f>
        <v>60</v>
      </c>
      <c r="K66" s="32" t="s">
        <v>245</v>
      </c>
      <c r="L66" s="97">
        <v>532</v>
      </c>
      <c r="M66" s="14" t="str">
        <f ca="1">VLOOKUP($L66,OFFSET([3]enemies!$A$1,0,0,COUNTA([3]enemies!$A:$A),MATCH(M$1,[3]enemies!$1:$1,0)-MATCH($L$1,[3]enemies!$1:$1,0)+1),MATCH(M$1,[3]enemies!$1:$1,0)-MATCH($L$1,[3]enemies!$1:$1,0)+1,FALSE)</f>
        <v>冬服エレキポット</v>
      </c>
      <c r="N66" s="14" t="str">
        <f ca="1">VLOOKUP($L66,OFFSET([3]enemies!$A$1,0,0,COUNTA([3]enemies!$A:$A),MATCH(N$1,[3]enemies!$1:$1,0)-MATCH($L$1,[3]enemies!$1:$1,0)+1),MATCH(N$1,[3]enemies!$1:$1,0)-MATCH($L$1,[3]enemies!$1:$1,0)+1,FALSE)</f>
        <v>yellow</v>
      </c>
      <c r="O66" s="14" t="str">
        <f ca="1">VLOOKUP($L66,OFFSET([4]characters!$A$1,0,0,COUNTA([4]characters!$A:$A),MATCH(O$1,[4]characters!$1:$1,0)-MATCH($L$1,[4]characters!$1:$1,0)+1),MATCH(O$1,[4]characters!$1:$1,0)-MATCH($L$1,[4]characters!$1:$1,0)+1,FALSE)</f>
        <v>Drop1T</v>
      </c>
      <c r="P66" s="14" t="str">
        <f ca="1">VLOOKUP($L66,OFFSET([3]enemies!$A$1,0,0,COUNTA([3]enemies!$A:$A),MATCH(P$1,[3]enemies!$1:$1,0)-MATCH($L$1,[3]enemies!$1:$1,0)+1),MATCH(P$1,[3]enemies!$1:$1,0)-MATCH($L$1,[3]enemies!$1:$1,0)+1,FALSE)</f>
        <v>unknown</v>
      </c>
      <c r="Q66" s="14">
        <f ca="1">VLOOKUP($L66,OFFSET([3]enemies!$A$1,0,0,COUNTA([3]enemies!$A:$A),MATCH(Q$1,[3]enemies!$1:$1,0)-MATCH($L$1,[3]enemies!$1:$1,0)+1),MATCH(Q$1,[3]enemies!$1:$1,0)-MATCH($L$1,[3]enemies!$1:$1,0)+1,FALSE)</f>
        <v>15</v>
      </c>
      <c r="R66" s="5">
        <v>50</v>
      </c>
      <c r="S66" s="19">
        <v>1.1000000000000001</v>
      </c>
      <c r="T66" s="92">
        <f ca="1">ROUND(VLOOKUP(R66,[3]enemy_base_stats!$A:$F,2,FALSE) *INDIRECT("[EnemyMasterData.xlsm]enemies!Y"&amp;(L66+1))*  INDIRECT("[EnemyMasterData.xlsm]enemies!J"&amp;(L66+1))* INDIRECT("[EnemyMasterData.xlsm]enemies!O"&amp;(L66+1))* INDIRECT("[EnemyMasterData.xlsm]enemies!E"&amp;(L66+1))* INDIRECT("[EnemyMasterData.xlsm]enemies!S"&amp;(L66+1))* INDIRECT("[EnemyMasterData.xlsm]enemies!AD"&amp;(L66+1))*[4]ステータス!$B$2,0)*S66</f>
        <v>11103.400000000001</v>
      </c>
      <c r="U66" s="19">
        <v>0.4</v>
      </c>
      <c r="V66" s="92">
        <f ca="1">ROUND(VLOOKUP(R66,[3]enemy_base_stats!$A:$F,3,FALSE) *INDIRECT("[EnemyMasterData.xlsm]enemies!Z"&amp;(L66+1))*  INDIRECT("[EnemyMasterData.xlsm]enemies!K"&amp;(L66+1))* INDIRECT("[EnemyMasterData.xlsm]enemies!P"&amp;(L66+1))* INDIRECT("[EnemyMasterData.xlsm]enemies!F"&amp;(L66+1))* INDIRECT("[EnemyMasterData.xlsm]enemies!T"&amp;(L66+1))* INDIRECT("[EnemyMasterData.xlsm]enemies!AE"&amp;(L66+1))*[4]ステータス!$C$2,0)*U66</f>
        <v>1660.4</v>
      </c>
      <c r="W66" s="5">
        <v>0</v>
      </c>
      <c r="X66" s="4" t="e">
        <f ca="1">VLOOKUP($Y66,OFFSET(enemy_skill_sets!$B$1,0,0,COUNTA(enemy_skill_sets!$B:$B),MATCH(M$1,enemy_skill_sets!$1:$1,0)-MATCH($Y$1,enemy_skill_sets!$1:$1,0)+2),MATCH(M$1,enemy_skill_sets!$1:$1,0)-MATCH($Y$1,enemy_skill_sets!$1:$1,0)+2,FALSE)</f>
        <v>#N/A</v>
      </c>
      <c r="Y66" s="4">
        <f ca="1">VLOOKUP($L66,OFFSET([3]enemies!$A$1,0,0,COUNTA([3]enemies!$A:$A),MATCH(Y$1,[3]enemies!$1:$1,0)-MATCH($L$1,[3]enemies!$1:$1,0)+1),MATCH(Y$1,[3]enemies!$1:$1,0)-MATCH($L$1,[3]enemies!$1:$1,0)+1,FALSE)</f>
        <v>0</v>
      </c>
      <c r="Z66" s="6">
        <v>0</v>
      </c>
      <c r="AA66" s="6">
        <v>100</v>
      </c>
      <c r="AB66" s="6">
        <v>0</v>
      </c>
      <c r="AC66" s="14">
        <v>2</v>
      </c>
      <c r="AD66" s="98">
        <f t="shared" si="8"/>
        <v>532</v>
      </c>
      <c r="AE66" s="4" t="str">
        <f ca="1">VLOOKUP($AD66,OFFSET([4]characters!$A$1,0,0,COUNTA([4]characters!$A:$A),MATCH(AE$1,[4]characters!$1:$1,0)-MATCH("character_id",[4]characters!$1:$1,0)+1),MATCH(AE$1,[4]characters!$1:$1,0)-MATCH("character_id",[4]characters!$1:$1,0)+1,FALSE)</f>
        <v>冬服エレキポット</v>
      </c>
      <c r="AF66" s="4">
        <f ca="1">VLOOKUP($AD66,OFFSET([4]characters!$A$1,0,0,COUNTA([4]characters!$A:$A),MATCH(AF$1,[4]characters!$1:$1,0)-MATCH("character_id",[4]characters!$1:$1,0)+1),MATCH(AF$1,[4]characters!$1:$1,0)-MATCH("character_id",[4]characters!$1:$1,0)+1,FALSE)</f>
        <v>1</v>
      </c>
      <c r="AG66" s="4" t="str">
        <f ca="1">VLOOKUP($AD66,OFFSET([4]characters!$A$1,0,0,COUNTA([4]characters!$A:$A),MATCH(AG$1,[4]characters!$1:$1,0)-MATCH("character_id",[4]characters!$1:$1,0)+1),MATCH(AG$1,[4]characters!$1:$1,0)-MATCH("character_id",[4]characters!$1:$1,0)+1,FALSE)</f>
        <v>Drop1T</v>
      </c>
      <c r="AH66" s="94">
        <v>1</v>
      </c>
      <c r="AI66" s="98">
        <f t="shared" ca="1" si="9"/>
        <v>1</v>
      </c>
      <c r="AJ66" s="7">
        <v>20</v>
      </c>
      <c r="AK66" s="94">
        <v>0</v>
      </c>
      <c r="AL66" s="94">
        <v>0</v>
      </c>
      <c r="AM66" s="94">
        <v>0</v>
      </c>
      <c r="AN66" s="94">
        <v>0</v>
      </c>
      <c r="AO66" s="94">
        <v>1</v>
      </c>
      <c r="AP66" s="62">
        <v>1</v>
      </c>
    </row>
    <row r="67" spans="1:42" ht="21" customHeight="1" x14ac:dyDescent="0.15">
      <c r="A67" s="13" t="str">
        <f t="shared" ref="A67:A110" si="10">B67&amp;"_"&amp;C67&amp;"-"&amp;G67&amp;"/"&amp;L67&amp;"&lt;lv"&amp;R67&amp;"&gt;s"&amp;AC67</f>
        <v>39008_4-1/533&lt;lv50&gt;s3</v>
      </c>
      <c r="B67" s="17">
        <v>39008</v>
      </c>
      <c r="C67" s="95">
        <v>4</v>
      </c>
      <c r="D67" s="12" t="str">
        <f t="shared" ref="D67:D110" si="11">B67&amp;"_"&amp;C67</f>
        <v>39008_4</v>
      </c>
      <c r="E67" s="4" t="str">
        <f ca="1">VLOOKUP($B67,OFFSET([2]quests!$A$1,0,0,COUNTA([2]quests!$A:$A),MATCH(E$1,[2]quests!$1:$1,0)-MATCH($B$1,[2]quests!$1:$1,0)+1),MATCH(E$1,[2]quests!$1:$1,0)-MATCH($B$1,[2]quests!$1:$1,0)+1,FALSE)</f>
        <v>雪の歌姫</v>
      </c>
      <c r="F67" s="4" t="str">
        <f ca="1">VLOOKUP($D67,OFFSET([2]stages!$A$1,0,0,COUNTA([2]stages!$A:$A),MATCH(F$1,[2]stages!$2:$2,0)-MATCH($D$1,[2]stages!$2:$2,0)+1),MATCH(F$1,[2]stages!$2:$2,0)-MATCH($D$1,[2]stages!$2:$2,0)+1,FALSE)</f>
        <v>【超級】雪の歌姫</v>
      </c>
      <c r="G67" s="96">
        <v>1</v>
      </c>
      <c r="H67" s="12" t="str">
        <f t="shared" ref="H67:H110" si="12">B67&amp;"_"&amp;C67&amp;"-"&amp;G67</f>
        <v>39008_4-1</v>
      </c>
      <c r="I67" s="4">
        <f ca="1">VLOOKUP($H67,OFFSET(floors!$A$1,0,0,COUNTA(floors!$A:$A),MATCH(I$1,floors!$1:$1,0)-MATCH($H$1,floors!$1:$1,0)+1),MATCH(I$1,floors!$1:$1,0)-MATCH($H$1,floors!$1:$1,0)+1,FALSE)</f>
        <v>60</v>
      </c>
      <c r="J67" s="4">
        <f ca="1">VLOOKUP($H67,OFFSET(floors!$A$1,0,0,COUNTA(floors!$A:$A),MATCH(J$1,floors!$1:$1,0)-MATCH($H$1,floors!$1:$1,0)+1),MATCH(J$1,floors!$1:$1,0)-MATCH($H$1,floors!$1:$1,0)+1,FALSE)</f>
        <v>60</v>
      </c>
      <c r="K67" s="32" t="s">
        <v>245</v>
      </c>
      <c r="L67" s="97">
        <v>533</v>
      </c>
      <c r="M67" s="14" t="str">
        <f ca="1">VLOOKUP($L67,OFFSET([3]enemies!$A$1,0,0,COUNTA([3]enemies!$A:$A),MATCH(M$1,[3]enemies!$1:$1,0)-MATCH($L$1,[3]enemies!$1:$1,0)+1),MATCH(M$1,[3]enemies!$1:$1,0)-MATCH($L$1,[3]enemies!$1:$1,0)+1,FALSE)</f>
        <v>冬服アカネ</v>
      </c>
      <c r="N67" s="14" t="str">
        <f ca="1">VLOOKUP($L67,OFFSET([3]enemies!$A$1,0,0,COUNTA([3]enemies!$A:$A),MATCH(N$1,[3]enemies!$1:$1,0)-MATCH($L$1,[3]enemies!$1:$1,0)+1),MATCH(N$1,[3]enemies!$1:$1,0)-MATCH($L$1,[3]enemies!$1:$1,0)+1,FALSE)</f>
        <v>red</v>
      </c>
      <c r="O67" s="14" t="str">
        <f ca="1">VLOOKUP($L67,OFFSET([4]characters!$A$1,0,0,COUNTA([4]characters!$A:$A),MATCH(O$1,[4]characters!$1:$1,0)-MATCH($L$1,[4]characters!$1:$1,0)+1),MATCH(O$1,[4]characters!$1:$1,0)-MATCH($L$1,[4]characters!$1:$1,0)+1,FALSE)</f>
        <v>Drop1W</v>
      </c>
      <c r="P67" s="14" t="str">
        <f ca="1">VLOOKUP($L67,OFFSET([3]enemies!$A$1,0,0,COUNTA([3]enemies!$A:$A),MATCH(P$1,[3]enemies!$1:$1,0)-MATCH($L$1,[3]enemies!$1:$1,0)+1),MATCH(P$1,[3]enemies!$1:$1,0)-MATCH($L$1,[3]enemies!$1:$1,0)+1,FALSE)</f>
        <v>human</v>
      </c>
      <c r="Q67" s="14">
        <f ca="1">VLOOKUP($L67,OFFSET([3]enemies!$A$1,0,0,COUNTA([3]enemies!$A:$A),MATCH(Q$1,[3]enemies!$1:$1,0)-MATCH($L$1,[3]enemies!$1:$1,0)+1),MATCH(Q$1,[3]enemies!$1:$1,0)-MATCH($L$1,[3]enemies!$1:$1,0)+1,FALSE)</f>
        <v>15</v>
      </c>
      <c r="R67" s="5">
        <v>50</v>
      </c>
      <c r="S67" s="19">
        <v>1.1000000000000001</v>
      </c>
      <c r="T67" s="92">
        <f ca="1">ROUND(VLOOKUP(R67,[3]enemy_base_stats!$A:$F,2,FALSE) *INDIRECT("[EnemyMasterData.xlsm]enemies!Y"&amp;(L67+1))*  INDIRECT("[EnemyMasterData.xlsm]enemies!J"&amp;(L67+1))* INDIRECT("[EnemyMasterData.xlsm]enemies!O"&amp;(L67+1))* INDIRECT("[EnemyMasterData.xlsm]enemies!E"&amp;(L67+1))* INDIRECT("[EnemyMasterData.xlsm]enemies!S"&amp;(L67+1))* INDIRECT("[EnemyMasterData.xlsm]enemies!AD"&amp;(L67+1))*[4]ステータス!$B$2,0)*S67</f>
        <v>10650.2</v>
      </c>
      <c r="U67" s="19">
        <v>0.6</v>
      </c>
      <c r="V67" s="92">
        <f ca="1">ROUND(VLOOKUP(R67,[3]enemy_base_stats!$A:$F,3,FALSE) *INDIRECT("[EnemyMasterData.xlsm]enemies!Z"&amp;(L67+1))*  INDIRECT("[EnemyMasterData.xlsm]enemies!K"&amp;(L67+1))* INDIRECT("[EnemyMasterData.xlsm]enemies!P"&amp;(L67+1))* INDIRECT("[EnemyMasterData.xlsm]enemies!F"&amp;(L67+1))* INDIRECT("[EnemyMasterData.xlsm]enemies!T"&amp;(L67+1))* INDIRECT("[EnemyMasterData.xlsm]enemies!AE"&amp;(L67+1))*[4]ステータス!$C$2,0)*U67</f>
        <v>1872</v>
      </c>
      <c r="W67" s="5">
        <v>0</v>
      </c>
      <c r="X67" s="4" t="e">
        <f ca="1">VLOOKUP($Y67,OFFSET(enemy_skill_sets!$B$1,0,0,COUNTA(enemy_skill_sets!$B:$B),MATCH(M$1,enemy_skill_sets!$1:$1,0)-MATCH($Y$1,enemy_skill_sets!$1:$1,0)+2),MATCH(M$1,enemy_skill_sets!$1:$1,0)-MATCH($Y$1,enemy_skill_sets!$1:$1,0)+2,FALSE)</f>
        <v>#N/A</v>
      </c>
      <c r="Y67" s="4">
        <f ca="1">VLOOKUP($L67,OFFSET([3]enemies!$A$1,0,0,COUNTA([3]enemies!$A:$A),MATCH(Y$1,[3]enemies!$1:$1,0)-MATCH($L$1,[3]enemies!$1:$1,0)+1),MATCH(Y$1,[3]enemies!$1:$1,0)-MATCH($L$1,[3]enemies!$1:$1,0)+1,FALSE)</f>
        <v>0</v>
      </c>
      <c r="Z67" s="6">
        <v>0</v>
      </c>
      <c r="AA67" s="6">
        <v>100</v>
      </c>
      <c r="AB67" s="6">
        <v>0</v>
      </c>
      <c r="AC67" s="14">
        <v>3</v>
      </c>
      <c r="AD67" s="98">
        <f t="shared" ref="AD67:AD109" si="13">L67</f>
        <v>533</v>
      </c>
      <c r="AE67" s="4" t="str">
        <f ca="1">VLOOKUP($AD67,OFFSET([4]characters!$A$1,0,0,COUNTA([4]characters!$A:$A),MATCH(AE$1,[4]characters!$1:$1,0)-MATCH("character_id",[4]characters!$1:$1,0)+1),MATCH(AE$1,[4]characters!$1:$1,0)-MATCH("character_id",[4]characters!$1:$1,0)+1,FALSE)</f>
        <v>冬服アカネ</v>
      </c>
      <c r="AF67" s="4">
        <f ca="1">VLOOKUP($AD67,OFFSET([4]characters!$A$1,0,0,COUNTA([4]characters!$A:$A),MATCH(AF$1,[4]characters!$1:$1,0)-MATCH("character_id",[4]characters!$1:$1,0)+1),MATCH(AF$1,[4]characters!$1:$1,0)-MATCH("character_id",[4]characters!$1:$1,0)+1,FALSE)</f>
        <v>1</v>
      </c>
      <c r="AG67" s="4" t="str">
        <f ca="1">VLOOKUP($AD67,OFFSET([4]characters!$A$1,0,0,COUNTA([4]characters!$A:$A),MATCH(AG$1,[4]characters!$1:$1,0)-MATCH("character_id",[4]characters!$1:$1,0)+1),MATCH(AG$1,[4]characters!$1:$1,0)-MATCH("character_id",[4]characters!$1:$1,0)+1,FALSE)</f>
        <v>Drop1W</v>
      </c>
      <c r="AH67" s="94">
        <v>1</v>
      </c>
      <c r="AI67" s="98">
        <f t="shared" ref="AI67:AI110" ca="1" si="14">AF67</f>
        <v>1</v>
      </c>
      <c r="AJ67" s="7">
        <v>20</v>
      </c>
      <c r="AK67" s="94">
        <v>0</v>
      </c>
      <c r="AL67" s="94">
        <v>0</v>
      </c>
      <c r="AM67" s="94">
        <v>0</v>
      </c>
      <c r="AN67" s="94">
        <v>0</v>
      </c>
      <c r="AO67" s="94">
        <v>1</v>
      </c>
      <c r="AP67" s="62">
        <v>1</v>
      </c>
    </row>
    <row r="68" spans="1:42" ht="21" customHeight="1" x14ac:dyDescent="0.15">
      <c r="A68" s="13" t="str">
        <f t="shared" si="10"/>
        <v>39008_4-1/534&lt;lv50&gt;s1</v>
      </c>
      <c r="B68" s="17">
        <v>39008</v>
      </c>
      <c r="C68" s="95">
        <v>4</v>
      </c>
      <c r="D68" s="12" t="str">
        <f t="shared" si="11"/>
        <v>39008_4</v>
      </c>
      <c r="E68" s="4" t="str">
        <f ca="1">VLOOKUP($B68,OFFSET([2]quests!$A$1,0,0,COUNTA([2]quests!$A:$A),MATCH(E$1,[2]quests!$1:$1,0)-MATCH($B$1,[2]quests!$1:$1,0)+1),MATCH(E$1,[2]quests!$1:$1,0)-MATCH($B$1,[2]quests!$1:$1,0)+1,FALSE)</f>
        <v>雪の歌姫</v>
      </c>
      <c r="F68" s="4" t="str">
        <f ca="1">VLOOKUP($D68,OFFSET([2]stages!$A$1,0,0,COUNTA([2]stages!$A:$A),MATCH(F$1,[2]stages!$2:$2,0)-MATCH($D$1,[2]stages!$2:$2,0)+1),MATCH(F$1,[2]stages!$2:$2,0)-MATCH($D$1,[2]stages!$2:$2,0)+1,FALSE)</f>
        <v>【超級】雪の歌姫</v>
      </c>
      <c r="G68" s="96">
        <v>1</v>
      </c>
      <c r="H68" s="12" t="str">
        <f t="shared" si="12"/>
        <v>39008_4-1</v>
      </c>
      <c r="I68" s="4">
        <f ca="1">VLOOKUP($H68,OFFSET(floors!$A$1,0,0,COUNTA(floors!$A:$A),MATCH(I$1,floors!$1:$1,0)-MATCH($H$1,floors!$1:$1,0)+1),MATCH(I$1,floors!$1:$1,0)-MATCH($H$1,floors!$1:$1,0)+1,FALSE)</f>
        <v>60</v>
      </c>
      <c r="J68" s="4">
        <f ca="1">VLOOKUP($H68,OFFSET(floors!$A$1,0,0,COUNTA(floors!$A:$A),MATCH(J$1,floors!$1:$1,0)-MATCH($H$1,floors!$1:$1,0)+1),MATCH(J$1,floors!$1:$1,0)-MATCH($H$1,floors!$1:$1,0)+1,FALSE)</f>
        <v>60</v>
      </c>
      <c r="K68" s="32" t="s">
        <v>245</v>
      </c>
      <c r="L68" s="97">
        <v>534</v>
      </c>
      <c r="M68" s="14" t="str">
        <f ca="1">VLOOKUP($L68,OFFSET([3]enemies!$A$1,0,0,COUNTA([3]enemies!$A:$A),MATCH(M$1,[3]enemies!$1:$1,0)-MATCH($L$1,[3]enemies!$1:$1,0)+1),MATCH(M$1,[3]enemies!$1:$1,0)-MATCH($L$1,[3]enemies!$1:$1,0)+1,FALSE)</f>
        <v>冬服パトライン</v>
      </c>
      <c r="N68" s="14" t="str">
        <f ca="1">VLOOKUP($L68,OFFSET([3]enemies!$A$1,0,0,COUNTA([3]enemies!$A:$A),MATCH(N$1,[3]enemies!$1:$1,0)-MATCH($L$1,[3]enemies!$1:$1,0)+1),MATCH(N$1,[3]enemies!$1:$1,0)-MATCH($L$1,[3]enemies!$1:$1,0)+1,FALSE)</f>
        <v>green</v>
      </c>
      <c r="O68" s="14" t="str">
        <f ca="1">VLOOKUP($L68,OFFSET([4]characters!$A$1,0,0,COUNTA([4]characters!$A:$A),MATCH(O$1,[4]characters!$1:$1,0)-MATCH($L$1,[4]characters!$1:$1,0)+1),MATCH(O$1,[4]characters!$1:$1,0)-MATCH($L$1,[4]characters!$1:$1,0)+1,FALSE)</f>
        <v>Drop1W</v>
      </c>
      <c r="P68" s="14" t="str">
        <f ca="1">VLOOKUP($L68,OFFSET([3]enemies!$A$1,0,0,COUNTA([3]enemies!$A:$A),MATCH(P$1,[3]enemies!$1:$1,0)-MATCH($L$1,[3]enemies!$1:$1,0)+1),MATCH(P$1,[3]enemies!$1:$1,0)-MATCH($L$1,[3]enemies!$1:$1,0)+1,FALSE)</f>
        <v>machine</v>
      </c>
      <c r="Q68" s="14">
        <f ca="1">VLOOKUP($L68,OFFSET([3]enemies!$A$1,0,0,COUNTA([3]enemies!$A:$A),MATCH(Q$1,[3]enemies!$1:$1,0)-MATCH($L$1,[3]enemies!$1:$1,0)+1),MATCH(Q$1,[3]enemies!$1:$1,0)-MATCH($L$1,[3]enemies!$1:$1,0)+1,FALSE)</f>
        <v>15</v>
      </c>
      <c r="R68" s="5">
        <v>50</v>
      </c>
      <c r="S68" s="19">
        <v>1.2</v>
      </c>
      <c r="T68" s="92">
        <f ca="1">ROUND(VLOOKUP(R68,[3]enemy_base_stats!$A:$F,2,FALSE) *INDIRECT("[EnemyMasterData.xlsm]enemies!Y"&amp;(L68+1))*  INDIRECT("[EnemyMasterData.xlsm]enemies!J"&amp;(L68+1))* INDIRECT("[EnemyMasterData.xlsm]enemies!O"&amp;(L68+1))* INDIRECT("[EnemyMasterData.xlsm]enemies!E"&amp;(L68+1))* INDIRECT("[EnemyMasterData.xlsm]enemies!S"&amp;(L68+1))* INDIRECT("[EnemyMasterData.xlsm]enemies!AD"&amp;(L68+1))*[4]ステータス!$B$2,0)*S68</f>
        <v>10086</v>
      </c>
      <c r="U68" s="19">
        <v>0.6</v>
      </c>
      <c r="V68" s="92">
        <f ca="1">ROUND(VLOOKUP(R68,[3]enemy_base_stats!$A:$F,3,FALSE) *INDIRECT("[EnemyMasterData.xlsm]enemies!Z"&amp;(L68+1))*  INDIRECT("[EnemyMasterData.xlsm]enemies!K"&amp;(L68+1))* INDIRECT("[EnemyMasterData.xlsm]enemies!P"&amp;(L68+1))* INDIRECT("[EnemyMasterData.xlsm]enemies!F"&amp;(L68+1))* INDIRECT("[EnemyMasterData.xlsm]enemies!T"&amp;(L68+1))* INDIRECT("[EnemyMasterData.xlsm]enemies!AE"&amp;(L68+1))*[4]ステータス!$C$2,0)*U68</f>
        <v>1417.2</v>
      </c>
      <c r="W68" s="5">
        <v>0</v>
      </c>
      <c r="X68" s="4" t="e">
        <f ca="1">VLOOKUP($Y68,OFFSET(enemy_skill_sets!$B$1,0,0,COUNTA(enemy_skill_sets!$B:$B),MATCH(M$1,enemy_skill_sets!$1:$1,0)-MATCH($Y$1,enemy_skill_sets!$1:$1,0)+2),MATCH(M$1,enemy_skill_sets!$1:$1,0)-MATCH($Y$1,enemy_skill_sets!$1:$1,0)+2,FALSE)</f>
        <v>#N/A</v>
      </c>
      <c r="Y68" s="4">
        <f ca="1">VLOOKUP($L68,OFFSET([3]enemies!$A$1,0,0,COUNTA([3]enemies!$A:$A),MATCH(Y$1,[3]enemies!$1:$1,0)-MATCH($L$1,[3]enemies!$1:$1,0)+1),MATCH(Y$1,[3]enemies!$1:$1,0)-MATCH($L$1,[3]enemies!$1:$1,0)+1,FALSE)</f>
        <v>0</v>
      </c>
      <c r="Z68" s="6">
        <v>0</v>
      </c>
      <c r="AA68" s="6">
        <v>100</v>
      </c>
      <c r="AB68" s="6">
        <v>0</v>
      </c>
      <c r="AC68" s="14">
        <v>1</v>
      </c>
      <c r="AD68" s="98">
        <f t="shared" si="13"/>
        <v>534</v>
      </c>
      <c r="AE68" s="4" t="str">
        <f ca="1">VLOOKUP($AD68,OFFSET([4]characters!$A$1,0,0,COUNTA([4]characters!$A:$A),MATCH(AE$1,[4]characters!$1:$1,0)-MATCH("character_id",[4]characters!$1:$1,0)+1),MATCH(AE$1,[4]characters!$1:$1,0)-MATCH("character_id",[4]characters!$1:$1,0)+1,FALSE)</f>
        <v>冬服パトライン</v>
      </c>
      <c r="AF68" s="4">
        <f ca="1">VLOOKUP($AD68,OFFSET([4]characters!$A$1,0,0,COUNTA([4]characters!$A:$A),MATCH(AF$1,[4]characters!$1:$1,0)-MATCH("character_id",[4]characters!$1:$1,0)+1),MATCH(AF$1,[4]characters!$1:$1,0)-MATCH("character_id",[4]characters!$1:$1,0)+1,FALSE)</f>
        <v>1</v>
      </c>
      <c r="AG68" s="4" t="str">
        <f ca="1">VLOOKUP($AD68,OFFSET([4]characters!$A$1,0,0,COUNTA([4]characters!$A:$A),MATCH(AG$1,[4]characters!$1:$1,0)-MATCH("character_id",[4]characters!$1:$1,0)+1),MATCH(AG$1,[4]characters!$1:$1,0)-MATCH("character_id",[4]characters!$1:$1,0)+1,FALSE)</f>
        <v>Drop1W</v>
      </c>
      <c r="AH68" s="94">
        <v>1</v>
      </c>
      <c r="AI68" s="98">
        <f t="shared" ca="1" si="14"/>
        <v>1</v>
      </c>
      <c r="AJ68" s="7">
        <v>20</v>
      </c>
      <c r="AK68" s="94">
        <v>0</v>
      </c>
      <c r="AL68" s="94">
        <v>0</v>
      </c>
      <c r="AM68" s="94">
        <v>0</v>
      </c>
      <c r="AN68" s="94">
        <v>0</v>
      </c>
      <c r="AO68" s="94">
        <v>1</v>
      </c>
      <c r="AP68" s="62">
        <v>1</v>
      </c>
    </row>
    <row r="69" spans="1:42" ht="21" customHeight="1" x14ac:dyDescent="0.15">
      <c r="A69" s="13" t="str">
        <f t="shared" si="10"/>
        <v>39008_4-1/535&lt;lv50&gt;s2</v>
      </c>
      <c r="B69" s="17">
        <v>39008</v>
      </c>
      <c r="C69" s="95">
        <v>4</v>
      </c>
      <c r="D69" s="12" t="str">
        <f t="shared" si="11"/>
        <v>39008_4</v>
      </c>
      <c r="E69" s="4" t="str">
        <f ca="1">VLOOKUP($B69,OFFSET([2]quests!$A$1,0,0,COUNTA([2]quests!$A:$A),MATCH(E$1,[2]quests!$1:$1,0)-MATCH($B$1,[2]quests!$1:$1,0)+1),MATCH(E$1,[2]quests!$1:$1,0)-MATCH($B$1,[2]quests!$1:$1,0)+1,FALSE)</f>
        <v>雪の歌姫</v>
      </c>
      <c r="F69" s="4" t="str">
        <f ca="1">VLOOKUP($D69,OFFSET([2]stages!$A$1,0,0,COUNTA([2]stages!$A:$A),MATCH(F$1,[2]stages!$2:$2,0)-MATCH($D$1,[2]stages!$2:$2,0)+1),MATCH(F$1,[2]stages!$2:$2,0)-MATCH($D$1,[2]stages!$2:$2,0)+1,FALSE)</f>
        <v>【超級】雪の歌姫</v>
      </c>
      <c r="G69" s="96">
        <v>1</v>
      </c>
      <c r="H69" s="12" t="str">
        <f t="shared" si="12"/>
        <v>39008_4-1</v>
      </c>
      <c r="I69" s="4">
        <f ca="1">VLOOKUP($H69,OFFSET(floors!$A$1,0,0,COUNTA(floors!$A:$A),MATCH(I$1,floors!$1:$1,0)-MATCH($H$1,floors!$1:$1,0)+1),MATCH(I$1,floors!$1:$1,0)-MATCH($H$1,floors!$1:$1,0)+1,FALSE)</f>
        <v>60</v>
      </c>
      <c r="J69" s="4">
        <f ca="1">VLOOKUP($H69,OFFSET(floors!$A$1,0,0,COUNTA(floors!$A:$A),MATCH(J$1,floors!$1:$1,0)-MATCH($H$1,floors!$1:$1,0)+1),MATCH(J$1,floors!$1:$1,0)-MATCH($H$1,floors!$1:$1,0)+1,FALSE)</f>
        <v>60</v>
      </c>
      <c r="K69" s="32" t="s">
        <v>245</v>
      </c>
      <c r="L69" s="97">
        <v>535</v>
      </c>
      <c r="M69" s="14" t="str">
        <f ca="1">VLOOKUP($L69,OFFSET([3]enemies!$A$1,0,0,COUNTA([3]enemies!$A:$A),MATCH(M$1,[3]enemies!$1:$1,0)-MATCH($L$1,[3]enemies!$1:$1,0)+1),MATCH(M$1,[3]enemies!$1:$1,0)-MATCH($L$1,[3]enemies!$1:$1,0)+1,FALSE)</f>
        <v>冬服リム</v>
      </c>
      <c r="N69" s="14" t="str">
        <f ca="1">VLOOKUP($L69,OFFSET([3]enemies!$A$1,0,0,COUNTA([3]enemies!$A:$A),MATCH(N$1,[3]enemies!$1:$1,0)-MATCH($L$1,[3]enemies!$1:$1,0)+1),MATCH(N$1,[3]enemies!$1:$1,0)-MATCH($L$1,[3]enemies!$1:$1,0)+1,FALSE)</f>
        <v>blue</v>
      </c>
      <c r="O69" s="14" t="str">
        <f ca="1">VLOOKUP($L69,OFFSET([4]characters!$A$1,0,0,COUNTA([4]characters!$A:$A),MATCH(O$1,[4]characters!$1:$1,0)-MATCH($L$1,[4]characters!$1:$1,0)+1),MATCH(O$1,[4]characters!$1:$1,0)-MATCH($L$1,[4]characters!$1:$1,0)+1,FALSE)</f>
        <v>Drop1W</v>
      </c>
      <c r="P69" s="14" t="str">
        <f ca="1">VLOOKUP($L69,OFFSET([3]enemies!$A$1,0,0,COUNTA([3]enemies!$A:$A),MATCH(P$1,[3]enemies!$1:$1,0)-MATCH($L$1,[3]enemies!$1:$1,0)+1),MATCH(P$1,[3]enemies!$1:$1,0)-MATCH($L$1,[3]enemies!$1:$1,0)+1,FALSE)</f>
        <v>human</v>
      </c>
      <c r="Q69" s="14">
        <f ca="1">VLOOKUP($L69,OFFSET([3]enemies!$A$1,0,0,COUNTA([3]enemies!$A:$A),MATCH(Q$1,[3]enemies!$1:$1,0)-MATCH($L$1,[3]enemies!$1:$1,0)+1),MATCH(Q$1,[3]enemies!$1:$1,0)-MATCH($L$1,[3]enemies!$1:$1,0)+1,FALSE)</f>
        <v>15</v>
      </c>
      <c r="R69" s="5">
        <v>50</v>
      </c>
      <c r="S69" s="19">
        <v>1</v>
      </c>
      <c r="T69" s="92">
        <f ca="1">ROUND(VLOOKUP(R69,[3]enemy_base_stats!$A:$F,2,FALSE) *INDIRECT("[EnemyMasterData.xlsm]enemies!Y"&amp;(L69+1))*  INDIRECT("[EnemyMasterData.xlsm]enemies!J"&amp;(L69+1))* INDIRECT("[EnemyMasterData.xlsm]enemies!O"&amp;(L69+1))* INDIRECT("[EnemyMasterData.xlsm]enemies!E"&amp;(L69+1))* INDIRECT("[EnemyMasterData.xlsm]enemies!S"&amp;(L69+1))* INDIRECT("[EnemyMasterData.xlsm]enemies!AD"&amp;(L69+1))*[4]ステータス!$B$2,0)*S69</f>
        <v>9682</v>
      </c>
      <c r="U69" s="19">
        <v>0.6</v>
      </c>
      <c r="V69" s="92">
        <f ca="1">ROUND(VLOOKUP(R69,[3]enemy_base_stats!$A:$F,3,FALSE) *INDIRECT("[EnemyMasterData.xlsm]enemies!Z"&amp;(L69+1))*  INDIRECT("[EnemyMasterData.xlsm]enemies!K"&amp;(L69+1))* INDIRECT("[EnemyMasterData.xlsm]enemies!P"&amp;(L69+1))* INDIRECT("[EnemyMasterData.xlsm]enemies!F"&amp;(L69+1))* INDIRECT("[EnemyMasterData.xlsm]enemies!T"&amp;(L69+1))* INDIRECT("[EnemyMasterData.xlsm]enemies!AE"&amp;(L69+1))*[4]ステータス!$C$2,0)*U69</f>
        <v>1798.8</v>
      </c>
      <c r="W69" s="5">
        <v>0</v>
      </c>
      <c r="X69" s="4" t="e">
        <f ca="1">VLOOKUP($Y69,OFFSET(enemy_skill_sets!$B$1,0,0,COUNTA(enemy_skill_sets!$B:$B),MATCH(M$1,enemy_skill_sets!$1:$1,0)-MATCH($Y$1,enemy_skill_sets!$1:$1,0)+2),MATCH(M$1,enemy_skill_sets!$1:$1,0)-MATCH($Y$1,enemy_skill_sets!$1:$1,0)+2,FALSE)</f>
        <v>#N/A</v>
      </c>
      <c r="Y69" s="4">
        <f ca="1">VLOOKUP($L69,OFFSET([3]enemies!$A$1,0,0,COUNTA([3]enemies!$A:$A),MATCH(Y$1,[3]enemies!$1:$1,0)-MATCH($L$1,[3]enemies!$1:$1,0)+1),MATCH(Y$1,[3]enemies!$1:$1,0)-MATCH($L$1,[3]enemies!$1:$1,0)+1,FALSE)</f>
        <v>0</v>
      </c>
      <c r="Z69" s="6">
        <v>0</v>
      </c>
      <c r="AA69" s="6">
        <v>100</v>
      </c>
      <c r="AB69" s="6">
        <v>0</v>
      </c>
      <c r="AC69" s="14">
        <v>2</v>
      </c>
      <c r="AD69" s="98">
        <f t="shared" si="13"/>
        <v>535</v>
      </c>
      <c r="AE69" s="4" t="str">
        <f ca="1">VLOOKUP($AD69,OFFSET([4]characters!$A$1,0,0,COUNTA([4]characters!$A:$A),MATCH(AE$1,[4]characters!$1:$1,0)-MATCH("character_id",[4]characters!$1:$1,0)+1),MATCH(AE$1,[4]characters!$1:$1,0)-MATCH("character_id",[4]characters!$1:$1,0)+1,FALSE)</f>
        <v>冬服リム</v>
      </c>
      <c r="AF69" s="4">
        <f ca="1">VLOOKUP($AD69,OFFSET([4]characters!$A$1,0,0,COUNTA([4]characters!$A:$A),MATCH(AF$1,[4]characters!$1:$1,0)-MATCH("character_id",[4]characters!$1:$1,0)+1),MATCH(AF$1,[4]characters!$1:$1,0)-MATCH("character_id",[4]characters!$1:$1,0)+1,FALSE)</f>
        <v>1</v>
      </c>
      <c r="AG69" s="4" t="str">
        <f ca="1">VLOOKUP($AD69,OFFSET([4]characters!$A$1,0,0,COUNTA([4]characters!$A:$A),MATCH(AG$1,[4]characters!$1:$1,0)-MATCH("character_id",[4]characters!$1:$1,0)+1),MATCH(AG$1,[4]characters!$1:$1,0)-MATCH("character_id",[4]characters!$1:$1,0)+1,FALSE)</f>
        <v>Drop1W</v>
      </c>
      <c r="AH69" s="94">
        <v>1</v>
      </c>
      <c r="AI69" s="98">
        <f t="shared" ca="1" si="14"/>
        <v>1</v>
      </c>
      <c r="AJ69" s="7">
        <v>20</v>
      </c>
      <c r="AK69" s="94">
        <v>0</v>
      </c>
      <c r="AL69" s="94">
        <v>0</v>
      </c>
      <c r="AM69" s="94">
        <v>0</v>
      </c>
      <c r="AN69" s="94">
        <v>0</v>
      </c>
      <c r="AO69" s="94">
        <v>1</v>
      </c>
      <c r="AP69" s="62">
        <v>1</v>
      </c>
    </row>
    <row r="70" spans="1:42" ht="21" customHeight="1" x14ac:dyDescent="0.15">
      <c r="A70" s="13" t="str">
        <f t="shared" si="10"/>
        <v>39008_4-1/536&lt;lv50&gt;s2</v>
      </c>
      <c r="B70" s="17">
        <v>39008</v>
      </c>
      <c r="C70" s="95">
        <v>4</v>
      </c>
      <c r="D70" s="12" t="str">
        <f t="shared" si="11"/>
        <v>39008_4</v>
      </c>
      <c r="E70" s="4" t="str">
        <f ca="1">VLOOKUP($B70,OFFSET([2]quests!$A$1,0,0,COUNTA([2]quests!$A:$A),MATCH(E$1,[2]quests!$1:$1,0)-MATCH($B$1,[2]quests!$1:$1,0)+1),MATCH(E$1,[2]quests!$1:$1,0)-MATCH($B$1,[2]quests!$1:$1,0)+1,FALSE)</f>
        <v>雪の歌姫</v>
      </c>
      <c r="F70" s="4" t="str">
        <f ca="1">VLOOKUP($D70,OFFSET([2]stages!$A$1,0,0,COUNTA([2]stages!$A:$A),MATCH(F$1,[2]stages!$2:$2,0)-MATCH($D$1,[2]stages!$2:$2,0)+1),MATCH(F$1,[2]stages!$2:$2,0)-MATCH($D$1,[2]stages!$2:$2,0)+1,FALSE)</f>
        <v>【超級】雪の歌姫</v>
      </c>
      <c r="G70" s="96">
        <v>1</v>
      </c>
      <c r="H70" s="12" t="str">
        <f t="shared" si="12"/>
        <v>39008_4-1</v>
      </c>
      <c r="I70" s="4">
        <f ca="1">VLOOKUP($H70,OFFSET(floors!$A$1,0,0,COUNTA(floors!$A:$A),MATCH(I$1,floors!$1:$1,0)-MATCH($H$1,floors!$1:$1,0)+1),MATCH(I$1,floors!$1:$1,0)-MATCH($H$1,floors!$1:$1,0)+1,FALSE)</f>
        <v>60</v>
      </c>
      <c r="J70" s="4">
        <f ca="1">VLOOKUP($H70,OFFSET(floors!$A$1,0,0,COUNTA(floors!$A:$A),MATCH(J$1,floors!$1:$1,0)-MATCH($H$1,floors!$1:$1,0)+1),MATCH(J$1,floors!$1:$1,0)-MATCH($H$1,floors!$1:$1,0)+1,FALSE)</f>
        <v>60</v>
      </c>
      <c r="K70" s="32" t="s">
        <v>245</v>
      </c>
      <c r="L70" s="97">
        <v>536</v>
      </c>
      <c r="M70" s="14" t="str">
        <f ca="1">VLOOKUP($L70,OFFSET([3]enemies!$A$1,0,0,COUNTA([3]enemies!$A:$A),MATCH(M$1,[3]enemies!$1:$1,0)-MATCH($L$1,[3]enemies!$1:$1,0)+1),MATCH(M$1,[3]enemies!$1:$1,0)-MATCH($L$1,[3]enemies!$1:$1,0)+1,FALSE)</f>
        <v>冬服ミミ</v>
      </c>
      <c r="N70" s="14" t="str">
        <f ca="1">VLOOKUP($L70,OFFSET([3]enemies!$A$1,0,0,COUNTA([3]enemies!$A:$A),MATCH(N$1,[3]enemies!$1:$1,0)-MATCH($L$1,[3]enemies!$1:$1,0)+1),MATCH(N$1,[3]enemies!$1:$1,0)-MATCH($L$1,[3]enemies!$1:$1,0)+1,FALSE)</f>
        <v>yellow</v>
      </c>
      <c r="O70" s="14" t="str">
        <f ca="1">VLOOKUP($L70,OFFSET([4]characters!$A$1,0,0,COUNTA([4]characters!$A:$A),MATCH(O$1,[4]characters!$1:$1,0)-MATCH($L$1,[4]characters!$1:$1,0)+1),MATCH(O$1,[4]characters!$1:$1,0)-MATCH($L$1,[4]characters!$1:$1,0)+1,FALSE)</f>
        <v>Drop1W</v>
      </c>
      <c r="P70" s="14" t="str">
        <f ca="1">VLOOKUP($L70,OFFSET([3]enemies!$A$1,0,0,COUNTA([3]enemies!$A:$A),MATCH(P$1,[3]enemies!$1:$1,0)-MATCH($L$1,[3]enemies!$1:$1,0)+1),MATCH(P$1,[3]enemies!$1:$1,0)-MATCH($L$1,[3]enemies!$1:$1,0)+1,FALSE)</f>
        <v>animal</v>
      </c>
      <c r="Q70" s="14">
        <f ca="1">VLOOKUP($L70,OFFSET([3]enemies!$A$1,0,0,COUNTA([3]enemies!$A:$A),MATCH(Q$1,[3]enemies!$1:$1,0)-MATCH($L$1,[3]enemies!$1:$1,0)+1),MATCH(Q$1,[3]enemies!$1:$1,0)-MATCH($L$1,[3]enemies!$1:$1,0)+1,FALSE)</f>
        <v>15</v>
      </c>
      <c r="R70" s="5">
        <v>50</v>
      </c>
      <c r="S70" s="19">
        <v>1.1000000000000001</v>
      </c>
      <c r="T70" s="92">
        <f ca="1">ROUND(VLOOKUP(R70,[3]enemy_base_stats!$A:$F,2,FALSE) *INDIRECT("[EnemyMasterData.xlsm]enemies!Y"&amp;(L70+1))*  INDIRECT("[EnemyMasterData.xlsm]enemies!J"&amp;(L70+1))* INDIRECT("[EnemyMasterData.xlsm]enemies!O"&amp;(L70+1))* INDIRECT("[EnemyMasterData.xlsm]enemies!E"&amp;(L70+1))* INDIRECT("[EnemyMasterData.xlsm]enemies!S"&amp;(L70+1))* INDIRECT("[EnemyMasterData.xlsm]enemies!AD"&amp;(L70+1))*[4]ステータス!$B$2,0)*S70</f>
        <v>11103.400000000001</v>
      </c>
      <c r="U70" s="19">
        <v>0.4</v>
      </c>
      <c r="V70" s="92">
        <f ca="1">ROUND(VLOOKUP(R70,[3]enemy_base_stats!$A:$F,3,FALSE) *INDIRECT("[EnemyMasterData.xlsm]enemies!Z"&amp;(L70+1))*  INDIRECT("[EnemyMasterData.xlsm]enemies!K"&amp;(L70+1))* INDIRECT("[EnemyMasterData.xlsm]enemies!P"&amp;(L70+1))* INDIRECT("[EnemyMasterData.xlsm]enemies!F"&amp;(L70+1))* INDIRECT("[EnemyMasterData.xlsm]enemies!T"&amp;(L70+1))* INDIRECT("[EnemyMasterData.xlsm]enemies!AE"&amp;(L70+1))*[4]ステータス!$C$2,0)*U70</f>
        <v>1826.4</v>
      </c>
      <c r="W70" s="5">
        <v>0</v>
      </c>
      <c r="X70" s="4" t="e">
        <f ca="1">VLOOKUP($Y70,OFFSET(enemy_skill_sets!$B$1,0,0,COUNTA(enemy_skill_sets!$B:$B),MATCH(M$1,enemy_skill_sets!$1:$1,0)-MATCH($Y$1,enemy_skill_sets!$1:$1,0)+2),MATCH(M$1,enemy_skill_sets!$1:$1,0)-MATCH($Y$1,enemy_skill_sets!$1:$1,0)+2,FALSE)</f>
        <v>#N/A</v>
      </c>
      <c r="Y70" s="4">
        <f ca="1">VLOOKUP($L70,OFFSET([3]enemies!$A$1,0,0,COUNTA([3]enemies!$A:$A),MATCH(Y$1,[3]enemies!$1:$1,0)-MATCH($L$1,[3]enemies!$1:$1,0)+1),MATCH(Y$1,[3]enemies!$1:$1,0)-MATCH($L$1,[3]enemies!$1:$1,0)+1,FALSE)</f>
        <v>0</v>
      </c>
      <c r="Z70" s="6">
        <v>0</v>
      </c>
      <c r="AA70" s="6">
        <v>100</v>
      </c>
      <c r="AB70" s="6">
        <v>0</v>
      </c>
      <c r="AC70" s="14">
        <v>2</v>
      </c>
      <c r="AD70" s="98">
        <f t="shared" si="13"/>
        <v>536</v>
      </c>
      <c r="AE70" s="4" t="str">
        <f ca="1">VLOOKUP($AD70,OFFSET([4]characters!$A$1,0,0,COUNTA([4]characters!$A:$A),MATCH(AE$1,[4]characters!$1:$1,0)-MATCH("character_id",[4]characters!$1:$1,0)+1),MATCH(AE$1,[4]characters!$1:$1,0)-MATCH("character_id",[4]characters!$1:$1,0)+1,FALSE)</f>
        <v>冬服ミミ</v>
      </c>
      <c r="AF70" s="4">
        <f ca="1">VLOOKUP($AD70,OFFSET([4]characters!$A$1,0,0,COUNTA([4]characters!$A:$A),MATCH(AF$1,[4]characters!$1:$1,0)-MATCH("character_id",[4]characters!$1:$1,0)+1),MATCH(AF$1,[4]characters!$1:$1,0)-MATCH("character_id",[4]characters!$1:$1,0)+1,FALSE)</f>
        <v>1</v>
      </c>
      <c r="AG70" s="4" t="str">
        <f ca="1">VLOOKUP($AD70,OFFSET([4]characters!$A$1,0,0,COUNTA([4]characters!$A:$A),MATCH(AG$1,[4]characters!$1:$1,0)-MATCH("character_id",[4]characters!$1:$1,0)+1),MATCH(AG$1,[4]characters!$1:$1,0)-MATCH("character_id",[4]characters!$1:$1,0)+1,FALSE)</f>
        <v>Drop1W</v>
      </c>
      <c r="AH70" s="94">
        <v>1</v>
      </c>
      <c r="AI70" s="98">
        <f t="shared" ca="1" si="14"/>
        <v>1</v>
      </c>
      <c r="AJ70" s="7">
        <v>20</v>
      </c>
      <c r="AK70" s="94">
        <v>0</v>
      </c>
      <c r="AL70" s="94">
        <v>0</v>
      </c>
      <c r="AM70" s="94">
        <v>0</v>
      </c>
      <c r="AN70" s="94">
        <v>0</v>
      </c>
      <c r="AO70" s="94">
        <v>1</v>
      </c>
      <c r="AP70" s="62">
        <v>1</v>
      </c>
    </row>
    <row r="71" spans="1:42" ht="21" customHeight="1" x14ac:dyDescent="0.15">
      <c r="A71" s="13" t="str">
        <f t="shared" si="10"/>
        <v>39008_4-2/525&lt;lv55&gt;s2</v>
      </c>
      <c r="B71" s="17">
        <v>39008</v>
      </c>
      <c r="C71" s="95">
        <v>4</v>
      </c>
      <c r="D71" s="12" t="str">
        <f t="shared" si="11"/>
        <v>39008_4</v>
      </c>
      <c r="E71" s="4" t="str">
        <f ca="1">VLOOKUP($B71,OFFSET([2]quests!$A$1,0,0,COUNTA([2]quests!$A:$A),MATCH(E$1,[2]quests!$1:$1,0)-MATCH($B$1,[2]quests!$1:$1,0)+1),MATCH(E$1,[2]quests!$1:$1,0)-MATCH($B$1,[2]quests!$1:$1,0)+1,FALSE)</f>
        <v>雪の歌姫</v>
      </c>
      <c r="F71" s="4" t="str">
        <f ca="1">VLOOKUP($D71,OFFSET([2]stages!$A$1,0,0,COUNTA([2]stages!$A:$A),MATCH(F$1,[2]stages!$2:$2,0)-MATCH($D$1,[2]stages!$2:$2,0)+1),MATCH(F$1,[2]stages!$2:$2,0)-MATCH($D$1,[2]stages!$2:$2,0)+1,FALSE)</f>
        <v>【超級】雪の歌姫</v>
      </c>
      <c r="G71" s="104">
        <v>2</v>
      </c>
      <c r="H71" s="12" t="str">
        <f t="shared" si="12"/>
        <v>39008_4-2</v>
      </c>
      <c r="I71" s="4">
        <f ca="1">VLOOKUP($H71,OFFSET(floors!$A$1,0,0,COUNTA(floors!$A:$A),MATCH(I$1,floors!$1:$1,0)-MATCH($H$1,floors!$1:$1,0)+1),MATCH(I$1,floors!$1:$1,0)-MATCH($H$1,floors!$1:$1,0)+1,FALSE)</f>
        <v>60</v>
      </c>
      <c r="J71" s="4">
        <f ca="1">VLOOKUP($H71,OFFSET(floors!$A$1,0,0,COUNTA(floors!$A:$A),MATCH(J$1,floors!$1:$1,0)-MATCH($H$1,floors!$1:$1,0)+1),MATCH(J$1,floors!$1:$1,0)-MATCH($H$1,floors!$1:$1,0)+1,FALSE)</f>
        <v>60</v>
      </c>
      <c r="K71" s="32" t="s">
        <v>245</v>
      </c>
      <c r="L71" s="97">
        <v>525</v>
      </c>
      <c r="M71" s="14" t="str">
        <f ca="1">VLOOKUP($L71,OFFSET([3]enemies!$A$1,0,0,COUNTA([3]enemies!$A:$A),MATCH(M$1,[3]enemies!$1:$1,0)-MATCH($L$1,[3]enemies!$1:$1,0)+1),MATCH(M$1,[3]enemies!$1:$1,0)-MATCH($L$1,[3]enemies!$1:$1,0)+1,FALSE)</f>
        <v>ウィンタースポーツ 雪ミク</v>
      </c>
      <c r="N71" s="14" t="str">
        <f ca="1">VLOOKUP($L71,OFFSET([3]enemies!$A$1,0,0,COUNTA([3]enemies!$A:$A),MATCH(N$1,[3]enemies!$1:$1,0)-MATCH($L$1,[3]enemies!$1:$1,0)+1),MATCH(N$1,[3]enemies!$1:$1,0)-MATCH($L$1,[3]enemies!$1:$1,0)+1,FALSE)</f>
        <v>blue</v>
      </c>
      <c r="O71" s="14" t="str">
        <f ca="1">VLOOKUP($L71,OFFSET([4]characters!$A$1,0,0,COUNTA([4]characters!$A:$A),MATCH(O$1,[4]characters!$1:$1,0)-MATCH($L$1,[4]characters!$1:$1,0)+1),MATCH(O$1,[4]characters!$1:$1,0)-MATCH($L$1,[4]characters!$1:$1,0)+1,FALSE)</f>
        <v>Drop2N</v>
      </c>
      <c r="P71" s="14" t="str">
        <f ca="1">VLOOKUP($L71,OFFSET([3]enemies!$A$1,0,0,COUNTA([3]enemies!$A:$A),MATCH(P$1,[3]enemies!$1:$1,0)-MATCH($L$1,[3]enemies!$1:$1,0)+1),MATCH(P$1,[3]enemies!$1:$1,0)-MATCH($L$1,[3]enemies!$1:$1,0)+1,FALSE)</f>
        <v>unknown</v>
      </c>
      <c r="Q71" s="14">
        <f ca="1">VLOOKUP($L71,OFFSET([3]enemies!$A$1,0,0,COUNTA([3]enemies!$A:$A),MATCH(Q$1,[3]enemies!$1:$1,0)-MATCH($L$1,[3]enemies!$1:$1,0)+1),MATCH(Q$1,[3]enemies!$1:$1,0)-MATCH($L$1,[3]enemies!$1:$1,0)+1,FALSE)</f>
        <v>30</v>
      </c>
      <c r="R71" s="5">
        <v>55</v>
      </c>
      <c r="S71" s="19">
        <v>2.6</v>
      </c>
      <c r="T71" s="92">
        <f ca="1">ROUND(VLOOKUP(R71,[3]enemy_base_stats!$A:$F,2,FALSE) *INDIRECT("[EnemyMasterData.xlsm]enemies!Y"&amp;(L71+1))*  INDIRECT("[EnemyMasterData.xlsm]enemies!J"&amp;(L71+1))* INDIRECT("[EnemyMasterData.xlsm]enemies!O"&amp;(L71+1))* INDIRECT("[EnemyMasterData.xlsm]enemies!E"&amp;(L71+1))* INDIRECT("[EnemyMasterData.xlsm]enemies!S"&amp;(L71+1))* INDIRECT("[EnemyMasterData.xlsm]enemies!AD"&amp;(L71+1))*[4]ステータス!$B$2,0)*S71</f>
        <v>143608.4</v>
      </c>
      <c r="U71" s="19">
        <v>1</v>
      </c>
      <c r="V71" s="92">
        <f ca="1">ROUND(VLOOKUP(R71,[3]enemy_base_stats!$A:$F,3,FALSE) *INDIRECT("[EnemyMasterData.xlsm]enemies!Z"&amp;(L71+1))*  INDIRECT("[EnemyMasterData.xlsm]enemies!K"&amp;(L71+1))* INDIRECT("[EnemyMasterData.xlsm]enemies!P"&amp;(L71+1))* INDIRECT("[EnemyMasterData.xlsm]enemies!F"&amp;(L71+1))* INDIRECT("[EnemyMasterData.xlsm]enemies!T"&amp;(L71+1))* INDIRECT("[EnemyMasterData.xlsm]enemies!AE"&amp;(L71+1))*[4]ステータス!$C$2,0)*U71</f>
        <v>4336</v>
      </c>
      <c r="W71" s="5">
        <v>0</v>
      </c>
      <c r="X71" s="4" t="str">
        <f ca="1">VLOOKUP($Y71,OFFSET(enemy_skill_sets!$B$1,0,0,COUNTA(enemy_skill_sets!$B:$B),MATCH(M$1,enemy_skill_sets!$1:$1,0)-MATCH($Y$1,enemy_skill_sets!$1:$1,0)+2),MATCH(M$1,enemy_skill_sets!$1:$1,0)-MATCH($Y$1,enemy_skill_sets!$1:$1,0)+2,FALSE)</f>
        <v>3ターン敵全体の防御力UP</v>
      </c>
      <c r="Y71" s="102">
        <v>39008001</v>
      </c>
      <c r="Z71" s="6">
        <v>1</v>
      </c>
      <c r="AA71" s="6">
        <v>100</v>
      </c>
      <c r="AB71" s="6">
        <v>1</v>
      </c>
      <c r="AC71" s="14">
        <v>2</v>
      </c>
      <c r="AD71" s="98">
        <f t="shared" si="13"/>
        <v>525</v>
      </c>
      <c r="AE71" s="4" t="str">
        <f ca="1">VLOOKUP($AD71,OFFSET([4]characters!$A$1,0,0,COUNTA([4]characters!$A:$A),MATCH(AE$1,[4]characters!$1:$1,0)-MATCH("character_id",[4]characters!$1:$1,0)+1),MATCH(AE$1,[4]characters!$1:$1,0)-MATCH("character_id",[4]characters!$1:$1,0)+1,FALSE)</f>
        <v>ウィンタースポーツ 雪ミク</v>
      </c>
      <c r="AF71" s="4">
        <f ca="1">VLOOKUP($AD71,OFFSET([4]characters!$A$1,0,0,COUNTA([4]characters!$A:$A),MATCH(AF$1,[4]characters!$1:$1,0)-MATCH("character_id",[4]characters!$1:$1,0)+1),MATCH(AF$1,[4]characters!$1:$1,0)-MATCH("character_id",[4]characters!$1:$1,0)+1,FALSE)</f>
        <v>4</v>
      </c>
      <c r="AG71" s="4" t="str">
        <f ca="1">VLOOKUP($AD71,OFFSET([4]characters!$A$1,0,0,COUNTA([4]characters!$A:$A),MATCH(AG$1,[4]characters!$1:$1,0)-MATCH("character_id",[4]characters!$1:$1,0)+1),MATCH(AG$1,[4]characters!$1:$1,0)-MATCH("character_id",[4]characters!$1:$1,0)+1,FALSE)</f>
        <v>Drop2N</v>
      </c>
      <c r="AH71" s="94">
        <v>1</v>
      </c>
      <c r="AI71" s="98">
        <f t="shared" ca="1" si="14"/>
        <v>4</v>
      </c>
      <c r="AJ71" s="7">
        <v>0</v>
      </c>
      <c r="AK71" s="94">
        <v>0</v>
      </c>
      <c r="AL71" s="94">
        <v>0</v>
      </c>
      <c r="AM71" s="94">
        <v>0</v>
      </c>
      <c r="AN71" s="94">
        <v>0</v>
      </c>
      <c r="AO71" s="94">
        <v>1</v>
      </c>
      <c r="AP71" s="62">
        <v>1</v>
      </c>
    </row>
    <row r="72" spans="1:42" ht="21" customHeight="1" x14ac:dyDescent="0.15">
      <c r="A72" s="13" t="str">
        <f t="shared" si="10"/>
        <v>39008_4-2/529&lt;lv50&gt;s1</v>
      </c>
      <c r="B72" s="17">
        <v>39008</v>
      </c>
      <c r="C72" s="95">
        <v>4</v>
      </c>
      <c r="D72" s="12" t="str">
        <f t="shared" si="11"/>
        <v>39008_4</v>
      </c>
      <c r="E72" s="4" t="str">
        <f ca="1">VLOOKUP($B72,OFFSET([2]quests!$A$1,0,0,COUNTA([2]quests!$A:$A),MATCH(E$1,[2]quests!$1:$1,0)-MATCH($B$1,[2]quests!$1:$1,0)+1),MATCH(E$1,[2]quests!$1:$1,0)-MATCH($B$1,[2]quests!$1:$1,0)+1,FALSE)</f>
        <v>雪の歌姫</v>
      </c>
      <c r="F72" s="4" t="str">
        <f ca="1">VLOOKUP($D72,OFFSET([2]stages!$A$1,0,0,COUNTA([2]stages!$A:$A),MATCH(F$1,[2]stages!$2:$2,0)-MATCH($D$1,[2]stages!$2:$2,0)+1),MATCH(F$1,[2]stages!$2:$2,0)-MATCH($D$1,[2]stages!$2:$2,0)+1,FALSE)</f>
        <v>【超級】雪の歌姫</v>
      </c>
      <c r="G72" s="104">
        <v>2</v>
      </c>
      <c r="H72" s="12" t="str">
        <f t="shared" si="12"/>
        <v>39008_4-2</v>
      </c>
      <c r="I72" s="4">
        <f ca="1">VLOOKUP($H72,OFFSET(floors!$A$1,0,0,COUNTA(floors!$A:$A),MATCH(I$1,floors!$1:$1,0)-MATCH($H$1,floors!$1:$1,0)+1),MATCH(I$1,floors!$1:$1,0)-MATCH($H$1,floors!$1:$1,0)+1,FALSE)</f>
        <v>60</v>
      </c>
      <c r="J72" s="4">
        <f ca="1">VLOOKUP($H72,OFFSET(floors!$A$1,0,0,COUNTA(floors!$A:$A),MATCH(J$1,floors!$1:$1,0)-MATCH($H$1,floors!$1:$1,0)+1),MATCH(J$1,floors!$1:$1,0)-MATCH($H$1,floors!$1:$1,0)+1,FALSE)</f>
        <v>60</v>
      </c>
      <c r="K72" s="32" t="s">
        <v>245</v>
      </c>
      <c r="L72" s="97">
        <v>529</v>
      </c>
      <c r="M72" s="14" t="str">
        <f ca="1">VLOOKUP($L72,OFFSET([3]enemies!$A$1,0,0,COUNTA([3]enemies!$A:$A),MATCH(M$1,[3]enemies!$1:$1,0)-MATCH($L$1,[3]enemies!$1:$1,0)+1),MATCH(M$1,[3]enemies!$1:$1,0)-MATCH($L$1,[3]enemies!$1:$1,0)+1,FALSE)</f>
        <v>冬服ジェリー</v>
      </c>
      <c r="N72" s="14" t="str">
        <f ca="1">VLOOKUP($L72,OFFSET([3]enemies!$A$1,0,0,COUNTA([3]enemies!$A:$A),MATCH(N$1,[3]enemies!$1:$1,0)-MATCH($L$1,[3]enemies!$1:$1,0)+1),MATCH(N$1,[3]enemies!$1:$1,0)-MATCH($L$1,[3]enemies!$1:$1,0)+1,FALSE)</f>
        <v>red</v>
      </c>
      <c r="O72" s="14" t="str">
        <f ca="1">VLOOKUP($L72,OFFSET([4]characters!$A$1,0,0,COUNTA([4]characters!$A:$A),MATCH(O$1,[4]characters!$1:$1,0)-MATCH($L$1,[4]characters!$1:$1,0)+1),MATCH(O$1,[4]characters!$1:$1,0)-MATCH($L$1,[4]characters!$1:$1,0)+1,FALSE)</f>
        <v>Drop1T</v>
      </c>
      <c r="P72" s="14" t="str">
        <f ca="1">VLOOKUP($L72,OFFSET([3]enemies!$A$1,0,0,COUNTA([3]enemies!$A:$A),MATCH(P$1,[3]enemies!$1:$1,0)-MATCH($L$1,[3]enemies!$1:$1,0)+1),MATCH(P$1,[3]enemies!$1:$1,0)-MATCH($L$1,[3]enemies!$1:$1,0)+1,FALSE)</f>
        <v>unknown</v>
      </c>
      <c r="Q72" s="14">
        <f ca="1">VLOOKUP($L72,OFFSET([3]enemies!$A$1,0,0,COUNTA([3]enemies!$A:$A),MATCH(Q$1,[3]enemies!$1:$1,0)-MATCH($L$1,[3]enemies!$1:$1,0)+1),MATCH(Q$1,[3]enemies!$1:$1,0)-MATCH($L$1,[3]enemies!$1:$1,0)+1,FALSE)</f>
        <v>15</v>
      </c>
      <c r="R72" s="105">
        <v>50</v>
      </c>
      <c r="S72" s="19">
        <v>1.5</v>
      </c>
      <c r="T72" s="92">
        <f ca="1">ROUND(VLOOKUP(R72,[3]enemy_base_stats!$A:$F,2,FALSE) *INDIRECT("[EnemyMasterData.xlsm]enemies!Y"&amp;(L72+1))*  INDIRECT("[EnemyMasterData.xlsm]enemies!J"&amp;(L72+1))* INDIRECT("[EnemyMasterData.xlsm]enemies!O"&amp;(L72+1))* INDIRECT("[EnemyMasterData.xlsm]enemies!E"&amp;(L72+1))* INDIRECT("[EnemyMasterData.xlsm]enemies!S"&amp;(L72+1))* INDIRECT("[EnemyMasterData.xlsm]enemies!AD"&amp;(L72+1))*[4]ステータス!$B$2,0)*S72</f>
        <v>15450</v>
      </c>
      <c r="U72" s="19">
        <v>0.4</v>
      </c>
      <c r="V72" s="92">
        <f ca="1">ROUND(VLOOKUP(R72,[3]enemy_base_stats!$A:$F,3,FALSE) *INDIRECT("[EnemyMasterData.xlsm]enemies!Z"&amp;(L72+1))*  INDIRECT("[EnemyMasterData.xlsm]enemies!K"&amp;(L72+1))* INDIRECT("[EnemyMasterData.xlsm]enemies!P"&amp;(L72+1))* INDIRECT("[EnemyMasterData.xlsm]enemies!F"&amp;(L72+1))* INDIRECT("[EnemyMasterData.xlsm]enemies!T"&amp;(L72+1))* INDIRECT("[EnemyMasterData.xlsm]enemies!AE"&amp;(L72+1))*[4]ステータス!$C$2,0)*U72</f>
        <v>1693.6000000000001</v>
      </c>
      <c r="W72" s="5">
        <v>0</v>
      </c>
      <c r="X72" s="4" t="e">
        <f ca="1">VLOOKUP($Y72,OFFSET(enemy_skill_sets!$B$1,0,0,COUNTA(enemy_skill_sets!$B:$B),MATCH(M$1,enemy_skill_sets!$1:$1,0)-MATCH($Y$1,enemy_skill_sets!$1:$1,0)+2),MATCH(M$1,enemy_skill_sets!$1:$1,0)-MATCH($Y$1,enemy_skill_sets!$1:$1,0)+2,FALSE)</f>
        <v>#N/A</v>
      </c>
      <c r="Y72" s="4">
        <f ca="1">VLOOKUP($L72,OFFSET([3]enemies!$A$1,0,0,COUNTA([3]enemies!$A:$A),MATCH(Y$1,[3]enemies!$1:$1,0)-MATCH($L$1,[3]enemies!$1:$1,0)+1),MATCH(Y$1,[3]enemies!$1:$1,0)-MATCH($L$1,[3]enemies!$1:$1,0)+1,FALSE)</f>
        <v>0</v>
      </c>
      <c r="Z72" s="6">
        <v>0</v>
      </c>
      <c r="AA72" s="6">
        <v>100</v>
      </c>
      <c r="AB72" s="6">
        <v>2</v>
      </c>
      <c r="AC72" s="14">
        <v>1</v>
      </c>
      <c r="AD72" s="98">
        <f t="shared" si="13"/>
        <v>529</v>
      </c>
      <c r="AE72" s="4" t="str">
        <f ca="1">VLOOKUP($AD72,OFFSET([4]characters!$A$1,0,0,COUNTA([4]characters!$A:$A),MATCH(AE$1,[4]characters!$1:$1,0)-MATCH("character_id",[4]characters!$1:$1,0)+1),MATCH(AE$1,[4]characters!$1:$1,0)-MATCH("character_id",[4]characters!$1:$1,0)+1,FALSE)</f>
        <v>冬服ジェリー</v>
      </c>
      <c r="AF72" s="4">
        <f ca="1">VLOOKUP($AD72,OFFSET([4]characters!$A$1,0,0,COUNTA([4]characters!$A:$A),MATCH(AF$1,[4]characters!$1:$1,0)-MATCH("character_id",[4]characters!$1:$1,0)+1),MATCH(AF$1,[4]characters!$1:$1,0)-MATCH("character_id",[4]characters!$1:$1,0)+1,FALSE)</f>
        <v>1</v>
      </c>
      <c r="AG72" s="4" t="str">
        <f ca="1">VLOOKUP($AD72,OFFSET([4]characters!$A$1,0,0,COUNTA([4]characters!$A:$A),MATCH(AG$1,[4]characters!$1:$1,0)-MATCH("character_id",[4]characters!$1:$1,0)+1),MATCH(AG$1,[4]characters!$1:$1,0)-MATCH("character_id",[4]characters!$1:$1,0)+1,FALSE)</f>
        <v>Drop1T</v>
      </c>
      <c r="AH72" s="94">
        <v>1</v>
      </c>
      <c r="AI72" s="98">
        <f t="shared" ca="1" si="14"/>
        <v>1</v>
      </c>
      <c r="AJ72" s="7">
        <v>0</v>
      </c>
      <c r="AK72" s="94">
        <v>0</v>
      </c>
      <c r="AL72" s="94">
        <v>0</v>
      </c>
      <c r="AM72" s="94">
        <v>0</v>
      </c>
      <c r="AN72" s="94">
        <v>0</v>
      </c>
      <c r="AO72" s="94">
        <v>1</v>
      </c>
      <c r="AP72" s="62">
        <v>1</v>
      </c>
    </row>
    <row r="73" spans="1:42" ht="21" customHeight="1" x14ac:dyDescent="0.15">
      <c r="A73" s="13" t="str">
        <f t="shared" si="10"/>
        <v>39008_4-2/531&lt;lv50&gt;s3</v>
      </c>
      <c r="B73" s="17">
        <v>39008</v>
      </c>
      <c r="C73" s="95">
        <v>4</v>
      </c>
      <c r="D73" s="12" t="str">
        <f t="shared" si="11"/>
        <v>39008_4</v>
      </c>
      <c r="E73" s="4" t="str">
        <f ca="1">VLOOKUP($B73,OFFSET([2]quests!$A$1,0,0,COUNTA([2]quests!$A:$A),MATCH(E$1,[2]quests!$1:$1,0)-MATCH($B$1,[2]quests!$1:$1,0)+1),MATCH(E$1,[2]quests!$1:$1,0)-MATCH($B$1,[2]quests!$1:$1,0)+1,FALSE)</f>
        <v>雪の歌姫</v>
      </c>
      <c r="F73" s="4" t="str">
        <f ca="1">VLOOKUP($D73,OFFSET([2]stages!$A$1,0,0,COUNTA([2]stages!$A:$A),MATCH(F$1,[2]stages!$2:$2,0)-MATCH($D$1,[2]stages!$2:$2,0)+1),MATCH(F$1,[2]stages!$2:$2,0)-MATCH($D$1,[2]stages!$2:$2,0)+1,FALSE)</f>
        <v>【超級】雪の歌姫</v>
      </c>
      <c r="G73" s="104">
        <v>2</v>
      </c>
      <c r="H73" s="12" t="str">
        <f t="shared" si="12"/>
        <v>39008_4-2</v>
      </c>
      <c r="I73" s="4">
        <f ca="1">VLOOKUP($H73,OFFSET(floors!$A$1,0,0,COUNTA(floors!$A:$A),MATCH(I$1,floors!$1:$1,0)-MATCH($H$1,floors!$1:$1,0)+1),MATCH(I$1,floors!$1:$1,0)-MATCH($H$1,floors!$1:$1,0)+1,FALSE)</f>
        <v>60</v>
      </c>
      <c r="J73" s="4">
        <f ca="1">VLOOKUP($H73,OFFSET(floors!$A$1,0,0,COUNTA(floors!$A:$A),MATCH(J$1,floors!$1:$1,0)-MATCH($H$1,floors!$1:$1,0)+1),MATCH(J$1,floors!$1:$1,0)-MATCH($H$1,floors!$1:$1,0)+1,FALSE)</f>
        <v>60</v>
      </c>
      <c r="K73" s="32" t="s">
        <v>245</v>
      </c>
      <c r="L73" s="97">
        <v>531</v>
      </c>
      <c r="M73" s="14" t="str">
        <f ca="1">VLOOKUP($L73,OFFSET([3]enemies!$A$1,0,0,COUNTA([3]enemies!$A:$A),MATCH(M$1,[3]enemies!$1:$1,0)-MATCH($L$1,[3]enemies!$1:$1,0)+1),MATCH(M$1,[3]enemies!$1:$1,0)-MATCH($L$1,[3]enemies!$1:$1,0)+1,FALSE)</f>
        <v>冬服ポチ</v>
      </c>
      <c r="N73" s="14" t="str">
        <f ca="1">VLOOKUP($L73,OFFSET([3]enemies!$A$1,0,0,COUNTA([3]enemies!$A:$A),MATCH(N$1,[3]enemies!$1:$1,0)-MATCH($L$1,[3]enemies!$1:$1,0)+1),MATCH(N$1,[3]enemies!$1:$1,0)-MATCH($L$1,[3]enemies!$1:$1,0)+1,FALSE)</f>
        <v>blue</v>
      </c>
      <c r="O73" s="14" t="str">
        <f ca="1">VLOOKUP($L73,OFFSET([4]characters!$A$1,0,0,COUNTA([4]characters!$A:$A),MATCH(O$1,[4]characters!$1:$1,0)-MATCH($L$1,[4]characters!$1:$1,0)+1),MATCH(O$1,[4]characters!$1:$1,0)-MATCH($L$1,[4]characters!$1:$1,0)+1,FALSE)</f>
        <v>Drop1T</v>
      </c>
      <c r="P73" s="14" t="str">
        <f ca="1">VLOOKUP($L73,OFFSET([3]enemies!$A$1,0,0,COUNTA([3]enemies!$A:$A),MATCH(P$1,[3]enemies!$1:$1,0)-MATCH($L$1,[3]enemies!$1:$1,0)+1),MATCH(P$1,[3]enemies!$1:$1,0)-MATCH($L$1,[3]enemies!$1:$1,0)+1,FALSE)</f>
        <v>unknown</v>
      </c>
      <c r="Q73" s="14">
        <f ca="1">VLOOKUP($L73,OFFSET([3]enemies!$A$1,0,0,COUNTA([3]enemies!$A:$A),MATCH(Q$1,[3]enemies!$1:$1,0)-MATCH($L$1,[3]enemies!$1:$1,0)+1),MATCH(Q$1,[3]enemies!$1:$1,0)-MATCH($L$1,[3]enemies!$1:$1,0)+1,FALSE)</f>
        <v>15</v>
      </c>
      <c r="R73" s="5">
        <v>50</v>
      </c>
      <c r="S73" s="19">
        <v>1.5</v>
      </c>
      <c r="T73" s="92">
        <f ca="1">ROUND(VLOOKUP(R73,[3]enemy_base_stats!$A:$F,2,FALSE) *INDIRECT("[EnemyMasterData.xlsm]enemies!Y"&amp;(L73+1))*  INDIRECT("[EnemyMasterData.xlsm]enemies!J"&amp;(L73+1))* INDIRECT("[EnemyMasterData.xlsm]enemies!O"&amp;(L73+1))* INDIRECT("[EnemyMasterData.xlsm]enemies!E"&amp;(L73+1))* INDIRECT("[EnemyMasterData.xlsm]enemies!S"&amp;(L73+1))* INDIRECT("[EnemyMasterData.xlsm]enemies!AD"&amp;(L73+1))*[4]ステータス!$B$2,0)*S73</f>
        <v>12360</v>
      </c>
      <c r="U73" s="19">
        <v>0.8</v>
      </c>
      <c r="V73" s="92">
        <f ca="1">ROUND(VLOOKUP(R73,[3]enemy_base_stats!$A:$F,3,FALSE) *INDIRECT("[EnemyMasterData.xlsm]enemies!Z"&amp;(L73+1))*  INDIRECT("[EnemyMasterData.xlsm]enemies!K"&amp;(L73+1))* INDIRECT("[EnemyMasterData.xlsm]enemies!P"&amp;(L73+1))* INDIRECT("[EnemyMasterData.xlsm]enemies!F"&amp;(L73+1))* INDIRECT("[EnemyMasterData.xlsm]enemies!T"&amp;(L73+1))* INDIRECT("[EnemyMasterData.xlsm]enemies!AE"&amp;(L73+1))*[4]ステータス!$C$2,0)*U73</f>
        <v>1889.6000000000001</v>
      </c>
      <c r="W73" s="5">
        <v>0</v>
      </c>
      <c r="X73" s="4" t="e">
        <f ca="1">VLOOKUP($Y73,OFFSET(enemy_skill_sets!$B$1,0,0,COUNTA(enemy_skill_sets!$B:$B),MATCH(M$1,enemy_skill_sets!$1:$1,0)-MATCH($Y$1,enemy_skill_sets!$1:$1,0)+2),MATCH(M$1,enemy_skill_sets!$1:$1,0)-MATCH($Y$1,enemy_skill_sets!$1:$1,0)+2,FALSE)</f>
        <v>#N/A</v>
      </c>
      <c r="Y73" s="4">
        <f ca="1">VLOOKUP($L73,OFFSET([3]enemies!$A$1,0,0,COUNTA([3]enemies!$A:$A),MATCH(Y$1,[3]enemies!$1:$1,0)-MATCH($L$1,[3]enemies!$1:$1,0)+1),MATCH(Y$1,[3]enemies!$1:$1,0)-MATCH($L$1,[3]enemies!$1:$1,0)+1,FALSE)</f>
        <v>0</v>
      </c>
      <c r="Z73" s="6">
        <v>0</v>
      </c>
      <c r="AA73" s="6">
        <v>100</v>
      </c>
      <c r="AB73" s="6">
        <v>2</v>
      </c>
      <c r="AC73" s="14">
        <v>3</v>
      </c>
      <c r="AD73" s="98">
        <f t="shared" si="13"/>
        <v>531</v>
      </c>
      <c r="AE73" s="4" t="str">
        <f ca="1">VLOOKUP($AD73,OFFSET([4]characters!$A$1,0,0,COUNTA([4]characters!$A:$A),MATCH(AE$1,[4]characters!$1:$1,0)-MATCH("character_id",[4]characters!$1:$1,0)+1),MATCH(AE$1,[4]characters!$1:$1,0)-MATCH("character_id",[4]characters!$1:$1,0)+1,FALSE)</f>
        <v>冬服ポチ</v>
      </c>
      <c r="AF73" s="4">
        <f ca="1">VLOOKUP($AD73,OFFSET([4]characters!$A$1,0,0,COUNTA([4]characters!$A:$A),MATCH(AF$1,[4]characters!$1:$1,0)-MATCH("character_id",[4]characters!$1:$1,0)+1),MATCH(AF$1,[4]characters!$1:$1,0)-MATCH("character_id",[4]characters!$1:$1,0)+1,FALSE)</f>
        <v>1</v>
      </c>
      <c r="AG73" s="4" t="str">
        <f ca="1">VLOOKUP($AD73,OFFSET([4]characters!$A$1,0,0,COUNTA([4]characters!$A:$A),MATCH(AG$1,[4]characters!$1:$1,0)-MATCH("character_id",[4]characters!$1:$1,0)+1),MATCH(AG$1,[4]characters!$1:$1,0)-MATCH("character_id",[4]characters!$1:$1,0)+1,FALSE)</f>
        <v>Drop1T</v>
      </c>
      <c r="AH73" s="94">
        <v>1</v>
      </c>
      <c r="AI73" s="98">
        <f t="shared" ca="1" si="14"/>
        <v>1</v>
      </c>
      <c r="AJ73" s="7">
        <v>0</v>
      </c>
      <c r="AK73" s="94">
        <v>0</v>
      </c>
      <c r="AL73" s="94">
        <v>0</v>
      </c>
      <c r="AM73" s="94">
        <v>0</v>
      </c>
      <c r="AN73" s="94">
        <v>0</v>
      </c>
      <c r="AO73" s="94">
        <v>1</v>
      </c>
      <c r="AP73" s="62">
        <v>1</v>
      </c>
    </row>
    <row r="74" spans="1:42" ht="21" customHeight="1" x14ac:dyDescent="0.15">
      <c r="A74" s="13" t="str">
        <f t="shared" si="10"/>
        <v>39008_4-2/534&lt;lv50&gt;s1</v>
      </c>
      <c r="B74" s="17">
        <v>39008</v>
      </c>
      <c r="C74" s="95">
        <v>4</v>
      </c>
      <c r="D74" s="12" t="str">
        <f t="shared" si="11"/>
        <v>39008_4</v>
      </c>
      <c r="E74" s="4" t="str">
        <f ca="1">VLOOKUP($B74,OFFSET([2]quests!$A$1,0,0,COUNTA([2]quests!$A:$A),MATCH(E$1,[2]quests!$1:$1,0)-MATCH($B$1,[2]quests!$1:$1,0)+1),MATCH(E$1,[2]quests!$1:$1,0)-MATCH($B$1,[2]quests!$1:$1,0)+1,FALSE)</f>
        <v>雪の歌姫</v>
      </c>
      <c r="F74" s="4" t="str">
        <f ca="1">VLOOKUP($D74,OFFSET([2]stages!$A$1,0,0,COUNTA([2]stages!$A:$A),MATCH(F$1,[2]stages!$2:$2,0)-MATCH($D$1,[2]stages!$2:$2,0)+1),MATCH(F$1,[2]stages!$2:$2,0)-MATCH($D$1,[2]stages!$2:$2,0)+1,FALSE)</f>
        <v>【超級】雪の歌姫</v>
      </c>
      <c r="G74" s="104">
        <v>2</v>
      </c>
      <c r="H74" s="12" t="str">
        <f t="shared" si="12"/>
        <v>39008_4-2</v>
      </c>
      <c r="I74" s="4">
        <f ca="1">VLOOKUP($H74,OFFSET(floors!$A$1,0,0,COUNTA(floors!$A:$A),MATCH(I$1,floors!$1:$1,0)-MATCH($H$1,floors!$1:$1,0)+1),MATCH(I$1,floors!$1:$1,0)-MATCH($H$1,floors!$1:$1,0)+1,FALSE)</f>
        <v>60</v>
      </c>
      <c r="J74" s="4">
        <f ca="1">VLOOKUP($H74,OFFSET(floors!$A$1,0,0,COUNTA(floors!$A:$A),MATCH(J$1,floors!$1:$1,0)-MATCH($H$1,floors!$1:$1,0)+1),MATCH(J$1,floors!$1:$1,0)-MATCH($H$1,floors!$1:$1,0)+1,FALSE)</f>
        <v>60</v>
      </c>
      <c r="K74" s="32" t="s">
        <v>245</v>
      </c>
      <c r="L74" s="97">
        <v>534</v>
      </c>
      <c r="M74" s="14" t="str">
        <f ca="1">VLOOKUP($L74,OFFSET([3]enemies!$A$1,0,0,COUNTA([3]enemies!$A:$A),MATCH(M$1,[3]enemies!$1:$1,0)-MATCH($L$1,[3]enemies!$1:$1,0)+1),MATCH(M$1,[3]enemies!$1:$1,0)-MATCH($L$1,[3]enemies!$1:$1,0)+1,FALSE)</f>
        <v>冬服パトライン</v>
      </c>
      <c r="N74" s="14" t="str">
        <f ca="1">VLOOKUP($L74,OFFSET([3]enemies!$A$1,0,0,COUNTA([3]enemies!$A:$A),MATCH(N$1,[3]enemies!$1:$1,0)-MATCH($L$1,[3]enemies!$1:$1,0)+1),MATCH(N$1,[3]enemies!$1:$1,0)-MATCH($L$1,[3]enemies!$1:$1,0)+1,FALSE)</f>
        <v>green</v>
      </c>
      <c r="O74" s="14" t="str">
        <f ca="1">VLOOKUP($L74,OFFSET([4]characters!$A$1,0,0,COUNTA([4]characters!$A:$A),MATCH(O$1,[4]characters!$1:$1,0)-MATCH($L$1,[4]characters!$1:$1,0)+1),MATCH(O$1,[4]characters!$1:$1,0)-MATCH($L$1,[4]characters!$1:$1,0)+1,FALSE)</f>
        <v>Drop1W</v>
      </c>
      <c r="P74" s="14" t="str">
        <f ca="1">VLOOKUP($L74,OFFSET([3]enemies!$A$1,0,0,COUNTA([3]enemies!$A:$A),MATCH(P$1,[3]enemies!$1:$1,0)-MATCH($L$1,[3]enemies!$1:$1,0)+1),MATCH(P$1,[3]enemies!$1:$1,0)-MATCH($L$1,[3]enemies!$1:$1,0)+1,FALSE)</f>
        <v>machine</v>
      </c>
      <c r="Q74" s="14">
        <f ca="1">VLOOKUP($L74,OFFSET([3]enemies!$A$1,0,0,COUNTA([3]enemies!$A:$A),MATCH(Q$1,[3]enemies!$1:$1,0)-MATCH($L$1,[3]enemies!$1:$1,0)+1),MATCH(Q$1,[3]enemies!$1:$1,0)-MATCH($L$1,[3]enemies!$1:$1,0)+1,FALSE)</f>
        <v>15</v>
      </c>
      <c r="R74" s="5">
        <v>50</v>
      </c>
      <c r="S74" s="19">
        <v>1.5</v>
      </c>
      <c r="T74" s="92">
        <f ca="1">ROUND(VLOOKUP(R74,[3]enemy_base_stats!$A:$F,2,FALSE) *INDIRECT("[EnemyMasterData.xlsm]enemies!Y"&amp;(L74+1))*  INDIRECT("[EnemyMasterData.xlsm]enemies!J"&amp;(L74+1))* INDIRECT("[EnemyMasterData.xlsm]enemies!O"&amp;(L74+1))* INDIRECT("[EnemyMasterData.xlsm]enemies!E"&amp;(L74+1))* INDIRECT("[EnemyMasterData.xlsm]enemies!S"&amp;(L74+1))* INDIRECT("[EnemyMasterData.xlsm]enemies!AD"&amp;(L74+1))*[4]ステータス!$B$2,0)*S74</f>
        <v>12607.5</v>
      </c>
      <c r="U74" s="19">
        <v>0.6</v>
      </c>
      <c r="V74" s="92">
        <f ca="1">ROUND(VLOOKUP(R74,[3]enemy_base_stats!$A:$F,3,FALSE) *INDIRECT("[EnemyMasterData.xlsm]enemies!Z"&amp;(L74+1))*  INDIRECT("[EnemyMasterData.xlsm]enemies!K"&amp;(L74+1))* INDIRECT("[EnemyMasterData.xlsm]enemies!P"&amp;(L74+1))* INDIRECT("[EnemyMasterData.xlsm]enemies!F"&amp;(L74+1))* INDIRECT("[EnemyMasterData.xlsm]enemies!T"&amp;(L74+1))* INDIRECT("[EnemyMasterData.xlsm]enemies!AE"&amp;(L74+1))*[4]ステータス!$C$2,0)*U74</f>
        <v>1417.2</v>
      </c>
      <c r="W74" s="5">
        <v>0</v>
      </c>
      <c r="X74" s="4" t="e">
        <f ca="1">VLOOKUP($Y74,OFFSET(enemy_skill_sets!$B$1,0,0,COUNTA(enemy_skill_sets!$B:$B),MATCH(M$1,enemy_skill_sets!$1:$1,0)-MATCH($Y$1,enemy_skill_sets!$1:$1,0)+2),MATCH(M$1,enemy_skill_sets!$1:$1,0)-MATCH($Y$1,enemy_skill_sets!$1:$1,0)+2,FALSE)</f>
        <v>#N/A</v>
      </c>
      <c r="Y74" s="4">
        <v>0</v>
      </c>
      <c r="Z74" s="6">
        <v>0</v>
      </c>
      <c r="AA74" s="6">
        <v>100</v>
      </c>
      <c r="AB74" s="6">
        <v>0</v>
      </c>
      <c r="AC74" s="14">
        <v>1</v>
      </c>
      <c r="AD74" s="98">
        <f t="shared" si="13"/>
        <v>534</v>
      </c>
      <c r="AE74" s="4" t="str">
        <f ca="1">VLOOKUP($AD74,OFFSET([4]characters!$A$1,0,0,COUNTA([4]characters!$A:$A),MATCH(AE$1,[4]characters!$1:$1,0)-MATCH("character_id",[4]characters!$1:$1,0)+1),MATCH(AE$1,[4]characters!$1:$1,0)-MATCH("character_id",[4]characters!$1:$1,0)+1,FALSE)</f>
        <v>冬服パトライン</v>
      </c>
      <c r="AF74" s="4">
        <f ca="1">VLOOKUP($AD74,OFFSET([4]characters!$A$1,0,0,COUNTA([4]characters!$A:$A),MATCH(AF$1,[4]characters!$1:$1,0)-MATCH("character_id",[4]characters!$1:$1,0)+1),MATCH(AF$1,[4]characters!$1:$1,0)-MATCH("character_id",[4]characters!$1:$1,0)+1,FALSE)</f>
        <v>1</v>
      </c>
      <c r="AG74" s="4" t="str">
        <f ca="1">VLOOKUP($AD74,OFFSET([4]characters!$A$1,0,0,COUNTA([4]characters!$A:$A),MATCH(AG$1,[4]characters!$1:$1,0)-MATCH("character_id",[4]characters!$1:$1,0)+1),MATCH(AG$1,[4]characters!$1:$1,0)-MATCH("character_id",[4]characters!$1:$1,0)+1,FALSE)</f>
        <v>Drop1W</v>
      </c>
      <c r="AH74" s="94">
        <v>1</v>
      </c>
      <c r="AI74" s="98">
        <f t="shared" ca="1" si="14"/>
        <v>1</v>
      </c>
      <c r="AJ74" s="7">
        <v>0</v>
      </c>
      <c r="AK74" s="94">
        <v>0</v>
      </c>
      <c r="AL74" s="94">
        <v>0</v>
      </c>
      <c r="AM74" s="94">
        <v>0</v>
      </c>
      <c r="AN74" s="94">
        <v>0</v>
      </c>
      <c r="AO74" s="94">
        <v>1</v>
      </c>
      <c r="AP74" s="62">
        <v>1</v>
      </c>
    </row>
    <row r="75" spans="1:42" ht="21" customHeight="1" x14ac:dyDescent="0.15">
      <c r="A75" s="13" t="str">
        <f t="shared" si="10"/>
        <v>39008_4-2/536&lt;lv50&gt;s1</v>
      </c>
      <c r="B75" s="17">
        <v>39008</v>
      </c>
      <c r="C75" s="95">
        <v>4</v>
      </c>
      <c r="D75" s="12" t="str">
        <f t="shared" si="11"/>
        <v>39008_4</v>
      </c>
      <c r="E75" s="4" t="str">
        <f ca="1">VLOOKUP($B75,OFFSET([2]quests!$A$1,0,0,COUNTA([2]quests!$A:$A),MATCH(E$1,[2]quests!$1:$1,0)-MATCH($B$1,[2]quests!$1:$1,0)+1),MATCH(E$1,[2]quests!$1:$1,0)-MATCH($B$1,[2]quests!$1:$1,0)+1,FALSE)</f>
        <v>雪の歌姫</v>
      </c>
      <c r="F75" s="4" t="str">
        <f ca="1">VLOOKUP($D75,OFFSET([2]stages!$A$1,0,0,COUNTA([2]stages!$A:$A),MATCH(F$1,[2]stages!$2:$2,0)-MATCH($D$1,[2]stages!$2:$2,0)+1),MATCH(F$1,[2]stages!$2:$2,0)-MATCH($D$1,[2]stages!$2:$2,0)+1,FALSE)</f>
        <v>【超級】雪の歌姫</v>
      </c>
      <c r="G75" s="104">
        <v>2</v>
      </c>
      <c r="H75" s="12" t="str">
        <f t="shared" si="12"/>
        <v>39008_4-2</v>
      </c>
      <c r="I75" s="4">
        <f ca="1">VLOOKUP($H75,OFFSET(floors!$A$1,0,0,COUNTA(floors!$A:$A),MATCH(I$1,floors!$1:$1,0)-MATCH($H$1,floors!$1:$1,0)+1),MATCH(I$1,floors!$1:$1,0)-MATCH($H$1,floors!$1:$1,0)+1,FALSE)</f>
        <v>60</v>
      </c>
      <c r="J75" s="4">
        <f ca="1">VLOOKUP($H75,OFFSET(floors!$A$1,0,0,COUNTA(floors!$A:$A),MATCH(J$1,floors!$1:$1,0)-MATCH($H$1,floors!$1:$1,0)+1),MATCH(J$1,floors!$1:$1,0)-MATCH($H$1,floors!$1:$1,0)+1,FALSE)</f>
        <v>60</v>
      </c>
      <c r="K75" s="32" t="s">
        <v>245</v>
      </c>
      <c r="L75" s="97">
        <v>536</v>
      </c>
      <c r="M75" s="14" t="str">
        <f ca="1">VLOOKUP($L75,OFFSET([3]enemies!$A$1,0,0,COUNTA([3]enemies!$A:$A),MATCH(M$1,[3]enemies!$1:$1,0)-MATCH($L$1,[3]enemies!$1:$1,0)+1),MATCH(M$1,[3]enemies!$1:$1,0)-MATCH($L$1,[3]enemies!$1:$1,0)+1,FALSE)</f>
        <v>冬服ミミ</v>
      </c>
      <c r="N75" s="14" t="str">
        <f ca="1">VLOOKUP($L75,OFFSET([3]enemies!$A$1,0,0,COUNTA([3]enemies!$A:$A),MATCH(N$1,[3]enemies!$1:$1,0)-MATCH($L$1,[3]enemies!$1:$1,0)+1),MATCH(N$1,[3]enemies!$1:$1,0)-MATCH($L$1,[3]enemies!$1:$1,0)+1,FALSE)</f>
        <v>yellow</v>
      </c>
      <c r="O75" s="14" t="str">
        <f ca="1">VLOOKUP($L75,OFFSET([4]characters!$A$1,0,0,COUNTA([4]characters!$A:$A),MATCH(O$1,[4]characters!$1:$1,0)-MATCH($L$1,[4]characters!$1:$1,0)+1),MATCH(O$1,[4]characters!$1:$1,0)-MATCH($L$1,[4]characters!$1:$1,0)+1,FALSE)</f>
        <v>Drop1W</v>
      </c>
      <c r="P75" s="14" t="str">
        <f ca="1">VLOOKUP($L75,OFFSET([3]enemies!$A$1,0,0,COUNTA([3]enemies!$A:$A),MATCH(P$1,[3]enemies!$1:$1,0)-MATCH($L$1,[3]enemies!$1:$1,0)+1),MATCH(P$1,[3]enemies!$1:$1,0)-MATCH($L$1,[3]enemies!$1:$1,0)+1,FALSE)</f>
        <v>animal</v>
      </c>
      <c r="Q75" s="14">
        <f ca="1">VLOOKUP($L75,OFFSET([3]enemies!$A$1,0,0,COUNTA([3]enemies!$A:$A),MATCH(Q$1,[3]enemies!$1:$1,0)-MATCH($L$1,[3]enemies!$1:$1,0)+1),MATCH(Q$1,[3]enemies!$1:$1,0)-MATCH($L$1,[3]enemies!$1:$1,0)+1,FALSE)</f>
        <v>15</v>
      </c>
      <c r="R75" s="5">
        <v>50</v>
      </c>
      <c r="S75" s="19">
        <v>1.5</v>
      </c>
      <c r="T75" s="92">
        <f ca="1">ROUND(VLOOKUP(R75,[3]enemy_base_stats!$A:$F,2,FALSE) *INDIRECT("[EnemyMasterData.xlsm]enemies!Y"&amp;(L75+1))*  INDIRECT("[EnemyMasterData.xlsm]enemies!J"&amp;(L75+1))* INDIRECT("[EnemyMasterData.xlsm]enemies!O"&amp;(L75+1))* INDIRECT("[EnemyMasterData.xlsm]enemies!E"&amp;(L75+1))* INDIRECT("[EnemyMasterData.xlsm]enemies!S"&amp;(L75+1))* INDIRECT("[EnemyMasterData.xlsm]enemies!AD"&amp;(L75+1))*[4]ステータス!$B$2,0)*S75</f>
        <v>15141</v>
      </c>
      <c r="U75" s="19">
        <v>0.4</v>
      </c>
      <c r="V75" s="92">
        <f ca="1">ROUND(VLOOKUP(R75,[3]enemy_base_stats!$A:$F,3,FALSE) *INDIRECT("[EnemyMasterData.xlsm]enemies!Z"&amp;(L75+1))*  INDIRECT("[EnemyMasterData.xlsm]enemies!K"&amp;(L75+1))* INDIRECT("[EnemyMasterData.xlsm]enemies!P"&amp;(L75+1))* INDIRECT("[EnemyMasterData.xlsm]enemies!F"&amp;(L75+1))* INDIRECT("[EnemyMasterData.xlsm]enemies!T"&amp;(L75+1))* INDIRECT("[EnemyMasterData.xlsm]enemies!AE"&amp;(L75+1))*[4]ステータス!$C$2,0)*U75</f>
        <v>1826.4</v>
      </c>
      <c r="W75" s="5">
        <v>0</v>
      </c>
      <c r="X75" s="4" t="e">
        <f ca="1">VLOOKUP($Y75,OFFSET(enemy_skill_sets!$B$1,0,0,COUNTA(enemy_skill_sets!$B:$B),MATCH(M$1,enemy_skill_sets!$1:$1,0)-MATCH($Y$1,enemy_skill_sets!$1:$1,0)+2),MATCH(M$1,enemy_skill_sets!$1:$1,0)-MATCH($Y$1,enemy_skill_sets!$1:$1,0)+2,FALSE)</f>
        <v>#N/A</v>
      </c>
      <c r="Y75" s="4">
        <f ca="1">VLOOKUP($L75,OFFSET([3]enemies!$A$1,0,0,COUNTA([3]enemies!$A:$A),MATCH(Y$1,[3]enemies!$1:$1,0)-MATCH($L$1,[3]enemies!$1:$1,0)+1),MATCH(Y$1,[3]enemies!$1:$1,0)-MATCH($L$1,[3]enemies!$1:$1,0)+1,FALSE)</f>
        <v>0</v>
      </c>
      <c r="Z75" s="6">
        <v>0</v>
      </c>
      <c r="AA75" s="6">
        <v>100</v>
      </c>
      <c r="AB75" s="6">
        <v>0</v>
      </c>
      <c r="AC75" s="14">
        <v>1</v>
      </c>
      <c r="AD75" s="98">
        <f t="shared" si="13"/>
        <v>536</v>
      </c>
      <c r="AE75" s="4" t="str">
        <f ca="1">VLOOKUP($AD75,OFFSET([4]characters!$A$1,0,0,COUNTA([4]characters!$A:$A),MATCH(AE$1,[4]characters!$1:$1,0)-MATCH("character_id",[4]characters!$1:$1,0)+1),MATCH(AE$1,[4]characters!$1:$1,0)-MATCH("character_id",[4]characters!$1:$1,0)+1,FALSE)</f>
        <v>冬服ミミ</v>
      </c>
      <c r="AF75" s="4">
        <f ca="1">VLOOKUP($AD75,OFFSET([4]characters!$A$1,0,0,COUNTA([4]characters!$A:$A),MATCH(AF$1,[4]characters!$1:$1,0)-MATCH("character_id",[4]characters!$1:$1,0)+1),MATCH(AF$1,[4]characters!$1:$1,0)-MATCH("character_id",[4]characters!$1:$1,0)+1,FALSE)</f>
        <v>1</v>
      </c>
      <c r="AG75" s="4" t="str">
        <f ca="1">VLOOKUP($AD75,OFFSET([4]characters!$A$1,0,0,COUNTA([4]characters!$A:$A),MATCH(AG$1,[4]characters!$1:$1,0)-MATCH("character_id",[4]characters!$1:$1,0)+1),MATCH(AG$1,[4]characters!$1:$1,0)-MATCH("character_id",[4]characters!$1:$1,0)+1,FALSE)</f>
        <v>Drop1W</v>
      </c>
      <c r="AH75" s="94">
        <v>1</v>
      </c>
      <c r="AI75" s="98">
        <f t="shared" ca="1" si="14"/>
        <v>1</v>
      </c>
      <c r="AJ75" s="7">
        <v>0</v>
      </c>
      <c r="AK75" s="94">
        <v>0</v>
      </c>
      <c r="AL75" s="94">
        <v>0</v>
      </c>
      <c r="AM75" s="94">
        <v>0</v>
      </c>
      <c r="AN75" s="94">
        <v>0</v>
      </c>
      <c r="AO75" s="94">
        <v>1</v>
      </c>
      <c r="AP75" s="62">
        <v>1</v>
      </c>
    </row>
    <row r="76" spans="1:42" ht="21" customHeight="1" x14ac:dyDescent="0.15">
      <c r="A76" s="13" t="str">
        <f t="shared" si="10"/>
        <v>39008_4-3/529&lt;lv50&gt;s1</v>
      </c>
      <c r="B76" s="17">
        <v>39008</v>
      </c>
      <c r="C76" s="95">
        <v>4</v>
      </c>
      <c r="D76" s="12" t="str">
        <f t="shared" si="11"/>
        <v>39008_4</v>
      </c>
      <c r="E76" s="4" t="str">
        <f ca="1">VLOOKUP($B76,OFFSET([2]quests!$A$1,0,0,COUNTA([2]quests!$A:$A),MATCH(E$1,[2]quests!$1:$1,0)-MATCH($B$1,[2]quests!$1:$1,0)+1),MATCH(E$1,[2]quests!$1:$1,0)-MATCH($B$1,[2]quests!$1:$1,0)+1,FALSE)</f>
        <v>雪の歌姫</v>
      </c>
      <c r="F76" s="4" t="str">
        <f ca="1">VLOOKUP($D76,OFFSET([2]stages!$A$1,0,0,COUNTA([2]stages!$A:$A),MATCH(F$1,[2]stages!$2:$2,0)-MATCH($D$1,[2]stages!$2:$2,0)+1),MATCH(F$1,[2]stages!$2:$2,0)-MATCH($D$1,[2]stages!$2:$2,0)+1,FALSE)</f>
        <v>【超級】雪の歌姫</v>
      </c>
      <c r="G76" s="99">
        <v>3</v>
      </c>
      <c r="H76" s="12" t="str">
        <f t="shared" si="12"/>
        <v>39008_4-3</v>
      </c>
      <c r="I76" s="4">
        <f ca="1">VLOOKUP($H76,OFFSET(floors!$A$1,0,0,COUNTA(floors!$A:$A),MATCH(I$1,floors!$1:$1,0)-MATCH($H$1,floors!$1:$1,0)+1),MATCH(I$1,floors!$1:$1,0)-MATCH($H$1,floors!$1:$1,0)+1,FALSE)</f>
        <v>60</v>
      </c>
      <c r="J76" s="4">
        <f ca="1">VLOOKUP($H76,OFFSET(floors!$A$1,0,0,COUNTA(floors!$A:$A),MATCH(J$1,floors!$1:$1,0)-MATCH($H$1,floors!$1:$1,0)+1),MATCH(J$1,floors!$1:$1,0)-MATCH($H$1,floors!$1:$1,0)+1,FALSE)</f>
        <v>60</v>
      </c>
      <c r="K76" s="32" t="s">
        <v>245</v>
      </c>
      <c r="L76" s="97">
        <v>529</v>
      </c>
      <c r="M76" s="14" t="str">
        <f ca="1">VLOOKUP($L76,OFFSET([3]enemies!$A$1,0,0,COUNTA([3]enemies!$A:$A),MATCH(M$1,[3]enemies!$1:$1,0)-MATCH($L$1,[3]enemies!$1:$1,0)+1),MATCH(M$1,[3]enemies!$1:$1,0)-MATCH($L$1,[3]enemies!$1:$1,0)+1,FALSE)</f>
        <v>冬服ジェリー</v>
      </c>
      <c r="N76" s="14" t="str">
        <f ca="1">VLOOKUP($L76,OFFSET([3]enemies!$A$1,0,0,COUNTA([3]enemies!$A:$A),MATCH(N$1,[3]enemies!$1:$1,0)-MATCH($L$1,[3]enemies!$1:$1,0)+1),MATCH(N$1,[3]enemies!$1:$1,0)-MATCH($L$1,[3]enemies!$1:$1,0)+1,FALSE)</f>
        <v>red</v>
      </c>
      <c r="O76" s="14" t="str">
        <f ca="1">VLOOKUP($L76,OFFSET([4]characters!$A$1,0,0,COUNTA([4]characters!$A:$A),MATCH(O$1,[4]characters!$1:$1,0)-MATCH($L$1,[4]characters!$1:$1,0)+1),MATCH(O$1,[4]characters!$1:$1,0)-MATCH($L$1,[4]characters!$1:$1,0)+1,FALSE)</f>
        <v>Drop1T</v>
      </c>
      <c r="P76" s="14" t="str">
        <f ca="1">VLOOKUP($L76,OFFSET([3]enemies!$A$1,0,0,COUNTA([3]enemies!$A:$A),MATCH(P$1,[3]enemies!$1:$1,0)-MATCH($L$1,[3]enemies!$1:$1,0)+1),MATCH(P$1,[3]enemies!$1:$1,0)-MATCH($L$1,[3]enemies!$1:$1,0)+1,FALSE)</f>
        <v>unknown</v>
      </c>
      <c r="Q76" s="14">
        <f ca="1">VLOOKUP($L76,OFFSET([3]enemies!$A$1,0,0,COUNTA([3]enemies!$A:$A),MATCH(Q$1,[3]enemies!$1:$1,0)-MATCH($L$1,[3]enemies!$1:$1,0)+1),MATCH(Q$1,[3]enemies!$1:$1,0)-MATCH($L$1,[3]enemies!$1:$1,0)+1,FALSE)</f>
        <v>15</v>
      </c>
      <c r="R76" s="5">
        <v>50</v>
      </c>
      <c r="S76" s="19">
        <v>1</v>
      </c>
      <c r="T76" s="92">
        <f ca="1">ROUND(VLOOKUP(R76,[3]enemy_base_stats!$A:$F,2,FALSE) *INDIRECT("[EnemyMasterData.xlsm]enemies!Y"&amp;(L76+1))*  INDIRECT("[EnemyMasterData.xlsm]enemies!J"&amp;(L76+1))* INDIRECT("[EnemyMasterData.xlsm]enemies!O"&amp;(L76+1))* INDIRECT("[EnemyMasterData.xlsm]enemies!E"&amp;(L76+1))* INDIRECT("[EnemyMasterData.xlsm]enemies!S"&amp;(L76+1))* INDIRECT("[EnemyMasterData.xlsm]enemies!AD"&amp;(L76+1))*[4]ステータス!$B$2,0)*S76</f>
        <v>10300</v>
      </c>
      <c r="U76" s="19">
        <v>0.4</v>
      </c>
      <c r="V76" s="92">
        <f ca="1">ROUND(VLOOKUP(R76,[3]enemy_base_stats!$A:$F,3,FALSE) *INDIRECT("[EnemyMasterData.xlsm]enemies!Z"&amp;(L76+1))*  INDIRECT("[EnemyMasterData.xlsm]enemies!K"&amp;(L76+1))* INDIRECT("[EnemyMasterData.xlsm]enemies!P"&amp;(L76+1))* INDIRECT("[EnemyMasterData.xlsm]enemies!F"&amp;(L76+1))* INDIRECT("[EnemyMasterData.xlsm]enemies!T"&amp;(L76+1))* INDIRECT("[EnemyMasterData.xlsm]enemies!AE"&amp;(L76+1))*[4]ステータス!$C$2,0)*U76</f>
        <v>1693.6000000000001</v>
      </c>
      <c r="W76" s="5">
        <v>0</v>
      </c>
      <c r="X76" s="4" t="e">
        <f ca="1">VLOOKUP($Y76,OFFSET(enemy_skill_sets!$B$1,0,0,COUNTA(enemy_skill_sets!$B:$B),MATCH(M$1,enemy_skill_sets!$1:$1,0)-MATCH($Y$1,enemy_skill_sets!$1:$1,0)+2),MATCH(M$1,enemy_skill_sets!$1:$1,0)-MATCH($Y$1,enemy_skill_sets!$1:$1,0)+2,FALSE)</f>
        <v>#N/A</v>
      </c>
      <c r="Y76" s="4">
        <f ca="1">VLOOKUP($L76,OFFSET([3]enemies!$A$1,0,0,COUNTA([3]enemies!$A:$A),MATCH(Y$1,[3]enemies!$1:$1,0)-MATCH($L$1,[3]enemies!$1:$1,0)+1),MATCH(Y$1,[3]enemies!$1:$1,0)-MATCH($L$1,[3]enemies!$1:$1,0)+1,FALSE)</f>
        <v>0</v>
      </c>
      <c r="Z76" s="6">
        <v>0</v>
      </c>
      <c r="AA76" s="6">
        <v>100</v>
      </c>
      <c r="AB76" s="6">
        <v>0</v>
      </c>
      <c r="AC76" s="14">
        <v>1</v>
      </c>
      <c r="AD76" s="98">
        <f t="shared" si="13"/>
        <v>529</v>
      </c>
      <c r="AE76" s="4" t="str">
        <f ca="1">VLOOKUP($AD76,OFFSET([4]characters!$A$1,0,0,COUNTA([4]characters!$A:$A),MATCH(AE$1,[4]characters!$1:$1,0)-MATCH("character_id",[4]characters!$1:$1,0)+1),MATCH(AE$1,[4]characters!$1:$1,0)-MATCH("character_id",[4]characters!$1:$1,0)+1,FALSE)</f>
        <v>冬服ジェリー</v>
      </c>
      <c r="AF76" s="4">
        <f ca="1">VLOOKUP($AD76,OFFSET([4]characters!$A$1,0,0,COUNTA([4]characters!$A:$A),MATCH(AF$1,[4]characters!$1:$1,0)-MATCH("character_id",[4]characters!$1:$1,0)+1),MATCH(AF$1,[4]characters!$1:$1,0)-MATCH("character_id",[4]characters!$1:$1,0)+1,FALSE)</f>
        <v>1</v>
      </c>
      <c r="AG76" s="4" t="str">
        <f ca="1">VLOOKUP($AD76,OFFSET([4]characters!$A$1,0,0,COUNTA([4]characters!$A:$A),MATCH(AG$1,[4]characters!$1:$1,0)-MATCH("character_id",[4]characters!$1:$1,0)+1),MATCH(AG$1,[4]characters!$1:$1,0)-MATCH("character_id",[4]characters!$1:$1,0)+1,FALSE)</f>
        <v>Drop1T</v>
      </c>
      <c r="AH76" s="94">
        <v>1</v>
      </c>
      <c r="AI76" s="98">
        <f t="shared" ca="1" si="14"/>
        <v>1</v>
      </c>
      <c r="AJ76" s="7">
        <v>20</v>
      </c>
      <c r="AK76" s="94">
        <v>0</v>
      </c>
      <c r="AL76" s="94">
        <v>0</v>
      </c>
      <c r="AM76" s="94">
        <v>0</v>
      </c>
      <c r="AN76" s="94">
        <v>0</v>
      </c>
      <c r="AO76" s="94">
        <v>1</v>
      </c>
      <c r="AP76" s="62">
        <v>1</v>
      </c>
    </row>
    <row r="77" spans="1:42" ht="21" customHeight="1" x14ac:dyDescent="0.15">
      <c r="A77" s="13" t="str">
        <f t="shared" si="10"/>
        <v>39008_4-3/530&lt;lv53&gt;s2</v>
      </c>
      <c r="B77" s="17">
        <v>39008</v>
      </c>
      <c r="C77" s="95">
        <v>4</v>
      </c>
      <c r="D77" s="12" t="str">
        <f t="shared" si="11"/>
        <v>39008_4</v>
      </c>
      <c r="E77" s="4" t="str">
        <f ca="1">VLOOKUP($B77,OFFSET([2]quests!$A$1,0,0,COUNTA([2]quests!$A:$A),MATCH(E$1,[2]quests!$1:$1,0)-MATCH($B$1,[2]quests!$1:$1,0)+1),MATCH(E$1,[2]quests!$1:$1,0)-MATCH($B$1,[2]quests!$1:$1,0)+1,FALSE)</f>
        <v>雪の歌姫</v>
      </c>
      <c r="F77" s="4" t="str">
        <f ca="1">VLOOKUP($D77,OFFSET([2]stages!$A$1,0,0,COUNTA([2]stages!$A:$A),MATCH(F$1,[2]stages!$2:$2,0)-MATCH($D$1,[2]stages!$2:$2,0)+1),MATCH(F$1,[2]stages!$2:$2,0)-MATCH($D$1,[2]stages!$2:$2,0)+1,FALSE)</f>
        <v>【超級】雪の歌姫</v>
      </c>
      <c r="G77" s="99">
        <v>3</v>
      </c>
      <c r="H77" s="12" t="str">
        <f t="shared" si="12"/>
        <v>39008_4-3</v>
      </c>
      <c r="I77" s="4">
        <f ca="1">VLOOKUP($H77,OFFSET(floors!$A$1,0,0,COUNTA(floors!$A:$A),MATCH(I$1,floors!$1:$1,0)-MATCH($H$1,floors!$1:$1,0)+1),MATCH(I$1,floors!$1:$1,0)-MATCH($H$1,floors!$1:$1,0)+1,FALSE)</f>
        <v>60</v>
      </c>
      <c r="J77" s="4">
        <f ca="1">VLOOKUP($H77,OFFSET(floors!$A$1,0,0,COUNTA(floors!$A:$A),MATCH(J$1,floors!$1:$1,0)-MATCH($H$1,floors!$1:$1,0)+1),MATCH(J$1,floors!$1:$1,0)-MATCH($H$1,floors!$1:$1,0)+1,FALSE)</f>
        <v>60</v>
      </c>
      <c r="K77" s="32" t="s">
        <v>245</v>
      </c>
      <c r="L77" s="97">
        <v>530</v>
      </c>
      <c r="M77" s="14" t="str">
        <f ca="1">VLOOKUP($L77,OFFSET([3]enemies!$A$1,0,0,COUNTA([3]enemies!$A:$A),MATCH(M$1,[3]enemies!$1:$1,0)-MATCH($L$1,[3]enemies!$1:$1,0)+1),MATCH(M$1,[3]enemies!$1:$1,0)-MATCH($L$1,[3]enemies!$1:$1,0)+1,FALSE)</f>
        <v>冬服ジョー</v>
      </c>
      <c r="N77" s="14" t="str">
        <f ca="1">VLOOKUP($L77,OFFSET([3]enemies!$A$1,0,0,COUNTA([3]enemies!$A:$A),MATCH(N$1,[3]enemies!$1:$1,0)-MATCH($L$1,[3]enemies!$1:$1,0)+1),MATCH(N$1,[3]enemies!$1:$1,0)-MATCH($L$1,[3]enemies!$1:$1,0)+1,FALSE)</f>
        <v>green</v>
      </c>
      <c r="O77" s="14" t="str">
        <f ca="1">VLOOKUP($L77,OFFSET([4]characters!$A$1,0,0,COUNTA([4]characters!$A:$A),MATCH(O$1,[4]characters!$1:$1,0)-MATCH($L$1,[4]characters!$1:$1,0)+1),MATCH(O$1,[4]characters!$1:$1,0)-MATCH($L$1,[4]characters!$1:$1,0)+1,FALSE)</f>
        <v>Drop1T</v>
      </c>
      <c r="P77" s="14" t="str">
        <f ca="1">VLOOKUP($L77,OFFSET([3]enemies!$A$1,0,0,COUNTA([3]enemies!$A:$A),MATCH(P$1,[3]enemies!$1:$1,0)-MATCH($L$1,[3]enemies!$1:$1,0)+1),MATCH(P$1,[3]enemies!$1:$1,0)-MATCH($L$1,[3]enemies!$1:$1,0)+1,FALSE)</f>
        <v>unknown</v>
      </c>
      <c r="Q77" s="14">
        <f ca="1">VLOOKUP($L77,OFFSET([3]enemies!$A$1,0,0,COUNTA([3]enemies!$A:$A),MATCH(Q$1,[3]enemies!$1:$1,0)-MATCH($L$1,[3]enemies!$1:$1,0)+1),MATCH(Q$1,[3]enemies!$1:$1,0)-MATCH($L$1,[3]enemies!$1:$1,0)+1,FALSE)</f>
        <v>15</v>
      </c>
      <c r="R77" s="5">
        <v>53</v>
      </c>
      <c r="S77" s="19">
        <v>1</v>
      </c>
      <c r="T77" s="92">
        <f ca="1">ROUND(VLOOKUP(R77,[3]enemy_base_stats!$A:$F,2,FALSE) *INDIRECT("[EnemyMasterData.xlsm]enemies!Y"&amp;(L77+1))*  INDIRECT("[EnemyMasterData.xlsm]enemies!J"&amp;(L77+1))* INDIRECT("[EnemyMasterData.xlsm]enemies!O"&amp;(L77+1))* INDIRECT("[EnemyMasterData.xlsm]enemies!E"&amp;(L77+1))* INDIRECT("[EnemyMasterData.xlsm]enemies!S"&amp;(L77+1))* INDIRECT("[EnemyMasterData.xlsm]enemies!AD"&amp;(L77+1))*[4]ステータス!$B$2,0)*S77</f>
        <v>11118</v>
      </c>
      <c r="U77" s="19">
        <v>0.5</v>
      </c>
      <c r="V77" s="92">
        <f ca="1">ROUND(VLOOKUP(R77,[3]enemy_base_stats!$A:$F,3,FALSE) *INDIRECT("[EnemyMasterData.xlsm]enemies!Z"&amp;(L77+1))*  INDIRECT("[EnemyMasterData.xlsm]enemies!K"&amp;(L77+1))* INDIRECT("[EnemyMasterData.xlsm]enemies!P"&amp;(L77+1))* INDIRECT("[EnemyMasterData.xlsm]enemies!F"&amp;(L77+1))* INDIRECT("[EnemyMasterData.xlsm]enemies!T"&amp;(L77+1))* INDIRECT("[EnemyMasterData.xlsm]enemies!AE"&amp;(L77+1))*[4]ステータス!$C$2,0)*U77</f>
        <v>1602.5</v>
      </c>
      <c r="W77" s="5">
        <v>0</v>
      </c>
      <c r="X77" s="4" t="e">
        <f ca="1">VLOOKUP($Y77,OFFSET(enemy_skill_sets!$B$1,0,0,COUNTA(enemy_skill_sets!$B:$B),MATCH(M$1,enemy_skill_sets!$1:$1,0)-MATCH($Y$1,enemy_skill_sets!$1:$1,0)+2),MATCH(M$1,enemy_skill_sets!$1:$1,0)-MATCH($Y$1,enemy_skill_sets!$1:$1,0)+2,FALSE)</f>
        <v>#N/A</v>
      </c>
      <c r="Y77" s="4">
        <f ca="1">VLOOKUP($L77,OFFSET([3]enemies!$A$1,0,0,COUNTA([3]enemies!$A:$A),MATCH(Y$1,[3]enemies!$1:$1,0)-MATCH($L$1,[3]enemies!$1:$1,0)+1),MATCH(Y$1,[3]enemies!$1:$1,0)-MATCH($L$1,[3]enemies!$1:$1,0)+1,FALSE)</f>
        <v>0</v>
      </c>
      <c r="Z77" s="6">
        <v>0</v>
      </c>
      <c r="AA77" s="6">
        <v>100</v>
      </c>
      <c r="AB77" s="6">
        <v>0</v>
      </c>
      <c r="AC77" s="14">
        <v>2</v>
      </c>
      <c r="AD77" s="98">
        <f t="shared" si="13"/>
        <v>530</v>
      </c>
      <c r="AE77" s="4" t="str">
        <f ca="1">VLOOKUP($AD77,OFFSET([4]characters!$A$1,0,0,COUNTA([4]characters!$A:$A),MATCH(AE$1,[4]characters!$1:$1,0)-MATCH("character_id",[4]characters!$1:$1,0)+1),MATCH(AE$1,[4]characters!$1:$1,0)-MATCH("character_id",[4]characters!$1:$1,0)+1,FALSE)</f>
        <v>冬服ジョー</v>
      </c>
      <c r="AF77" s="4">
        <f ca="1">VLOOKUP($AD77,OFFSET([4]characters!$A$1,0,0,COUNTA([4]characters!$A:$A),MATCH(AF$1,[4]characters!$1:$1,0)-MATCH("character_id",[4]characters!$1:$1,0)+1),MATCH(AF$1,[4]characters!$1:$1,0)-MATCH("character_id",[4]characters!$1:$1,0)+1,FALSE)</f>
        <v>1</v>
      </c>
      <c r="AG77" s="4" t="str">
        <f ca="1">VLOOKUP($AD77,OFFSET([4]characters!$A$1,0,0,COUNTA([4]characters!$A:$A),MATCH(AG$1,[4]characters!$1:$1,0)-MATCH("character_id",[4]characters!$1:$1,0)+1),MATCH(AG$1,[4]characters!$1:$1,0)-MATCH("character_id",[4]characters!$1:$1,0)+1,FALSE)</f>
        <v>Drop1T</v>
      </c>
      <c r="AH77" s="94">
        <v>1</v>
      </c>
      <c r="AI77" s="98">
        <f t="shared" ca="1" si="14"/>
        <v>1</v>
      </c>
      <c r="AJ77" s="7">
        <v>20</v>
      </c>
      <c r="AK77" s="94">
        <v>0</v>
      </c>
      <c r="AL77" s="94">
        <v>0</v>
      </c>
      <c r="AM77" s="94">
        <v>0</v>
      </c>
      <c r="AN77" s="94">
        <v>0</v>
      </c>
      <c r="AO77" s="94">
        <v>1</v>
      </c>
      <c r="AP77" s="62">
        <v>1</v>
      </c>
    </row>
    <row r="78" spans="1:42" ht="21" customHeight="1" x14ac:dyDescent="0.15">
      <c r="A78" s="13" t="str">
        <f t="shared" si="10"/>
        <v>39008_4-3/531&lt;lv53&gt;s3</v>
      </c>
      <c r="B78" s="17">
        <v>39008</v>
      </c>
      <c r="C78" s="95">
        <v>4</v>
      </c>
      <c r="D78" s="12" t="str">
        <f t="shared" si="11"/>
        <v>39008_4</v>
      </c>
      <c r="E78" s="4" t="str">
        <f ca="1">VLOOKUP($B78,OFFSET([2]quests!$A$1,0,0,COUNTA([2]quests!$A:$A),MATCH(E$1,[2]quests!$1:$1,0)-MATCH($B$1,[2]quests!$1:$1,0)+1),MATCH(E$1,[2]quests!$1:$1,0)-MATCH($B$1,[2]quests!$1:$1,0)+1,FALSE)</f>
        <v>雪の歌姫</v>
      </c>
      <c r="F78" s="4" t="str">
        <f ca="1">VLOOKUP($D78,OFFSET([2]stages!$A$1,0,0,COUNTA([2]stages!$A:$A),MATCH(F$1,[2]stages!$2:$2,0)-MATCH($D$1,[2]stages!$2:$2,0)+1),MATCH(F$1,[2]stages!$2:$2,0)-MATCH($D$1,[2]stages!$2:$2,0)+1,FALSE)</f>
        <v>【超級】雪の歌姫</v>
      </c>
      <c r="G78" s="99">
        <v>3</v>
      </c>
      <c r="H78" s="12" t="str">
        <f t="shared" si="12"/>
        <v>39008_4-3</v>
      </c>
      <c r="I78" s="4">
        <f ca="1">VLOOKUP($H78,OFFSET(floors!$A$1,0,0,COUNTA(floors!$A:$A),MATCH(I$1,floors!$1:$1,0)-MATCH($H$1,floors!$1:$1,0)+1),MATCH(I$1,floors!$1:$1,0)-MATCH($H$1,floors!$1:$1,0)+1,FALSE)</f>
        <v>60</v>
      </c>
      <c r="J78" s="4">
        <f ca="1">VLOOKUP($H78,OFFSET(floors!$A$1,0,0,COUNTA(floors!$A:$A),MATCH(J$1,floors!$1:$1,0)-MATCH($H$1,floors!$1:$1,0)+1),MATCH(J$1,floors!$1:$1,0)-MATCH($H$1,floors!$1:$1,0)+1,FALSE)</f>
        <v>60</v>
      </c>
      <c r="K78" s="32" t="s">
        <v>245</v>
      </c>
      <c r="L78" s="97">
        <v>531</v>
      </c>
      <c r="M78" s="14" t="str">
        <f ca="1">VLOOKUP($L78,OFFSET([3]enemies!$A$1,0,0,COUNTA([3]enemies!$A:$A),MATCH(M$1,[3]enemies!$1:$1,0)-MATCH($L$1,[3]enemies!$1:$1,0)+1),MATCH(M$1,[3]enemies!$1:$1,0)-MATCH($L$1,[3]enemies!$1:$1,0)+1,FALSE)</f>
        <v>冬服ポチ</v>
      </c>
      <c r="N78" s="14" t="str">
        <f ca="1">VLOOKUP($L78,OFFSET([3]enemies!$A$1,0,0,COUNTA([3]enemies!$A:$A),MATCH(N$1,[3]enemies!$1:$1,0)-MATCH($L$1,[3]enemies!$1:$1,0)+1),MATCH(N$1,[3]enemies!$1:$1,0)-MATCH($L$1,[3]enemies!$1:$1,0)+1,FALSE)</f>
        <v>blue</v>
      </c>
      <c r="O78" s="14" t="str">
        <f ca="1">VLOOKUP($L78,OFFSET([4]characters!$A$1,0,0,COUNTA([4]characters!$A:$A),MATCH(O$1,[4]characters!$1:$1,0)-MATCH($L$1,[4]characters!$1:$1,0)+1),MATCH(O$1,[4]characters!$1:$1,0)-MATCH($L$1,[4]characters!$1:$1,0)+1,FALSE)</f>
        <v>Drop1T</v>
      </c>
      <c r="P78" s="14" t="str">
        <f ca="1">VLOOKUP($L78,OFFSET([3]enemies!$A$1,0,0,COUNTA([3]enemies!$A:$A),MATCH(P$1,[3]enemies!$1:$1,0)-MATCH($L$1,[3]enemies!$1:$1,0)+1),MATCH(P$1,[3]enemies!$1:$1,0)-MATCH($L$1,[3]enemies!$1:$1,0)+1,FALSE)</f>
        <v>unknown</v>
      </c>
      <c r="Q78" s="14">
        <f ca="1">VLOOKUP($L78,OFFSET([3]enemies!$A$1,0,0,COUNTA([3]enemies!$A:$A),MATCH(Q$1,[3]enemies!$1:$1,0)-MATCH($L$1,[3]enemies!$1:$1,0)+1),MATCH(Q$1,[3]enemies!$1:$1,0)-MATCH($L$1,[3]enemies!$1:$1,0)+1,FALSE)</f>
        <v>15</v>
      </c>
      <c r="R78" s="5">
        <v>53</v>
      </c>
      <c r="S78" s="19">
        <v>1</v>
      </c>
      <c r="T78" s="92">
        <f ca="1">ROUND(VLOOKUP(R78,[3]enemy_base_stats!$A:$F,2,FALSE) *INDIRECT("[EnemyMasterData.xlsm]enemies!Y"&amp;(L78+1))*  INDIRECT("[EnemyMasterData.xlsm]enemies!J"&amp;(L78+1))* INDIRECT("[EnemyMasterData.xlsm]enemies!O"&amp;(L78+1))* INDIRECT("[EnemyMasterData.xlsm]enemies!E"&amp;(L78+1))* INDIRECT("[EnemyMasterData.xlsm]enemies!S"&amp;(L78+1))* INDIRECT("[EnemyMasterData.xlsm]enemies!AD"&amp;(L78+1))*[4]ステータス!$B$2,0)*S78</f>
        <v>8720</v>
      </c>
      <c r="U78" s="19">
        <v>0.8</v>
      </c>
      <c r="V78" s="92">
        <f ca="1">ROUND(VLOOKUP(R78,[3]enemy_base_stats!$A:$F,3,FALSE) *INDIRECT("[EnemyMasterData.xlsm]enemies!Z"&amp;(L78+1))*  INDIRECT("[EnemyMasterData.xlsm]enemies!K"&amp;(L78+1))* INDIRECT("[EnemyMasterData.xlsm]enemies!P"&amp;(L78+1))* INDIRECT("[EnemyMasterData.xlsm]enemies!F"&amp;(L78+1))* INDIRECT("[EnemyMasterData.xlsm]enemies!T"&amp;(L78+1))* INDIRECT("[EnemyMasterData.xlsm]enemies!AE"&amp;(L78+1))*[4]ステータス!$C$2,0)*U78</f>
        <v>2000</v>
      </c>
      <c r="W78" s="5">
        <v>0</v>
      </c>
      <c r="X78" s="4" t="e">
        <f ca="1">VLOOKUP($Y78,OFFSET(enemy_skill_sets!$B$1,0,0,COUNTA(enemy_skill_sets!$B:$B),MATCH(M$1,enemy_skill_sets!$1:$1,0)-MATCH($Y$1,enemy_skill_sets!$1:$1,0)+2),MATCH(M$1,enemy_skill_sets!$1:$1,0)-MATCH($Y$1,enemy_skill_sets!$1:$1,0)+2,FALSE)</f>
        <v>#N/A</v>
      </c>
      <c r="Y78" s="4">
        <f ca="1">VLOOKUP($L78,OFFSET([3]enemies!$A$1,0,0,COUNTA([3]enemies!$A:$A),MATCH(Y$1,[3]enemies!$1:$1,0)-MATCH($L$1,[3]enemies!$1:$1,0)+1),MATCH(Y$1,[3]enemies!$1:$1,0)-MATCH($L$1,[3]enemies!$1:$1,0)+1,FALSE)</f>
        <v>0</v>
      </c>
      <c r="Z78" s="6">
        <v>0</v>
      </c>
      <c r="AA78" s="6">
        <v>100</v>
      </c>
      <c r="AB78" s="6">
        <v>0</v>
      </c>
      <c r="AC78" s="14">
        <v>3</v>
      </c>
      <c r="AD78" s="98">
        <f t="shared" si="13"/>
        <v>531</v>
      </c>
      <c r="AE78" s="4" t="str">
        <f ca="1">VLOOKUP($AD78,OFFSET([4]characters!$A$1,0,0,COUNTA([4]characters!$A:$A),MATCH(AE$1,[4]characters!$1:$1,0)-MATCH("character_id",[4]characters!$1:$1,0)+1),MATCH(AE$1,[4]characters!$1:$1,0)-MATCH("character_id",[4]characters!$1:$1,0)+1,FALSE)</f>
        <v>冬服ポチ</v>
      </c>
      <c r="AF78" s="4">
        <f ca="1">VLOOKUP($AD78,OFFSET([4]characters!$A$1,0,0,COUNTA([4]characters!$A:$A),MATCH(AF$1,[4]characters!$1:$1,0)-MATCH("character_id",[4]characters!$1:$1,0)+1),MATCH(AF$1,[4]characters!$1:$1,0)-MATCH("character_id",[4]characters!$1:$1,0)+1,FALSE)</f>
        <v>1</v>
      </c>
      <c r="AG78" s="4" t="str">
        <f ca="1">VLOOKUP($AD78,OFFSET([4]characters!$A$1,0,0,COUNTA([4]characters!$A:$A),MATCH(AG$1,[4]characters!$1:$1,0)-MATCH("character_id",[4]characters!$1:$1,0)+1),MATCH(AG$1,[4]characters!$1:$1,0)-MATCH("character_id",[4]characters!$1:$1,0)+1,FALSE)</f>
        <v>Drop1T</v>
      </c>
      <c r="AH78" s="94">
        <v>1</v>
      </c>
      <c r="AI78" s="98">
        <f t="shared" ca="1" si="14"/>
        <v>1</v>
      </c>
      <c r="AJ78" s="7">
        <v>20</v>
      </c>
      <c r="AK78" s="94">
        <v>0</v>
      </c>
      <c r="AL78" s="94">
        <v>0</v>
      </c>
      <c r="AM78" s="94">
        <v>0</v>
      </c>
      <c r="AN78" s="94">
        <v>0</v>
      </c>
      <c r="AO78" s="94">
        <v>1</v>
      </c>
      <c r="AP78" s="62">
        <v>1</v>
      </c>
    </row>
    <row r="79" spans="1:42" ht="21" customHeight="1" x14ac:dyDescent="0.15">
      <c r="A79" s="13" t="str">
        <f t="shared" si="10"/>
        <v>39008_4-3/532&lt;lv53&gt;s2</v>
      </c>
      <c r="B79" s="17">
        <v>39008</v>
      </c>
      <c r="C79" s="95">
        <v>4</v>
      </c>
      <c r="D79" s="12" t="str">
        <f t="shared" si="11"/>
        <v>39008_4</v>
      </c>
      <c r="E79" s="4" t="str">
        <f ca="1">VLOOKUP($B79,OFFSET([2]quests!$A$1,0,0,COUNTA([2]quests!$A:$A),MATCH(E$1,[2]quests!$1:$1,0)-MATCH($B$1,[2]quests!$1:$1,0)+1),MATCH(E$1,[2]quests!$1:$1,0)-MATCH($B$1,[2]quests!$1:$1,0)+1,FALSE)</f>
        <v>雪の歌姫</v>
      </c>
      <c r="F79" s="4" t="str">
        <f ca="1">VLOOKUP($D79,OFFSET([2]stages!$A$1,0,0,COUNTA([2]stages!$A:$A),MATCH(F$1,[2]stages!$2:$2,0)-MATCH($D$1,[2]stages!$2:$2,0)+1),MATCH(F$1,[2]stages!$2:$2,0)-MATCH($D$1,[2]stages!$2:$2,0)+1,FALSE)</f>
        <v>【超級】雪の歌姫</v>
      </c>
      <c r="G79" s="99">
        <v>3</v>
      </c>
      <c r="H79" s="12" t="str">
        <f t="shared" si="12"/>
        <v>39008_4-3</v>
      </c>
      <c r="I79" s="4">
        <f ca="1">VLOOKUP($H79,OFFSET(floors!$A$1,0,0,COUNTA(floors!$A:$A),MATCH(I$1,floors!$1:$1,0)-MATCH($H$1,floors!$1:$1,0)+1),MATCH(I$1,floors!$1:$1,0)-MATCH($H$1,floors!$1:$1,0)+1,FALSE)</f>
        <v>60</v>
      </c>
      <c r="J79" s="4">
        <f ca="1">VLOOKUP($H79,OFFSET(floors!$A$1,0,0,COUNTA(floors!$A:$A),MATCH(J$1,floors!$1:$1,0)-MATCH($H$1,floors!$1:$1,0)+1),MATCH(J$1,floors!$1:$1,0)-MATCH($H$1,floors!$1:$1,0)+1,FALSE)</f>
        <v>60</v>
      </c>
      <c r="K79" s="32" t="s">
        <v>245</v>
      </c>
      <c r="L79" s="97">
        <v>532</v>
      </c>
      <c r="M79" s="14" t="str">
        <f ca="1">VLOOKUP($L79,OFFSET([3]enemies!$A$1,0,0,COUNTA([3]enemies!$A:$A),MATCH(M$1,[3]enemies!$1:$1,0)-MATCH($L$1,[3]enemies!$1:$1,0)+1),MATCH(M$1,[3]enemies!$1:$1,0)-MATCH($L$1,[3]enemies!$1:$1,0)+1,FALSE)</f>
        <v>冬服エレキポット</v>
      </c>
      <c r="N79" s="14" t="str">
        <f ca="1">VLOOKUP($L79,OFFSET([3]enemies!$A$1,0,0,COUNTA([3]enemies!$A:$A),MATCH(N$1,[3]enemies!$1:$1,0)-MATCH($L$1,[3]enemies!$1:$1,0)+1),MATCH(N$1,[3]enemies!$1:$1,0)-MATCH($L$1,[3]enemies!$1:$1,0)+1,FALSE)</f>
        <v>yellow</v>
      </c>
      <c r="O79" s="14" t="str">
        <f ca="1">VLOOKUP($L79,OFFSET([4]characters!$A$1,0,0,COUNTA([4]characters!$A:$A),MATCH(O$1,[4]characters!$1:$1,0)-MATCH($L$1,[4]characters!$1:$1,0)+1),MATCH(O$1,[4]characters!$1:$1,0)-MATCH($L$1,[4]characters!$1:$1,0)+1,FALSE)</f>
        <v>Drop1T</v>
      </c>
      <c r="P79" s="14" t="str">
        <f ca="1">VLOOKUP($L79,OFFSET([3]enemies!$A$1,0,0,COUNTA([3]enemies!$A:$A),MATCH(P$1,[3]enemies!$1:$1,0)-MATCH($L$1,[3]enemies!$1:$1,0)+1),MATCH(P$1,[3]enemies!$1:$1,0)-MATCH($L$1,[3]enemies!$1:$1,0)+1,FALSE)</f>
        <v>unknown</v>
      </c>
      <c r="Q79" s="14">
        <f ca="1">VLOOKUP($L79,OFFSET([3]enemies!$A$1,0,0,COUNTA([3]enemies!$A:$A),MATCH(Q$1,[3]enemies!$1:$1,0)-MATCH($L$1,[3]enemies!$1:$1,0)+1),MATCH(Q$1,[3]enemies!$1:$1,0)-MATCH($L$1,[3]enemies!$1:$1,0)+1,FALSE)</f>
        <v>15</v>
      </c>
      <c r="R79" s="5">
        <v>53</v>
      </c>
      <c r="S79" s="19">
        <v>1</v>
      </c>
      <c r="T79" s="92">
        <f ca="1">ROUND(VLOOKUP(R79,[3]enemy_base_stats!$A:$F,2,FALSE) *INDIRECT("[EnemyMasterData.xlsm]enemies!Y"&amp;(L79+1))*  INDIRECT("[EnemyMasterData.xlsm]enemies!J"&amp;(L79+1))* INDIRECT("[EnemyMasterData.xlsm]enemies!O"&amp;(L79+1))* INDIRECT("[EnemyMasterData.xlsm]enemies!E"&amp;(L79+1))* INDIRECT("[EnemyMasterData.xlsm]enemies!S"&amp;(L79+1))* INDIRECT("[EnemyMasterData.xlsm]enemies!AD"&amp;(L79+1))*[4]ステータス!$B$2,0)*S79</f>
        <v>10682</v>
      </c>
      <c r="U79" s="19">
        <v>0.4</v>
      </c>
      <c r="V79" s="92">
        <f ca="1">ROUND(VLOOKUP(R79,[3]enemy_base_stats!$A:$F,3,FALSE) *INDIRECT("[EnemyMasterData.xlsm]enemies!Z"&amp;(L79+1))*  INDIRECT("[EnemyMasterData.xlsm]enemies!K"&amp;(L79+1))* INDIRECT("[EnemyMasterData.xlsm]enemies!P"&amp;(L79+1))* INDIRECT("[EnemyMasterData.xlsm]enemies!F"&amp;(L79+1))* INDIRECT("[EnemyMasterData.xlsm]enemies!T"&amp;(L79+1))* INDIRECT("[EnemyMasterData.xlsm]enemies!AE"&amp;(L79+1))*[4]ステータス!$C$2,0)*U79</f>
        <v>1757.2</v>
      </c>
      <c r="W79" s="5">
        <v>0</v>
      </c>
      <c r="X79" s="4" t="e">
        <f ca="1">VLOOKUP($Y79,OFFSET(enemy_skill_sets!$B$1,0,0,COUNTA(enemy_skill_sets!$B:$B),MATCH(M$1,enemy_skill_sets!$1:$1,0)-MATCH($Y$1,enemy_skill_sets!$1:$1,0)+2),MATCH(M$1,enemy_skill_sets!$1:$1,0)-MATCH($Y$1,enemy_skill_sets!$1:$1,0)+2,FALSE)</f>
        <v>#N/A</v>
      </c>
      <c r="Y79" s="4">
        <f ca="1">VLOOKUP($L79,OFFSET([3]enemies!$A$1,0,0,COUNTA([3]enemies!$A:$A),MATCH(Y$1,[3]enemies!$1:$1,0)-MATCH($L$1,[3]enemies!$1:$1,0)+1),MATCH(Y$1,[3]enemies!$1:$1,0)-MATCH($L$1,[3]enemies!$1:$1,0)+1,FALSE)</f>
        <v>0</v>
      </c>
      <c r="Z79" s="6">
        <v>0</v>
      </c>
      <c r="AA79" s="6">
        <v>100</v>
      </c>
      <c r="AB79" s="6">
        <v>0</v>
      </c>
      <c r="AC79" s="14">
        <v>2</v>
      </c>
      <c r="AD79" s="98">
        <f t="shared" si="13"/>
        <v>532</v>
      </c>
      <c r="AE79" s="4" t="str">
        <f ca="1">VLOOKUP($AD79,OFFSET([4]characters!$A$1,0,0,COUNTA([4]characters!$A:$A),MATCH(AE$1,[4]characters!$1:$1,0)-MATCH("character_id",[4]characters!$1:$1,0)+1),MATCH(AE$1,[4]characters!$1:$1,0)-MATCH("character_id",[4]characters!$1:$1,0)+1,FALSE)</f>
        <v>冬服エレキポット</v>
      </c>
      <c r="AF79" s="4">
        <f ca="1">VLOOKUP($AD79,OFFSET([4]characters!$A$1,0,0,COUNTA([4]characters!$A:$A),MATCH(AF$1,[4]characters!$1:$1,0)-MATCH("character_id",[4]characters!$1:$1,0)+1),MATCH(AF$1,[4]characters!$1:$1,0)-MATCH("character_id",[4]characters!$1:$1,0)+1,FALSE)</f>
        <v>1</v>
      </c>
      <c r="AG79" s="4" t="str">
        <f ca="1">VLOOKUP($AD79,OFFSET([4]characters!$A$1,0,0,COUNTA([4]characters!$A:$A),MATCH(AG$1,[4]characters!$1:$1,0)-MATCH("character_id",[4]characters!$1:$1,0)+1),MATCH(AG$1,[4]characters!$1:$1,0)-MATCH("character_id",[4]characters!$1:$1,0)+1,FALSE)</f>
        <v>Drop1T</v>
      </c>
      <c r="AH79" s="94">
        <v>1</v>
      </c>
      <c r="AI79" s="98">
        <f t="shared" ca="1" si="14"/>
        <v>1</v>
      </c>
      <c r="AJ79" s="7">
        <v>20</v>
      </c>
      <c r="AK79" s="94">
        <v>0</v>
      </c>
      <c r="AL79" s="94">
        <v>0</v>
      </c>
      <c r="AM79" s="94">
        <v>0</v>
      </c>
      <c r="AN79" s="94">
        <v>0</v>
      </c>
      <c r="AO79" s="94">
        <v>1</v>
      </c>
      <c r="AP79" s="62">
        <v>1</v>
      </c>
    </row>
    <row r="80" spans="1:42" ht="21" customHeight="1" x14ac:dyDescent="0.15">
      <c r="A80" s="13" t="str">
        <f t="shared" si="10"/>
        <v>39008_4-3/533&lt;lv53&gt;s3</v>
      </c>
      <c r="B80" s="17">
        <v>39008</v>
      </c>
      <c r="C80" s="95">
        <v>4</v>
      </c>
      <c r="D80" s="12" t="str">
        <f t="shared" si="11"/>
        <v>39008_4</v>
      </c>
      <c r="E80" s="4" t="str">
        <f ca="1">VLOOKUP($B80,OFFSET([2]quests!$A$1,0,0,COUNTA([2]quests!$A:$A),MATCH(E$1,[2]quests!$1:$1,0)-MATCH($B$1,[2]quests!$1:$1,0)+1),MATCH(E$1,[2]quests!$1:$1,0)-MATCH($B$1,[2]quests!$1:$1,0)+1,FALSE)</f>
        <v>雪の歌姫</v>
      </c>
      <c r="F80" s="4" t="str">
        <f ca="1">VLOOKUP($D80,OFFSET([2]stages!$A$1,0,0,COUNTA([2]stages!$A:$A),MATCH(F$1,[2]stages!$2:$2,0)-MATCH($D$1,[2]stages!$2:$2,0)+1),MATCH(F$1,[2]stages!$2:$2,0)-MATCH($D$1,[2]stages!$2:$2,0)+1,FALSE)</f>
        <v>【超級】雪の歌姫</v>
      </c>
      <c r="G80" s="99">
        <v>3</v>
      </c>
      <c r="H80" s="12" t="str">
        <f t="shared" si="12"/>
        <v>39008_4-3</v>
      </c>
      <c r="I80" s="4">
        <f ca="1">VLOOKUP($H80,OFFSET(floors!$A$1,0,0,COUNTA(floors!$A:$A),MATCH(I$1,floors!$1:$1,0)-MATCH($H$1,floors!$1:$1,0)+1),MATCH(I$1,floors!$1:$1,0)-MATCH($H$1,floors!$1:$1,0)+1,FALSE)</f>
        <v>60</v>
      </c>
      <c r="J80" s="4">
        <f ca="1">VLOOKUP($H80,OFFSET(floors!$A$1,0,0,COUNTA(floors!$A:$A),MATCH(J$1,floors!$1:$1,0)-MATCH($H$1,floors!$1:$1,0)+1),MATCH(J$1,floors!$1:$1,0)-MATCH($H$1,floors!$1:$1,0)+1,FALSE)</f>
        <v>60</v>
      </c>
      <c r="K80" s="32" t="s">
        <v>245</v>
      </c>
      <c r="L80" s="97">
        <v>533</v>
      </c>
      <c r="M80" s="14" t="str">
        <f ca="1">VLOOKUP($L80,OFFSET([3]enemies!$A$1,0,0,COUNTA([3]enemies!$A:$A),MATCH(M$1,[3]enemies!$1:$1,0)-MATCH($L$1,[3]enemies!$1:$1,0)+1),MATCH(M$1,[3]enemies!$1:$1,0)-MATCH($L$1,[3]enemies!$1:$1,0)+1,FALSE)</f>
        <v>冬服アカネ</v>
      </c>
      <c r="N80" s="14" t="str">
        <f ca="1">VLOOKUP($L80,OFFSET([3]enemies!$A$1,0,0,COUNTA([3]enemies!$A:$A),MATCH(N$1,[3]enemies!$1:$1,0)-MATCH($L$1,[3]enemies!$1:$1,0)+1),MATCH(N$1,[3]enemies!$1:$1,0)-MATCH($L$1,[3]enemies!$1:$1,0)+1,FALSE)</f>
        <v>red</v>
      </c>
      <c r="O80" s="14" t="str">
        <f ca="1">VLOOKUP($L80,OFFSET([4]characters!$A$1,0,0,COUNTA([4]characters!$A:$A),MATCH(O$1,[4]characters!$1:$1,0)-MATCH($L$1,[4]characters!$1:$1,0)+1),MATCH(O$1,[4]characters!$1:$1,0)-MATCH($L$1,[4]characters!$1:$1,0)+1,FALSE)</f>
        <v>Drop1W</v>
      </c>
      <c r="P80" s="14" t="str">
        <f ca="1">VLOOKUP($L80,OFFSET([3]enemies!$A$1,0,0,COUNTA([3]enemies!$A:$A),MATCH(P$1,[3]enemies!$1:$1,0)-MATCH($L$1,[3]enemies!$1:$1,0)+1),MATCH(P$1,[3]enemies!$1:$1,0)-MATCH($L$1,[3]enemies!$1:$1,0)+1,FALSE)</f>
        <v>human</v>
      </c>
      <c r="Q80" s="14">
        <f ca="1">VLOOKUP($L80,OFFSET([3]enemies!$A$1,0,0,COUNTA([3]enemies!$A:$A),MATCH(Q$1,[3]enemies!$1:$1,0)-MATCH($L$1,[3]enemies!$1:$1,0)+1),MATCH(Q$1,[3]enemies!$1:$1,0)-MATCH($L$1,[3]enemies!$1:$1,0)+1,FALSE)</f>
        <v>15</v>
      </c>
      <c r="R80" s="5">
        <v>53</v>
      </c>
      <c r="S80" s="19">
        <v>1</v>
      </c>
      <c r="T80" s="92">
        <f ca="1">ROUND(VLOOKUP(R80,[3]enemy_base_stats!$A:$F,2,FALSE) *INDIRECT("[EnemyMasterData.xlsm]enemies!Y"&amp;(L80+1))*  INDIRECT("[EnemyMasterData.xlsm]enemies!J"&amp;(L80+1))* INDIRECT("[EnemyMasterData.xlsm]enemies!O"&amp;(L80+1))* INDIRECT("[EnemyMasterData.xlsm]enemies!E"&amp;(L80+1))* INDIRECT("[EnemyMasterData.xlsm]enemies!S"&amp;(L80+1))* INDIRECT("[EnemyMasterData.xlsm]enemies!AD"&amp;(L80+1))*[4]ステータス!$B$2,0)*S80</f>
        <v>10246</v>
      </c>
      <c r="U80" s="19">
        <v>0.6</v>
      </c>
      <c r="V80" s="92">
        <f ca="1">ROUND(VLOOKUP(R80,[3]enemy_base_stats!$A:$F,3,FALSE) *INDIRECT("[EnemyMasterData.xlsm]enemies!Z"&amp;(L80+1))*  INDIRECT("[EnemyMasterData.xlsm]enemies!K"&amp;(L80+1))* INDIRECT("[EnemyMasterData.xlsm]enemies!P"&amp;(L80+1))* INDIRECT("[EnemyMasterData.xlsm]enemies!F"&amp;(L80+1))* INDIRECT("[EnemyMasterData.xlsm]enemies!T"&amp;(L80+1))* INDIRECT("[EnemyMasterData.xlsm]enemies!AE"&amp;(L80+1))*[4]ステータス!$C$2,0)*U80</f>
        <v>1981.1999999999998</v>
      </c>
      <c r="W80" s="5">
        <v>0</v>
      </c>
      <c r="X80" s="4" t="e">
        <f ca="1">VLOOKUP($Y80,OFFSET(enemy_skill_sets!$B$1,0,0,COUNTA(enemy_skill_sets!$B:$B),MATCH(M$1,enemy_skill_sets!$1:$1,0)-MATCH($Y$1,enemy_skill_sets!$1:$1,0)+2),MATCH(M$1,enemy_skill_sets!$1:$1,0)-MATCH($Y$1,enemy_skill_sets!$1:$1,0)+2,FALSE)</f>
        <v>#N/A</v>
      </c>
      <c r="Y80" s="4">
        <f ca="1">VLOOKUP($L80,OFFSET([3]enemies!$A$1,0,0,COUNTA([3]enemies!$A:$A),MATCH(Y$1,[3]enemies!$1:$1,0)-MATCH($L$1,[3]enemies!$1:$1,0)+1),MATCH(Y$1,[3]enemies!$1:$1,0)-MATCH($L$1,[3]enemies!$1:$1,0)+1,FALSE)</f>
        <v>0</v>
      </c>
      <c r="Z80" s="6">
        <v>0</v>
      </c>
      <c r="AA80" s="6">
        <v>100</v>
      </c>
      <c r="AB80" s="6">
        <v>0</v>
      </c>
      <c r="AC80" s="14">
        <v>3</v>
      </c>
      <c r="AD80" s="98">
        <f t="shared" si="13"/>
        <v>533</v>
      </c>
      <c r="AE80" s="4" t="str">
        <f ca="1">VLOOKUP($AD80,OFFSET([4]characters!$A$1,0,0,COUNTA([4]characters!$A:$A),MATCH(AE$1,[4]characters!$1:$1,0)-MATCH("character_id",[4]characters!$1:$1,0)+1),MATCH(AE$1,[4]characters!$1:$1,0)-MATCH("character_id",[4]characters!$1:$1,0)+1,FALSE)</f>
        <v>冬服アカネ</v>
      </c>
      <c r="AF80" s="4">
        <f ca="1">VLOOKUP($AD80,OFFSET([4]characters!$A$1,0,0,COUNTA([4]characters!$A:$A),MATCH(AF$1,[4]characters!$1:$1,0)-MATCH("character_id",[4]characters!$1:$1,0)+1),MATCH(AF$1,[4]characters!$1:$1,0)-MATCH("character_id",[4]characters!$1:$1,0)+1,FALSE)</f>
        <v>1</v>
      </c>
      <c r="AG80" s="4" t="str">
        <f ca="1">VLOOKUP($AD80,OFFSET([4]characters!$A$1,0,0,COUNTA([4]characters!$A:$A),MATCH(AG$1,[4]characters!$1:$1,0)-MATCH("character_id",[4]characters!$1:$1,0)+1),MATCH(AG$1,[4]characters!$1:$1,0)-MATCH("character_id",[4]characters!$1:$1,0)+1,FALSE)</f>
        <v>Drop1W</v>
      </c>
      <c r="AH80" s="94">
        <v>1</v>
      </c>
      <c r="AI80" s="98">
        <f t="shared" ca="1" si="14"/>
        <v>1</v>
      </c>
      <c r="AJ80" s="7">
        <v>20</v>
      </c>
      <c r="AK80" s="94">
        <v>0</v>
      </c>
      <c r="AL80" s="94">
        <v>0</v>
      </c>
      <c r="AM80" s="94">
        <v>0</v>
      </c>
      <c r="AN80" s="94">
        <v>0</v>
      </c>
      <c r="AO80" s="94">
        <v>1</v>
      </c>
      <c r="AP80" s="62">
        <v>1</v>
      </c>
    </row>
    <row r="81" spans="1:42" ht="21" customHeight="1" x14ac:dyDescent="0.15">
      <c r="A81" s="13" t="str">
        <f t="shared" si="10"/>
        <v>39008_4-3/534&lt;lv53&gt;s1</v>
      </c>
      <c r="B81" s="17">
        <v>39008</v>
      </c>
      <c r="C81" s="95">
        <v>4</v>
      </c>
      <c r="D81" s="12" t="str">
        <f t="shared" si="11"/>
        <v>39008_4</v>
      </c>
      <c r="E81" s="4" t="str">
        <f ca="1">VLOOKUP($B81,OFFSET([2]quests!$A$1,0,0,COUNTA([2]quests!$A:$A),MATCH(E$1,[2]quests!$1:$1,0)-MATCH($B$1,[2]quests!$1:$1,0)+1),MATCH(E$1,[2]quests!$1:$1,0)-MATCH($B$1,[2]quests!$1:$1,0)+1,FALSE)</f>
        <v>雪の歌姫</v>
      </c>
      <c r="F81" s="4" t="str">
        <f ca="1">VLOOKUP($D81,OFFSET([2]stages!$A$1,0,0,COUNTA([2]stages!$A:$A),MATCH(F$1,[2]stages!$2:$2,0)-MATCH($D$1,[2]stages!$2:$2,0)+1),MATCH(F$1,[2]stages!$2:$2,0)-MATCH($D$1,[2]stages!$2:$2,0)+1,FALSE)</f>
        <v>【超級】雪の歌姫</v>
      </c>
      <c r="G81" s="99">
        <v>3</v>
      </c>
      <c r="H81" s="12" t="str">
        <f t="shared" si="12"/>
        <v>39008_4-3</v>
      </c>
      <c r="I81" s="4">
        <f ca="1">VLOOKUP($H81,OFFSET(floors!$A$1,0,0,COUNTA(floors!$A:$A),MATCH(I$1,floors!$1:$1,0)-MATCH($H$1,floors!$1:$1,0)+1),MATCH(I$1,floors!$1:$1,0)-MATCH($H$1,floors!$1:$1,0)+1,FALSE)</f>
        <v>60</v>
      </c>
      <c r="J81" s="4">
        <f ca="1">VLOOKUP($H81,OFFSET(floors!$A$1,0,0,COUNTA(floors!$A:$A),MATCH(J$1,floors!$1:$1,0)-MATCH($H$1,floors!$1:$1,0)+1),MATCH(J$1,floors!$1:$1,0)-MATCH($H$1,floors!$1:$1,0)+1,FALSE)</f>
        <v>60</v>
      </c>
      <c r="K81" s="32" t="s">
        <v>245</v>
      </c>
      <c r="L81" s="97">
        <v>534</v>
      </c>
      <c r="M81" s="14" t="str">
        <f ca="1">VLOOKUP($L81,OFFSET([3]enemies!$A$1,0,0,COUNTA([3]enemies!$A:$A),MATCH(M$1,[3]enemies!$1:$1,0)-MATCH($L$1,[3]enemies!$1:$1,0)+1),MATCH(M$1,[3]enemies!$1:$1,0)-MATCH($L$1,[3]enemies!$1:$1,0)+1,FALSE)</f>
        <v>冬服パトライン</v>
      </c>
      <c r="N81" s="14" t="str">
        <f ca="1">VLOOKUP($L81,OFFSET([3]enemies!$A$1,0,0,COUNTA([3]enemies!$A:$A),MATCH(N$1,[3]enemies!$1:$1,0)-MATCH($L$1,[3]enemies!$1:$1,0)+1),MATCH(N$1,[3]enemies!$1:$1,0)-MATCH($L$1,[3]enemies!$1:$1,0)+1,FALSE)</f>
        <v>green</v>
      </c>
      <c r="O81" s="14" t="str">
        <f ca="1">VLOOKUP($L81,OFFSET([4]characters!$A$1,0,0,COUNTA([4]characters!$A:$A),MATCH(O$1,[4]characters!$1:$1,0)-MATCH($L$1,[4]characters!$1:$1,0)+1),MATCH(O$1,[4]characters!$1:$1,0)-MATCH($L$1,[4]characters!$1:$1,0)+1,FALSE)</f>
        <v>Drop1W</v>
      </c>
      <c r="P81" s="14" t="str">
        <f ca="1">VLOOKUP($L81,OFFSET([3]enemies!$A$1,0,0,COUNTA([3]enemies!$A:$A),MATCH(P$1,[3]enemies!$1:$1,0)-MATCH($L$1,[3]enemies!$1:$1,0)+1),MATCH(P$1,[3]enemies!$1:$1,0)-MATCH($L$1,[3]enemies!$1:$1,0)+1,FALSE)</f>
        <v>machine</v>
      </c>
      <c r="Q81" s="14">
        <f ca="1">VLOOKUP($L81,OFFSET([3]enemies!$A$1,0,0,COUNTA([3]enemies!$A:$A),MATCH(Q$1,[3]enemies!$1:$1,0)-MATCH($L$1,[3]enemies!$1:$1,0)+1),MATCH(Q$1,[3]enemies!$1:$1,0)-MATCH($L$1,[3]enemies!$1:$1,0)+1,FALSE)</f>
        <v>15</v>
      </c>
      <c r="R81" s="5">
        <v>53</v>
      </c>
      <c r="S81" s="19">
        <v>1</v>
      </c>
      <c r="T81" s="92">
        <f ca="1">ROUND(VLOOKUP(R81,[3]enemy_base_stats!$A:$F,2,FALSE) *INDIRECT("[EnemyMasterData.xlsm]enemies!Y"&amp;(L81+1))*  INDIRECT("[EnemyMasterData.xlsm]enemies!J"&amp;(L81+1))* INDIRECT("[EnemyMasterData.xlsm]enemies!O"&amp;(L81+1))* INDIRECT("[EnemyMasterData.xlsm]enemies!E"&amp;(L81+1))* INDIRECT("[EnemyMasterData.xlsm]enemies!S"&amp;(L81+1))* INDIRECT("[EnemyMasterData.xlsm]enemies!AD"&amp;(L81+1))*[4]ステータス!$B$2,0)*S81</f>
        <v>8894</v>
      </c>
      <c r="U81" s="19">
        <v>0.6</v>
      </c>
      <c r="V81" s="92">
        <f ca="1">ROUND(VLOOKUP(R81,[3]enemy_base_stats!$A:$F,3,FALSE) *INDIRECT("[EnemyMasterData.xlsm]enemies!Z"&amp;(L81+1))*  INDIRECT("[EnemyMasterData.xlsm]enemies!K"&amp;(L81+1))* INDIRECT("[EnemyMasterData.xlsm]enemies!P"&amp;(L81+1))* INDIRECT("[EnemyMasterData.xlsm]enemies!F"&amp;(L81+1))* INDIRECT("[EnemyMasterData.xlsm]enemies!T"&amp;(L81+1))* INDIRECT("[EnemyMasterData.xlsm]enemies!AE"&amp;(L81+1))*[4]ステータス!$C$2,0)*U81</f>
        <v>1500</v>
      </c>
      <c r="W81" s="5">
        <v>0</v>
      </c>
      <c r="X81" s="4" t="e">
        <f ca="1">VLOOKUP($Y81,OFFSET(enemy_skill_sets!$B$1,0,0,COUNTA(enemy_skill_sets!$B:$B),MATCH(M$1,enemy_skill_sets!$1:$1,0)-MATCH($Y$1,enemy_skill_sets!$1:$1,0)+2),MATCH(M$1,enemy_skill_sets!$1:$1,0)-MATCH($Y$1,enemy_skill_sets!$1:$1,0)+2,FALSE)</f>
        <v>#N/A</v>
      </c>
      <c r="Y81" s="4">
        <f ca="1">VLOOKUP($L81,OFFSET([3]enemies!$A$1,0,0,COUNTA([3]enemies!$A:$A),MATCH(Y$1,[3]enemies!$1:$1,0)-MATCH($L$1,[3]enemies!$1:$1,0)+1),MATCH(Y$1,[3]enemies!$1:$1,0)-MATCH($L$1,[3]enemies!$1:$1,0)+1,FALSE)</f>
        <v>0</v>
      </c>
      <c r="Z81" s="6">
        <v>0</v>
      </c>
      <c r="AA81" s="6">
        <v>100</v>
      </c>
      <c r="AB81" s="6">
        <v>0</v>
      </c>
      <c r="AC81" s="14">
        <v>1</v>
      </c>
      <c r="AD81" s="98">
        <f t="shared" si="13"/>
        <v>534</v>
      </c>
      <c r="AE81" s="4" t="str">
        <f ca="1">VLOOKUP($AD81,OFFSET([4]characters!$A$1,0,0,COUNTA([4]characters!$A:$A),MATCH(AE$1,[4]characters!$1:$1,0)-MATCH("character_id",[4]characters!$1:$1,0)+1),MATCH(AE$1,[4]characters!$1:$1,0)-MATCH("character_id",[4]characters!$1:$1,0)+1,FALSE)</f>
        <v>冬服パトライン</v>
      </c>
      <c r="AF81" s="4">
        <f ca="1">VLOOKUP($AD81,OFFSET([4]characters!$A$1,0,0,COUNTA([4]characters!$A:$A),MATCH(AF$1,[4]characters!$1:$1,0)-MATCH("character_id",[4]characters!$1:$1,0)+1),MATCH(AF$1,[4]characters!$1:$1,0)-MATCH("character_id",[4]characters!$1:$1,0)+1,FALSE)</f>
        <v>1</v>
      </c>
      <c r="AG81" s="4" t="str">
        <f ca="1">VLOOKUP($AD81,OFFSET([4]characters!$A$1,0,0,COUNTA([4]characters!$A:$A),MATCH(AG$1,[4]characters!$1:$1,0)-MATCH("character_id",[4]characters!$1:$1,0)+1),MATCH(AG$1,[4]characters!$1:$1,0)-MATCH("character_id",[4]characters!$1:$1,0)+1,FALSE)</f>
        <v>Drop1W</v>
      </c>
      <c r="AH81" s="94">
        <v>1</v>
      </c>
      <c r="AI81" s="98">
        <f t="shared" ca="1" si="14"/>
        <v>1</v>
      </c>
      <c r="AJ81" s="7">
        <v>20</v>
      </c>
      <c r="AK81" s="94">
        <v>0</v>
      </c>
      <c r="AL81" s="94">
        <v>0</v>
      </c>
      <c r="AM81" s="94">
        <v>0</v>
      </c>
      <c r="AN81" s="94">
        <v>0</v>
      </c>
      <c r="AO81" s="94">
        <v>1</v>
      </c>
      <c r="AP81" s="62">
        <v>1</v>
      </c>
    </row>
    <row r="82" spans="1:42" ht="21" customHeight="1" x14ac:dyDescent="0.15">
      <c r="A82" s="13" t="str">
        <f t="shared" si="10"/>
        <v>39008_4-3/535&lt;lv53&gt;s2</v>
      </c>
      <c r="B82" s="17">
        <v>39008</v>
      </c>
      <c r="C82" s="95">
        <v>4</v>
      </c>
      <c r="D82" s="12" t="str">
        <f t="shared" si="11"/>
        <v>39008_4</v>
      </c>
      <c r="E82" s="4" t="str">
        <f ca="1">VLOOKUP($B82,OFFSET([2]quests!$A$1,0,0,COUNTA([2]quests!$A:$A),MATCH(E$1,[2]quests!$1:$1,0)-MATCH($B$1,[2]quests!$1:$1,0)+1),MATCH(E$1,[2]quests!$1:$1,0)-MATCH($B$1,[2]quests!$1:$1,0)+1,FALSE)</f>
        <v>雪の歌姫</v>
      </c>
      <c r="F82" s="4" t="str">
        <f ca="1">VLOOKUP($D82,OFFSET([2]stages!$A$1,0,0,COUNTA([2]stages!$A:$A),MATCH(F$1,[2]stages!$2:$2,0)-MATCH($D$1,[2]stages!$2:$2,0)+1),MATCH(F$1,[2]stages!$2:$2,0)-MATCH($D$1,[2]stages!$2:$2,0)+1,FALSE)</f>
        <v>【超級】雪の歌姫</v>
      </c>
      <c r="G82" s="99">
        <v>3</v>
      </c>
      <c r="H82" s="12" t="str">
        <f t="shared" si="12"/>
        <v>39008_4-3</v>
      </c>
      <c r="I82" s="4">
        <f ca="1">VLOOKUP($H82,OFFSET(floors!$A$1,0,0,COUNTA(floors!$A:$A),MATCH(I$1,floors!$1:$1,0)-MATCH($H$1,floors!$1:$1,0)+1),MATCH(I$1,floors!$1:$1,0)-MATCH($H$1,floors!$1:$1,0)+1,FALSE)</f>
        <v>60</v>
      </c>
      <c r="J82" s="4">
        <f ca="1">VLOOKUP($H82,OFFSET(floors!$A$1,0,0,COUNTA(floors!$A:$A),MATCH(J$1,floors!$1:$1,0)-MATCH($H$1,floors!$1:$1,0)+1),MATCH(J$1,floors!$1:$1,0)-MATCH($H$1,floors!$1:$1,0)+1,FALSE)</f>
        <v>60</v>
      </c>
      <c r="K82" s="32" t="s">
        <v>245</v>
      </c>
      <c r="L82" s="97">
        <v>535</v>
      </c>
      <c r="M82" s="14" t="str">
        <f ca="1">VLOOKUP($L82,OFFSET([3]enemies!$A$1,0,0,COUNTA([3]enemies!$A:$A),MATCH(M$1,[3]enemies!$1:$1,0)-MATCH($L$1,[3]enemies!$1:$1,0)+1),MATCH(M$1,[3]enemies!$1:$1,0)-MATCH($L$1,[3]enemies!$1:$1,0)+1,FALSE)</f>
        <v>冬服リム</v>
      </c>
      <c r="N82" s="14" t="str">
        <f ca="1">VLOOKUP($L82,OFFSET([3]enemies!$A$1,0,0,COUNTA([3]enemies!$A:$A),MATCH(N$1,[3]enemies!$1:$1,0)-MATCH($L$1,[3]enemies!$1:$1,0)+1),MATCH(N$1,[3]enemies!$1:$1,0)-MATCH($L$1,[3]enemies!$1:$1,0)+1,FALSE)</f>
        <v>blue</v>
      </c>
      <c r="O82" s="14" t="str">
        <f ca="1">VLOOKUP($L82,OFFSET([4]characters!$A$1,0,0,COUNTA([4]characters!$A:$A),MATCH(O$1,[4]characters!$1:$1,0)-MATCH($L$1,[4]characters!$1:$1,0)+1),MATCH(O$1,[4]characters!$1:$1,0)-MATCH($L$1,[4]characters!$1:$1,0)+1,FALSE)</f>
        <v>Drop1W</v>
      </c>
      <c r="P82" s="14" t="str">
        <f ca="1">VLOOKUP($L82,OFFSET([3]enemies!$A$1,0,0,COUNTA([3]enemies!$A:$A),MATCH(P$1,[3]enemies!$1:$1,0)-MATCH($L$1,[3]enemies!$1:$1,0)+1),MATCH(P$1,[3]enemies!$1:$1,0)-MATCH($L$1,[3]enemies!$1:$1,0)+1,FALSE)</f>
        <v>human</v>
      </c>
      <c r="Q82" s="14">
        <f ca="1">VLOOKUP($L82,OFFSET([3]enemies!$A$1,0,0,COUNTA([3]enemies!$A:$A),MATCH(Q$1,[3]enemies!$1:$1,0)-MATCH($L$1,[3]enemies!$1:$1,0)+1),MATCH(Q$1,[3]enemies!$1:$1,0)-MATCH($L$1,[3]enemies!$1:$1,0)+1,FALSE)</f>
        <v>15</v>
      </c>
      <c r="R82" s="5">
        <v>53</v>
      </c>
      <c r="S82" s="19">
        <v>1</v>
      </c>
      <c r="T82" s="92">
        <f ca="1">ROUND(VLOOKUP(R82,[3]enemy_base_stats!$A:$F,2,FALSE) *INDIRECT("[EnemyMasterData.xlsm]enemies!Y"&amp;(L82+1))*  INDIRECT("[EnemyMasterData.xlsm]enemies!J"&amp;(L82+1))* INDIRECT("[EnemyMasterData.xlsm]enemies!O"&amp;(L82+1))* INDIRECT("[EnemyMasterData.xlsm]enemies!E"&amp;(L82+1))* INDIRECT("[EnemyMasterData.xlsm]enemies!S"&amp;(L82+1))* INDIRECT("[EnemyMasterData.xlsm]enemies!AD"&amp;(L82+1))*[4]ステータス!$B$2,0)*S82</f>
        <v>10246</v>
      </c>
      <c r="U82" s="19">
        <v>0.6</v>
      </c>
      <c r="V82" s="92">
        <f ca="1">ROUND(VLOOKUP(R82,[3]enemy_base_stats!$A:$F,3,FALSE) *INDIRECT("[EnemyMasterData.xlsm]enemies!Z"&amp;(L82+1))*  INDIRECT("[EnemyMasterData.xlsm]enemies!K"&amp;(L82+1))* INDIRECT("[EnemyMasterData.xlsm]enemies!P"&amp;(L82+1))* INDIRECT("[EnemyMasterData.xlsm]enemies!F"&amp;(L82+1))* INDIRECT("[EnemyMasterData.xlsm]enemies!T"&amp;(L82+1))* INDIRECT("[EnemyMasterData.xlsm]enemies!AE"&amp;(L82+1))*[4]ステータス!$C$2,0)*U82</f>
        <v>1903.8</v>
      </c>
      <c r="W82" s="5">
        <v>0</v>
      </c>
      <c r="X82" s="4" t="e">
        <f ca="1">VLOOKUP($Y82,OFFSET(enemy_skill_sets!$B$1,0,0,COUNTA(enemy_skill_sets!$B:$B),MATCH(M$1,enemy_skill_sets!$1:$1,0)-MATCH($Y$1,enemy_skill_sets!$1:$1,0)+2),MATCH(M$1,enemy_skill_sets!$1:$1,0)-MATCH($Y$1,enemy_skill_sets!$1:$1,0)+2,FALSE)</f>
        <v>#N/A</v>
      </c>
      <c r="Y82" s="4">
        <f ca="1">VLOOKUP($L82,OFFSET([3]enemies!$A$1,0,0,COUNTA([3]enemies!$A:$A),MATCH(Y$1,[3]enemies!$1:$1,0)-MATCH($L$1,[3]enemies!$1:$1,0)+1),MATCH(Y$1,[3]enemies!$1:$1,0)-MATCH($L$1,[3]enemies!$1:$1,0)+1,FALSE)</f>
        <v>0</v>
      </c>
      <c r="Z82" s="6">
        <v>0</v>
      </c>
      <c r="AA82" s="6">
        <v>100</v>
      </c>
      <c r="AB82" s="6">
        <v>0</v>
      </c>
      <c r="AC82" s="14">
        <v>2</v>
      </c>
      <c r="AD82" s="98">
        <f t="shared" si="13"/>
        <v>535</v>
      </c>
      <c r="AE82" s="4" t="str">
        <f ca="1">VLOOKUP($AD82,OFFSET([4]characters!$A$1,0,0,COUNTA([4]characters!$A:$A),MATCH(AE$1,[4]characters!$1:$1,0)-MATCH("character_id",[4]characters!$1:$1,0)+1),MATCH(AE$1,[4]characters!$1:$1,0)-MATCH("character_id",[4]characters!$1:$1,0)+1,FALSE)</f>
        <v>冬服リム</v>
      </c>
      <c r="AF82" s="4">
        <f ca="1">VLOOKUP($AD82,OFFSET([4]characters!$A$1,0,0,COUNTA([4]characters!$A:$A),MATCH(AF$1,[4]characters!$1:$1,0)-MATCH("character_id",[4]characters!$1:$1,0)+1),MATCH(AF$1,[4]characters!$1:$1,0)-MATCH("character_id",[4]characters!$1:$1,0)+1,FALSE)</f>
        <v>1</v>
      </c>
      <c r="AG82" s="4" t="str">
        <f ca="1">VLOOKUP($AD82,OFFSET([4]characters!$A$1,0,0,COUNTA([4]characters!$A:$A),MATCH(AG$1,[4]characters!$1:$1,0)-MATCH("character_id",[4]characters!$1:$1,0)+1),MATCH(AG$1,[4]characters!$1:$1,0)-MATCH("character_id",[4]characters!$1:$1,0)+1,FALSE)</f>
        <v>Drop1W</v>
      </c>
      <c r="AH82" s="94">
        <v>1</v>
      </c>
      <c r="AI82" s="98">
        <f t="shared" ca="1" si="14"/>
        <v>1</v>
      </c>
      <c r="AJ82" s="7">
        <v>20</v>
      </c>
      <c r="AK82" s="94">
        <v>0</v>
      </c>
      <c r="AL82" s="94">
        <v>0</v>
      </c>
      <c r="AM82" s="94">
        <v>0</v>
      </c>
      <c r="AN82" s="94">
        <v>0</v>
      </c>
      <c r="AO82" s="94">
        <v>1</v>
      </c>
      <c r="AP82" s="62">
        <v>1</v>
      </c>
    </row>
    <row r="83" spans="1:42" ht="21" customHeight="1" x14ac:dyDescent="0.15">
      <c r="A83" s="13" t="str">
        <f t="shared" si="10"/>
        <v>39008_4-3/536&lt;lv53&gt;s2</v>
      </c>
      <c r="B83" s="17">
        <v>39008</v>
      </c>
      <c r="C83" s="95">
        <v>4</v>
      </c>
      <c r="D83" s="12" t="str">
        <f t="shared" si="11"/>
        <v>39008_4</v>
      </c>
      <c r="E83" s="4" t="str">
        <f ca="1">VLOOKUP($B83,OFFSET([2]quests!$A$1,0,0,COUNTA([2]quests!$A:$A),MATCH(E$1,[2]quests!$1:$1,0)-MATCH($B$1,[2]quests!$1:$1,0)+1),MATCH(E$1,[2]quests!$1:$1,0)-MATCH($B$1,[2]quests!$1:$1,0)+1,FALSE)</f>
        <v>雪の歌姫</v>
      </c>
      <c r="F83" s="4" t="str">
        <f ca="1">VLOOKUP($D83,OFFSET([2]stages!$A$1,0,0,COUNTA([2]stages!$A:$A),MATCH(F$1,[2]stages!$2:$2,0)-MATCH($D$1,[2]stages!$2:$2,0)+1),MATCH(F$1,[2]stages!$2:$2,0)-MATCH($D$1,[2]stages!$2:$2,0)+1,FALSE)</f>
        <v>【超級】雪の歌姫</v>
      </c>
      <c r="G83" s="99">
        <v>3</v>
      </c>
      <c r="H83" s="12" t="str">
        <f t="shared" si="12"/>
        <v>39008_4-3</v>
      </c>
      <c r="I83" s="4">
        <f ca="1">VLOOKUP($H83,OFFSET(floors!$A$1,0,0,COUNTA(floors!$A:$A),MATCH(I$1,floors!$1:$1,0)-MATCH($H$1,floors!$1:$1,0)+1),MATCH(I$1,floors!$1:$1,0)-MATCH($H$1,floors!$1:$1,0)+1,FALSE)</f>
        <v>60</v>
      </c>
      <c r="J83" s="4">
        <f ca="1">VLOOKUP($H83,OFFSET(floors!$A$1,0,0,COUNTA(floors!$A:$A),MATCH(J$1,floors!$1:$1,0)-MATCH($H$1,floors!$1:$1,0)+1),MATCH(J$1,floors!$1:$1,0)-MATCH($H$1,floors!$1:$1,0)+1,FALSE)</f>
        <v>60</v>
      </c>
      <c r="K83" s="32" t="s">
        <v>245</v>
      </c>
      <c r="L83" s="97">
        <v>536</v>
      </c>
      <c r="M83" s="14" t="str">
        <f ca="1">VLOOKUP($L83,OFFSET([3]enemies!$A$1,0,0,COUNTA([3]enemies!$A:$A),MATCH(M$1,[3]enemies!$1:$1,0)-MATCH($L$1,[3]enemies!$1:$1,0)+1),MATCH(M$1,[3]enemies!$1:$1,0)-MATCH($L$1,[3]enemies!$1:$1,0)+1,FALSE)</f>
        <v>冬服ミミ</v>
      </c>
      <c r="N83" s="14" t="str">
        <f ca="1">VLOOKUP($L83,OFFSET([3]enemies!$A$1,0,0,COUNTA([3]enemies!$A:$A),MATCH(N$1,[3]enemies!$1:$1,0)-MATCH($L$1,[3]enemies!$1:$1,0)+1),MATCH(N$1,[3]enemies!$1:$1,0)-MATCH($L$1,[3]enemies!$1:$1,0)+1,FALSE)</f>
        <v>yellow</v>
      </c>
      <c r="O83" s="14" t="str">
        <f ca="1">VLOOKUP($L83,OFFSET([4]characters!$A$1,0,0,COUNTA([4]characters!$A:$A),MATCH(O$1,[4]characters!$1:$1,0)-MATCH($L$1,[4]characters!$1:$1,0)+1),MATCH(O$1,[4]characters!$1:$1,0)-MATCH($L$1,[4]characters!$1:$1,0)+1,FALSE)</f>
        <v>Drop1W</v>
      </c>
      <c r="P83" s="14" t="str">
        <f ca="1">VLOOKUP($L83,OFFSET([3]enemies!$A$1,0,0,COUNTA([3]enemies!$A:$A),MATCH(P$1,[3]enemies!$1:$1,0)-MATCH($L$1,[3]enemies!$1:$1,0)+1),MATCH(P$1,[3]enemies!$1:$1,0)-MATCH($L$1,[3]enemies!$1:$1,0)+1,FALSE)</f>
        <v>animal</v>
      </c>
      <c r="Q83" s="14">
        <f ca="1">VLOOKUP($L83,OFFSET([3]enemies!$A$1,0,0,COUNTA([3]enemies!$A:$A),MATCH(Q$1,[3]enemies!$1:$1,0)-MATCH($L$1,[3]enemies!$1:$1,0)+1),MATCH(Q$1,[3]enemies!$1:$1,0)-MATCH($L$1,[3]enemies!$1:$1,0)+1,FALSE)</f>
        <v>15</v>
      </c>
      <c r="R83" s="5">
        <v>53</v>
      </c>
      <c r="S83" s="19">
        <v>1</v>
      </c>
      <c r="T83" s="92">
        <f ca="1">ROUND(VLOOKUP(R83,[3]enemy_base_stats!$A:$F,2,FALSE) *INDIRECT("[EnemyMasterData.xlsm]enemies!Y"&amp;(L83+1))*  INDIRECT("[EnemyMasterData.xlsm]enemies!J"&amp;(L83+1))* INDIRECT("[EnemyMasterData.xlsm]enemies!O"&amp;(L83+1))* INDIRECT("[EnemyMasterData.xlsm]enemies!E"&amp;(L83+1))* INDIRECT("[EnemyMasterData.xlsm]enemies!S"&amp;(L83+1))* INDIRECT("[EnemyMasterData.xlsm]enemies!AD"&amp;(L83+1))*[4]ステータス!$B$2,0)*S83</f>
        <v>10682</v>
      </c>
      <c r="U83" s="19">
        <v>0.4</v>
      </c>
      <c r="V83" s="92">
        <f ca="1">ROUND(VLOOKUP(R83,[3]enemy_base_stats!$A:$F,3,FALSE) *INDIRECT("[EnemyMasterData.xlsm]enemies!Z"&amp;(L83+1))*  INDIRECT("[EnemyMasterData.xlsm]enemies!K"&amp;(L83+1))* INDIRECT("[EnemyMasterData.xlsm]enemies!P"&amp;(L83+1))* INDIRECT("[EnemyMasterData.xlsm]enemies!F"&amp;(L83+1))* INDIRECT("[EnemyMasterData.xlsm]enemies!T"&amp;(L83+1))* INDIRECT("[EnemyMasterData.xlsm]enemies!AE"&amp;(L83+1))*[4]ステータス!$C$2,0)*U83</f>
        <v>1932.8000000000002</v>
      </c>
      <c r="W83" s="5">
        <v>0</v>
      </c>
      <c r="X83" s="4" t="e">
        <f ca="1">VLOOKUP($Y83,OFFSET(enemy_skill_sets!$B$1,0,0,COUNTA(enemy_skill_sets!$B:$B),MATCH(M$1,enemy_skill_sets!$1:$1,0)-MATCH($Y$1,enemy_skill_sets!$1:$1,0)+2),MATCH(M$1,enemy_skill_sets!$1:$1,0)-MATCH($Y$1,enemy_skill_sets!$1:$1,0)+2,FALSE)</f>
        <v>#N/A</v>
      </c>
      <c r="Y83" s="4">
        <f ca="1">VLOOKUP($L83,OFFSET([3]enemies!$A$1,0,0,COUNTA([3]enemies!$A:$A),MATCH(Y$1,[3]enemies!$1:$1,0)-MATCH($L$1,[3]enemies!$1:$1,0)+1),MATCH(Y$1,[3]enemies!$1:$1,0)-MATCH($L$1,[3]enemies!$1:$1,0)+1,FALSE)</f>
        <v>0</v>
      </c>
      <c r="Z83" s="6">
        <v>0</v>
      </c>
      <c r="AA83" s="6">
        <v>100</v>
      </c>
      <c r="AB83" s="6">
        <v>0</v>
      </c>
      <c r="AC83" s="14">
        <v>2</v>
      </c>
      <c r="AD83" s="98">
        <f t="shared" si="13"/>
        <v>536</v>
      </c>
      <c r="AE83" s="4" t="str">
        <f ca="1">VLOOKUP($AD83,OFFSET([4]characters!$A$1,0,0,COUNTA([4]characters!$A:$A),MATCH(AE$1,[4]characters!$1:$1,0)-MATCH("character_id",[4]characters!$1:$1,0)+1),MATCH(AE$1,[4]characters!$1:$1,0)-MATCH("character_id",[4]characters!$1:$1,0)+1,FALSE)</f>
        <v>冬服ミミ</v>
      </c>
      <c r="AF83" s="4">
        <f ca="1">VLOOKUP($AD83,OFFSET([4]characters!$A$1,0,0,COUNTA([4]characters!$A:$A),MATCH(AF$1,[4]characters!$1:$1,0)-MATCH("character_id",[4]characters!$1:$1,0)+1),MATCH(AF$1,[4]characters!$1:$1,0)-MATCH("character_id",[4]characters!$1:$1,0)+1,FALSE)</f>
        <v>1</v>
      </c>
      <c r="AG83" s="4" t="str">
        <f ca="1">VLOOKUP($AD83,OFFSET([4]characters!$A$1,0,0,COUNTA([4]characters!$A:$A),MATCH(AG$1,[4]characters!$1:$1,0)-MATCH("character_id",[4]characters!$1:$1,0)+1),MATCH(AG$1,[4]characters!$1:$1,0)-MATCH("character_id",[4]characters!$1:$1,0)+1,FALSE)</f>
        <v>Drop1W</v>
      </c>
      <c r="AH83" s="94">
        <v>1</v>
      </c>
      <c r="AI83" s="98">
        <f t="shared" ca="1" si="14"/>
        <v>1</v>
      </c>
      <c r="AJ83" s="7">
        <v>20</v>
      </c>
      <c r="AK83" s="94">
        <v>0</v>
      </c>
      <c r="AL83" s="94">
        <v>0</v>
      </c>
      <c r="AM83" s="94">
        <v>0</v>
      </c>
      <c r="AN83" s="94">
        <v>0</v>
      </c>
      <c r="AO83" s="94">
        <v>1</v>
      </c>
      <c r="AP83" s="62">
        <v>1</v>
      </c>
    </row>
    <row r="84" spans="1:42" ht="21" customHeight="1" x14ac:dyDescent="0.15">
      <c r="A84" s="13" t="str">
        <f t="shared" si="10"/>
        <v>39008_4-3/537&lt;lv53&gt;s2</v>
      </c>
      <c r="B84" s="17">
        <v>39008</v>
      </c>
      <c r="C84" s="95">
        <v>4</v>
      </c>
      <c r="D84" s="12" t="str">
        <f t="shared" si="11"/>
        <v>39008_4</v>
      </c>
      <c r="E84" s="4" t="str">
        <f ca="1">VLOOKUP($B84,OFFSET([2]quests!$A$1,0,0,COUNTA([2]quests!$A:$A),MATCH(E$1,[2]quests!$1:$1,0)-MATCH($B$1,[2]quests!$1:$1,0)+1),MATCH(E$1,[2]quests!$1:$1,0)-MATCH($B$1,[2]quests!$1:$1,0)+1,FALSE)</f>
        <v>雪の歌姫</v>
      </c>
      <c r="F84" s="4" t="str">
        <f ca="1">VLOOKUP($D84,OFFSET([2]stages!$A$1,0,0,COUNTA([2]stages!$A:$A),MATCH(F$1,[2]stages!$2:$2,0)-MATCH($D$1,[2]stages!$2:$2,0)+1),MATCH(F$1,[2]stages!$2:$2,0)-MATCH($D$1,[2]stages!$2:$2,0)+1,FALSE)</f>
        <v>【超級】雪の歌姫</v>
      </c>
      <c r="G84" s="99">
        <v>3</v>
      </c>
      <c r="H84" s="12" t="str">
        <f t="shared" si="12"/>
        <v>39008_4-3</v>
      </c>
      <c r="I84" s="4">
        <f ca="1">VLOOKUP($H84,OFFSET(floors!$A$1,0,0,COUNTA(floors!$A:$A),MATCH(I$1,floors!$1:$1,0)-MATCH($H$1,floors!$1:$1,0)+1),MATCH(I$1,floors!$1:$1,0)-MATCH($H$1,floors!$1:$1,0)+1,FALSE)</f>
        <v>60</v>
      </c>
      <c r="J84" s="4">
        <f ca="1">VLOOKUP($H84,OFFSET(floors!$A$1,0,0,COUNTA(floors!$A:$A),MATCH(J$1,floors!$1:$1,0)-MATCH($H$1,floors!$1:$1,0)+1),MATCH(J$1,floors!$1:$1,0)-MATCH($H$1,floors!$1:$1,0)+1,FALSE)</f>
        <v>60</v>
      </c>
      <c r="K84" s="32" t="s">
        <v>245</v>
      </c>
      <c r="L84" s="97">
        <v>537</v>
      </c>
      <c r="M84" s="14" t="str">
        <f ca="1">VLOOKUP($L84,OFFSET([3]enemies!$A$1,0,0,COUNTA([3]enemies!$A:$A),MATCH(M$1,[3]enemies!$1:$1,0)-MATCH($L$1,[3]enemies!$1:$1,0)+1),MATCH(M$1,[3]enemies!$1:$1,0)-MATCH($L$1,[3]enemies!$1:$1,0)+1,FALSE)</f>
        <v>冬服ハッピー100</v>
      </c>
      <c r="N84" s="14" t="str">
        <f ca="1">VLOOKUP($L84,OFFSET([3]enemies!$A$1,0,0,COUNTA([3]enemies!$A:$A),MATCH(N$1,[3]enemies!$1:$1,0)-MATCH($L$1,[3]enemies!$1:$1,0)+1),MATCH(N$1,[3]enemies!$1:$1,0)-MATCH($L$1,[3]enemies!$1:$1,0)+1,FALSE)</f>
        <v>green</v>
      </c>
      <c r="O84" s="14" t="str">
        <f ca="1">VLOOKUP($L84,OFFSET([4]characters!$A$1,0,0,COUNTA([4]characters!$A:$A),MATCH(O$1,[4]characters!$1:$1,0)-MATCH($L$1,[4]characters!$1:$1,0)+1),MATCH(O$1,[4]characters!$1:$1,0)-MATCH($L$1,[4]characters!$1:$1,0)+1,FALSE)</f>
        <v>DropWizW</v>
      </c>
      <c r="P84" s="14" t="str">
        <f ca="1">VLOOKUP($L84,OFFSET([3]enemies!$A$1,0,0,COUNTA([3]enemies!$A:$A),MATCH(P$1,[3]enemies!$1:$1,0)-MATCH($L$1,[3]enemies!$1:$1,0)+1),MATCH(P$1,[3]enemies!$1:$1,0)-MATCH($L$1,[3]enemies!$1:$1,0)+1,FALSE)</f>
        <v>unknown</v>
      </c>
      <c r="Q84" s="14">
        <f ca="1">VLOOKUP($L84,OFFSET([3]enemies!$A$1,0,0,COUNTA([3]enemies!$A:$A),MATCH(Q$1,[3]enemies!$1:$1,0)-MATCH($L$1,[3]enemies!$1:$1,0)+1),MATCH(Q$1,[3]enemies!$1:$1,0)-MATCH($L$1,[3]enemies!$1:$1,0)+1,FALSE)</f>
        <v>25</v>
      </c>
      <c r="R84" s="5">
        <v>53</v>
      </c>
      <c r="S84" s="19">
        <v>2</v>
      </c>
      <c r="T84" s="92">
        <f ca="1">ROUND(VLOOKUP(R84,[3]enemy_base_stats!$A:$F,2,FALSE) *INDIRECT("[EnemyMasterData.xlsm]enemies!Y"&amp;(L84+1))*  INDIRECT("[EnemyMasterData.xlsm]enemies!J"&amp;(L84+1))* INDIRECT("[EnemyMasterData.xlsm]enemies!O"&amp;(L84+1))* INDIRECT("[EnemyMasterData.xlsm]enemies!E"&amp;(L84+1))* INDIRECT("[EnemyMasterData.xlsm]enemies!S"&amp;(L84+1))* INDIRECT("[EnemyMasterData.xlsm]enemies!AD"&amp;(L84+1))*[4]ステータス!$B$2,0)*S84</f>
        <v>21346</v>
      </c>
      <c r="U84" s="19">
        <v>1</v>
      </c>
      <c r="V84" s="92">
        <f ca="1">ROUND(VLOOKUP(R84,[3]enemy_base_stats!$A:$F,3,FALSE) *INDIRECT("[EnemyMasterData.xlsm]enemies!Z"&amp;(L84+1))*  INDIRECT("[EnemyMasterData.xlsm]enemies!K"&amp;(L84+1))* INDIRECT("[EnemyMasterData.xlsm]enemies!P"&amp;(L84+1))* INDIRECT("[EnemyMasterData.xlsm]enemies!F"&amp;(L84+1))* INDIRECT("[EnemyMasterData.xlsm]enemies!T"&amp;(L84+1))* INDIRECT("[EnemyMasterData.xlsm]enemies!AE"&amp;(L84+1))*[4]ステータス!$C$2,0)*U84</f>
        <v>3124</v>
      </c>
      <c r="W84" s="5">
        <v>0</v>
      </c>
      <c r="X84" s="4" t="e">
        <f ca="1">VLOOKUP($Y84,OFFSET(enemy_skill_sets!$B$1,0,0,COUNTA(enemy_skill_sets!$B:$B),MATCH(M$1,enemy_skill_sets!$1:$1,0)-MATCH($Y$1,enemy_skill_sets!$1:$1,0)+2),MATCH(M$1,enemy_skill_sets!$1:$1,0)-MATCH($Y$1,enemy_skill_sets!$1:$1,0)+2,FALSE)</f>
        <v>#N/A</v>
      </c>
      <c r="Y84" s="4">
        <f ca="1">VLOOKUP($L84,OFFSET([3]enemies!$A$1,0,0,COUNTA([3]enemies!$A:$A),MATCH(Y$1,[3]enemies!$1:$1,0)-MATCH($L$1,[3]enemies!$1:$1,0)+1),MATCH(Y$1,[3]enemies!$1:$1,0)-MATCH($L$1,[3]enemies!$1:$1,0)+1,FALSE)</f>
        <v>0</v>
      </c>
      <c r="Z84" s="6">
        <v>0</v>
      </c>
      <c r="AA84" s="6">
        <v>30</v>
      </c>
      <c r="AB84" s="6">
        <v>1</v>
      </c>
      <c r="AC84" s="14">
        <v>2</v>
      </c>
      <c r="AD84" s="98">
        <f t="shared" si="13"/>
        <v>537</v>
      </c>
      <c r="AE84" s="4" t="str">
        <f ca="1">VLOOKUP($AD84,OFFSET([4]characters!$A$1,0,0,COUNTA([4]characters!$A:$A),MATCH(AE$1,[4]characters!$1:$1,0)-MATCH("character_id",[4]characters!$1:$1,0)+1),MATCH(AE$1,[4]characters!$1:$1,0)-MATCH("character_id",[4]characters!$1:$1,0)+1,FALSE)</f>
        <v>冬服ハッピー100</v>
      </c>
      <c r="AF84" s="4">
        <f ca="1">VLOOKUP($AD84,OFFSET([4]characters!$A$1,0,0,COUNTA([4]characters!$A:$A),MATCH(AF$1,[4]characters!$1:$1,0)-MATCH("character_id",[4]characters!$1:$1,0)+1),MATCH(AF$1,[4]characters!$1:$1,0)-MATCH("character_id",[4]characters!$1:$1,0)+1,FALSE)</f>
        <v>3</v>
      </c>
      <c r="AG84" s="4" t="str">
        <f ca="1">VLOOKUP($AD84,OFFSET([4]characters!$A$1,0,0,COUNTA([4]characters!$A:$A),MATCH(AG$1,[4]characters!$1:$1,0)-MATCH("character_id",[4]characters!$1:$1,0)+1),MATCH(AG$1,[4]characters!$1:$1,0)-MATCH("character_id",[4]characters!$1:$1,0)+1,FALSE)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84" s="94">
        <v>1</v>
      </c>
      <c r="AI84" s="98">
        <f t="shared" ca="1" si="14"/>
        <v>3</v>
      </c>
      <c r="AJ84" s="7">
        <v>20</v>
      </c>
      <c r="AK84" s="94">
        <v>0</v>
      </c>
      <c r="AL84" s="94">
        <v>0</v>
      </c>
      <c r="AM84" s="94">
        <v>0</v>
      </c>
      <c r="AN84" s="94">
        <v>0</v>
      </c>
      <c r="AO84" s="94">
        <v>1</v>
      </c>
      <c r="AP84" s="62">
        <v>1</v>
      </c>
    </row>
    <row r="85" spans="1:42" ht="21" customHeight="1" x14ac:dyDescent="0.15">
      <c r="A85" s="13" t="str">
        <f t="shared" si="10"/>
        <v>39008_4-3/538&lt;lv53&gt;s2</v>
      </c>
      <c r="B85" s="17">
        <v>39008</v>
      </c>
      <c r="C85" s="95">
        <v>4</v>
      </c>
      <c r="D85" s="12" t="str">
        <f t="shared" si="11"/>
        <v>39008_4</v>
      </c>
      <c r="E85" s="4" t="str">
        <f ca="1">VLOOKUP($B85,OFFSET([2]quests!$A$1,0,0,COUNTA([2]quests!$A:$A),MATCH(E$1,[2]quests!$1:$1,0)-MATCH($B$1,[2]quests!$1:$1,0)+1),MATCH(E$1,[2]quests!$1:$1,0)-MATCH($B$1,[2]quests!$1:$1,0)+1,FALSE)</f>
        <v>雪の歌姫</v>
      </c>
      <c r="F85" s="4" t="str">
        <f ca="1">VLOOKUP($D85,OFFSET([2]stages!$A$1,0,0,COUNTA([2]stages!$A:$A),MATCH(F$1,[2]stages!$2:$2,0)-MATCH($D$1,[2]stages!$2:$2,0)+1),MATCH(F$1,[2]stages!$2:$2,0)-MATCH($D$1,[2]stages!$2:$2,0)+1,FALSE)</f>
        <v>【超級】雪の歌姫</v>
      </c>
      <c r="G85" s="99">
        <v>3</v>
      </c>
      <c r="H85" s="12" t="str">
        <f t="shared" si="12"/>
        <v>39008_4-3</v>
      </c>
      <c r="I85" s="4">
        <f ca="1">VLOOKUP($H85,OFFSET(floors!$A$1,0,0,COUNTA(floors!$A:$A),MATCH(I$1,floors!$1:$1,0)-MATCH($H$1,floors!$1:$1,0)+1),MATCH(I$1,floors!$1:$1,0)-MATCH($H$1,floors!$1:$1,0)+1,FALSE)</f>
        <v>60</v>
      </c>
      <c r="J85" s="4">
        <f ca="1">VLOOKUP($H85,OFFSET(floors!$A$1,0,0,COUNTA(floors!$A:$A),MATCH(J$1,floors!$1:$1,0)-MATCH($H$1,floors!$1:$1,0)+1),MATCH(J$1,floors!$1:$1,0)-MATCH($H$1,floors!$1:$1,0)+1,FALSE)</f>
        <v>60</v>
      </c>
      <c r="K85" s="32" t="s">
        <v>245</v>
      </c>
      <c r="L85" s="97">
        <v>538</v>
      </c>
      <c r="M85" s="14" t="str">
        <f ca="1">VLOOKUP($L85,OFFSET([3]enemies!$A$1,0,0,COUNTA([3]enemies!$A:$A),MATCH(M$1,[3]enemies!$1:$1,0)-MATCH($L$1,[3]enemies!$1:$1,0)+1),MATCH(M$1,[3]enemies!$1:$1,0)-MATCH($L$1,[3]enemies!$1:$1,0)+1,FALSE)</f>
        <v>冬服ニムダ</v>
      </c>
      <c r="N85" s="14" t="str">
        <f ca="1">VLOOKUP($L85,OFFSET([3]enemies!$A$1,0,0,COUNTA([3]enemies!$A:$A),MATCH(N$1,[3]enemies!$1:$1,0)-MATCH($L$1,[3]enemies!$1:$1,0)+1),MATCH(N$1,[3]enemies!$1:$1,0)-MATCH($L$1,[3]enemies!$1:$1,0)+1,FALSE)</f>
        <v>yellow</v>
      </c>
      <c r="O85" s="14" t="str">
        <f ca="1">VLOOKUP($L85,OFFSET([4]characters!$A$1,0,0,COUNTA([4]characters!$A:$A),MATCH(O$1,[4]characters!$1:$1,0)-MATCH($L$1,[4]characters!$1:$1,0)+1),MATCH(O$1,[4]characters!$1:$1,0)-MATCH($L$1,[4]characters!$1:$1,0)+1,FALSE)</f>
        <v>DropWizW</v>
      </c>
      <c r="P85" s="14" t="str">
        <f ca="1">VLOOKUP($L85,OFFSET([3]enemies!$A$1,0,0,COUNTA([3]enemies!$A:$A),MATCH(P$1,[3]enemies!$1:$1,0)-MATCH($L$1,[3]enemies!$1:$1,0)+1),MATCH(P$1,[3]enemies!$1:$1,0)-MATCH($L$1,[3]enemies!$1:$1,0)+1,FALSE)</f>
        <v>unknown</v>
      </c>
      <c r="Q85" s="14">
        <f ca="1">VLOOKUP($L85,OFFSET([3]enemies!$A$1,0,0,COUNTA([3]enemies!$A:$A),MATCH(Q$1,[3]enemies!$1:$1,0)-MATCH($L$1,[3]enemies!$1:$1,0)+1),MATCH(Q$1,[3]enemies!$1:$1,0)-MATCH($L$1,[3]enemies!$1:$1,0)+1,FALSE)</f>
        <v>25</v>
      </c>
      <c r="R85" s="5">
        <v>53</v>
      </c>
      <c r="S85" s="19">
        <v>2</v>
      </c>
      <c r="T85" s="92">
        <f ca="1">ROUND(VLOOKUP(R85,[3]enemy_base_stats!$A:$F,2,FALSE) *INDIRECT("[EnemyMasterData.xlsm]enemies!Y"&amp;(L85+1))*  INDIRECT("[EnemyMasterData.xlsm]enemies!J"&amp;(L85+1))* INDIRECT("[EnemyMasterData.xlsm]enemies!O"&amp;(L85+1))* INDIRECT("[EnemyMasterData.xlsm]enemies!E"&amp;(L85+1))* INDIRECT("[EnemyMasterData.xlsm]enemies!S"&amp;(L85+1))* INDIRECT("[EnemyMasterData.xlsm]enemies!AD"&amp;(L85+1))*[4]ステータス!$B$2,0)*S85</f>
        <v>20510</v>
      </c>
      <c r="U85" s="19">
        <v>1</v>
      </c>
      <c r="V85" s="92">
        <f ca="1">ROUND(VLOOKUP(R85,[3]enemy_base_stats!$A:$F,3,FALSE) *INDIRECT("[EnemyMasterData.xlsm]enemies!Z"&amp;(L85+1))*  INDIRECT("[EnemyMasterData.xlsm]enemies!K"&amp;(L85+1))* INDIRECT("[EnemyMasterData.xlsm]enemies!P"&amp;(L85+1))* INDIRECT("[EnemyMasterData.xlsm]enemies!F"&amp;(L85+1))* INDIRECT("[EnemyMasterData.xlsm]enemies!T"&amp;(L85+1))* INDIRECT("[EnemyMasterData.xlsm]enemies!AE"&amp;(L85+1))*[4]ステータス!$C$2,0)*U85</f>
        <v>3220</v>
      </c>
      <c r="W85" s="5">
        <v>0</v>
      </c>
      <c r="X85" s="4" t="e">
        <f ca="1">VLOOKUP($Y85,OFFSET(enemy_skill_sets!$B$1,0,0,COUNTA(enemy_skill_sets!$B:$B),MATCH(M$1,enemy_skill_sets!$1:$1,0)-MATCH($Y$1,enemy_skill_sets!$1:$1,0)+2),MATCH(M$1,enemy_skill_sets!$1:$1,0)-MATCH($Y$1,enemy_skill_sets!$1:$1,0)+2,FALSE)</f>
        <v>#N/A</v>
      </c>
      <c r="Y85" s="4">
        <f ca="1">VLOOKUP($L85,OFFSET([3]enemies!$A$1,0,0,COUNTA([3]enemies!$A:$A),MATCH(Y$1,[3]enemies!$1:$1,0)-MATCH($L$1,[3]enemies!$1:$1,0)+1),MATCH(Y$1,[3]enemies!$1:$1,0)-MATCH($L$1,[3]enemies!$1:$1,0)+1,FALSE)</f>
        <v>0</v>
      </c>
      <c r="Z85" s="6">
        <v>0</v>
      </c>
      <c r="AA85" s="6">
        <v>30</v>
      </c>
      <c r="AB85" s="6">
        <v>1</v>
      </c>
      <c r="AC85" s="14">
        <v>2</v>
      </c>
      <c r="AD85" s="98">
        <f t="shared" si="13"/>
        <v>538</v>
      </c>
      <c r="AE85" s="4" t="str">
        <f ca="1">VLOOKUP($AD85,OFFSET([4]characters!$A$1,0,0,COUNTA([4]characters!$A:$A),MATCH(AE$1,[4]characters!$1:$1,0)-MATCH("character_id",[4]characters!$1:$1,0)+1),MATCH(AE$1,[4]characters!$1:$1,0)-MATCH("character_id",[4]characters!$1:$1,0)+1,FALSE)</f>
        <v>冬服ニムダ</v>
      </c>
      <c r="AF85" s="4">
        <f ca="1">VLOOKUP($AD85,OFFSET([4]characters!$A$1,0,0,COUNTA([4]characters!$A:$A),MATCH(AF$1,[4]characters!$1:$1,0)-MATCH("character_id",[4]characters!$1:$1,0)+1),MATCH(AF$1,[4]characters!$1:$1,0)-MATCH("character_id",[4]characters!$1:$1,0)+1,FALSE)</f>
        <v>3</v>
      </c>
      <c r="AG85" s="4" t="str">
        <f ca="1">VLOOKUP($AD85,OFFSET([4]characters!$A$1,0,0,COUNTA([4]characters!$A:$A),MATCH(AG$1,[4]characters!$1:$1,0)-MATCH("character_id",[4]characters!$1:$1,0)+1),MATCH(AG$1,[4]characters!$1:$1,0)-MATCH("character_id",[4]characters!$1:$1,0)+1,FALSE)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85" s="94">
        <v>1</v>
      </c>
      <c r="AI85" s="98">
        <f t="shared" ca="1" si="14"/>
        <v>3</v>
      </c>
      <c r="AJ85" s="7">
        <v>20</v>
      </c>
      <c r="AK85" s="94">
        <v>0</v>
      </c>
      <c r="AL85" s="94">
        <v>0</v>
      </c>
      <c r="AM85" s="94">
        <v>0</v>
      </c>
      <c r="AN85" s="94">
        <v>0</v>
      </c>
      <c r="AO85" s="94">
        <v>1</v>
      </c>
      <c r="AP85" s="62">
        <v>1</v>
      </c>
    </row>
    <row r="86" spans="1:42" s="187" customFormat="1" ht="21" customHeight="1" thickBot="1" x14ac:dyDescent="0.2">
      <c r="A86" s="169" t="str">
        <f t="shared" si="10"/>
        <v>39008_4-4/526&lt;lv60&gt;s2</v>
      </c>
      <c r="B86" s="170">
        <v>39008</v>
      </c>
      <c r="C86" s="171">
        <v>4</v>
      </c>
      <c r="D86" s="172" t="str">
        <f t="shared" si="11"/>
        <v>39008_4</v>
      </c>
      <c r="E86" s="173" t="str">
        <f ca="1">VLOOKUP($B86,OFFSET([2]quests!$A$1,0,0,COUNTA([2]quests!$A:$A),MATCH(E$1,[2]quests!$1:$1,0)-MATCH($B$1,[2]quests!$1:$1,0)+1),MATCH(E$1,[2]quests!$1:$1,0)-MATCH($B$1,[2]quests!$1:$1,0)+1,FALSE)</f>
        <v>雪の歌姫</v>
      </c>
      <c r="F86" s="173" t="str">
        <f ca="1">VLOOKUP($D86,OFFSET([2]stages!$A$1,0,0,COUNTA([2]stages!$A:$A),MATCH(F$1,[2]stages!$2:$2,0)-MATCH($D$1,[2]stages!$2:$2,0)+1),MATCH(F$1,[2]stages!$2:$2,0)-MATCH($D$1,[2]stages!$2:$2,0)+1,FALSE)</f>
        <v>【超級】雪の歌姫</v>
      </c>
      <c r="G86" s="174">
        <v>4</v>
      </c>
      <c r="H86" s="172" t="str">
        <f t="shared" si="12"/>
        <v>39008_4-4</v>
      </c>
      <c r="I86" s="173">
        <f ca="1">VLOOKUP($H86,OFFSET(floors!$A$1,0,0,COUNTA(floors!$A:$A),MATCH(I$1,floors!$1:$1,0)-MATCH($H$1,floors!$1:$1,0)+1),MATCH(I$1,floors!$1:$1,0)-MATCH($H$1,floors!$1:$1,0)+1,FALSE)</f>
        <v>60</v>
      </c>
      <c r="J86" s="173">
        <f ca="1">VLOOKUP($H86,OFFSET(floors!$A$1,0,0,COUNTA(floors!$A:$A),MATCH(J$1,floors!$1:$1,0)-MATCH($H$1,floors!$1:$1,0)+1),MATCH(J$1,floors!$1:$1,0)-MATCH($H$1,floors!$1:$1,0)+1,FALSE)</f>
        <v>60</v>
      </c>
      <c r="K86" s="175" t="s">
        <v>245</v>
      </c>
      <c r="L86" s="176">
        <v>526</v>
      </c>
      <c r="M86" s="177" t="str">
        <f ca="1">VLOOKUP($L86,OFFSET([3]enemies!$A$1,0,0,COUNTA([3]enemies!$A:$A),MATCH(M$1,[3]enemies!$1:$1,0)-MATCH($L$1,[3]enemies!$1:$1,0)+1),MATCH(M$1,[3]enemies!$1:$1,0)-MATCH($L$1,[3]enemies!$1:$1,0)+1,FALSE)</f>
        <v>大滑走 雪ミク&amp;ラビットユキネ</v>
      </c>
      <c r="N86" s="177" t="str">
        <f ca="1">VLOOKUP($L86,OFFSET([3]enemies!$A$1,0,0,COUNTA([3]enemies!$A:$A),MATCH(N$1,[3]enemies!$1:$1,0)-MATCH($L$1,[3]enemies!$1:$1,0)+1),MATCH(N$1,[3]enemies!$1:$1,0)-MATCH($L$1,[3]enemies!$1:$1,0)+1,FALSE)</f>
        <v>blue</v>
      </c>
      <c r="O86" s="177" t="str">
        <f ca="1">VLOOKUP($L86,OFFSET([4]characters!$A$1,0,0,COUNTA([4]characters!$A:$A),MATCH(O$1,[4]characters!$1:$1,0)-MATCH($L$1,[4]characters!$1:$1,0)+1),MATCH(O$1,[4]characters!$1:$1,0)-MATCH($L$1,[4]characters!$1:$1,0)+1,FALSE)</f>
        <v>Drop2N</v>
      </c>
      <c r="P86" s="177" t="str">
        <f ca="1">VLOOKUP($L86,OFFSET([3]enemies!$A$1,0,0,COUNTA([3]enemies!$A:$A),MATCH(P$1,[3]enemies!$1:$1,0)-MATCH($L$1,[3]enemies!$1:$1,0)+1),MATCH(P$1,[3]enemies!$1:$1,0)-MATCH($L$1,[3]enemies!$1:$1,0)+1,FALSE)</f>
        <v>unknown</v>
      </c>
      <c r="Q86" s="177">
        <f ca="1">VLOOKUP($L86,OFFSET([3]enemies!$A$1,0,0,COUNTA([3]enemies!$A:$A),MATCH(Q$1,[3]enemies!$1:$1,0)-MATCH($L$1,[3]enemies!$1:$1,0)+1),MATCH(Q$1,[3]enemies!$1:$1,0)-MATCH($L$1,[3]enemies!$1:$1,0)+1,FALSE)</f>
        <v>60</v>
      </c>
      <c r="R86" s="178">
        <v>60</v>
      </c>
      <c r="S86" s="179">
        <v>3</v>
      </c>
      <c r="T86" s="180">
        <f ca="1">ROUND(VLOOKUP(R86,[3]enemy_base_stats!$A:$F,2,FALSE) *INDIRECT("[EnemyMasterData.xlsm]enemies!Y"&amp;(L86+1))*  INDIRECT("[EnemyMasterData.xlsm]enemies!J"&amp;(L86+1))* INDIRECT("[EnemyMasterData.xlsm]enemies!O"&amp;(L86+1))* INDIRECT("[EnemyMasterData.xlsm]enemies!E"&amp;(L86+1))* INDIRECT("[EnemyMasterData.xlsm]enemies!S"&amp;(L86+1))* INDIRECT("[EnemyMasterData.xlsm]enemies!AD"&amp;(L86+1))*[4]ステータス!$B$2,0)*S86</f>
        <v>235866</v>
      </c>
      <c r="U86" s="179">
        <v>1.1000000000000001</v>
      </c>
      <c r="V86" s="180">
        <f ca="1">ROUND(VLOOKUP(R86,[3]enemy_base_stats!$A:$F,3,FALSE) *INDIRECT("[EnemyMasterData.xlsm]enemies!Z"&amp;(L86+1))*  INDIRECT("[EnemyMasterData.xlsm]enemies!K"&amp;(L86+1))* INDIRECT("[EnemyMasterData.xlsm]enemies!P"&amp;(L86+1))* INDIRECT("[EnemyMasterData.xlsm]enemies!F"&amp;(L86+1))* INDIRECT("[EnemyMasterData.xlsm]enemies!T"&amp;(L86+1))* INDIRECT("[EnemyMasterData.xlsm]enemies!AE"&amp;(L86+1))*[4]ステータス!$C$2,0)*U86</f>
        <v>5590.2000000000007</v>
      </c>
      <c r="W86" s="178">
        <v>0</v>
      </c>
      <c r="X86" s="173" t="str">
        <f ca="1">VLOOKUP($Y86,OFFSET(enemy_skill_sets!$B$1,0,0,COUNTA(enemy_skill_sets!$B:$B),MATCH(M$1,enemy_skill_sets!$1:$1,0)-MATCH($Y$1,enemy_skill_sets!$1:$1,0)+2),MATCH(M$1,enemy_skill_sets!$1:$1,0)-MATCH($Y$1,enemy_skill_sets!$1:$1,0)+2,FALSE)</f>
        <v>8ターンハートパネル無効</v>
      </c>
      <c r="Y86" s="181">
        <v>39008013</v>
      </c>
      <c r="Z86" s="182">
        <v>0</v>
      </c>
      <c r="AA86" s="182">
        <v>100</v>
      </c>
      <c r="AB86" s="182">
        <v>0</v>
      </c>
      <c r="AC86" s="177">
        <v>2</v>
      </c>
      <c r="AD86" s="183">
        <f t="shared" si="13"/>
        <v>526</v>
      </c>
      <c r="AE86" s="173" t="str">
        <f ca="1">VLOOKUP($AD86,OFFSET([4]characters!$A$1,0,0,COUNTA([4]characters!$A:$A),MATCH(AE$1,[4]characters!$1:$1,0)-MATCH("character_id",[4]characters!$1:$1,0)+1),MATCH(AE$1,[4]characters!$1:$1,0)-MATCH("character_id",[4]characters!$1:$1,0)+1,FALSE)</f>
        <v>大滑走 雪ミク&amp;ラビットユキネ</v>
      </c>
      <c r="AF86" s="173">
        <f ca="1">VLOOKUP($AD86,OFFSET([4]characters!$A$1,0,0,COUNTA([4]characters!$A:$A),MATCH(AF$1,[4]characters!$1:$1,0)-MATCH("character_id",[4]characters!$1:$1,0)+1),MATCH(AF$1,[4]characters!$1:$1,0)-MATCH("character_id",[4]characters!$1:$1,0)+1,FALSE)</f>
        <v>5</v>
      </c>
      <c r="AG86" s="173" t="str">
        <f ca="1">VLOOKUP($AD86,OFFSET([4]characters!$A$1,0,0,COUNTA([4]characters!$A:$A),MATCH(AG$1,[4]characters!$1:$1,0)-MATCH("character_id",[4]characters!$1:$1,0)+1),MATCH(AG$1,[4]characters!$1:$1,0)-MATCH("character_id",[4]characters!$1:$1,0)+1,FALSE)</f>
        <v>Drop2N</v>
      </c>
      <c r="AH86" s="184">
        <v>1</v>
      </c>
      <c r="AI86" s="183">
        <f t="shared" ca="1" si="14"/>
        <v>5</v>
      </c>
      <c r="AJ86" s="185">
        <v>65</v>
      </c>
      <c r="AK86" s="184">
        <v>0</v>
      </c>
      <c r="AL86" s="184">
        <v>0</v>
      </c>
      <c r="AM86" s="184">
        <v>0</v>
      </c>
      <c r="AN86" s="184">
        <v>0</v>
      </c>
      <c r="AO86" s="184">
        <v>1</v>
      </c>
      <c r="AP86" s="186">
        <v>1</v>
      </c>
    </row>
    <row r="87" spans="1:42" ht="21" customHeight="1" x14ac:dyDescent="0.15">
      <c r="A87" s="13" t="str">
        <f t="shared" si="10"/>
        <v>39008_5-1/529&lt;lv60&gt;s1</v>
      </c>
      <c r="B87" s="17">
        <v>39008</v>
      </c>
      <c r="C87" s="156">
        <v>5</v>
      </c>
      <c r="D87" s="157" t="str">
        <f t="shared" si="11"/>
        <v>39008_5</v>
      </c>
      <c r="E87" s="4" t="str">
        <f ca="1">VLOOKUP($B87,OFFSET([2]quests!$A$1,0,0,COUNTA([2]quests!$A:$A),MATCH(E$1,[2]quests!$1:$1,0)-MATCH($B$1,[2]quests!$1:$1,0)+1),MATCH(E$1,[2]quests!$1:$1,0)-MATCH($B$1,[2]quests!$1:$1,0)+1,FALSE)</f>
        <v>雪の歌姫</v>
      </c>
      <c r="F87" s="4" t="str">
        <f ca="1">VLOOKUP($D87,OFFSET([2]stages!$A$1,0,0,COUNTA([2]stages!$A:$A),MATCH(F$1,[2]stages!$2:$2,0)-MATCH($D$1,[2]stages!$2:$2,0)+1),MATCH(F$1,[2]stages!$2:$2,0)-MATCH($D$1,[2]stages!$2:$2,0)+1,FALSE)</f>
        <v>【超絶級】雪の歌姫</v>
      </c>
      <c r="G87" s="158">
        <v>1</v>
      </c>
      <c r="H87" s="157" t="str">
        <f t="shared" si="12"/>
        <v>39008_5-1</v>
      </c>
      <c r="I87" s="4">
        <f ca="1">VLOOKUP($H87,OFFSET(floors!$A$1,0,0,COUNTA(floors!$A:$A),MATCH(I$1,floors!$1:$1,0)-MATCH($H$1,floors!$1:$1,0)+1),MATCH(I$1,floors!$1:$1,0)-MATCH($H$1,floors!$1:$1,0)+1,FALSE)</f>
        <v>60</v>
      </c>
      <c r="J87" s="4">
        <f ca="1">VLOOKUP($H87,OFFSET(floors!$A$1,0,0,COUNTA(floors!$A:$A),MATCH(J$1,floors!$1:$1,0)-MATCH($H$1,floors!$1:$1,0)+1),MATCH(J$1,floors!$1:$1,0)-MATCH($H$1,floors!$1:$1,0)+1,FALSE)</f>
        <v>60</v>
      </c>
      <c r="K87" s="159" t="s">
        <v>245</v>
      </c>
      <c r="L87" s="160">
        <v>529</v>
      </c>
      <c r="M87" s="14" t="str">
        <f ca="1">VLOOKUP($L87,OFFSET([3]enemies!$A$1,0,0,COUNTA([3]enemies!$A:$A),MATCH(M$1,[3]enemies!$1:$1,0)-MATCH($L$1,[3]enemies!$1:$1,0)+1),MATCH(M$1,[3]enemies!$1:$1,0)-MATCH($L$1,[3]enemies!$1:$1,0)+1,FALSE)</f>
        <v>冬服ジェリー</v>
      </c>
      <c r="N87" s="14" t="str">
        <f ca="1">VLOOKUP($L87,OFFSET([3]enemies!$A$1,0,0,COUNTA([3]enemies!$A:$A),MATCH(N$1,[3]enemies!$1:$1,0)-MATCH($L$1,[3]enemies!$1:$1,0)+1),MATCH(N$1,[3]enemies!$1:$1,0)-MATCH($L$1,[3]enemies!$1:$1,0)+1,FALSE)</f>
        <v>red</v>
      </c>
      <c r="O87" s="14" t="str">
        <f ca="1">VLOOKUP($L87,OFFSET([4]characters!$A$1,0,0,COUNTA([4]characters!$A:$A),MATCH(O$1,[4]characters!$1:$1,0)-MATCH($L$1,[4]characters!$1:$1,0)+1),MATCH(O$1,[4]characters!$1:$1,0)-MATCH($L$1,[4]characters!$1:$1,0)+1,FALSE)</f>
        <v>Drop1T</v>
      </c>
      <c r="P87" s="14" t="str">
        <f ca="1">VLOOKUP($L87,OFFSET([3]enemies!$A$1,0,0,COUNTA([3]enemies!$A:$A),MATCH(P$1,[3]enemies!$1:$1,0)-MATCH($L$1,[3]enemies!$1:$1,0)+1),MATCH(P$1,[3]enemies!$1:$1,0)-MATCH($L$1,[3]enemies!$1:$1,0)+1,FALSE)</f>
        <v>unknown</v>
      </c>
      <c r="Q87" s="14">
        <f ca="1">VLOOKUP($L87,OFFSET([3]enemies!$A$1,0,0,COUNTA([3]enemies!$A:$A),MATCH(Q$1,[3]enemies!$1:$1,0)-MATCH($L$1,[3]enemies!$1:$1,0)+1),MATCH(Q$1,[3]enemies!$1:$1,0)-MATCH($L$1,[3]enemies!$1:$1,0)+1,FALSE)</f>
        <v>15</v>
      </c>
      <c r="R87" s="161">
        <v>60</v>
      </c>
      <c r="S87" s="162">
        <v>1.1000000000000001</v>
      </c>
      <c r="T87" s="163">
        <f ca="1">ROUND(VLOOKUP(R87,[3]enemy_base_stats!$A:$F,2,FALSE) *INDIRECT("[EnemyMasterData.xlsm]enemies!Y"&amp;(L87+1))*  INDIRECT("[EnemyMasterData.xlsm]enemies!J"&amp;(L87+1))* INDIRECT("[EnemyMasterData.xlsm]enemies!O"&amp;(L87+1))* INDIRECT("[EnemyMasterData.xlsm]enemies!E"&amp;(L87+1))* INDIRECT("[EnemyMasterData.xlsm]enemies!S"&amp;(L87+1))* INDIRECT("[EnemyMasterData.xlsm]enemies!AD"&amp;(L87+1))*[4]ステータス!$B$2,0)*S87</f>
        <v>13530.000000000002</v>
      </c>
      <c r="U87" s="162">
        <v>0.4</v>
      </c>
      <c r="V87" s="163">
        <f ca="1">ROUND(VLOOKUP(R87,[3]enemy_base_stats!$A:$F,3,FALSE) *INDIRECT("[EnemyMasterData.xlsm]enemies!Z"&amp;(L87+1))*  INDIRECT("[EnemyMasterData.xlsm]enemies!K"&amp;(L87+1))* INDIRECT("[EnemyMasterData.xlsm]enemies!P"&amp;(L87+1))* INDIRECT("[EnemyMasterData.xlsm]enemies!F"&amp;(L87+1))* INDIRECT("[EnemyMasterData.xlsm]enemies!T"&amp;(L87+1))* INDIRECT("[EnemyMasterData.xlsm]enemies!AE"&amp;(L87+1))*[4]ステータス!$C$2,0)*U87</f>
        <v>2022.4</v>
      </c>
      <c r="W87" s="161">
        <v>0</v>
      </c>
      <c r="X87" s="4" t="e">
        <f ca="1">VLOOKUP($Y87,OFFSET(enemy_skill_sets!$B$1,0,0,COUNTA(enemy_skill_sets!$B:$B),MATCH(M$1,enemy_skill_sets!$1:$1,0)-MATCH($Y$1,enemy_skill_sets!$1:$1,0)+2),MATCH(M$1,enemy_skill_sets!$1:$1,0)-MATCH($Y$1,enemy_skill_sets!$1:$1,0)+2,FALSE)</f>
        <v>#N/A</v>
      </c>
      <c r="Y87" s="4">
        <f ca="1">VLOOKUP($L87,OFFSET([3]enemies!$A$1,0,0,COUNTA([3]enemies!$A:$A),MATCH(Y$1,[3]enemies!$1:$1,0)-MATCH($L$1,[3]enemies!$1:$1,0)+1),MATCH(Y$1,[3]enemies!$1:$1,0)-MATCH($L$1,[3]enemies!$1:$1,0)+1,FALSE)</f>
        <v>0</v>
      </c>
      <c r="Z87" s="164">
        <v>0</v>
      </c>
      <c r="AA87" s="164">
        <v>100</v>
      </c>
      <c r="AB87" s="164">
        <v>0</v>
      </c>
      <c r="AC87" s="14">
        <v>1</v>
      </c>
      <c r="AD87" s="165">
        <f t="shared" si="13"/>
        <v>529</v>
      </c>
      <c r="AE87" s="4" t="str">
        <f ca="1">VLOOKUP($AD87,OFFSET([4]characters!$A$1,0,0,COUNTA([4]characters!$A:$A),MATCH(AE$1,[4]characters!$1:$1,0)-MATCH("character_id",[4]characters!$1:$1,0)+1),MATCH(AE$1,[4]characters!$1:$1,0)-MATCH("character_id",[4]characters!$1:$1,0)+1,FALSE)</f>
        <v>冬服ジェリー</v>
      </c>
      <c r="AF87" s="4">
        <f ca="1">VLOOKUP($AD87,OFFSET([4]characters!$A$1,0,0,COUNTA([4]characters!$A:$A),MATCH(AF$1,[4]characters!$1:$1,0)-MATCH("character_id",[4]characters!$1:$1,0)+1),MATCH(AF$1,[4]characters!$1:$1,0)-MATCH("character_id",[4]characters!$1:$1,0)+1,FALSE)</f>
        <v>1</v>
      </c>
      <c r="AG87" s="4" t="str">
        <f ca="1">VLOOKUP($AD87,OFFSET([4]characters!$A$1,0,0,COUNTA([4]characters!$A:$A),MATCH(AG$1,[4]characters!$1:$1,0)-MATCH("character_id",[4]characters!$1:$1,0)+1),MATCH(AG$1,[4]characters!$1:$1,0)-MATCH("character_id",[4]characters!$1:$1,0)+1,FALSE)</f>
        <v>Drop1T</v>
      </c>
      <c r="AH87" s="166">
        <v>1</v>
      </c>
      <c r="AI87" s="165">
        <f t="shared" ca="1" si="14"/>
        <v>1</v>
      </c>
      <c r="AJ87" s="167">
        <v>20</v>
      </c>
      <c r="AK87" s="166">
        <v>0</v>
      </c>
      <c r="AL87" s="166">
        <v>0</v>
      </c>
      <c r="AM87" s="166">
        <v>0</v>
      </c>
      <c r="AN87" s="166">
        <v>0</v>
      </c>
      <c r="AO87" s="166">
        <v>1</v>
      </c>
      <c r="AP87" s="168">
        <v>1</v>
      </c>
    </row>
    <row r="88" spans="1:42" ht="21" customHeight="1" x14ac:dyDescent="0.15">
      <c r="A88" s="13" t="str">
        <f t="shared" si="10"/>
        <v>39008_5-1/530&lt;lv60&gt;s2</v>
      </c>
      <c r="B88" s="17">
        <v>39008</v>
      </c>
      <c r="C88" s="95">
        <v>5</v>
      </c>
      <c r="D88" s="12" t="str">
        <f t="shared" si="11"/>
        <v>39008_5</v>
      </c>
      <c r="E88" s="4" t="str">
        <f ca="1">VLOOKUP($B88,OFFSET([2]quests!$A$1,0,0,COUNTA([2]quests!$A:$A),MATCH(E$1,[2]quests!$1:$1,0)-MATCH($B$1,[2]quests!$1:$1,0)+1),MATCH(E$1,[2]quests!$1:$1,0)-MATCH($B$1,[2]quests!$1:$1,0)+1,FALSE)</f>
        <v>雪の歌姫</v>
      </c>
      <c r="F88" s="4" t="str">
        <f ca="1">VLOOKUP($D88,OFFSET([2]stages!$A$1,0,0,COUNTA([2]stages!$A:$A),MATCH(F$1,[2]stages!$2:$2,0)-MATCH($D$1,[2]stages!$2:$2,0)+1),MATCH(F$1,[2]stages!$2:$2,0)-MATCH($D$1,[2]stages!$2:$2,0)+1,FALSE)</f>
        <v>【超絶級】雪の歌姫</v>
      </c>
      <c r="G88" s="96">
        <v>1</v>
      </c>
      <c r="H88" s="12" t="str">
        <f t="shared" si="12"/>
        <v>39008_5-1</v>
      </c>
      <c r="I88" s="4">
        <f ca="1">VLOOKUP($H88,OFFSET(floors!$A$1,0,0,COUNTA(floors!$A:$A),MATCH(I$1,floors!$1:$1,0)-MATCH($H$1,floors!$1:$1,0)+1),MATCH(I$1,floors!$1:$1,0)-MATCH($H$1,floors!$1:$1,0)+1,FALSE)</f>
        <v>60</v>
      </c>
      <c r="J88" s="4">
        <f ca="1">VLOOKUP($H88,OFFSET(floors!$A$1,0,0,COUNTA(floors!$A:$A),MATCH(J$1,floors!$1:$1,0)-MATCH($H$1,floors!$1:$1,0)+1),MATCH(J$1,floors!$1:$1,0)-MATCH($H$1,floors!$1:$1,0)+1,FALSE)</f>
        <v>60</v>
      </c>
      <c r="K88" s="32" t="s">
        <v>245</v>
      </c>
      <c r="L88" s="97">
        <v>530</v>
      </c>
      <c r="M88" s="14" t="str">
        <f ca="1">VLOOKUP($L88,OFFSET([3]enemies!$A$1,0,0,COUNTA([3]enemies!$A:$A),MATCH(M$1,[3]enemies!$1:$1,0)-MATCH($L$1,[3]enemies!$1:$1,0)+1),MATCH(M$1,[3]enemies!$1:$1,0)-MATCH($L$1,[3]enemies!$1:$1,0)+1,FALSE)</f>
        <v>冬服ジョー</v>
      </c>
      <c r="N88" s="14" t="str">
        <f ca="1">VLOOKUP($L88,OFFSET([3]enemies!$A$1,0,0,COUNTA([3]enemies!$A:$A),MATCH(N$1,[3]enemies!$1:$1,0)-MATCH($L$1,[3]enemies!$1:$1,0)+1),MATCH(N$1,[3]enemies!$1:$1,0)-MATCH($L$1,[3]enemies!$1:$1,0)+1,FALSE)</f>
        <v>green</v>
      </c>
      <c r="O88" s="14" t="str">
        <f ca="1">VLOOKUP($L88,OFFSET([4]characters!$A$1,0,0,COUNTA([4]characters!$A:$A),MATCH(O$1,[4]characters!$1:$1,0)-MATCH($L$1,[4]characters!$1:$1,0)+1),MATCH(O$1,[4]characters!$1:$1,0)-MATCH($L$1,[4]characters!$1:$1,0)+1,FALSE)</f>
        <v>Drop1T</v>
      </c>
      <c r="P88" s="14" t="str">
        <f ca="1">VLOOKUP($L88,OFFSET([3]enemies!$A$1,0,0,COUNTA([3]enemies!$A:$A),MATCH(P$1,[3]enemies!$1:$1,0)-MATCH($L$1,[3]enemies!$1:$1,0)+1),MATCH(P$1,[3]enemies!$1:$1,0)-MATCH($L$1,[3]enemies!$1:$1,0)+1,FALSE)</f>
        <v>unknown</v>
      </c>
      <c r="Q88" s="14">
        <f ca="1">VLOOKUP($L88,OFFSET([3]enemies!$A$1,0,0,COUNTA([3]enemies!$A:$A),MATCH(Q$1,[3]enemies!$1:$1,0)-MATCH($L$1,[3]enemies!$1:$1,0)+1),MATCH(Q$1,[3]enemies!$1:$1,0)-MATCH($L$1,[3]enemies!$1:$1,0)+1,FALSE)</f>
        <v>15</v>
      </c>
      <c r="R88" s="5">
        <v>60</v>
      </c>
      <c r="S88" s="19">
        <v>1.2</v>
      </c>
      <c r="T88" s="92">
        <f ca="1">ROUND(VLOOKUP(R88,[3]enemy_base_stats!$A:$F,2,FALSE) *INDIRECT("[EnemyMasterData.xlsm]enemies!Y"&amp;(L88+1))*  INDIRECT("[EnemyMasterData.xlsm]enemies!J"&amp;(L88+1))* INDIRECT("[EnemyMasterData.xlsm]enemies!O"&amp;(L88+1))* INDIRECT("[EnemyMasterData.xlsm]enemies!E"&amp;(L88+1))* INDIRECT("[EnemyMasterData.xlsm]enemies!S"&amp;(L88+1))* INDIRECT("[EnemyMasterData.xlsm]enemies!AD"&amp;(L88+1))*[4]ステータス!$B$2,0)*S88</f>
        <v>15055.199999999999</v>
      </c>
      <c r="U88" s="19">
        <v>0.5</v>
      </c>
      <c r="V88" s="92">
        <f ca="1">ROUND(VLOOKUP(R88,[3]enemy_base_stats!$A:$F,3,FALSE) *INDIRECT("[EnemyMasterData.xlsm]enemies!Z"&amp;(L88+1))*  INDIRECT("[EnemyMasterData.xlsm]enemies!K"&amp;(L88+1))* INDIRECT("[EnemyMasterData.xlsm]enemies!P"&amp;(L88+1))* INDIRECT("[EnemyMasterData.xlsm]enemies!F"&amp;(L88+1))* INDIRECT("[EnemyMasterData.xlsm]enemies!T"&amp;(L88+1))* INDIRECT("[EnemyMasterData.xlsm]enemies!AE"&amp;(L88+1))*[4]ステータス!$C$2,0)*U88</f>
        <v>1808</v>
      </c>
      <c r="W88" s="5">
        <v>0</v>
      </c>
      <c r="X88" s="4" t="e">
        <f ca="1">VLOOKUP($Y88,OFFSET(enemy_skill_sets!$B$1,0,0,COUNTA(enemy_skill_sets!$B:$B),MATCH(M$1,enemy_skill_sets!$1:$1,0)-MATCH($Y$1,enemy_skill_sets!$1:$1,0)+2),MATCH(M$1,enemy_skill_sets!$1:$1,0)-MATCH($Y$1,enemy_skill_sets!$1:$1,0)+2,FALSE)</f>
        <v>#N/A</v>
      </c>
      <c r="Y88" s="4">
        <f ca="1">VLOOKUP($L88,OFFSET([3]enemies!$A$1,0,0,COUNTA([3]enemies!$A:$A),MATCH(Y$1,[3]enemies!$1:$1,0)-MATCH($L$1,[3]enemies!$1:$1,0)+1),MATCH(Y$1,[3]enemies!$1:$1,0)-MATCH($L$1,[3]enemies!$1:$1,0)+1,FALSE)</f>
        <v>0</v>
      </c>
      <c r="Z88" s="6">
        <v>0</v>
      </c>
      <c r="AA88" s="6">
        <v>100</v>
      </c>
      <c r="AB88" s="6">
        <v>0</v>
      </c>
      <c r="AC88" s="14">
        <v>2</v>
      </c>
      <c r="AD88" s="98">
        <f t="shared" si="13"/>
        <v>530</v>
      </c>
      <c r="AE88" s="4" t="str">
        <f ca="1">VLOOKUP($AD88,OFFSET([4]characters!$A$1,0,0,COUNTA([4]characters!$A:$A),MATCH(AE$1,[4]characters!$1:$1,0)-MATCH("character_id",[4]characters!$1:$1,0)+1),MATCH(AE$1,[4]characters!$1:$1,0)-MATCH("character_id",[4]characters!$1:$1,0)+1,FALSE)</f>
        <v>冬服ジョー</v>
      </c>
      <c r="AF88" s="4">
        <f ca="1">VLOOKUP($AD88,OFFSET([4]characters!$A$1,0,0,COUNTA([4]characters!$A:$A),MATCH(AF$1,[4]characters!$1:$1,0)-MATCH("character_id",[4]characters!$1:$1,0)+1),MATCH(AF$1,[4]characters!$1:$1,0)-MATCH("character_id",[4]characters!$1:$1,0)+1,FALSE)</f>
        <v>1</v>
      </c>
      <c r="AG88" s="4" t="str">
        <f ca="1">VLOOKUP($AD88,OFFSET([4]characters!$A$1,0,0,COUNTA([4]characters!$A:$A),MATCH(AG$1,[4]characters!$1:$1,0)-MATCH("character_id",[4]characters!$1:$1,0)+1),MATCH(AG$1,[4]characters!$1:$1,0)-MATCH("character_id",[4]characters!$1:$1,0)+1,FALSE)</f>
        <v>Drop1T</v>
      </c>
      <c r="AH88" s="94">
        <v>1</v>
      </c>
      <c r="AI88" s="98">
        <f t="shared" ca="1" si="14"/>
        <v>1</v>
      </c>
      <c r="AJ88" s="7">
        <v>20</v>
      </c>
      <c r="AK88" s="94">
        <v>0</v>
      </c>
      <c r="AL88" s="94">
        <v>0</v>
      </c>
      <c r="AM88" s="94">
        <v>0</v>
      </c>
      <c r="AN88" s="94">
        <v>0</v>
      </c>
      <c r="AO88" s="94">
        <v>1</v>
      </c>
      <c r="AP88" s="62">
        <v>1</v>
      </c>
    </row>
    <row r="89" spans="1:42" ht="21" customHeight="1" x14ac:dyDescent="0.15">
      <c r="A89" s="13" t="str">
        <f t="shared" si="10"/>
        <v>39008_5-1/531&lt;lv60&gt;s3</v>
      </c>
      <c r="B89" s="17">
        <v>39008</v>
      </c>
      <c r="C89" s="95">
        <v>5</v>
      </c>
      <c r="D89" s="12" t="str">
        <f t="shared" si="11"/>
        <v>39008_5</v>
      </c>
      <c r="E89" s="4" t="str">
        <f ca="1">VLOOKUP($B89,OFFSET([2]quests!$A$1,0,0,COUNTA([2]quests!$A:$A),MATCH(E$1,[2]quests!$1:$1,0)-MATCH($B$1,[2]quests!$1:$1,0)+1),MATCH(E$1,[2]quests!$1:$1,0)-MATCH($B$1,[2]quests!$1:$1,0)+1,FALSE)</f>
        <v>雪の歌姫</v>
      </c>
      <c r="F89" s="4" t="str">
        <f ca="1">VLOOKUP($D89,OFFSET([2]stages!$A$1,0,0,COUNTA([2]stages!$A:$A),MATCH(F$1,[2]stages!$2:$2,0)-MATCH($D$1,[2]stages!$2:$2,0)+1),MATCH(F$1,[2]stages!$2:$2,0)-MATCH($D$1,[2]stages!$2:$2,0)+1,FALSE)</f>
        <v>【超絶級】雪の歌姫</v>
      </c>
      <c r="G89" s="96">
        <v>1</v>
      </c>
      <c r="H89" s="12" t="str">
        <f t="shared" si="12"/>
        <v>39008_5-1</v>
      </c>
      <c r="I89" s="4">
        <f ca="1">VLOOKUP($H89,OFFSET(floors!$A$1,0,0,COUNTA(floors!$A:$A),MATCH(I$1,floors!$1:$1,0)-MATCH($H$1,floors!$1:$1,0)+1),MATCH(I$1,floors!$1:$1,0)-MATCH($H$1,floors!$1:$1,0)+1,FALSE)</f>
        <v>60</v>
      </c>
      <c r="J89" s="4">
        <f ca="1">VLOOKUP($H89,OFFSET(floors!$A$1,0,0,COUNTA(floors!$A:$A),MATCH(J$1,floors!$1:$1,0)-MATCH($H$1,floors!$1:$1,0)+1),MATCH(J$1,floors!$1:$1,0)-MATCH($H$1,floors!$1:$1,0)+1,FALSE)</f>
        <v>60</v>
      </c>
      <c r="K89" s="32" t="s">
        <v>245</v>
      </c>
      <c r="L89" s="97">
        <v>531</v>
      </c>
      <c r="M89" s="14" t="str">
        <f ca="1">VLOOKUP($L89,OFFSET([3]enemies!$A$1,0,0,COUNTA([3]enemies!$A:$A),MATCH(M$1,[3]enemies!$1:$1,0)-MATCH($L$1,[3]enemies!$1:$1,0)+1),MATCH(M$1,[3]enemies!$1:$1,0)-MATCH($L$1,[3]enemies!$1:$1,0)+1,FALSE)</f>
        <v>冬服ポチ</v>
      </c>
      <c r="N89" s="14" t="str">
        <f ca="1">VLOOKUP($L89,OFFSET([3]enemies!$A$1,0,0,COUNTA([3]enemies!$A:$A),MATCH(N$1,[3]enemies!$1:$1,0)-MATCH($L$1,[3]enemies!$1:$1,0)+1),MATCH(N$1,[3]enemies!$1:$1,0)-MATCH($L$1,[3]enemies!$1:$1,0)+1,FALSE)</f>
        <v>blue</v>
      </c>
      <c r="O89" s="14" t="str">
        <f ca="1">VLOOKUP($L89,OFFSET([4]characters!$A$1,0,0,COUNTA([4]characters!$A:$A),MATCH(O$1,[4]characters!$1:$1,0)-MATCH($L$1,[4]characters!$1:$1,0)+1),MATCH(O$1,[4]characters!$1:$1,0)-MATCH($L$1,[4]characters!$1:$1,0)+1,FALSE)</f>
        <v>Drop1T</v>
      </c>
      <c r="P89" s="14" t="str">
        <f ca="1">VLOOKUP($L89,OFFSET([3]enemies!$A$1,0,0,COUNTA([3]enemies!$A:$A),MATCH(P$1,[3]enemies!$1:$1,0)-MATCH($L$1,[3]enemies!$1:$1,0)+1),MATCH(P$1,[3]enemies!$1:$1,0)-MATCH($L$1,[3]enemies!$1:$1,0)+1,FALSE)</f>
        <v>unknown</v>
      </c>
      <c r="Q89" s="14">
        <f ca="1">VLOOKUP($L89,OFFSET([3]enemies!$A$1,0,0,COUNTA([3]enemies!$A:$A),MATCH(Q$1,[3]enemies!$1:$1,0)-MATCH($L$1,[3]enemies!$1:$1,0)+1),MATCH(Q$1,[3]enemies!$1:$1,0)-MATCH($L$1,[3]enemies!$1:$1,0)+1,FALSE)</f>
        <v>15</v>
      </c>
      <c r="R89" s="5">
        <v>60</v>
      </c>
      <c r="S89" s="19">
        <v>1</v>
      </c>
      <c r="T89" s="92">
        <f ca="1">ROUND(VLOOKUP(R89,[3]enemy_base_stats!$A:$F,2,FALSE) *INDIRECT("[EnemyMasterData.xlsm]enemies!Y"&amp;(L89+1))*  INDIRECT("[EnemyMasterData.xlsm]enemies!J"&amp;(L89+1))* INDIRECT("[EnemyMasterData.xlsm]enemies!O"&amp;(L89+1))* INDIRECT("[EnemyMasterData.xlsm]enemies!E"&amp;(L89+1))* INDIRECT("[EnemyMasterData.xlsm]enemies!S"&amp;(L89+1))* INDIRECT("[EnemyMasterData.xlsm]enemies!AD"&amp;(L89+1))*[4]ステータス!$B$2,0)*S89</f>
        <v>9840</v>
      </c>
      <c r="U89" s="19">
        <v>0.8</v>
      </c>
      <c r="V89" s="92">
        <f ca="1">ROUND(VLOOKUP(R89,[3]enemy_base_stats!$A:$F,3,FALSE) *INDIRECT("[EnemyMasterData.xlsm]enemies!Z"&amp;(L89+1))*  INDIRECT("[EnemyMasterData.xlsm]enemies!K"&amp;(L89+1))* INDIRECT("[EnemyMasterData.xlsm]enemies!P"&amp;(L89+1))* INDIRECT("[EnemyMasterData.xlsm]enemies!F"&amp;(L89+1))* INDIRECT("[EnemyMasterData.xlsm]enemies!T"&amp;(L89+1))* INDIRECT("[EnemyMasterData.xlsm]enemies!AE"&amp;(L89+1))*[4]ステータス!$C$2,0)*U89</f>
        <v>2256.8000000000002</v>
      </c>
      <c r="W89" s="5">
        <v>0</v>
      </c>
      <c r="X89" s="4" t="e">
        <f ca="1">VLOOKUP($Y89,OFFSET(enemy_skill_sets!$B$1,0,0,COUNTA(enemy_skill_sets!$B:$B),MATCH(M$1,enemy_skill_sets!$1:$1,0)-MATCH($Y$1,enemy_skill_sets!$1:$1,0)+2),MATCH(M$1,enemy_skill_sets!$1:$1,0)-MATCH($Y$1,enemy_skill_sets!$1:$1,0)+2,FALSE)</f>
        <v>#N/A</v>
      </c>
      <c r="Y89" s="4">
        <f ca="1">VLOOKUP($L89,OFFSET([3]enemies!$A$1,0,0,COUNTA([3]enemies!$A:$A),MATCH(Y$1,[3]enemies!$1:$1,0)-MATCH($L$1,[3]enemies!$1:$1,0)+1),MATCH(Y$1,[3]enemies!$1:$1,0)-MATCH($L$1,[3]enemies!$1:$1,0)+1,FALSE)</f>
        <v>0</v>
      </c>
      <c r="Z89" s="6">
        <v>0</v>
      </c>
      <c r="AA89" s="6">
        <v>100</v>
      </c>
      <c r="AB89" s="6">
        <v>0</v>
      </c>
      <c r="AC89" s="14">
        <v>3</v>
      </c>
      <c r="AD89" s="98">
        <f t="shared" si="13"/>
        <v>531</v>
      </c>
      <c r="AE89" s="4" t="str">
        <f ca="1">VLOOKUP($AD89,OFFSET([4]characters!$A$1,0,0,COUNTA([4]characters!$A:$A),MATCH(AE$1,[4]characters!$1:$1,0)-MATCH("character_id",[4]characters!$1:$1,0)+1),MATCH(AE$1,[4]characters!$1:$1,0)-MATCH("character_id",[4]characters!$1:$1,0)+1,FALSE)</f>
        <v>冬服ポチ</v>
      </c>
      <c r="AF89" s="4">
        <f ca="1">VLOOKUP($AD89,OFFSET([4]characters!$A$1,0,0,COUNTA([4]characters!$A:$A),MATCH(AF$1,[4]characters!$1:$1,0)-MATCH("character_id",[4]characters!$1:$1,0)+1),MATCH(AF$1,[4]characters!$1:$1,0)-MATCH("character_id",[4]characters!$1:$1,0)+1,FALSE)</f>
        <v>1</v>
      </c>
      <c r="AG89" s="4" t="str">
        <f ca="1">VLOOKUP($AD89,OFFSET([4]characters!$A$1,0,0,COUNTA([4]characters!$A:$A),MATCH(AG$1,[4]characters!$1:$1,0)-MATCH("character_id",[4]characters!$1:$1,0)+1),MATCH(AG$1,[4]characters!$1:$1,0)-MATCH("character_id",[4]characters!$1:$1,0)+1,FALSE)</f>
        <v>Drop1T</v>
      </c>
      <c r="AH89" s="94">
        <v>1</v>
      </c>
      <c r="AI89" s="98">
        <f t="shared" ca="1" si="14"/>
        <v>1</v>
      </c>
      <c r="AJ89" s="7">
        <v>20</v>
      </c>
      <c r="AK89" s="94">
        <v>0</v>
      </c>
      <c r="AL89" s="94">
        <v>0</v>
      </c>
      <c r="AM89" s="94">
        <v>0</v>
      </c>
      <c r="AN89" s="94">
        <v>0</v>
      </c>
      <c r="AO89" s="94">
        <v>1</v>
      </c>
      <c r="AP89" s="62">
        <v>1</v>
      </c>
    </row>
    <row r="90" spans="1:42" ht="21" customHeight="1" x14ac:dyDescent="0.15">
      <c r="A90" s="13" t="str">
        <f t="shared" si="10"/>
        <v>39008_5-1/532&lt;lv60&gt;s2</v>
      </c>
      <c r="B90" s="17">
        <v>39008</v>
      </c>
      <c r="C90" s="95">
        <v>5</v>
      </c>
      <c r="D90" s="12" t="str">
        <f t="shared" si="11"/>
        <v>39008_5</v>
      </c>
      <c r="E90" s="4" t="str">
        <f ca="1">VLOOKUP($B90,OFFSET([2]quests!$A$1,0,0,COUNTA([2]quests!$A:$A),MATCH(E$1,[2]quests!$1:$1,0)-MATCH($B$1,[2]quests!$1:$1,0)+1),MATCH(E$1,[2]quests!$1:$1,0)-MATCH($B$1,[2]quests!$1:$1,0)+1,FALSE)</f>
        <v>雪の歌姫</v>
      </c>
      <c r="F90" s="4" t="str">
        <f ca="1">VLOOKUP($D90,OFFSET([2]stages!$A$1,0,0,COUNTA([2]stages!$A:$A),MATCH(F$1,[2]stages!$2:$2,0)-MATCH($D$1,[2]stages!$2:$2,0)+1),MATCH(F$1,[2]stages!$2:$2,0)-MATCH($D$1,[2]stages!$2:$2,0)+1,FALSE)</f>
        <v>【超絶級】雪の歌姫</v>
      </c>
      <c r="G90" s="96">
        <v>1</v>
      </c>
      <c r="H90" s="12" t="str">
        <f t="shared" si="12"/>
        <v>39008_5-1</v>
      </c>
      <c r="I90" s="4">
        <f ca="1">VLOOKUP($H90,OFFSET(floors!$A$1,0,0,COUNTA(floors!$A:$A),MATCH(I$1,floors!$1:$1,0)-MATCH($H$1,floors!$1:$1,0)+1),MATCH(I$1,floors!$1:$1,0)-MATCH($H$1,floors!$1:$1,0)+1,FALSE)</f>
        <v>60</v>
      </c>
      <c r="J90" s="4">
        <f ca="1">VLOOKUP($H90,OFFSET(floors!$A$1,0,0,COUNTA(floors!$A:$A),MATCH(J$1,floors!$1:$1,0)-MATCH($H$1,floors!$1:$1,0)+1),MATCH(J$1,floors!$1:$1,0)-MATCH($H$1,floors!$1:$1,0)+1,FALSE)</f>
        <v>60</v>
      </c>
      <c r="K90" s="32" t="s">
        <v>245</v>
      </c>
      <c r="L90" s="97">
        <v>532</v>
      </c>
      <c r="M90" s="14" t="str">
        <f ca="1">VLOOKUP($L90,OFFSET([3]enemies!$A$1,0,0,COUNTA([3]enemies!$A:$A),MATCH(M$1,[3]enemies!$1:$1,0)-MATCH($L$1,[3]enemies!$1:$1,0)+1),MATCH(M$1,[3]enemies!$1:$1,0)-MATCH($L$1,[3]enemies!$1:$1,0)+1,FALSE)</f>
        <v>冬服エレキポット</v>
      </c>
      <c r="N90" s="14" t="str">
        <f ca="1">VLOOKUP($L90,OFFSET([3]enemies!$A$1,0,0,COUNTA([3]enemies!$A:$A),MATCH(N$1,[3]enemies!$1:$1,0)-MATCH($L$1,[3]enemies!$1:$1,0)+1),MATCH(N$1,[3]enemies!$1:$1,0)-MATCH($L$1,[3]enemies!$1:$1,0)+1,FALSE)</f>
        <v>yellow</v>
      </c>
      <c r="O90" s="14" t="str">
        <f ca="1">VLOOKUP($L90,OFFSET([4]characters!$A$1,0,0,COUNTA([4]characters!$A:$A),MATCH(O$1,[4]characters!$1:$1,0)-MATCH($L$1,[4]characters!$1:$1,0)+1),MATCH(O$1,[4]characters!$1:$1,0)-MATCH($L$1,[4]characters!$1:$1,0)+1,FALSE)</f>
        <v>Drop1T</v>
      </c>
      <c r="P90" s="14" t="str">
        <f ca="1">VLOOKUP($L90,OFFSET([3]enemies!$A$1,0,0,COUNTA([3]enemies!$A:$A),MATCH(P$1,[3]enemies!$1:$1,0)-MATCH($L$1,[3]enemies!$1:$1,0)+1),MATCH(P$1,[3]enemies!$1:$1,0)-MATCH($L$1,[3]enemies!$1:$1,0)+1,FALSE)</f>
        <v>unknown</v>
      </c>
      <c r="Q90" s="14">
        <f ca="1">VLOOKUP($L90,OFFSET([3]enemies!$A$1,0,0,COUNTA([3]enemies!$A:$A),MATCH(Q$1,[3]enemies!$1:$1,0)-MATCH($L$1,[3]enemies!$1:$1,0)+1),MATCH(Q$1,[3]enemies!$1:$1,0)-MATCH($L$1,[3]enemies!$1:$1,0)+1,FALSE)</f>
        <v>15</v>
      </c>
      <c r="R90" s="5">
        <v>60</v>
      </c>
      <c r="S90" s="19">
        <v>1.1000000000000001</v>
      </c>
      <c r="T90" s="92">
        <f ca="1">ROUND(VLOOKUP(R90,[3]enemy_base_stats!$A:$F,2,FALSE) *INDIRECT("[EnemyMasterData.xlsm]enemies!Y"&amp;(L90+1))*  INDIRECT("[EnemyMasterData.xlsm]enemies!J"&amp;(L90+1))* INDIRECT("[EnemyMasterData.xlsm]enemies!O"&amp;(L90+1))* INDIRECT("[EnemyMasterData.xlsm]enemies!E"&amp;(L90+1))* INDIRECT("[EnemyMasterData.xlsm]enemies!S"&amp;(L90+1))* INDIRECT("[EnemyMasterData.xlsm]enemies!AD"&amp;(L90+1))*[4]ステータス!$B$2,0)*S90</f>
        <v>13259.400000000001</v>
      </c>
      <c r="U90" s="19">
        <v>0.4</v>
      </c>
      <c r="V90" s="92">
        <f ca="1">ROUND(VLOOKUP(R90,[3]enemy_base_stats!$A:$F,3,FALSE) *INDIRECT("[EnemyMasterData.xlsm]enemies!Z"&amp;(L90+1))*  INDIRECT("[EnemyMasterData.xlsm]enemies!K"&amp;(L90+1))* INDIRECT("[EnemyMasterData.xlsm]enemies!P"&amp;(L90+1))* INDIRECT("[EnemyMasterData.xlsm]enemies!F"&amp;(L90+1))* INDIRECT("[EnemyMasterData.xlsm]enemies!T"&amp;(L90+1))* INDIRECT("[EnemyMasterData.xlsm]enemies!AE"&amp;(L90+1))*[4]ステータス!$C$2,0)*U90</f>
        <v>1982.8000000000002</v>
      </c>
      <c r="W90" s="5">
        <v>0</v>
      </c>
      <c r="X90" s="4" t="e">
        <f ca="1">VLOOKUP($Y90,OFFSET(enemy_skill_sets!$B$1,0,0,COUNTA(enemy_skill_sets!$B:$B),MATCH(M$1,enemy_skill_sets!$1:$1,0)-MATCH($Y$1,enemy_skill_sets!$1:$1,0)+2),MATCH(M$1,enemy_skill_sets!$1:$1,0)-MATCH($Y$1,enemy_skill_sets!$1:$1,0)+2,FALSE)</f>
        <v>#N/A</v>
      </c>
      <c r="Y90" s="4">
        <f ca="1">VLOOKUP($L90,OFFSET([3]enemies!$A$1,0,0,COUNTA([3]enemies!$A:$A),MATCH(Y$1,[3]enemies!$1:$1,0)-MATCH($L$1,[3]enemies!$1:$1,0)+1),MATCH(Y$1,[3]enemies!$1:$1,0)-MATCH($L$1,[3]enemies!$1:$1,0)+1,FALSE)</f>
        <v>0</v>
      </c>
      <c r="Z90" s="6">
        <v>0</v>
      </c>
      <c r="AA90" s="6">
        <v>100</v>
      </c>
      <c r="AB90" s="6">
        <v>0</v>
      </c>
      <c r="AC90" s="14">
        <v>2</v>
      </c>
      <c r="AD90" s="98">
        <f t="shared" si="13"/>
        <v>532</v>
      </c>
      <c r="AE90" s="4" t="str">
        <f ca="1">VLOOKUP($AD90,OFFSET([4]characters!$A$1,0,0,COUNTA([4]characters!$A:$A),MATCH(AE$1,[4]characters!$1:$1,0)-MATCH("character_id",[4]characters!$1:$1,0)+1),MATCH(AE$1,[4]characters!$1:$1,0)-MATCH("character_id",[4]characters!$1:$1,0)+1,FALSE)</f>
        <v>冬服エレキポット</v>
      </c>
      <c r="AF90" s="4">
        <f ca="1">VLOOKUP($AD90,OFFSET([4]characters!$A$1,0,0,COUNTA([4]characters!$A:$A),MATCH(AF$1,[4]characters!$1:$1,0)-MATCH("character_id",[4]characters!$1:$1,0)+1),MATCH(AF$1,[4]characters!$1:$1,0)-MATCH("character_id",[4]characters!$1:$1,0)+1,FALSE)</f>
        <v>1</v>
      </c>
      <c r="AG90" s="4" t="str">
        <f ca="1">VLOOKUP($AD90,OFFSET([4]characters!$A$1,0,0,COUNTA([4]characters!$A:$A),MATCH(AG$1,[4]characters!$1:$1,0)-MATCH("character_id",[4]characters!$1:$1,0)+1),MATCH(AG$1,[4]characters!$1:$1,0)-MATCH("character_id",[4]characters!$1:$1,0)+1,FALSE)</f>
        <v>Drop1T</v>
      </c>
      <c r="AH90" s="94">
        <v>1</v>
      </c>
      <c r="AI90" s="98">
        <f t="shared" ca="1" si="14"/>
        <v>1</v>
      </c>
      <c r="AJ90" s="7">
        <v>20</v>
      </c>
      <c r="AK90" s="94">
        <v>0</v>
      </c>
      <c r="AL90" s="94">
        <v>0</v>
      </c>
      <c r="AM90" s="94">
        <v>0</v>
      </c>
      <c r="AN90" s="94">
        <v>0</v>
      </c>
      <c r="AO90" s="94">
        <v>1</v>
      </c>
      <c r="AP90" s="62">
        <v>1</v>
      </c>
    </row>
    <row r="91" spans="1:42" ht="21" customHeight="1" x14ac:dyDescent="0.15">
      <c r="A91" s="13" t="str">
        <f t="shared" si="10"/>
        <v>39008_5-1/533&lt;lv60&gt;s3</v>
      </c>
      <c r="B91" s="17">
        <v>39008</v>
      </c>
      <c r="C91" s="95">
        <v>5</v>
      </c>
      <c r="D91" s="12" t="str">
        <f t="shared" si="11"/>
        <v>39008_5</v>
      </c>
      <c r="E91" s="4" t="str">
        <f ca="1">VLOOKUP($B91,OFFSET([2]quests!$A$1,0,0,COUNTA([2]quests!$A:$A),MATCH(E$1,[2]quests!$1:$1,0)-MATCH($B$1,[2]quests!$1:$1,0)+1),MATCH(E$1,[2]quests!$1:$1,0)-MATCH($B$1,[2]quests!$1:$1,0)+1,FALSE)</f>
        <v>雪の歌姫</v>
      </c>
      <c r="F91" s="4" t="str">
        <f ca="1">VLOOKUP($D91,OFFSET([2]stages!$A$1,0,0,COUNTA([2]stages!$A:$A),MATCH(F$1,[2]stages!$2:$2,0)-MATCH($D$1,[2]stages!$2:$2,0)+1),MATCH(F$1,[2]stages!$2:$2,0)-MATCH($D$1,[2]stages!$2:$2,0)+1,FALSE)</f>
        <v>【超絶級】雪の歌姫</v>
      </c>
      <c r="G91" s="96">
        <v>1</v>
      </c>
      <c r="H91" s="12" t="str">
        <f t="shared" si="12"/>
        <v>39008_5-1</v>
      </c>
      <c r="I91" s="4">
        <f ca="1">VLOOKUP($H91,OFFSET(floors!$A$1,0,0,COUNTA(floors!$A:$A),MATCH(I$1,floors!$1:$1,0)-MATCH($H$1,floors!$1:$1,0)+1),MATCH(I$1,floors!$1:$1,0)-MATCH($H$1,floors!$1:$1,0)+1,FALSE)</f>
        <v>60</v>
      </c>
      <c r="J91" s="4">
        <f ca="1">VLOOKUP($H91,OFFSET(floors!$A$1,0,0,COUNTA(floors!$A:$A),MATCH(J$1,floors!$1:$1,0)-MATCH($H$1,floors!$1:$1,0)+1),MATCH(J$1,floors!$1:$1,0)-MATCH($H$1,floors!$1:$1,0)+1,FALSE)</f>
        <v>60</v>
      </c>
      <c r="K91" s="32" t="s">
        <v>245</v>
      </c>
      <c r="L91" s="97">
        <v>533</v>
      </c>
      <c r="M91" s="14" t="str">
        <f ca="1">VLOOKUP($L91,OFFSET([3]enemies!$A$1,0,0,COUNTA([3]enemies!$A:$A),MATCH(M$1,[3]enemies!$1:$1,0)-MATCH($L$1,[3]enemies!$1:$1,0)+1),MATCH(M$1,[3]enemies!$1:$1,0)-MATCH($L$1,[3]enemies!$1:$1,0)+1,FALSE)</f>
        <v>冬服アカネ</v>
      </c>
      <c r="N91" s="14" t="str">
        <f ca="1">VLOOKUP($L91,OFFSET([3]enemies!$A$1,0,0,COUNTA([3]enemies!$A:$A),MATCH(N$1,[3]enemies!$1:$1,0)-MATCH($L$1,[3]enemies!$1:$1,0)+1),MATCH(N$1,[3]enemies!$1:$1,0)-MATCH($L$1,[3]enemies!$1:$1,0)+1,FALSE)</f>
        <v>red</v>
      </c>
      <c r="O91" s="14" t="str">
        <f ca="1">VLOOKUP($L91,OFFSET([4]characters!$A$1,0,0,COUNTA([4]characters!$A:$A),MATCH(O$1,[4]characters!$1:$1,0)-MATCH($L$1,[4]characters!$1:$1,0)+1),MATCH(O$1,[4]characters!$1:$1,0)-MATCH($L$1,[4]characters!$1:$1,0)+1,FALSE)</f>
        <v>Drop1W</v>
      </c>
      <c r="P91" s="14" t="str">
        <f ca="1">VLOOKUP($L91,OFFSET([3]enemies!$A$1,0,0,COUNTA([3]enemies!$A:$A),MATCH(P$1,[3]enemies!$1:$1,0)-MATCH($L$1,[3]enemies!$1:$1,0)+1),MATCH(P$1,[3]enemies!$1:$1,0)-MATCH($L$1,[3]enemies!$1:$1,0)+1,FALSE)</f>
        <v>human</v>
      </c>
      <c r="Q91" s="14">
        <f ca="1">VLOOKUP($L91,OFFSET([3]enemies!$A$1,0,0,COUNTA([3]enemies!$A:$A),MATCH(Q$1,[3]enemies!$1:$1,0)-MATCH($L$1,[3]enemies!$1:$1,0)+1),MATCH(Q$1,[3]enemies!$1:$1,0)-MATCH($L$1,[3]enemies!$1:$1,0)+1,FALSE)</f>
        <v>15</v>
      </c>
      <c r="R91" s="5">
        <v>60</v>
      </c>
      <c r="S91" s="19">
        <v>1.1000000000000001</v>
      </c>
      <c r="T91" s="92">
        <f ca="1">ROUND(VLOOKUP(R91,[3]enemy_base_stats!$A:$F,2,FALSE) *INDIRECT("[EnemyMasterData.xlsm]enemies!Y"&amp;(L91+1))*  INDIRECT("[EnemyMasterData.xlsm]enemies!J"&amp;(L91+1))* INDIRECT("[EnemyMasterData.xlsm]enemies!O"&amp;(L91+1))* INDIRECT("[EnemyMasterData.xlsm]enemies!E"&amp;(L91+1))* INDIRECT("[EnemyMasterData.xlsm]enemies!S"&amp;(L91+1))* INDIRECT("[EnemyMasterData.xlsm]enemies!AD"&amp;(L91+1))*[4]ステータス!$B$2,0)*S91</f>
        <v>12718.2</v>
      </c>
      <c r="U91" s="19">
        <v>0.6</v>
      </c>
      <c r="V91" s="92">
        <f ca="1">ROUND(VLOOKUP(R91,[3]enemy_base_stats!$A:$F,3,FALSE) *INDIRECT("[EnemyMasterData.xlsm]enemies!Z"&amp;(L91+1))*  INDIRECT("[EnemyMasterData.xlsm]enemies!K"&amp;(L91+1))* INDIRECT("[EnemyMasterData.xlsm]enemies!P"&amp;(L91+1))* INDIRECT("[EnemyMasterData.xlsm]enemies!F"&amp;(L91+1))* INDIRECT("[EnemyMasterData.xlsm]enemies!T"&amp;(L91+1))* INDIRECT("[EnemyMasterData.xlsm]enemies!AE"&amp;(L91+1))*[4]ステータス!$C$2,0)*U91</f>
        <v>2235.6</v>
      </c>
      <c r="W91" s="5">
        <v>0</v>
      </c>
      <c r="X91" s="4" t="e">
        <f ca="1">VLOOKUP($Y91,OFFSET(enemy_skill_sets!$B$1,0,0,COUNTA(enemy_skill_sets!$B:$B),MATCH(M$1,enemy_skill_sets!$1:$1,0)-MATCH($Y$1,enemy_skill_sets!$1:$1,0)+2),MATCH(M$1,enemy_skill_sets!$1:$1,0)-MATCH($Y$1,enemy_skill_sets!$1:$1,0)+2,FALSE)</f>
        <v>#N/A</v>
      </c>
      <c r="Y91" s="4">
        <f ca="1">VLOOKUP($L91,OFFSET([3]enemies!$A$1,0,0,COUNTA([3]enemies!$A:$A),MATCH(Y$1,[3]enemies!$1:$1,0)-MATCH($L$1,[3]enemies!$1:$1,0)+1),MATCH(Y$1,[3]enemies!$1:$1,0)-MATCH($L$1,[3]enemies!$1:$1,0)+1,FALSE)</f>
        <v>0</v>
      </c>
      <c r="Z91" s="6">
        <v>0</v>
      </c>
      <c r="AA91" s="6">
        <v>100</v>
      </c>
      <c r="AB91" s="6">
        <v>0</v>
      </c>
      <c r="AC91" s="14">
        <v>3</v>
      </c>
      <c r="AD91" s="98">
        <f t="shared" si="13"/>
        <v>533</v>
      </c>
      <c r="AE91" s="4" t="str">
        <f ca="1">VLOOKUP($AD91,OFFSET([4]characters!$A$1,0,0,COUNTA([4]characters!$A:$A),MATCH(AE$1,[4]characters!$1:$1,0)-MATCH("character_id",[4]characters!$1:$1,0)+1),MATCH(AE$1,[4]characters!$1:$1,0)-MATCH("character_id",[4]characters!$1:$1,0)+1,FALSE)</f>
        <v>冬服アカネ</v>
      </c>
      <c r="AF91" s="4">
        <f ca="1">VLOOKUP($AD91,OFFSET([4]characters!$A$1,0,0,COUNTA([4]characters!$A:$A),MATCH(AF$1,[4]characters!$1:$1,0)-MATCH("character_id",[4]characters!$1:$1,0)+1),MATCH(AF$1,[4]characters!$1:$1,0)-MATCH("character_id",[4]characters!$1:$1,0)+1,FALSE)</f>
        <v>1</v>
      </c>
      <c r="AG91" s="4" t="str">
        <f ca="1">VLOOKUP($AD91,OFFSET([4]characters!$A$1,0,0,COUNTA([4]characters!$A:$A),MATCH(AG$1,[4]characters!$1:$1,0)-MATCH("character_id",[4]characters!$1:$1,0)+1),MATCH(AG$1,[4]characters!$1:$1,0)-MATCH("character_id",[4]characters!$1:$1,0)+1,FALSE)</f>
        <v>Drop1W</v>
      </c>
      <c r="AH91" s="94">
        <v>1</v>
      </c>
      <c r="AI91" s="98">
        <f t="shared" ca="1" si="14"/>
        <v>1</v>
      </c>
      <c r="AJ91" s="7">
        <v>20</v>
      </c>
      <c r="AK91" s="94">
        <v>0</v>
      </c>
      <c r="AL91" s="94">
        <v>0</v>
      </c>
      <c r="AM91" s="94">
        <v>0</v>
      </c>
      <c r="AN91" s="94">
        <v>0</v>
      </c>
      <c r="AO91" s="94">
        <v>1</v>
      </c>
      <c r="AP91" s="62">
        <v>1</v>
      </c>
    </row>
    <row r="92" spans="1:42" ht="21" customHeight="1" x14ac:dyDescent="0.15">
      <c r="A92" s="13" t="str">
        <f t="shared" si="10"/>
        <v>39008_5-1/534&lt;lv60&gt;s1</v>
      </c>
      <c r="B92" s="17">
        <v>39008</v>
      </c>
      <c r="C92" s="95">
        <v>5</v>
      </c>
      <c r="D92" s="12" t="str">
        <f t="shared" si="11"/>
        <v>39008_5</v>
      </c>
      <c r="E92" s="4" t="str">
        <f ca="1">VLOOKUP($B92,OFFSET([2]quests!$A$1,0,0,COUNTA([2]quests!$A:$A),MATCH(E$1,[2]quests!$1:$1,0)-MATCH($B$1,[2]quests!$1:$1,0)+1),MATCH(E$1,[2]quests!$1:$1,0)-MATCH($B$1,[2]quests!$1:$1,0)+1,FALSE)</f>
        <v>雪の歌姫</v>
      </c>
      <c r="F92" s="4" t="str">
        <f ca="1">VLOOKUP($D92,OFFSET([2]stages!$A$1,0,0,COUNTA([2]stages!$A:$A),MATCH(F$1,[2]stages!$2:$2,0)-MATCH($D$1,[2]stages!$2:$2,0)+1),MATCH(F$1,[2]stages!$2:$2,0)-MATCH($D$1,[2]stages!$2:$2,0)+1,FALSE)</f>
        <v>【超絶級】雪の歌姫</v>
      </c>
      <c r="G92" s="96">
        <v>1</v>
      </c>
      <c r="H92" s="12" t="str">
        <f t="shared" si="12"/>
        <v>39008_5-1</v>
      </c>
      <c r="I92" s="4">
        <f ca="1">VLOOKUP($H92,OFFSET(floors!$A$1,0,0,COUNTA(floors!$A:$A),MATCH(I$1,floors!$1:$1,0)-MATCH($H$1,floors!$1:$1,0)+1),MATCH(I$1,floors!$1:$1,0)-MATCH($H$1,floors!$1:$1,0)+1,FALSE)</f>
        <v>60</v>
      </c>
      <c r="J92" s="4">
        <f ca="1">VLOOKUP($H92,OFFSET(floors!$A$1,0,0,COUNTA(floors!$A:$A),MATCH(J$1,floors!$1:$1,0)-MATCH($H$1,floors!$1:$1,0)+1),MATCH(J$1,floors!$1:$1,0)-MATCH($H$1,floors!$1:$1,0)+1,FALSE)</f>
        <v>60</v>
      </c>
      <c r="K92" s="32" t="s">
        <v>245</v>
      </c>
      <c r="L92" s="97">
        <v>534</v>
      </c>
      <c r="M92" s="14" t="str">
        <f ca="1">VLOOKUP($L92,OFFSET([3]enemies!$A$1,0,0,COUNTA([3]enemies!$A:$A),MATCH(M$1,[3]enemies!$1:$1,0)-MATCH($L$1,[3]enemies!$1:$1,0)+1),MATCH(M$1,[3]enemies!$1:$1,0)-MATCH($L$1,[3]enemies!$1:$1,0)+1,FALSE)</f>
        <v>冬服パトライン</v>
      </c>
      <c r="N92" s="14" t="str">
        <f ca="1">VLOOKUP($L92,OFFSET([3]enemies!$A$1,0,0,COUNTA([3]enemies!$A:$A),MATCH(N$1,[3]enemies!$1:$1,0)-MATCH($L$1,[3]enemies!$1:$1,0)+1),MATCH(N$1,[3]enemies!$1:$1,0)-MATCH($L$1,[3]enemies!$1:$1,0)+1,FALSE)</f>
        <v>green</v>
      </c>
      <c r="O92" s="14" t="str">
        <f ca="1">VLOOKUP($L92,OFFSET([4]characters!$A$1,0,0,COUNTA([4]characters!$A:$A),MATCH(O$1,[4]characters!$1:$1,0)-MATCH($L$1,[4]characters!$1:$1,0)+1),MATCH(O$1,[4]characters!$1:$1,0)-MATCH($L$1,[4]characters!$1:$1,0)+1,FALSE)</f>
        <v>Drop1W</v>
      </c>
      <c r="P92" s="14" t="str">
        <f ca="1">VLOOKUP($L92,OFFSET([3]enemies!$A$1,0,0,COUNTA([3]enemies!$A:$A),MATCH(P$1,[3]enemies!$1:$1,0)-MATCH($L$1,[3]enemies!$1:$1,0)+1),MATCH(P$1,[3]enemies!$1:$1,0)-MATCH($L$1,[3]enemies!$1:$1,0)+1,FALSE)</f>
        <v>machine</v>
      </c>
      <c r="Q92" s="14">
        <f ca="1">VLOOKUP($L92,OFFSET([3]enemies!$A$1,0,0,COUNTA([3]enemies!$A:$A),MATCH(Q$1,[3]enemies!$1:$1,0)-MATCH($L$1,[3]enemies!$1:$1,0)+1),MATCH(Q$1,[3]enemies!$1:$1,0)-MATCH($L$1,[3]enemies!$1:$1,0)+1,FALSE)</f>
        <v>15</v>
      </c>
      <c r="R92" s="5">
        <v>60</v>
      </c>
      <c r="S92" s="19">
        <v>1.2</v>
      </c>
      <c r="T92" s="92">
        <f ca="1">ROUND(VLOOKUP(R92,[3]enemy_base_stats!$A:$F,2,FALSE) *INDIRECT("[EnemyMasterData.xlsm]enemies!Y"&amp;(L92+1))*  INDIRECT("[EnemyMasterData.xlsm]enemies!J"&amp;(L92+1))* INDIRECT("[EnemyMasterData.xlsm]enemies!O"&amp;(L92+1))* INDIRECT("[EnemyMasterData.xlsm]enemies!E"&amp;(L92+1))* INDIRECT("[EnemyMasterData.xlsm]enemies!S"&amp;(L92+1))* INDIRECT("[EnemyMasterData.xlsm]enemies!AD"&amp;(L92+1))*[4]ステータス!$B$2,0)*S92</f>
        <v>12044.4</v>
      </c>
      <c r="U92" s="19">
        <v>0.6</v>
      </c>
      <c r="V92" s="92">
        <f ca="1">ROUND(VLOOKUP(R92,[3]enemy_base_stats!$A:$F,3,FALSE) *INDIRECT("[EnemyMasterData.xlsm]enemies!Z"&amp;(L92+1))*  INDIRECT("[EnemyMasterData.xlsm]enemies!K"&amp;(L92+1))* INDIRECT("[EnemyMasterData.xlsm]enemies!P"&amp;(L92+1))* INDIRECT("[EnemyMasterData.xlsm]enemies!F"&amp;(L92+1))* INDIRECT("[EnemyMasterData.xlsm]enemies!T"&amp;(L92+1))* INDIRECT("[EnemyMasterData.xlsm]enemies!AE"&amp;(L92+1))*[4]ステータス!$C$2,0)*U92</f>
        <v>1692.6</v>
      </c>
      <c r="W92" s="5">
        <v>0</v>
      </c>
      <c r="X92" s="4" t="str">
        <f ca="1">VLOOKUP($Y92,OFFSET(enemy_skill_sets!$B$1,0,0,COUNTA(enemy_skill_sets!$B:$B),MATCH(M$1,enemy_skill_sets!$1:$1,0)-MATCH($Y$1,enemy_skill_sets!$1:$1,0)+2),MATCH(M$1,enemy_skill_sets!$1:$1,0)-MATCH($Y$1,enemy_skill_sets!$1:$1,0)+2,FALSE)</f>
        <v>全体回復</v>
      </c>
      <c r="Y92" s="110">
        <v>39008014</v>
      </c>
      <c r="Z92" s="6">
        <v>0</v>
      </c>
      <c r="AA92" s="6">
        <v>100</v>
      </c>
      <c r="AB92" s="6">
        <v>0</v>
      </c>
      <c r="AC92" s="14">
        <v>1</v>
      </c>
      <c r="AD92" s="98">
        <f t="shared" si="13"/>
        <v>534</v>
      </c>
      <c r="AE92" s="4" t="str">
        <f ca="1">VLOOKUP($AD92,OFFSET([4]characters!$A$1,0,0,COUNTA([4]characters!$A:$A),MATCH(AE$1,[4]characters!$1:$1,0)-MATCH("character_id",[4]characters!$1:$1,0)+1),MATCH(AE$1,[4]characters!$1:$1,0)-MATCH("character_id",[4]characters!$1:$1,0)+1,FALSE)</f>
        <v>冬服パトライン</v>
      </c>
      <c r="AF92" s="4">
        <f ca="1">VLOOKUP($AD92,OFFSET([4]characters!$A$1,0,0,COUNTA([4]characters!$A:$A),MATCH(AF$1,[4]characters!$1:$1,0)-MATCH("character_id",[4]characters!$1:$1,0)+1),MATCH(AF$1,[4]characters!$1:$1,0)-MATCH("character_id",[4]characters!$1:$1,0)+1,FALSE)</f>
        <v>1</v>
      </c>
      <c r="AG92" s="4" t="str">
        <f ca="1">VLOOKUP($AD92,OFFSET([4]characters!$A$1,0,0,COUNTA([4]characters!$A:$A),MATCH(AG$1,[4]characters!$1:$1,0)-MATCH("character_id",[4]characters!$1:$1,0)+1),MATCH(AG$1,[4]characters!$1:$1,0)-MATCH("character_id",[4]characters!$1:$1,0)+1,FALSE)</f>
        <v>Drop1W</v>
      </c>
      <c r="AH92" s="94">
        <v>1</v>
      </c>
      <c r="AI92" s="98">
        <f t="shared" ca="1" si="14"/>
        <v>1</v>
      </c>
      <c r="AJ92" s="7">
        <v>20</v>
      </c>
      <c r="AK92" s="94">
        <v>0</v>
      </c>
      <c r="AL92" s="94">
        <v>0</v>
      </c>
      <c r="AM92" s="94">
        <v>0</v>
      </c>
      <c r="AN92" s="94">
        <v>0</v>
      </c>
      <c r="AO92" s="94">
        <v>1</v>
      </c>
      <c r="AP92" s="62">
        <v>1</v>
      </c>
    </row>
    <row r="93" spans="1:42" ht="21" customHeight="1" x14ac:dyDescent="0.15">
      <c r="A93" s="13" t="str">
        <f t="shared" si="10"/>
        <v>39008_5-1/535&lt;lv60&gt;s2</v>
      </c>
      <c r="B93" s="17">
        <v>39008</v>
      </c>
      <c r="C93" s="95">
        <v>5</v>
      </c>
      <c r="D93" s="12" t="str">
        <f t="shared" si="11"/>
        <v>39008_5</v>
      </c>
      <c r="E93" s="4" t="str">
        <f ca="1">VLOOKUP($B93,OFFSET([2]quests!$A$1,0,0,COUNTA([2]quests!$A:$A),MATCH(E$1,[2]quests!$1:$1,0)-MATCH($B$1,[2]quests!$1:$1,0)+1),MATCH(E$1,[2]quests!$1:$1,0)-MATCH($B$1,[2]quests!$1:$1,0)+1,FALSE)</f>
        <v>雪の歌姫</v>
      </c>
      <c r="F93" s="4" t="str">
        <f ca="1">VLOOKUP($D93,OFFSET([2]stages!$A$1,0,0,COUNTA([2]stages!$A:$A),MATCH(F$1,[2]stages!$2:$2,0)-MATCH($D$1,[2]stages!$2:$2,0)+1),MATCH(F$1,[2]stages!$2:$2,0)-MATCH($D$1,[2]stages!$2:$2,0)+1,FALSE)</f>
        <v>【超絶級】雪の歌姫</v>
      </c>
      <c r="G93" s="96">
        <v>1</v>
      </c>
      <c r="H93" s="12" t="str">
        <f t="shared" si="12"/>
        <v>39008_5-1</v>
      </c>
      <c r="I93" s="4">
        <f ca="1">VLOOKUP($H93,OFFSET(floors!$A$1,0,0,COUNTA(floors!$A:$A),MATCH(I$1,floors!$1:$1,0)-MATCH($H$1,floors!$1:$1,0)+1),MATCH(I$1,floors!$1:$1,0)-MATCH($H$1,floors!$1:$1,0)+1,FALSE)</f>
        <v>60</v>
      </c>
      <c r="J93" s="4">
        <f ca="1">VLOOKUP($H93,OFFSET(floors!$A$1,0,0,COUNTA(floors!$A:$A),MATCH(J$1,floors!$1:$1,0)-MATCH($H$1,floors!$1:$1,0)+1),MATCH(J$1,floors!$1:$1,0)-MATCH($H$1,floors!$1:$1,0)+1,FALSE)</f>
        <v>60</v>
      </c>
      <c r="K93" s="32" t="s">
        <v>245</v>
      </c>
      <c r="L93" s="97">
        <v>535</v>
      </c>
      <c r="M93" s="14" t="str">
        <f ca="1">VLOOKUP($L93,OFFSET([3]enemies!$A$1,0,0,COUNTA([3]enemies!$A:$A),MATCH(M$1,[3]enemies!$1:$1,0)-MATCH($L$1,[3]enemies!$1:$1,0)+1),MATCH(M$1,[3]enemies!$1:$1,0)-MATCH($L$1,[3]enemies!$1:$1,0)+1,FALSE)</f>
        <v>冬服リム</v>
      </c>
      <c r="N93" s="14" t="str">
        <f ca="1">VLOOKUP($L93,OFFSET([3]enemies!$A$1,0,0,COUNTA([3]enemies!$A:$A),MATCH(N$1,[3]enemies!$1:$1,0)-MATCH($L$1,[3]enemies!$1:$1,0)+1),MATCH(N$1,[3]enemies!$1:$1,0)-MATCH($L$1,[3]enemies!$1:$1,0)+1,FALSE)</f>
        <v>blue</v>
      </c>
      <c r="O93" s="14" t="str">
        <f ca="1">VLOOKUP($L93,OFFSET([4]characters!$A$1,0,0,COUNTA([4]characters!$A:$A),MATCH(O$1,[4]characters!$1:$1,0)-MATCH($L$1,[4]characters!$1:$1,0)+1),MATCH(O$1,[4]characters!$1:$1,0)-MATCH($L$1,[4]characters!$1:$1,0)+1,FALSE)</f>
        <v>Drop1W</v>
      </c>
      <c r="P93" s="14" t="str">
        <f ca="1">VLOOKUP($L93,OFFSET([3]enemies!$A$1,0,0,COUNTA([3]enemies!$A:$A),MATCH(P$1,[3]enemies!$1:$1,0)-MATCH($L$1,[3]enemies!$1:$1,0)+1),MATCH(P$1,[3]enemies!$1:$1,0)-MATCH($L$1,[3]enemies!$1:$1,0)+1,FALSE)</f>
        <v>human</v>
      </c>
      <c r="Q93" s="14">
        <f ca="1">VLOOKUP($L93,OFFSET([3]enemies!$A$1,0,0,COUNTA([3]enemies!$A:$A),MATCH(Q$1,[3]enemies!$1:$1,0)-MATCH($L$1,[3]enemies!$1:$1,0)+1),MATCH(Q$1,[3]enemies!$1:$1,0)-MATCH($L$1,[3]enemies!$1:$1,0)+1,FALSE)</f>
        <v>15</v>
      </c>
      <c r="R93" s="5">
        <v>60</v>
      </c>
      <c r="S93" s="19">
        <v>1</v>
      </c>
      <c r="T93" s="92">
        <f ca="1">ROUND(VLOOKUP(R93,[3]enemy_base_stats!$A:$F,2,FALSE) *INDIRECT("[EnemyMasterData.xlsm]enemies!Y"&amp;(L93+1))*  INDIRECT("[EnemyMasterData.xlsm]enemies!J"&amp;(L93+1))* INDIRECT("[EnemyMasterData.xlsm]enemies!O"&amp;(L93+1))* INDIRECT("[EnemyMasterData.xlsm]enemies!E"&amp;(L93+1))* INDIRECT("[EnemyMasterData.xlsm]enemies!S"&amp;(L93+1))* INDIRECT("[EnemyMasterData.xlsm]enemies!AD"&amp;(L93+1))*[4]ステータス!$B$2,0)*S93</f>
        <v>11562</v>
      </c>
      <c r="U93" s="19">
        <v>0.6</v>
      </c>
      <c r="V93" s="92">
        <f ca="1">ROUND(VLOOKUP(R93,[3]enemy_base_stats!$A:$F,3,FALSE) *INDIRECT("[EnemyMasterData.xlsm]enemies!Z"&amp;(L93+1))*  INDIRECT("[EnemyMasterData.xlsm]enemies!K"&amp;(L93+1))* INDIRECT("[EnemyMasterData.xlsm]enemies!P"&amp;(L93+1))* INDIRECT("[EnemyMasterData.xlsm]enemies!F"&amp;(L93+1))* INDIRECT("[EnemyMasterData.xlsm]enemies!T"&amp;(L93+1))* INDIRECT("[EnemyMasterData.xlsm]enemies!AE"&amp;(L93+1))*[4]ステータス!$C$2,0)*U93</f>
        <v>2148</v>
      </c>
      <c r="W93" s="5">
        <v>0</v>
      </c>
      <c r="X93" s="4" t="e">
        <f ca="1">VLOOKUP($Y93,OFFSET(enemy_skill_sets!$B$1,0,0,COUNTA(enemy_skill_sets!$B:$B),MATCH(M$1,enemy_skill_sets!$1:$1,0)-MATCH($Y$1,enemy_skill_sets!$1:$1,0)+2),MATCH(M$1,enemy_skill_sets!$1:$1,0)-MATCH($Y$1,enemy_skill_sets!$1:$1,0)+2,FALSE)</f>
        <v>#N/A</v>
      </c>
      <c r="Y93" s="4">
        <f ca="1">VLOOKUP($L93,OFFSET([3]enemies!$A$1,0,0,COUNTA([3]enemies!$A:$A),MATCH(Y$1,[3]enemies!$1:$1,0)-MATCH($L$1,[3]enemies!$1:$1,0)+1),MATCH(Y$1,[3]enemies!$1:$1,0)-MATCH($L$1,[3]enemies!$1:$1,0)+1,FALSE)</f>
        <v>0</v>
      </c>
      <c r="Z93" s="6">
        <v>0</v>
      </c>
      <c r="AA93" s="6">
        <v>100</v>
      </c>
      <c r="AB93" s="6">
        <v>0</v>
      </c>
      <c r="AC93" s="14">
        <v>2</v>
      </c>
      <c r="AD93" s="98">
        <f t="shared" si="13"/>
        <v>535</v>
      </c>
      <c r="AE93" s="4" t="str">
        <f ca="1">VLOOKUP($AD93,OFFSET([4]characters!$A$1,0,0,COUNTA([4]characters!$A:$A),MATCH(AE$1,[4]characters!$1:$1,0)-MATCH("character_id",[4]characters!$1:$1,0)+1),MATCH(AE$1,[4]characters!$1:$1,0)-MATCH("character_id",[4]characters!$1:$1,0)+1,FALSE)</f>
        <v>冬服リム</v>
      </c>
      <c r="AF93" s="4">
        <f ca="1">VLOOKUP($AD93,OFFSET([4]characters!$A$1,0,0,COUNTA([4]characters!$A:$A),MATCH(AF$1,[4]characters!$1:$1,0)-MATCH("character_id",[4]characters!$1:$1,0)+1),MATCH(AF$1,[4]characters!$1:$1,0)-MATCH("character_id",[4]characters!$1:$1,0)+1,FALSE)</f>
        <v>1</v>
      </c>
      <c r="AG93" s="4" t="str">
        <f ca="1">VLOOKUP($AD93,OFFSET([4]characters!$A$1,0,0,COUNTA([4]characters!$A:$A),MATCH(AG$1,[4]characters!$1:$1,0)-MATCH("character_id",[4]characters!$1:$1,0)+1),MATCH(AG$1,[4]characters!$1:$1,0)-MATCH("character_id",[4]characters!$1:$1,0)+1,FALSE)</f>
        <v>Drop1W</v>
      </c>
      <c r="AH93" s="94">
        <v>1</v>
      </c>
      <c r="AI93" s="98">
        <f t="shared" ca="1" si="14"/>
        <v>1</v>
      </c>
      <c r="AJ93" s="7">
        <v>20</v>
      </c>
      <c r="AK93" s="94">
        <v>0</v>
      </c>
      <c r="AL93" s="94">
        <v>0</v>
      </c>
      <c r="AM93" s="94">
        <v>0</v>
      </c>
      <c r="AN93" s="94">
        <v>0</v>
      </c>
      <c r="AO93" s="94">
        <v>1</v>
      </c>
      <c r="AP93" s="62">
        <v>1</v>
      </c>
    </row>
    <row r="94" spans="1:42" ht="21" customHeight="1" x14ac:dyDescent="0.15">
      <c r="A94" s="13" t="str">
        <f t="shared" si="10"/>
        <v>39008_5-1/536&lt;lv60&gt;s2</v>
      </c>
      <c r="B94" s="17">
        <v>39008</v>
      </c>
      <c r="C94" s="95">
        <v>5</v>
      </c>
      <c r="D94" s="12" t="str">
        <f t="shared" si="11"/>
        <v>39008_5</v>
      </c>
      <c r="E94" s="4" t="str">
        <f ca="1">VLOOKUP($B94,OFFSET([2]quests!$A$1,0,0,COUNTA([2]quests!$A:$A),MATCH(E$1,[2]quests!$1:$1,0)-MATCH($B$1,[2]quests!$1:$1,0)+1),MATCH(E$1,[2]quests!$1:$1,0)-MATCH($B$1,[2]quests!$1:$1,0)+1,FALSE)</f>
        <v>雪の歌姫</v>
      </c>
      <c r="F94" s="4" t="str">
        <f ca="1">VLOOKUP($D94,OFFSET([2]stages!$A$1,0,0,COUNTA([2]stages!$A:$A),MATCH(F$1,[2]stages!$2:$2,0)-MATCH($D$1,[2]stages!$2:$2,0)+1),MATCH(F$1,[2]stages!$2:$2,0)-MATCH($D$1,[2]stages!$2:$2,0)+1,FALSE)</f>
        <v>【超絶級】雪の歌姫</v>
      </c>
      <c r="G94" s="96">
        <v>1</v>
      </c>
      <c r="H94" s="12" t="str">
        <f t="shared" si="12"/>
        <v>39008_5-1</v>
      </c>
      <c r="I94" s="4">
        <f ca="1">VLOOKUP($H94,OFFSET(floors!$A$1,0,0,COUNTA(floors!$A:$A),MATCH(I$1,floors!$1:$1,0)-MATCH($H$1,floors!$1:$1,0)+1),MATCH(I$1,floors!$1:$1,0)-MATCH($H$1,floors!$1:$1,0)+1,FALSE)</f>
        <v>60</v>
      </c>
      <c r="J94" s="4">
        <f ca="1">VLOOKUP($H94,OFFSET(floors!$A$1,0,0,COUNTA(floors!$A:$A),MATCH(J$1,floors!$1:$1,0)-MATCH($H$1,floors!$1:$1,0)+1),MATCH(J$1,floors!$1:$1,0)-MATCH($H$1,floors!$1:$1,0)+1,FALSE)</f>
        <v>60</v>
      </c>
      <c r="K94" s="32" t="s">
        <v>245</v>
      </c>
      <c r="L94" s="97">
        <v>536</v>
      </c>
      <c r="M94" s="14" t="str">
        <f ca="1">VLOOKUP($L94,OFFSET([3]enemies!$A$1,0,0,COUNTA([3]enemies!$A:$A),MATCH(M$1,[3]enemies!$1:$1,0)-MATCH($L$1,[3]enemies!$1:$1,0)+1),MATCH(M$1,[3]enemies!$1:$1,0)-MATCH($L$1,[3]enemies!$1:$1,0)+1,FALSE)</f>
        <v>冬服ミミ</v>
      </c>
      <c r="N94" s="14" t="str">
        <f ca="1">VLOOKUP($L94,OFFSET([3]enemies!$A$1,0,0,COUNTA([3]enemies!$A:$A),MATCH(N$1,[3]enemies!$1:$1,0)-MATCH($L$1,[3]enemies!$1:$1,0)+1),MATCH(N$1,[3]enemies!$1:$1,0)-MATCH($L$1,[3]enemies!$1:$1,0)+1,FALSE)</f>
        <v>yellow</v>
      </c>
      <c r="O94" s="14" t="str">
        <f ca="1">VLOOKUP($L94,OFFSET([4]characters!$A$1,0,0,COUNTA([4]characters!$A:$A),MATCH(O$1,[4]characters!$1:$1,0)-MATCH($L$1,[4]characters!$1:$1,0)+1),MATCH(O$1,[4]characters!$1:$1,0)-MATCH($L$1,[4]characters!$1:$1,0)+1,FALSE)</f>
        <v>Drop1W</v>
      </c>
      <c r="P94" s="14" t="str">
        <f ca="1">VLOOKUP($L94,OFFSET([3]enemies!$A$1,0,0,COUNTA([3]enemies!$A:$A),MATCH(P$1,[3]enemies!$1:$1,0)-MATCH($L$1,[3]enemies!$1:$1,0)+1),MATCH(P$1,[3]enemies!$1:$1,0)-MATCH($L$1,[3]enemies!$1:$1,0)+1,FALSE)</f>
        <v>animal</v>
      </c>
      <c r="Q94" s="14">
        <f ca="1">VLOOKUP($L94,OFFSET([3]enemies!$A$1,0,0,COUNTA([3]enemies!$A:$A),MATCH(Q$1,[3]enemies!$1:$1,0)-MATCH($L$1,[3]enemies!$1:$1,0)+1),MATCH(Q$1,[3]enemies!$1:$1,0)-MATCH($L$1,[3]enemies!$1:$1,0)+1,FALSE)</f>
        <v>15</v>
      </c>
      <c r="R94" s="5">
        <v>60</v>
      </c>
      <c r="S94" s="19">
        <v>1.1000000000000001</v>
      </c>
      <c r="T94" s="92">
        <f ca="1">ROUND(VLOOKUP(R94,[3]enemy_base_stats!$A:$F,2,FALSE) *INDIRECT("[EnemyMasterData.xlsm]enemies!Y"&amp;(L94+1))*  INDIRECT("[EnemyMasterData.xlsm]enemies!J"&amp;(L94+1))* INDIRECT("[EnemyMasterData.xlsm]enemies!O"&amp;(L94+1))* INDIRECT("[EnemyMasterData.xlsm]enemies!E"&amp;(L94+1))* INDIRECT("[EnemyMasterData.xlsm]enemies!S"&amp;(L94+1))* INDIRECT("[EnemyMasterData.xlsm]enemies!AD"&amp;(L94+1))*[4]ステータス!$B$2,0)*S94</f>
        <v>13259.400000000001</v>
      </c>
      <c r="U94" s="19">
        <v>0.4</v>
      </c>
      <c r="V94" s="92">
        <f ca="1">ROUND(VLOOKUP(R94,[3]enemy_base_stats!$A:$F,3,FALSE) *INDIRECT("[EnemyMasterData.xlsm]enemies!Z"&amp;(L94+1))*  INDIRECT("[EnemyMasterData.xlsm]enemies!K"&amp;(L94+1))* INDIRECT("[EnemyMasterData.xlsm]enemies!P"&amp;(L94+1))* INDIRECT("[EnemyMasterData.xlsm]enemies!F"&amp;(L94+1))* INDIRECT("[EnemyMasterData.xlsm]enemies!T"&amp;(L94+1))* INDIRECT("[EnemyMasterData.xlsm]enemies!AE"&amp;(L94+1))*[4]ステータス!$C$2,0)*U94</f>
        <v>2180.8000000000002</v>
      </c>
      <c r="W94" s="5">
        <v>0</v>
      </c>
      <c r="X94" s="4" t="e">
        <f ca="1">VLOOKUP($Y94,OFFSET(enemy_skill_sets!$B$1,0,0,COUNTA(enemy_skill_sets!$B:$B),MATCH(M$1,enemy_skill_sets!$1:$1,0)-MATCH($Y$1,enemy_skill_sets!$1:$1,0)+2),MATCH(M$1,enemy_skill_sets!$1:$1,0)-MATCH($Y$1,enemy_skill_sets!$1:$1,0)+2,FALSE)</f>
        <v>#N/A</v>
      </c>
      <c r="Y94" s="4">
        <f ca="1">VLOOKUP($L94,OFFSET([3]enemies!$A$1,0,0,COUNTA([3]enemies!$A:$A),MATCH(Y$1,[3]enemies!$1:$1,0)-MATCH($L$1,[3]enemies!$1:$1,0)+1),MATCH(Y$1,[3]enemies!$1:$1,0)-MATCH($L$1,[3]enemies!$1:$1,0)+1,FALSE)</f>
        <v>0</v>
      </c>
      <c r="Z94" s="6">
        <v>0</v>
      </c>
      <c r="AA94" s="6">
        <v>100</v>
      </c>
      <c r="AB94" s="6">
        <v>0</v>
      </c>
      <c r="AC94" s="14">
        <v>2</v>
      </c>
      <c r="AD94" s="98">
        <f t="shared" si="13"/>
        <v>536</v>
      </c>
      <c r="AE94" s="4" t="str">
        <f ca="1">VLOOKUP($AD94,OFFSET([4]characters!$A$1,0,0,COUNTA([4]characters!$A:$A),MATCH(AE$1,[4]characters!$1:$1,0)-MATCH("character_id",[4]characters!$1:$1,0)+1),MATCH(AE$1,[4]characters!$1:$1,0)-MATCH("character_id",[4]characters!$1:$1,0)+1,FALSE)</f>
        <v>冬服ミミ</v>
      </c>
      <c r="AF94" s="4">
        <f ca="1">VLOOKUP($AD94,OFFSET([4]characters!$A$1,0,0,COUNTA([4]characters!$A:$A),MATCH(AF$1,[4]characters!$1:$1,0)-MATCH("character_id",[4]characters!$1:$1,0)+1),MATCH(AF$1,[4]characters!$1:$1,0)-MATCH("character_id",[4]characters!$1:$1,0)+1,FALSE)</f>
        <v>1</v>
      </c>
      <c r="AG94" s="4" t="str">
        <f ca="1">VLOOKUP($AD94,OFFSET([4]characters!$A$1,0,0,COUNTA([4]characters!$A:$A),MATCH(AG$1,[4]characters!$1:$1,0)-MATCH("character_id",[4]characters!$1:$1,0)+1),MATCH(AG$1,[4]characters!$1:$1,0)-MATCH("character_id",[4]characters!$1:$1,0)+1,FALSE)</f>
        <v>Drop1W</v>
      </c>
      <c r="AH94" s="94">
        <v>1</v>
      </c>
      <c r="AI94" s="98">
        <f t="shared" ca="1" si="14"/>
        <v>1</v>
      </c>
      <c r="AJ94" s="7">
        <v>20</v>
      </c>
      <c r="AK94" s="94">
        <v>0</v>
      </c>
      <c r="AL94" s="94">
        <v>0</v>
      </c>
      <c r="AM94" s="94">
        <v>0</v>
      </c>
      <c r="AN94" s="94">
        <v>0</v>
      </c>
      <c r="AO94" s="94">
        <v>1</v>
      </c>
      <c r="AP94" s="62">
        <v>1</v>
      </c>
    </row>
    <row r="95" spans="1:42" ht="21" customHeight="1" x14ac:dyDescent="0.15">
      <c r="A95" s="13" t="str">
        <f t="shared" si="10"/>
        <v>39008_5-2/525&lt;lv65&gt;s2</v>
      </c>
      <c r="B95" s="17">
        <v>39008</v>
      </c>
      <c r="C95" s="95">
        <v>5</v>
      </c>
      <c r="D95" s="12" t="str">
        <f t="shared" si="11"/>
        <v>39008_5</v>
      </c>
      <c r="E95" s="4" t="str">
        <f ca="1">VLOOKUP($B95,OFFSET([2]quests!$A$1,0,0,COUNTA([2]quests!$A:$A),MATCH(E$1,[2]quests!$1:$1,0)-MATCH($B$1,[2]quests!$1:$1,0)+1),MATCH(E$1,[2]quests!$1:$1,0)-MATCH($B$1,[2]quests!$1:$1,0)+1,FALSE)</f>
        <v>雪の歌姫</v>
      </c>
      <c r="F95" s="4" t="str">
        <f ca="1">VLOOKUP($D95,OFFSET([2]stages!$A$1,0,0,COUNTA([2]stages!$A:$A),MATCH(F$1,[2]stages!$2:$2,0)-MATCH($D$1,[2]stages!$2:$2,0)+1),MATCH(F$1,[2]stages!$2:$2,0)-MATCH($D$1,[2]stages!$2:$2,0)+1,FALSE)</f>
        <v>【超絶級】雪の歌姫</v>
      </c>
      <c r="G95" s="104">
        <v>2</v>
      </c>
      <c r="H95" s="12" t="str">
        <f t="shared" si="12"/>
        <v>39008_5-2</v>
      </c>
      <c r="I95" s="4">
        <f ca="1">VLOOKUP($H95,OFFSET(floors!$A$1,0,0,COUNTA(floors!$A:$A),MATCH(I$1,floors!$1:$1,0)-MATCH($H$1,floors!$1:$1,0)+1),MATCH(I$1,floors!$1:$1,0)-MATCH($H$1,floors!$1:$1,0)+1,FALSE)</f>
        <v>60</v>
      </c>
      <c r="J95" s="4">
        <f ca="1">VLOOKUP($H95,OFFSET(floors!$A$1,0,0,COUNTA(floors!$A:$A),MATCH(J$1,floors!$1:$1,0)-MATCH($H$1,floors!$1:$1,0)+1),MATCH(J$1,floors!$1:$1,0)-MATCH($H$1,floors!$1:$1,0)+1,FALSE)</f>
        <v>60</v>
      </c>
      <c r="K95" s="32">
        <v>3</v>
      </c>
      <c r="L95" s="97">
        <v>525</v>
      </c>
      <c r="M95" s="14" t="str">
        <f ca="1">VLOOKUP($L95,OFFSET([3]enemies!$A$1,0,0,COUNTA([3]enemies!$A:$A),MATCH(M$1,[3]enemies!$1:$1,0)-MATCH($L$1,[3]enemies!$1:$1,0)+1),MATCH(M$1,[3]enemies!$1:$1,0)-MATCH($L$1,[3]enemies!$1:$1,0)+1,FALSE)</f>
        <v>ウィンタースポーツ 雪ミク</v>
      </c>
      <c r="N95" s="14" t="str">
        <f ca="1">VLOOKUP($L95,OFFSET([3]enemies!$A$1,0,0,COUNTA([3]enemies!$A:$A),MATCH(N$1,[3]enemies!$1:$1,0)-MATCH($L$1,[3]enemies!$1:$1,0)+1),MATCH(N$1,[3]enemies!$1:$1,0)-MATCH($L$1,[3]enemies!$1:$1,0)+1,FALSE)</f>
        <v>blue</v>
      </c>
      <c r="O95" s="14" t="str">
        <f ca="1">VLOOKUP($L95,OFFSET([4]characters!$A$1,0,0,COUNTA([4]characters!$A:$A),MATCH(O$1,[4]characters!$1:$1,0)-MATCH($L$1,[4]characters!$1:$1,0)+1),MATCH(O$1,[4]characters!$1:$1,0)-MATCH($L$1,[4]characters!$1:$1,0)+1,FALSE)</f>
        <v>Drop2N</v>
      </c>
      <c r="P95" s="14" t="str">
        <f ca="1">VLOOKUP($L95,OFFSET([3]enemies!$A$1,0,0,COUNTA([3]enemies!$A:$A),MATCH(P$1,[3]enemies!$1:$1,0)-MATCH($L$1,[3]enemies!$1:$1,0)+1),MATCH(P$1,[3]enemies!$1:$1,0)-MATCH($L$1,[3]enemies!$1:$1,0)+1,FALSE)</f>
        <v>unknown</v>
      </c>
      <c r="Q95" s="14">
        <f ca="1">VLOOKUP($L95,OFFSET([3]enemies!$A$1,0,0,COUNTA([3]enemies!$A:$A),MATCH(Q$1,[3]enemies!$1:$1,0)-MATCH($L$1,[3]enemies!$1:$1,0)+1),MATCH(Q$1,[3]enemies!$1:$1,0)-MATCH($L$1,[3]enemies!$1:$1,0)+1,FALSE)</f>
        <v>30</v>
      </c>
      <c r="R95" s="5">
        <v>65</v>
      </c>
      <c r="S95" s="19">
        <v>1.6</v>
      </c>
      <c r="T95" s="92">
        <f ca="1">ROUND(VLOOKUP(R95,[3]enemy_base_stats!$A:$F,2,FALSE) *INDIRECT("[EnemyMasterData.xlsm]enemies!Y"&amp;(L95+1))*  INDIRECT("[EnemyMasterData.xlsm]enemies!J"&amp;(L95+1))* INDIRECT("[EnemyMasterData.xlsm]enemies!O"&amp;(L95+1))* INDIRECT("[EnemyMasterData.xlsm]enemies!E"&amp;(L95+1))* INDIRECT("[EnemyMasterData.xlsm]enemies!S"&amp;(L95+1))* INDIRECT("[EnemyMasterData.xlsm]enemies!AD"&amp;(L95+1))*[4]ステータス!$B$2,0)*S95</f>
        <v>104016</v>
      </c>
      <c r="U95" s="19">
        <v>1.2</v>
      </c>
      <c r="V95" s="92">
        <f ca="1">ROUND(VLOOKUP(R95,[3]enemy_base_stats!$A:$F,3,FALSE) *INDIRECT("[EnemyMasterData.xlsm]enemies!Z"&amp;(L95+1))*  INDIRECT("[EnemyMasterData.xlsm]enemies!K"&amp;(L95+1))* INDIRECT("[EnemyMasterData.xlsm]enemies!P"&amp;(L95+1))* INDIRECT("[EnemyMasterData.xlsm]enemies!F"&amp;(L95+1))* INDIRECT("[EnemyMasterData.xlsm]enemies!T"&amp;(L95+1))* INDIRECT("[EnemyMasterData.xlsm]enemies!AE"&amp;(L95+1))*[4]ステータス!$C$2,0)*U95</f>
        <v>6123.5999999999995</v>
      </c>
      <c r="W95" s="5">
        <v>0</v>
      </c>
      <c r="X95" s="4" t="str">
        <f ca="1">VLOOKUP($Y95,OFFSET(enemy_skill_sets!$B$1,0,0,COUNTA(enemy_skill_sets!$B:$B),MATCH(M$1,enemy_skill_sets!$1:$1,0)-MATCH($Y$1,enemy_skill_sets!$1:$1,0)+2),MATCH(M$1,enemy_skill_sets!$1:$1,0)-MATCH($Y$1,enemy_skill_sets!$1:$1,0)+2,FALSE)</f>
        <v>3ターン敵全体の防御力UP</v>
      </c>
      <c r="Y95" s="102">
        <v>39008001</v>
      </c>
      <c r="Z95" s="6">
        <v>1</v>
      </c>
      <c r="AA95" s="6">
        <v>100</v>
      </c>
      <c r="AB95" s="6">
        <v>1</v>
      </c>
      <c r="AC95" s="14">
        <v>2</v>
      </c>
      <c r="AD95" s="98">
        <f t="shared" si="13"/>
        <v>525</v>
      </c>
      <c r="AE95" s="4" t="str">
        <f ca="1">VLOOKUP($AD95,OFFSET([4]characters!$A$1,0,0,COUNTA([4]characters!$A:$A),MATCH(AE$1,[4]characters!$1:$1,0)-MATCH("character_id",[4]characters!$1:$1,0)+1),MATCH(AE$1,[4]characters!$1:$1,0)-MATCH("character_id",[4]characters!$1:$1,0)+1,FALSE)</f>
        <v>ウィンタースポーツ 雪ミク</v>
      </c>
      <c r="AF95" s="4">
        <f ca="1">VLOOKUP($AD95,OFFSET([4]characters!$A$1,0,0,COUNTA([4]characters!$A:$A),MATCH(AF$1,[4]characters!$1:$1,0)-MATCH("character_id",[4]characters!$1:$1,0)+1),MATCH(AF$1,[4]characters!$1:$1,0)-MATCH("character_id",[4]characters!$1:$1,0)+1,FALSE)</f>
        <v>4</v>
      </c>
      <c r="AG95" s="4" t="str">
        <f ca="1">VLOOKUP($AD95,OFFSET([4]characters!$A$1,0,0,COUNTA([4]characters!$A:$A),MATCH(AG$1,[4]characters!$1:$1,0)-MATCH("character_id",[4]characters!$1:$1,0)+1),MATCH(AG$1,[4]characters!$1:$1,0)-MATCH("character_id",[4]characters!$1:$1,0)+1,FALSE)</f>
        <v>Drop2N</v>
      </c>
      <c r="AH95" s="94">
        <v>1</v>
      </c>
      <c r="AI95" s="98">
        <f t="shared" ca="1" si="14"/>
        <v>4</v>
      </c>
      <c r="AJ95" s="7">
        <v>0</v>
      </c>
      <c r="AK95" s="94">
        <v>0</v>
      </c>
      <c r="AL95" s="94">
        <v>0</v>
      </c>
      <c r="AM95" s="94">
        <v>0</v>
      </c>
      <c r="AN95" s="94">
        <v>0</v>
      </c>
      <c r="AO95" s="94">
        <v>1</v>
      </c>
      <c r="AP95" s="62">
        <v>1</v>
      </c>
    </row>
    <row r="96" spans="1:42" ht="21" customHeight="1" x14ac:dyDescent="0.15">
      <c r="A96" s="13" t="str">
        <f t="shared" si="10"/>
        <v>39008_5-2/529&lt;lv60&gt;s1</v>
      </c>
      <c r="B96" s="17">
        <v>39008</v>
      </c>
      <c r="C96" s="95">
        <v>5</v>
      </c>
      <c r="D96" s="12" t="str">
        <f t="shared" si="11"/>
        <v>39008_5</v>
      </c>
      <c r="E96" s="4" t="str">
        <f ca="1">VLOOKUP($B96,OFFSET([2]quests!$A$1,0,0,COUNTA([2]quests!$A:$A),MATCH(E$1,[2]quests!$1:$1,0)-MATCH($B$1,[2]quests!$1:$1,0)+1),MATCH(E$1,[2]quests!$1:$1,0)-MATCH($B$1,[2]quests!$1:$1,0)+1,FALSE)</f>
        <v>雪の歌姫</v>
      </c>
      <c r="F96" s="4" t="str">
        <f ca="1">VLOOKUP($D96,OFFSET([2]stages!$A$1,0,0,COUNTA([2]stages!$A:$A),MATCH(F$1,[2]stages!$2:$2,0)-MATCH($D$1,[2]stages!$2:$2,0)+1),MATCH(F$1,[2]stages!$2:$2,0)-MATCH($D$1,[2]stages!$2:$2,0)+1,FALSE)</f>
        <v>【超絶級】雪の歌姫</v>
      </c>
      <c r="G96" s="104">
        <v>2</v>
      </c>
      <c r="H96" s="12" t="str">
        <f t="shared" si="12"/>
        <v>39008_5-2</v>
      </c>
      <c r="I96" s="4">
        <f ca="1">VLOOKUP($H96,OFFSET(floors!$A$1,0,0,COUNTA(floors!$A:$A),MATCH(I$1,floors!$1:$1,0)-MATCH($H$1,floors!$1:$1,0)+1),MATCH(I$1,floors!$1:$1,0)-MATCH($H$1,floors!$1:$1,0)+1,FALSE)</f>
        <v>60</v>
      </c>
      <c r="J96" s="4">
        <f ca="1">VLOOKUP($H96,OFFSET(floors!$A$1,0,0,COUNTA(floors!$A:$A),MATCH(J$1,floors!$1:$1,0)-MATCH($H$1,floors!$1:$1,0)+1),MATCH(J$1,floors!$1:$1,0)-MATCH($H$1,floors!$1:$1,0)+1,FALSE)</f>
        <v>60</v>
      </c>
      <c r="K96" s="32" t="s">
        <v>245</v>
      </c>
      <c r="L96" s="97">
        <v>529</v>
      </c>
      <c r="M96" s="14" t="str">
        <f ca="1">VLOOKUP($L96,OFFSET([3]enemies!$A$1,0,0,COUNTA([3]enemies!$A:$A),MATCH(M$1,[3]enemies!$1:$1,0)-MATCH($L$1,[3]enemies!$1:$1,0)+1),MATCH(M$1,[3]enemies!$1:$1,0)-MATCH($L$1,[3]enemies!$1:$1,0)+1,FALSE)</f>
        <v>冬服ジェリー</v>
      </c>
      <c r="N96" s="14" t="str">
        <f ca="1">VLOOKUP($L96,OFFSET([3]enemies!$A$1,0,0,COUNTA([3]enemies!$A:$A),MATCH(N$1,[3]enemies!$1:$1,0)-MATCH($L$1,[3]enemies!$1:$1,0)+1),MATCH(N$1,[3]enemies!$1:$1,0)-MATCH($L$1,[3]enemies!$1:$1,0)+1,FALSE)</f>
        <v>red</v>
      </c>
      <c r="O96" s="14" t="str">
        <f ca="1">VLOOKUP($L96,OFFSET([4]characters!$A$1,0,0,COUNTA([4]characters!$A:$A),MATCH(O$1,[4]characters!$1:$1,0)-MATCH($L$1,[4]characters!$1:$1,0)+1),MATCH(O$1,[4]characters!$1:$1,0)-MATCH($L$1,[4]characters!$1:$1,0)+1,FALSE)</f>
        <v>Drop1T</v>
      </c>
      <c r="P96" s="14" t="str">
        <f ca="1">VLOOKUP($L96,OFFSET([3]enemies!$A$1,0,0,COUNTA([3]enemies!$A:$A),MATCH(P$1,[3]enemies!$1:$1,0)-MATCH($L$1,[3]enemies!$1:$1,0)+1),MATCH(P$1,[3]enemies!$1:$1,0)-MATCH($L$1,[3]enemies!$1:$1,0)+1,FALSE)</f>
        <v>unknown</v>
      </c>
      <c r="Q96" s="14">
        <f ca="1">VLOOKUP($L96,OFFSET([3]enemies!$A$1,0,0,COUNTA([3]enemies!$A:$A),MATCH(Q$1,[3]enemies!$1:$1,0)-MATCH($L$1,[3]enemies!$1:$1,0)+1),MATCH(Q$1,[3]enemies!$1:$1,0)-MATCH($L$1,[3]enemies!$1:$1,0)+1,FALSE)</f>
        <v>15</v>
      </c>
      <c r="R96" s="5">
        <v>60</v>
      </c>
      <c r="S96" s="19">
        <v>1.5</v>
      </c>
      <c r="T96" s="92">
        <f ca="1">ROUND(VLOOKUP(R96,[3]enemy_base_stats!$A:$F,2,FALSE) *INDIRECT("[EnemyMasterData.xlsm]enemies!Y"&amp;(L96+1))*  INDIRECT("[EnemyMasterData.xlsm]enemies!J"&amp;(L96+1))* INDIRECT("[EnemyMasterData.xlsm]enemies!O"&amp;(L96+1))* INDIRECT("[EnemyMasterData.xlsm]enemies!E"&amp;(L96+1))* INDIRECT("[EnemyMasterData.xlsm]enemies!S"&amp;(L96+1))* INDIRECT("[EnemyMasterData.xlsm]enemies!AD"&amp;(L96+1))*[4]ステータス!$B$2,0)*S96</f>
        <v>18450</v>
      </c>
      <c r="U96" s="19">
        <v>0.4</v>
      </c>
      <c r="V96" s="92">
        <f ca="1">ROUND(VLOOKUP(R96,[3]enemy_base_stats!$A:$F,3,FALSE) *INDIRECT("[EnemyMasterData.xlsm]enemies!Z"&amp;(L96+1))*  INDIRECT("[EnemyMasterData.xlsm]enemies!K"&amp;(L96+1))* INDIRECT("[EnemyMasterData.xlsm]enemies!P"&amp;(L96+1))* INDIRECT("[EnemyMasterData.xlsm]enemies!F"&amp;(L96+1))* INDIRECT("[EnemyMasterData.xlsm]enemies!T"&amp;(L96+1))* INDIRECT("[EnemyMasterData.xlsm]enemies!AE"&amp;(L96+1))*[4]ステータス!$C$2,0)*U96</f>
        <v>2022.4</v>
      </c>
      <c r="W96" s="5">
        <v>0</v>
      </c>
      <c r="X96" s="4" t="e">
        <f ca="1">VLOOKUP($Y96,OFFSET(enemy_skill_sets!$B$1,0,0,COUNTA(enemy_skill_sets!$B:$B),MATCH(M$1,enemy_skill_sets!$1:$1,0)-MATCH($Y$1,enemy_skill_sets!$1:$1,0)+2),MATCH(M$1,enemy_skill_sets!$1:$1,0)-MATCH($Y$1,enemy_skill_sets!$1:$1,0)+2,FALSE)</f>
        <v>#N/A</v>
      </c>
      <c r="Y96" s="4">
        <f ca="1">VLOOKUP($L96,OFFSET([3]enemies!$A$1,0,0,COUNTA([3]enemies!$A:$A),MATCH(Y$1,[3]enemies!$1:$1,0)-MATCH($L$1,[3]enemies!$1:$1,0)+1),MATCH(Y$1,[3]enemies!$1:$1,0)-MATCH($L$1,[3]enemies!$1:$1,0)+1,FALSE)</f>
        <v>0</v>
      </c>
      <c r="Z96" s="6">
        <v>0</v>
      </c>
      <c r="AA96" s="6">
        <v>100</v>
      </c>
      <c r="AB96" s="6">
        <v>2</v>
      </c>
      <c r="AC96" s="14">
        <v>1</v>
      </c>
      <c r="AD96" s="98">
        <f t="shared" si="13"/>
        <v>529</v>
      </c>
      <c r="AE96" s="4" t="str">
        <f ca="1">VLOOKUP($AD96,OFFSET([4]characters!$A$1,0,0,COUNTA([4]characters!$A:$A),MATCH(AE$1,[4]characters!$1:$1,0)-MATCH("character_id",[4]characters!$1:$1,0)+1),MATCH(AE$1,[4]characters!$1:$1,0)-MATCH("character_id",[4]characters!$1:$1,0)+1,FALSE)</f>
        <v>冬服ジェリー</v>
      </c>
      <c r="AF96" s="4">
        <f ca="1">VLOOKUP($AD96,OFFSET([4]characters!$A$1,0,0,COUNTA([4]characters!$A:$A),MATCH(AF$1,[4]characters!$1:$1,0)-MATCH("character_id",[4]characters!$1:$1,0)+1),MATCH(AF$1,[4]characters!$1:$1,0)-MATCH("character_id",[4]characters!$1:$1,0)+1,FALSE)</f>
        <v>1</v>
      </c>
      <c r="AG96" s="4" t="str">
        <f ca="1">VLOOKUP($AD96,OFFSET([4]characters!$A$1,0,0,COUNTA([4]characters!$A:$A),MATCH(AG$1,[4]characters!$1:$1,0)-MATCH("character_id",[4]characters!$1:$1,0)+1),MATCH(AG$1,[4]characters!$1:$1,0)-MATCH("character_id",[4]characters!$1:$1,0)+1,FALSE)</f>
        <v>Drop1T</v>
      </c>
      <c r="AH96" s="94">
        <v>1</v>
      </c>
      <c r="AI96" s="98">
        <f t="shared" ca="1" si="14"/>
        <v>1</v>
      </c>
      <c r="AJ96" s="7">
        <v>0</v>
      </c>
      <c r="AK96" s="94">
        <v>0</v>
      </c>
      <c r="AL96" s="94">
        <v>0</v>
      </c>
      <c r="AM96" s="94">
        <v>0</v>
      </c>
      <c r="AN96" s="94">
        <v>0</v>
      </c>
      <c r="AO96" s="94">
        <v>1</v>
      </c>
      <c r="AP96" s="62">
        <v>1</v>
      </c>
    </row>
    <row r="97" spans="1:42" ht="21" customHeight="1" x14ac:dyDescent="0.15">
      <c r="A97" s="13" t="str">
        <f t="shared" si="10"/>
        <v>39008_5-2/531&lt;lv60&gt;s3</v>
      </c>
      <c r="B97" s="17">
        <v>39008</v>
      </c>
      <c r="C97" s="95">
        <v>5</v>
      </c>
      <c r="D97" s="12" t="str">
        <f t="shared" si="11"/>
        <v>39008_5</v>
      </c>
      <c r="E97" s="4" t="str">
        <f ca="1">VLOOKUP($B97,OFFSET([2]quests!$A$1,0,0,COUNTA([2]quests!$A:$A),MATCH(E$1,[2]quests!$1:$1,0)-MATCH($B$1,[2]quests!$1:$1,0)+1),MATCH(E$1,[2]quests!$1:$1,0)-MATCH($B$1,[2]quests!$1:$1,0)+1,FALSE)</f>
        <v>雪の歌姫</v>
      </c>
      <c r="F97" s="4" t="str">
        <f ca="1">VLOOKUP($D97,OFFSET([2]stages!$A$1,0,0,COUNTA([2]stages!$A:$A),MATCH(F$1,[2]stages!$2:$2,0)-MATCH($D$1,[2]stages!$2:$2,0)+1),MATCH(F$1,[2]stages!$2:$2,0)-MATCH($D$1,[2]stages!$2:$2,0)+1,FALSE)</f>
        <v>【超絶級】雪の歌姫</v>
      </c>
      <c r="G97" s="104">
        <v>2</v>
      </c>
      <c r="H97" s="12" t="str">
        <f t="shared" si="12"/>
        <v>39008_5-2</v>
      </c>
      <c r="I97" s="4">
        <f ca="1">VLOOKUP($H97,OFFSET(floors!$A$1,0,0,COUNTA(floors!$A:$A),MATCH(I$1,floors!$1:$1,0)-MATCH($H$1,floors!$1:$1,0)+1),MATCH(I$1,floors!$1:$1,0)-MATCH($H$1,floors!$1:$1,0)+1,FALSE)</f>
        <v>60</v>
      </c>
      <c r="J97" s="4">
        <f ca="1">VLOOKUP($H97,OFFSET(floors!$A$1,0,0,COUNTA(floors!$A:$A),MATCH(J$1,floors!$1:$1,0)-MATCH($H$1,floors!$1:$1,0)+1),MATCH(J$1,floors!$1:$1,0)-MATCH($H$1,floors!$1:$1,0)+1,FALSE)</f>
        <v>60</v>
      </c>
      <c r="K97" s="32" t="s">
        <v>245</v>
      </c>
      <c r="L97" s="97">
        <v>531</v>
      </c>
      <c r="M97" s="14" t="str">
        <f ca="1">VLOOKUP($L97,OFFSET([3]enemies!$A$1,0,0,COUNTA([3]enemies!$A:$A),MATCH(M$1,[3]enemies!$1:$1,0)-MATCH($L$1,[3]enemies!$1:$1,0)+1),MATCH(M$1,[3]enemies!$1:$1,0)-MATCH($L$1,[3]enemies!$1:$1,0)+1,FALSE)</f>
        <v>冬服ポチ</v>
      </c>
      <c r="N97" s="14" t="str">
        <f ca="1">VLOOKUP($L97,OFFSET([3]enemies!$A$1,0,0,COUNTA([3]enemies!$A:$A),MATCH(N$1,[3]enemies!$1:$1,0)-MATCH($L$1,[3]enemies!$1:$1,0)+1),MATCH(N$1,[3]enemies!$1:$1,0)-MATCH($L$1,[3]enemies!$1:$1,0)+1,FALSE)</f>
        <v>blue</v>
      </c>
      <c r="O97" s="14" t="str">
        <f ca="1">VLOOKUP($L97,OFFSET([4]characters!$A$1,0,0,COUNTA([4]characters!$A:$A),MATCH(O$1,[4]characters!$1:$1,0)-MATCH($L$1,[4]characters!$1:$1,0)+1),MATCH(O$1,[4]characters!$1:$1,0)-MATCH($L$1,[4]characters!$1:$1,0)+1,FALSE)</f>
        <v>Drop1T</v>
      </c>
      <c r="P97" s="14" t="str">
        <f ca="1">VLOOKUP($L97,OFFSET([3]enemies!$A$1,0,0,COUNTA([3]enemies!$A:$A),MATCH(P$1,[3]enemies!$1:$1,0)-MATCH($L$1,[3]enemies!$1:$1,0)+1),MATCH(P$1,[3]enemies!$1:$1,0)-MATCH($L$1,[3]enemies!$1:$1,0)+1,FALSE)</f>
        <v>unknown</v>
      </c>
      <c r="Q97" s="14">
        <f ca="1">VLOOKUP($L97,OFFSET([3]enemies!$A$1,0,0,COUNTA([3]enemies!$A:$A),MATCH(Q$1,[3]enemies!$1:$1,0)-MATCH($L$1,[3]enemies!$1:$1,0)+1),MATCH(Q$1,[3]enemies!$1:$1,0)-MATCH($L$1,[3]enemies!$1:$1,0)+1,FALSE)</f>
        <v>15</v>
      </c>
      <c r="R97" s="5">
        <v>60</v>
      </c>
      <c r="S97" s="19">
        <v>1.5</v>
      </c>
      <c r="T97" s="92">
        <f ca="1">ROUND(VLOOKUP(R97,[3]enemy_base_stats!$A:$F,2,FALSE) *INDIRECT("[EnemyMasterData.xlsm]enemies!Y"&amp;(L97+1))*  INDIRECT("[EnemyMasterData.xlsm]enemies!J"&amp;(L97+1))* INDIRECT("[EnemyMasterData.xlsm]enemies!O"&amp;(L97+1))* INDIRECT("[EnemyMasterData.xlsm]enemies!E"&amp;(L97+1))* INDIRECT("[EnemyMasterData.xlsm]enemies!S"&amp;(L97+1))* INDIRECT("[EnemyMasterData.xlsm]enemies!AD"&amp;(L97+1))*[4]ステータス!$B$2,0)*S97</f>
        <v>14760</v>
      </c>
      <c r="U97" s="19">
        <v>0.8</v>
      </c>
      <c r="V97" s="92">
        <f ca="1">ROUND(VLOOKUP(R97,[3]enemy_base_stats!$A:$F,3,FALSE) *INDIRECT("[EnemyMasterData.xlsm]enemies!Z"&amp;(L97+1))*  INDIRECT("[EnemyMasterData.xlsm]enemies!K"&amp;(L97+1))* INDIRECT("[EnemyMasterData.xlsm]enemies!P"&amp;(L97+1))* INDIRECT("[EnemyMasterData.xlsm]enemies!F"&amp;(L97+1))* INDIRECT("[EnemyMasterData.xlsm]enemies!T"&amp;(L97+1))* INDIRECT("[EnemyMasterData.xlsm]enemies!AE"&amp;(L97+1))*[4]ステータス!$C$2,0)*U97</f>
        <v>2256.8000000000002</v>
      </c>
      <c r="W97" s="5">
        <v>0</v>
      </c>
      <c r="X97" s="4" t="e">
        <f ca="1">VLOOKUP($Y97,OFFSET(enemy_skill_sets!$B$1,0,0,COUNTA(enemy_skill_sets!$B:$B),MATCH(M$1,enemy_skill_sets!$1:$1,0)-MATCH($Y$1,enemy_skill_sets!$1:$1,0)+2),MATCH(M$1,enemy_skill_sets!$1:$1,0)-MATCH($Y$1,enemy_skill_sets!$1:$1,0)+2,FALSE)</f>
        <v>#N/A</v>
      </c>
      <c r="Y97" s="4">
        <f ca="1">VLOOKUP($L97,OFFSET([3]enemies!$A$1,0,0,COUNTA([3]enemies!$A:$A),MATCH(Y$1,[3]enemies!$1:$1,0)-MATCH($L$1,[3]enemies!$1:$1,0)+1),MATCH(Y$1,[3]enemies!$1:$1,0)-MATCH($L$1,[3]enemies!$1:$1,0)+1,FALSE)</f>
        <v>0</v>
      </c>
      <c r="Z97" s="6">
        <v>0</v>
      </c>
      <c r="AA97" s="6">
        <v>100</v>
      </c>
      <c r="AB97" s="6">
        <v>2</v>
      </c>
      <c r="AC97" s="14">
        <v>3</v>
      </c>
      <c r="AD97" s="98">
        <f t="shared" si="13"/>
        <v>531</v>
      </c>
      <c r="AE97" s="4" t="str">
        <f ca="1">VLOOKUP($AD97,OFFSET([4]characters!$A$1,0,0,COUNTA([4]characters!$A:$A),MATCH(AE$1,[4]characters!$1:$1,0)-MATCH("character_id",[4]characters!$1:$1,0)+1),MATCH(AE$1,[4]characters!$1:$1,0)-MATCH("character_id",[4]characters!$1:$1,0)+1,FALSE)</f>
        <v>冬服ポチ</v>
      </c>
      <c r="AF97" s="4">
        <f ca="1">VLOOKUP($AD97,OFFSET([4]characters!$A$1,0,0,COUNTA([4]characters!$A:$A),MATCH(AF$1,[4]characters!$1:$1,0)-MATCH("character_id",[4]characters!$1:$1,0)+1),MATCH(AF$1,[4]characters!$1:$1,0)-MATCH("character_id",[4]characters!$1:$1,0)+1,FALSE)</f>
        <v>1</v>
      </c>
      <c r="AG97" s="4" t="str">
        <f ca="1">VLOOKUP($AD97,OFFSET([4]characters!$A$1,0,0,COUNTA([4]characters!$A:$A),MATCH(AG$1,[4]characters!$1:$1,0)-MATCH("character_id",[4]characters!$1:$1,0)+1),MATCH(AG$1,[4]characters!$1:$1,0)-MATCH("character_id",[4]characters!$1:$1,0)+1,FALSE)</f>
        <v>Drop1T</v>
      </c>
      <c r="AH97" s="94">
        <v>1</v>
      </c>
      <c r="AI97" s="98">
        <f t="shared" ca="1" si="14"/>
        <v>1</v>
      </c>
      <c r="AJ97" s="7">
        <v>0</v>
      </c>
      <c r="AK97" s="94">
        <v>0</v>
      </c>
      <c r="AL97" s="94">
        <v>0</v>
      </c>
      <c r="AM97" s="94">
        <v>0</v>
      </c>
      <c r="AN97" s="94">
        <v>0</v>
      </c>
      <c r="AO97" s="94">
        <v>1</v>
      </c>
      <c r="AP97" s="62">
        <v>1</v>
      </c>
    </row>
    <row r="98" spans="1:42" ht="21" customHeight="1" x14ac:dyDescent="0.15">
      <c r="A98" s="13" t="str">
        <f t="shared" si="10"/>
        <v>39008_5-2/534&lt;lv60&gt;s1</v>
      </c>
      <c r="B98" s="17">
        <v>39008</v>
      </c>
      <c r="C98" s="95">
        <v>5</v>
      </c>
      <c r="D98" s="12" t="str">
        <f t="shared" si="11"/>
        <v>39008_5</v>
      </c>
      <c r="E98" s="4" t="str">
        <f ca="1">VLOOKUP($B98,OFFSET([2]quests!$A$1,0,0,COUNTA([2]quests!$A:$A),MATCH(E$1,[2]quests!$1:$1,0)-MATCH($B$1,[2]quests!$1:$1,0)+1),MATCH(E$1,[2]quests!$1:$1,0)-MATCH($B$1,[2]quests!$1:$1,0)+1,FALSE)</f>
        <v>雪の歌姫</v>
      </c>
      <c r="F98" s="4" t="str">
        <f ca="1">VLOOKUP($D98,OFFSET([2]stages!$A$1,0,0,COUNTA([2]stages!$A:$A),MATCH(F$1,[2]stages!$2:$2,0)-MATCH($D$1,[2]stages!$2:$2,0)+1),MATCH(F$1,[2]stages!$2:$2,0)-MATCH($D$1,[2]stages!$2:$2,0)+1,FALSE)</f>
        <v>【超絶級】雪の歌姫</v>
      </c>
      <c r="G98" s="104">
        <v>2</v>
      </c>
      <c r="H98" s="12" t="str">
        <f t="shared" si="12"/>
        <v>39008_5-2</v>
      </c>
      <c r="I98" s="4">
        <f ca="1">VLOOKUP($H98,OFFSET(floors!$A$1,0,0,COUNTA(floors!$A:$A),MATCH(I$1,floors!$1:$1,0)-MATCH($H$1,floors!$1:$1,0)+1),MATCH(I$1,floors!$1:$1,0)-MATCH($H$1,floors!$1:$1,0)+1,FALSE)</f>
        <v>60</v>
      </c>
      <c r="J98" s="4">
        <f ca="1">VLOOKUP($H98,OFFSET(floors!$A$1,0,0,COUNTA(floors!$A:$A),MATCH(J$1,floors!$1:$1,0)-MATCH($H$1,floors!$1:$1,0)+1),MATCH(J$1,floors!$1:$1,0)-MATCH($H$1,floors!$1:$1,0)+1,FALSE)</f>
        <v>60</v>
      </c>
      <c r="K98" s="32" t="s">
        <v>245</v>
      </c>
      <c r="L98" s="97">
        <v>534</v>
      </c>
      <c r="M98" s="14" t="str">
        <f ca="1">VLOOKUP($L98,OFFSET([3]enemies!$A$1,0,0,COUNTA([3]enemies!$A:$A),MATCH(M$1,[3]enemies!$1:$1,0)-MATCH($L$1,[3]enemies!$1:$1,0)+1),MATCH(M$1,[3]enemies!$1:$1,0)-MATCH($L$1,[3]enemies!$1:$1,0)+1,FALSE)</f>
        <v>冬服パトライン</v>
      </c>
      <c r="N98" s="14" t="str">
        <f ca="1">VLOOKUP($L98,OFFSET([3]enemies!$A$1,0,0,COUNTA([3]enemies!$A:$A),MATCH(N$1,[3]enemies!$1:$1,0)-MATCH($L$1,[3]enemies!$1:$1,0)+1),MATCH(N$1,[3]enemies!$1:$1,0)-MATCH($L$1,[3]enemies!$1:$1,0)+1,FALSE)</f>
        <v>green</v>
      </c>
      <c r="O98" s="14" t="str">
        <f ca="1">VLOOKUP($L98,OFFSET([4]characters!$A$1,0,0,COUNTA([4]characters!$A:$A),MATCH(O$1,[4]characters!$1:$1,0)-MATCH($L$1,[4]characters!$1:$1,0)+1),MATCH(O$1,[4]characters!$1:$1,0)-MATCH($L$1,[4]characters!$1:$1,0)+1,FALSE)</f>
        <v>Drop1W</v>
      </c>
      <c r="P98" s="14" t="str">
        <f ca="1">VLOOKUP($L98,OFFSET([3]enemies!$A$1,0,0,COUNTA([3]enemies!$A:$A),MATCH(P$1,[3]enemies!$1:$1,0)-MATCH($L$1,[3]enemies!$1:$1,0)+1),MATCH(P$1,[3]enemies!$1:$1,0)-MATCH($L$1,[3]enemies!$1:$1,0)+1,FALSE)</f>
        <v>machine</v>
      </c>
      <c r="Q98" s="14">
        <f ca="1">VLOOKUP($L98,OFFSET([3]enemies!$A$1,0,0,COUNTA([3]enemies!$A:$A),MATCH(Q$1,[3]enemies!$1:$1,0)-MATCH($L$1,[3]enemies!$1:$1,0)+1),MATCH(Q$1,[3]enemies!$1:$1,0)-MATCH($L$1,[3]enemies!$1:$1,0)+1,FALSE)</f>
        <v>15</v>
      </c>
      <c r="R98" s="5">
        <v>60</v>
      </c>
      <c r="S98" s="19">
        <v>1.5</v>
      </c>
      <c r="T98" s="92">
        <f ca="1">ROUND(VLOOKUP(R98,[3]enemy_base_stats!$A:$F,2,FALSE) *INDIRECT("[EnemyMasterData.xlsm]enemies!Y"&amp;(L98+1))*  INDIRECT("[EnemyMasterData.xlsm]enemies!J"&amp;(L98+1))* INDIRECT("[EnemyMasterData.xlsm]enemies!O"&amp;(L98+1))* INDIRECT("[EnemyMasterData.xlsm]enemies!E"&amp;(L98+1))* INDIRECT("[EnemyMasterData.xlsm]enemies!S"&amp;(L98+1))* INDIRECT("[EnemyMasterData.xlsm]enemies!AD"&amp;(L98+1))*[4]ステータス!$B$2,0)*S98</f>
        <v>15055.5</v>
      </c>
      <c r="U98" s="19">
        <v>0.6</v>
      </c>
      <c r="V98" s="92">
        <f ca="1">ROUND(VLOOKUP(R98,[3]enemy_base_stats!$A:$F,3,FALSE) *INDIRECT("[EnemyMasterData.xlsm]enemies!Z"&amp;(L98+1))*  INDIRECT("[EnemyMasterData.xlsm]enemies!K"&amp;(L98+1))* INDIRECT("[EnemyMasterData.xlsm]enemies!P"&amp;(L98+1))* INDIRECT("[EnemyMasterData.xlsm]enemies!F"&amp;(L98+1))* INDIRECT("[EnemyMasterData.xlsm]enemies!T"&amp;(L98+1))* INDIRECT("[EnemyMasterData.xlsm]enemies!AE"&amp;(L98+1))*[4]ステータス!$C$2,0)*U98</f>
        <v>1692.6</v>
      </c>
      <c r="W98" s="5">
        <v>0</v>
      </c>
      <c r="X98" s="4" t="str">
        <f ca="1">VLOOKUP($Y98,OFFSET(enemy_skill_sets!$B$1,0,0,COUNTA(enemy_skill_sets!$B:$B),MATCH(M$1,enemy_skill_sets!$1:$1,0)-MATCH($Y$1,enemy_skill_sets!$1:$1,0)+2),MATCH(M$1,enemy_skill_sets!$1:$1,0)-MATCH($Y$1,enemy_skill_sets!$1:$1,0)+2,FALSE)</f>
        <v>全体回復</v>
      </c>
      <c r="Y98" s="110">
        <v>39008014</v>
      </c>
      <c r="Z98" s="6">
        <v>0</v>
      </c>
      <c r="AA98" s="6">
        <v>100</v>
      </c>
      <c r="AB98" s="6">
        <v>0</v>
      </c>
      <c r="AC98" s="14">
        <v>1</v>
      </c>
      <c r="AD98" s="98">
        <f t="shared" si="13"/>
        <v>534</v>
      </c>
      <c r="AE98" s="4" t="str">
        <f ca="1">VLOOKUP($AD98,OFFSET([4]characters!$A$1,0,0,COUNTA([4]characters!$A:$A),MATCH(AE$1,[4]characters!$1:$1,0)-MATCH("character_id",[4]characters!$1:$1,0)+1),MATCH(AE$1,[4]characters!$1:$1,0)-MATCH("character_id",[4]characters!$1:$1,0)+1,FALSE)</f>
        <v>冬服パトライン</v>
      </c>
      <c r="AF98" s="4">
        <f ca="1">VLOOKUP($AD98,OFFSET([4]characters!$A$1,0,0,COUNTA([4]characters!$A:$A),MATCH(AF$1,[4]characters!$1:$1,0)-MATCH("character_id",[4]characters!$1:$1,0)+1),MATCH(AF$1,[4]characters!$1:$1,0)-MATCH("character_id",[4]characters!$1:$1,0)+1,FALSE)</f>
        <v>1</v>
      </c>
      <c r="AG98" s="4" t="str">
        <f ca="1">VLOOKUP($AD98,OFFSET([4]characters!$A$1,0,0,COUNTA([4]characters!$A:$A),MATCH(AG$1,[4]characters!$1:$1,0)-MATCH("character_id",[4]characters!$1:$1,0)+1),MATCH(AG$1,[4]characters!$1:$1,0)-MATCH("character_id",[4]characters!$1:$1,0)+1,FALSE)</f>
        <v>Drop1W</v>
      </c>
      <c r="AH98" s="94">
        <v>1</v>
      </c>
      <c r="AI98" s="98">
        <f t="shared" ca="1" si="14"/>
        <v>1</v>
      </c>
      <c r="AJ98" s="7">
        <v>0</v>
      </c>
      <c r="AK98" s="94">
        <v>0</v>
      </c>
      <c r="AL98" s="94">
        <v>0</v>
      </c>
      <c r="AM98" s="94">
        <v>0</v>
      </c>
      <c r="AN98" s="94">
        <v>0</v>
      </c>
      <c r="AO98" s="94">
        <v>1</v>
      </c>
      <c r="AP98" s="62">
        <v>1</v>
      </c>
    </row>
    <row r="99" spans="1:42" ht="21" customHeight="1" x14ac:dyDescent="0.15">
      <c r="A99" s="13" t="str">
        <f t="shared" si="10"/>
        <v>39008_5-2/536&lt;lv60&gt;s1</v>
      </c>
      <c r="B99" s="17">
        <v>39008</v>
      </c>
      <c r="C99" s="95">
        <v>5</v>
      </c>
      <c r="D99" s="12" t="str">
        <f t="shared" si="11"/>
        <v>39008_5</v>
      </c>
      <c r="E99" s="4" t="str">
        <f ca="1">VLOOKUP($B99,OFFSET([2]quests!$A$1,0,0,COUNTA([2]quests!$A:$A),MATCH(E$1,[2]quests!$1:$1,0)-MATCH($B$1,[2]quests!$1:$1,0)+1),MATCH(E$1,[2]quests!$1:$1,0)-MATCH($B$1,[2]quests!$1:$1,0)+1,FALSE)</f>
        <v>雪の歌姫</v>
      </c>
      <c r="F99" s="4" t="str">
        <f ca="1">VLOOKUP($D99,OFFSET([2]stages!$A$1,0,0,COUNTA([2]stages!$A:$A),MATCH(F$1,[2]stages!$2:$2,0)-MATCH($D$1,[2]stages!$2:$2,0)+1),MATCH(F$1,[2]stages!$2:$2,0)-MATCH($D$1,[2]stages!$2:$2,0)+1,FALSE)</f>
        <v>【超絶級】雪の歌姫</v>
      </c>
      <c r="G99" s="104">
        <v>2</v>
      </c>
      <c r="H99" s="12" t="str">
        <f t="shared" si="12"/>
        <v>39008_5-2</v>
      </c>
      <c r="I99" s="4">
        <f ca="1">VLOOKUP($H99,OFFSET(floors!$A$1,0,0,COUNTA(floors!$A:$A),MATCH(I$1,floors!$1:$1,0)-MATCH($H$1,floors!$1:$1,0)+1),MATCH(I$1,floors!$1:$1,0)-MATCH($H$1,floors!$1:$1,0)+1,FALSE)</f>
        <v>60</v>
      </c>
      <c r="J99" s="4">
        <f ca="1">VLOOKUP($H99,OFFSET(floors!$A$1,0,0,COUNTA(floors!$A:$A),MATCH(J$1,floors!$1:$1,0)-MATCH($H$1,floors!$1:$1,0)+1),MATCH(J$1,floors!$1:$1,0)-MATCH($H$1,floors!$1:$1,0)+1,FALSE)</f>
        <v>60</v>
      </c>
      <c r="K99" s="32" t="s">
        <v>245</v>
      </c>
      <c r="L99" s="97">
        <v>536</v>
      </c>
      <c r="M99" s="14" t="str">
        <f ca="1">VLOOKUP($L99,OFFSET([3]enemies!$A$1,0,0,COUNTA([3]enemies!$A:$A),MATCH(M$1,[3]enemies!$1:$1,0)-MATCH($L$1,[3]enemies!$1:$1,0)+1),MATCH(M$1,[3]enemies!$1:$1,0)-MATCH($L$1,[3]enemies!$1:$1,0)+1,FALSE)</f>
        <v>冬服ミミ</v>
      </c>
      <c r="N99" s="14" t="str">
        <f ca="1">VLOOKUP($L99,OFFSET([3]enemies!$A$1,0,0,COUNTA([3]enemies!$A:$A),MATCH(N$1,[3]enemies!$1:$1,0)-MATCH($L$1,[3]enemies!$1:$1,0)+1),MATCH(N$1,[3]enemies!$1:$1,0)-MATCH($L$1,[3]enemies!$1:$1,0)+1,FALSE)</f>
        <v>yellow</v>
      </c>
      <c r="O99" s="14" t="str">
        <f ca="1">VLOOKUP($L99,OFFSET([4]characters!$A$1,0,0,COUNTA([4]characters!$A:$A),MATCH(O$1,[4]characters!$1:$1,0)-MATCH($L$1,[4]characters!$1:$1,0)+1),MATCH(O$1,[4]characters!$1:$1,0)-MATCH($L$1,[4]characters!$1:$1,0)+1,FALSE)</f>
        <v>Drop1W</v>
      </c>
      <c r="P99" s="14" t="str">
        <f ca="1">VLOOKUP($L99,OFFSET([3]enemies!$A$1,0,0,COUNTA([3]enemies!$A:$A),MATCH(P$1,[3]enemies!$1:$1,0)-MATCH($L$1,[3]enemies!$1:$1,0)+1),MATCH(P$1,[3]enemies!$1:$1,0)-MATCH($L$1,[3]enemies!$1:$1,0)+1,FALSE)</f>
        <v>animal</v>
      </c>
      <c r="Q99" s="14">
        <f ca="1">VLOOKUP($L99,OFFSET([3]enemies!$A$1,0,0,COUNTA([3]enemies!$A:$A),MATCH(Q$1,[3]enemies!$1:$1,0)-MATCH($L$1,[3]enemies!$1:$1,0)+1),MATCH(Q$1,[3]enemies!$1:$1,0)-MATCH($L$1,[3]enemies!$1:$1,0)+1,FALSE)</f>
        <v>15</v>
      </c>
      <c r="R99" s="5">
        <v>60</v>
      </c>
      <c r="S99" s="19">
        <v>1.5</v>
      </c>
      <c r="T99" s="92">
        <f ca="1">ROUND(VLOOKUP(R99,[3]enemy_base_stats!$A:$F,2,FALSE) *INDIRECT("[EnemyMasterData.xlsm]enemies!Y"&amp;(L99+1))*  INDIRECT("[EnemyMasterData.xlsm]enemies!J"&amp;(L99+1))* INDIRECT("[EnemyMasterData.xlsm]enemies!O"&amp;(L99+1))* INDIRECT("[EnemyMasterData.xlsm]enemies!E"&amp;(L99+1))* INDIRECT("[EnemyMasterData.xlsm]enemies!S"&amp;(L99+1))* INDIRECT("[EnemyMasterData.xlsm]enemies!AD"&amp;(L99+1))*[4]ステータス!$B$2,0)*S99</f>
        <v>18081</v>
      </c>
      <c r="U99" s="19">
        <v>0.4</v>
      </c>
      <c r="V99" s="92">
        <f ca="1">ROUND(VLOOKUP(R99,[3]enemy_base_stats!$A:$F,3,FALSE) *INDIRECT("[EnemyMasterData.xlsm]enemies!Z"&amp;(L99+1))*  INDIRECT("[EnemyMasterData.xlsm]enemies!K"&amp;(L99+1))* INDIRECT("[EnemyMasterData.xlsm]enemies!P"&amp;(L99+1))* INDIRECT("[EnemyMasterData.xlsm]enemies!F"&amp;(L99+1))* INDIRECT("[EnemyMasterData.xlsm]enemies!T"&amp;(L99+1))* INDIRECT("[EnemyMasterData.xlsm]enemies!AE"&amp;(L99+1))*[4]ステータス!$C$2,0)*U99</f>
        <v>2180.8000000000002</v>
      </c>
      <c r="W99" s="5">
        <v>0</v>
      </c>
      <c r="X99" s="4" t="e">
        <f ca="1">VLOOKUP($Y99,OFFSET(enemy_skill_sets!$B$1,0,0,COUNTA(enemy_skill_sets!$B:$B),MATCH(M$1,enemy_skill_sets!$1:$1,0)-MATCH($Y$1,enemy_skill_sets!$1:$1,0)+2),MATCH(M$1,enemy_skill_sets!$1:$1,0)-MATCH($Y$1,enemy_skill_sets!$1:$1,0)+2,FALSE)</f>
        <v>#N/A</v>
      </c>
      <c r="Y99" s="4">
        <f ca="1">VLOOKUP($L99,OFFSET([3]enemies!$A$1,0,0,COUNTA([3]enemies!$A:$A),MATCH(Y$1,[3]enemies!$1:$1,0)-MATCH($L$1,[3]enemies!$1:$1,0)+1),MATCH(Y$1,[3]enemies!$1:$1,0)-MATCH($L$1,[3]enemies!$1:$1,0)+1,FALSE)</f>
        <v>0</v>
      </c>
      <c r="Z99" s="6">
        <v>0</v>
      </c>
      <c r="AA99" s="6">
        <v>100</v>
      </c>
      <c r="AB99" s="6">
        <v>0</v>
      </c>
      <c r="AC99" s="14">
        <v>1</v>
      </c>
      <c r="AD99" s="98">
        <f t="shared" si="13"/>
        <v>536</v>
      </c>
      <c r="AE99" s="4" t="str">
        <f ca="1">VLOOKUP($AD99,OFFSET([4]characters!$A$1,0,0,COUNTA([4]characters!$A:$A),MATCH(AE$1,[4]characters!$1:$1,0)-MATCH("character_id",[4]characters!$1:$1,0)+1),MATCH(AE$1,[4]characters!$1:$1,0)-MATCH("character_id",[4]characters!$1:$1,0)+1,FALSE)</f>
        <v>冬服ミミ</v>
      </c>
      <c r="AF99" s="4">
        <f ca="1">VLOOKUP($AD99,OFFSET([4]characters!$A$1,0,0,COUNTA([4]characters!$A:$A),MATCH(AF$1,[4]characters!$1:$1,0)-MATCH("character_id",[4]characters!$1:$1,0)+1),MATCH(AF$1,[4]characters!$1:$1,0)-MATCH("character_id",[4]characters!$1:$1,0)+1,FALSE)</f>
        <v>1</v>
      </c>
      <c r="AG99" s="4" t="str">
        <f ca="1">VLOOKUP($AD99,OFFSET([4]characters!$A$1,0,0,COUNTA([4]characters!$A:$A),MATCH(AG$1,[4]characters!$1:$1,0)-MATCH("character_id",[4]characters!$1:$1,0)+1),MATCH(AG$1,[4]characters!$1:$1,0)-MATCH("character_id",[4]characters!$1:$1,0)+1,FALSE)</f>
        <v>Drop1W</v>
      </c>
      <c r="AH99" s="94">
        <v>1</v>
      </c>
      <c r="AI99" s="98">
        <f t="shared" ca="1" si="14"/>
        <v>1</v>
      </c>
      <c r="AJ99" s="7">
        <v>0</v>
      </c>
      <c r="AK99" s="94">
        <v>0</v>
      </c>
      <c r="AL99" s="94">
        <v>0</v>
      </c>
      <c r="AM99" s="94">
        <v>0</v>
      </c>
      <c r="AN99" s="94">
        <v>0</v>
      </c>
      <c r="AO99" s="94">
        <v>1</v>
      </c>
      <c r="AP99" s="62">
        <v>1</v>
      </c>
    </row>
    <row r="100" spans="1:42" ht="21" customHeight="1" x14ac:dyDescent="0.15">
      <c r="A100" s="13" t="str">
        <f t="shared" si="10"/>
        <v>39008_5-3/529&lt;lv63&gt;s1</v>
      </c>
      <c r="B100" s="17">
        <v>39008</v>
      </c>
      <c r="C100" s="95">
        <v>5</v>
      </c>
      <c r="D100" s="12" t="str">
        <f t="shared" si="11"/>
        <v>39008_5</v>
      </c>
      <c r="E100" s="4" t="str">
        <f ca="1">VLOOKUP($B100,OFFSET([2]quests!$A$1,0,0,COUNTA([2]quests!$A:$A),MATCH(E$1,[2]quests!$1:$1,0)-MATCH($B$1,[2]quests!$1:$1,0)+1),MATCH(E$1,[2]quests!$1:$1,0)-MATCH($B$1,[2]quests!$1:$1,0)+1,FALSE)</f>
        <v>雪の歌姫</v>
      </c>
      <c r="F100" s="4" t="str">
        <f ca="1">VLOOKUP($D100,OFFSET([2]stages!$A$1,0,0,COUNTA([2]stages!$A:$A),MATCH(F$1,[2]stages!$2:$2,0)-MATCH($D$1,[2]stages!$2:$2,0)+1),MATCH(F$1,[2]stages!$2:$2,0)-MATCH($D$1,[2]stages!$2:$2,0)+1,FALSE)</f>
        <v>【超絶級】雪の歌姫</v>
      </c>
      <c r="G100" s="99">
        <v>3</v>
      </c>
      <c r="H100" s="12" t="str">
        <f t="shared" si="12"/>
        <v>39008_5-3</v>
      </c>
      <c r="I100" s="4">
        <f ca="1">VLOOKUP($H100,OFFSET(floors!$A$1,0,0,COUNTA(floors!$A:$A),MATCH(I$1,floors!$1:$1,0)-MATCH($H$1,floors!$1:$1,0)+1),MATCH(I$1,floors!$1:$1,0)-MATCH($H$1,floors!$1:$1,0)+1,FALSE)</f>
        <v>60</v>
      </c>
      <c r="J100" s="4">
        <f ca="1">VLOOKUP($H100,OFFSET(floors!$A$1,0,0,COUNTA(floors!$A:$A),MATCH(J$1,floors!$1:$1,0)-MATCH($H$1,floors!$1:$1,0)+1),MATCH(J$1,floors!$1:$1,0)-MATCH($H$1,floors!$1:$1,0)+1,FALSE)</f>
        <v>60</v>
      </c>
      <c r="K100" s="32" t="s">
        <v>245</v>
      </c>
      <c r="L100" s="97">
        <v>529</v>
      </c>
      <c r="M100" s="14" t="str">
        <f ca="1">VLOOKUP($L100,OFFSET([3]enemies!$A$1,0,0,COUNTA([3]enemies!$A:$A),MATCH(M$1,[3]enemies!$1:$1,0)-MATCH($L$1,[3]enemies!$1:$1,0)+1),MATCH(M$1,[3]enemies!$1:$1,0)-MATCH($L$1,[3]enemies!$1:$1,0)+1,FALSE)</f>
        <v>冬服ジェリー</v>
      </c>
      <c r="N100" s="14" t="str">
        <f ca="1">VLOOKUP($L100,OFFSET([3]enemies!$A$1,0,0,COUNTA([3]enemies!$A:$A),MATCH(N$1,[3]enemies!$1:$1,0)-MATCH($L$1,[3]enemies!$1:$1,0)+1),MATCH(N$1,[3]enemies!$1:$1,0)-MATCH($L$1,[3]enemies!$1:$1,0)+1,FALSE)</f>
        <v>red</v>
      </c>
      <c r="O100" s="14" t="str">
        <f ca="1">VLOOKUP($L100,OFFSET([4]characters!$A$1,0,0,COUNTA([4]characters!$A:$A),MATCH(O$1,[4]characters!$1:$1,0)-MATCH($L$1,[4]characters!$1:$1,0)+1),MATCH(O$1,[4]characters!$1:$1,0)-MATCH($L$1,[4]characters!$1:$1,0)+1,FALSE)</f>
        <v>Drop1T</v>
      </c>
      <c r="P100" s="14" t="str">
        <f ca="1">VLOOKUP($L100,OFFSET([3]enemies!$A$1,0,0,COUNTA([3]enemies!$A:$A),MATCH(P$1,[3]enemies!$1:$1,0)-MATCH($L$1,[3]enemies!$1:$1,0)+1),MATCH(P$1,[3]enemies!$1:$1,0)-MATCH($L$1,[3]enemies!$1:$1,0)+1,FALSE)</f>
        <v>unknown</v>
      </c>
      <c r="Q100" s="14">
        <f ca="1">VLOOKUP($L100,OFFSET([3]enemies!$A$1,0,0,COUNTA([3]enemies!$A:$A),MATCH(Q$1,[3]enemies!$1:$1,0)-MATCH($L$1,[3]enemies!$1:$1,0)+1),MATCH(Q$1,[3]enemies!$1:$1,0)-MATCH($L$1,[3]enemies!$1:$1,0)+1,FALSE)</f>
        <v>15</v>
      </c>
      <c r="R100" s="5">
        <v>63</v>
      </c>
      <c r="S100" s="19">
        <v>1</v>
      </c>
      <c r="T100" s="92">
        <f ca="1">ROUND(VLOOKUP(R100,[3]enemy_base_stats!$A:$F,2,FALSE) *INDIRECT("[EnemyMasterData.xlsm]enemies!Y"&amp;(L100+1))*  INDIRECT("[EnemyMasterData.xlsm]enemies!J"&amp;(L100+1))* INDIRECT("[EnemyMasterData.xlsm]enemies!O"&amp;(L100+1))* INDIRECT("[EnemyMasterData.xlsm]enemies!E"&amp;(L100+1))* INDIRECT("[EnemyMasterData.xlsm]enemies!S"&amp;(L100+1))* INDIRECT("[EnemyMasterData.xlsm]enemies!AD"&amp;(L100+1))*[4]ステータス!$B$2,0)*S100</f>
        <v>12900</v>
      </c>
      <c r="U100" s="19">
        <v>0.4</v>
      </c>
      <c r="V100" s="92">
        <f ca="1">ROUND(VLOOKUP(R100,[3]enemy_base_stats!$A:$F,3,FALSE) *INDIRECT("[EnemyMasterData.xlsm]enemies!Z"&amp;(L100+1))*  INDIRECT("[EnemyMasterData.xlsm]enemies!K"&amp;(L100+1))* INDIRECT("[EnemyMasterData.xlsm]enemies!P"&amp;(L100+1))* INDIRECT("[EnemyMasterData.xlsm]enemies!F"&amp;(L100+1))* INDIRECT("[EnemyMasterData.xlsm]enemies!T"&amp;(L100+1))* INDIRECT("[EnemyMasterData.xlsm]enemies!AE"&amp;(L100+1))*[4]ステータス!$C$2,0)*U100</f>
        <v>2121.2000000000003</v>
      </c>
      <c r="W100" s="5">
        <v>0</v>
      </c>
      <c r="X100" s="4" t="e">
        <f ca="1">VLOOKUP($Y100,OFFSET(enemy_skill_sets!$B$1,0,0,COUNTA(enemy_skill_sets!$B:$B),MATCH(M$1,enemy_skill_sets!$1:$1,0)-MATCH($Y$1,enemy_skill_sets!$1:$1,0)+2),MATCH(M$1,enemy_skill_sets!$1:$1,0)-MATCH($Y$1,enemy_skill_sets!$1:$1,0)+2,FALSE)</f>
        <v>#N/A</v>
      </c>
      <c r="Y100" s="4">
        <f ca="1">VLOOKUP($L100,OFFSET([3]enemies!$A$1,0,0,COUNTA([3]enemies!$A:$A),MATCH(Y$1,[3]enemies!$1:$1,0)-MATCH($L$1,[3]enemies!$1:$1,0)+1),MATCH(Y$1,[3]enemies!$1:$1,0)-MATCH($L$1,[3]enemies!$1:$1,0)+1,FALSE)</f>
        <v>0</v>
      </c>
      <c r="Z100" s="6">
        <v>0</v>
      </c>
      <c r="AA100" s="6">
        <v>100</v>
      </c>
      <c r="AB100" s="6">
        <v>0</v>
      </c>
      <c r="AC100" s="14">
        <v>1</v>
      </c>
      <c r="AD100" s="98">
        <f t="shared" si="13"/>
        <v>529</v>
      </c>
      <c r="AE100" s="4" t="str">
        <f ca="1">VLOOKUP($AD100,OFFSET([4]characters!$A$1,0,0,COUNTA([4]characters!$A:$A),MATCH(AE$1,[4]characters!$1:$1,0)-MATCH("character_id",[4]characters!$1:$1,0)+1),MATCH(AE$1,[4]characters!$1:$1,0)-MATCH("character_id",[4]characters!$1:$1,0)+1,FALSE)</f>
        <v>冬服ジェリー</v>
      </c>
      <c r="AF100" s="4">
        <f ca="1">VLOOKUP($AD100,OFFSET([4]characters!$A$1,0,0,COUNTA([4]characters!$A:$A),MATCH(AF$1,[4]characters!$1:$1,0)-MATCH("character_id",[4]characters!$1:$1,0)+1),MATCH(AF$1,[4]characters!$1:$1,0)-MATCH("character_id",[4]characters!$1:$1,0)+1,FALSE)</f>
        <v>1</v>
      </c>
      <c r="AG100" s="4" t="str">
        <f ca="1">VLOOKUP($AD100,OFFSET([4]characters!$A$1,0,0,COUNTA([4]characters!$A:$A),MATCH(AG$1,[4]characters!$1:$1,0)-MATCH("character_id",[4]characters!$1:$1,0)+1),MATCH(AG$1,[4]characters!$1:$1,0)-MATCH("character_id",[4]characters!$1:$1,0)+1,FALSE)</f>
        <v>Drop1T</v>
      </c>
      <c r="AH100" s="94">
        <v>1</v>
      </c>
      <c r="AI100" s="98">
        <f t="shared" ca="1" si="14"/>
        <v>1</v>
      </c>
      <c r="AJ100" s="7">
        <v>20</v>
      </c>
      <c r="AK100" s="94">
        <v>0</v>
      </c>
      <c r="AL100" s="94">
        <v>0</v>
      </c>
      <c r="AM100" s="94">
        <v>0</v>
      </c>
      <c r="AN100" s="94">
        <v>0</v>
      </c>
      <c r="AO100" s="94">
        <v>1</v>
      </c>
      <c r="AP100" s="62">
        <v>1</v>
      </c>
    </row>
    <row r="101" spans="1:42" ht="21" customHeight="1" x14ac:dyDescent="0.15">
      <c r="A101" s="13" t="str">
        <f t="shared" si="10"/>
        <v>39008_5-3/530&lt;lv63&gt;s2</v>
      </c>
      <c r="B101" s="17">
        <v>39008</v>
      </c>
      <c r="C101" s="95">
        <v>5</v>
      </c>
      <c r="D101" s="12" t="str">
        <f t="shared" si="11"/>
        <v>39008_5</v>
      </c>
      <c r="E101" s="4" t="str">
        <f ca="1">VLOOKUP($B101,OFFSET([2]quests!$A$1,0,0,COUNTA([2]quests!$A:$A),MATCH(E$1,[2]quests!$1:$1,0)-MATCH($B$1,[2]quests!$1:$1,0)+1),MATCH(E$1,[2]quests!$1:$1,0)-MATCH($B$1,[2]quests!$1:$1,0)+1,FALSE)</f>
        <v>雪の歌姫</v>
      </c>
      <c r="F101" s="4" t="str">
        <f ca="1">VLOOKUP($D101,OFFSET([2]stages!$A$1,0,0,COUNTA([2]stages!$A:$A),MATCH(F$1,[2]stages!$2:$2,0)-MATCH($D$1,[2]stages!$2:$2,0)+1),MATCH(F$1,[2]stages!$2:$2,0)-MATCH($D$1,[2]stages!$2:$2,0)+1,FALSE)</f>
        <v>【超絶級】雪の歌姫</v>
      </c>
      <c r="G101" s="99">
        <v>3</v>
      </c>
      <c r="H101" s="12" t="str">
        <f t="shared" si="12"/>
        <v>39008_5-3</v>
      </c>
      <c r="I101" s="4">
        <f ca="1">VLOOKUP($H101,OFFSET(floors!$A$1,0,0,COUNTA(floors!$A:$A),MATCH(I$1,floors!$1:$1,0)-MATCH($H$1,floors!$1:$1,0)+1),MATCH(I$1,floors!$1:$1,0)-MATCH($H$1,floors!$1:$1,0)+1,FALSE)</f>
        <v>60</v>
      </c>
      <c r="J101" s="4">
        <f ca="1">VLOOKUP($H101,OFFSET(floors!$A$1,0,0,COUNTA(floors!$A:$A),MATCH(J$1,floors!$1:$1,0)-MATCH($H$1,floors!$1:$1,0)+1),MATCH(J$1,floors!$1:$1,0)-MATCH($H$1,floors!$1:$1,0)+1,FALSE)</f>
        <v>60</v>
      </c>
      <c r="K101" s="32" t="s">
        <v>245</v>
      </c>
      <c r="L101" s="97">
        <v>530</v>
      </c>
      <c r="M101" s="14" t="str">
        <f ca="1">VLOOKUP($L101,OFFSET([3]enemies!$A$1,0,0,COUNTA([3]enemies!$A:$A),MATCH(M$1,[3]enemies!$1:$1,0)-MATCH($L$1,[3]enemies!$1:$1,0)+1),MATCH(M$1,[3]enemies!$1:$1,0)-MATCH($L$1,[3]enemies!$1:$1,0)+1,FALSE)</f>
        <v>冬服ジョー</v>
      </c>
      <c r="N101" s="14" t="str">
        <f ca="1">VLOOKUP($L101,OFFSET([3]enemies!$A$1,0,0,COUNTA([3]enemies!$A:$A),MATCH(N$1,[3]enemies!$1:$1,0)-MATCH($L$1,[3]enemies!$1:$1,0)+1),MATCH(N$1,[3]enemies!$1:$1,0)-MATCH($L$1,[3]enemies!$1:$1,0)+1,FALSE)</f>
        <v>green</v>
      </c>
      <c r="O101" s="14" t="str">
        <f ca="1">VLOOKUP($L101,OFFSET([4]characters!$A$1,0,0,COUNTA([4]characters!$A:$A),MATCH(O$1,[4]characters!$1:$1,0)-MATCH($L$1,[4]characters!$1:$1,0)+1),MATCH(O$1,[4]characters!$1:$1,0)-MATCH($L$1,[4]characters!$1:$1,0)+1,FALSE)</f>
        <v>Drop1T</v>
      </c>
      <c r="P101" s="14" t="str">
        <f ca="1">VLOOKUP($L101,OFFSET([3]enemies!$A$1,0,0,COUNTA([3]enemies!$A:$A),MATCH(P$1,[3]enemies!$1:$1,0)-MATCH($L$1,[3]enemies!$1:$1,0)+1),MATCH(P$1,[3]enemies!$1:$1,0)-MATCH($L$1,[3]enemies!$1:$1,0)+1,FALSE)</f>
        <v>unknown</v>
      </c>
      <c r="Q101" s="14">
        <f ca="1">VLOOKUP($L101,OFFSET([3]enemies!$A$1,0,0,COUNTA([3]enemies!$A:$A),MATCH(Q$1,[3]enemies!$1:$1,0)-MATCH($L$1,[3]enemies!$1:$1,0)+1),MATCH(Q$1,[3]enemies!$1:$1,0)-MATCH($L$1,[3]enemies!$1:$1,0)+1,FALSE)</f>
        <v>15</v>
      </c>
      <c r="R101" s="5">
        <v>63</v>
      </c>
      <c r="S101" s="19">
        <v>1</v>
      </c>
      <c r="T101" s="92">
        <f ca="1">ROUND(VLOOKUP(R101,[3]enemy_base_stats!$A:$F,2,FALSE) *INDIRECT("[EnemyMasterData.xlsm]enemies!Y"&amp;(L101+1))*  INDIRECT("[EnemyMasterData.xlsm]enemies!J"&amp;(L101+1))* INDIRECT("[EnemyMasterData.xlsm]enemies!O"&amp;(L101+1))* INDIRECT("[EnemyMasterData.xlsm]enemies!E"&amp;(L101+1))* INDIRECT("[EnemyMasterData.xlsm]enemies!S"&amp;(L101+1))* INDIRECT("[EnemyMasterData.xlsm]enemies!AD"&amp;(L101+1))*[4]ステータス!$B$2,0)*S101</f>
        <v>13158</v>
      </c>
      <c r="U101" s="19">
        <v>0.5</v>
      </c>
      <c r="V101" s="92">
        <f ca="1">ROUND(VLOOKUP(R101,[3]enemy_base_stats!$A:$F,3,FALSE) *INDIRECT("[EnemyMasterData.xlsm]enemies!Z"&amp;(L101+1))*  INDIRECT("[EnemyMasterData.xlsm]enemies!K"&amp;(L101+1))* INDIRECT("[EnemyMasterData.xlsm]enemies!P"&amp;(L101+1))* INDIRECT("[EnemyMasterData.xlsm]enemies!F"&amp;(L101+1))* INDIRECT("[EnemyMasterData.xlsm]enemies!T"&amp;(L101+1))* INDIRECT("[EnemyMasterData.xlsm]enemies!AE"&amp;(L101+1))*[4]ステータス!$C$2,0)*U101</f>
        <v>1896.5</v>
      </c>
      <c r="W101" s="5">
        <v>0</v>
      </c>
      <c r="X101" s="4" t="e">
        <f ca="1">VLOOKUP($Y101,OFFSET(enemy_skill_sets!$B$1,0,0,COUNTA(enemy_skill_sets!$B:$B),MATCH(M$1,enemy_skill_sets!$1:$1,0)-MATCH($Y$1,enemy_skill_sets!$1:$1,0)+2),MATCH(M$1,enemy_skill_sets!$1:$1,0)-MATCH($Y$1,enemy_skill_sets!$1:$1,0)+2,FALSE)</f>
        <v>#N/A</v>
      </c>
      <c r="Y101" s="4">
        <f ca="1">VLOOKUP($L101,OFFSET([3]enemies!$A$1,0,0,COUNTA([3]enemies!$A:$A),MATCH(Y$1,[3]enemies!$1:$1,0)-MATCH($L$1,[3]enemies!$1:$1,0)+1),MATCH(Y$1,[3]enemies!$1:$1,0)-MATCH($L$1,[3]enemies!$1:$1,0)+1,FALSE)</f>
        <v>0</v>
      </c>
      <c r="Z101" s="6">
        <v>0</v>
      </c>
      <c r="AA101" s="6">
        <v>100</v>
      </c>
      <c r="AB101" s="6">
        <v>0</v>
      </c>
      <c r="AC101" s="14">
        <v>2</v>
      </c>
      <c r="AD101" s="98">
        <f t="shared" si="13"/>
        <v>530</v>
      </c>
      <c r="AE101" s="4" t="str">
        <f ca="1">VLOOKUP($AD101,OFFSET([4]characters!$A$1,0,0,COUNTA([4]characters!$A:$A),MATCH(AE$1,[4]characters!$1:$1,0)-MATCH("character_id",[4]characters!$1:$1,0)+1),MATCH(AE$1,[4]characters!$1:$1,0)-MATCH("character_id",[4]characters!$1:$1,0)+1,FALSE)</f>
        <v>冬服ジョー</v>
      </c>
      <c r="AF101" s="4">
        <f ca="1">VLOOKUP($AD101,OFFSET([4]characters!$A$1,0,0,COUNTA([4]characters!$A:$A),MATCH(AF$1,[4]characters!$1:$1,0)-MATCH("character_id",[4]characters!$1:$1,0)+1),MATCH(AF$1,[4]characters!$1:$1,0)-MATCH("character_id",[4]characters!$1:$1,0)+1,FALSE)</f>
        <v>1</v>
      </c>
      <c r="AG101" s="4" t="str">
        <f ca="1">VLOOKUP($AD101,OFFSET([4]characters!$A$1,0,0,COUNTA([4]characters!$A:$A),MATCH(AG$1,[4]characters!$1:$1,0)-MATCH("character_id",[4]characters!$1:$1,0)+1),MATCH(AG$1,[4]characters!$1:$1,0)-MATCH("character_id",[4]characters!$1:$1,0)+1,FALSE)</f>
        <v>Drop1T</v>
      </c>
      <c r="AH101" s="94">
        <v>1</v>
      </c>
      <c r="AI101" s="98">
        <f t="shared" ca="1" si="14"/>
        <v>1</v>
      </c>
      <c r="AJ101" s="7">
        <v>20</v>
      </c>
      <c r="AK101" s="94">
        <v>0</v>
      </c>
      <c r="AL101" s="94">
        <v>0</v>
      </c>
      <c r="AM101" s="94">
        <v>0</v>
      </c>
      <c r="AN101" s="94">
        <v>0</v>
      </c>
      <c r="AO101" s="94">
        <v>1</v>
      </c>
      <c r="AP101" s="62">
        <v>1</v>
      </c>
    </row>
    <row r="102" spans="1:42" ht="21" customHeight="1" x14ac:dyDescent="0.15">
      <c r="A102" s="13" t="str">
        <f t="shared" si="10"/>
        <v>39008_5-3/531&lt;lv63&gt;s3</v>
      </c>
      <c r="B102" s="17">
        <v>39008</v>
      </c>
      <c r="C102" s="95">
        <v>5</v>
      </c>
      <c r="D102" s="12" t="str">
        <f t="shared" si="11"/>
        <v>39008_5</v>
      </c>
      <c r="E102" s="4" t="str">
        <f ca="1">VLOOKUP($B102,OFFSET([2]quests!$A$1,0,0,COUNTA([2]quests!$A:$A),MATCH(E$1,[2]quests!$1:$1,0)-MATCH($B$1,[2]quests!$1:$1,0)+1),MATCH(E$1,[2]quests!$1:$1,0)-MATCH($B$1,[2]quests!$1:$1,0)+1,FALSE)</f>
        <v>雪の歌姫</v>
      </c>
      <c r="F102" s="4" t="str">
        <f ca="1">VLOOKUP($D102,OFFSET([2]stages!$A$1,0,0,COUNTA([2]stages!$A:$A),MATCH(F$1,[2]stages!$2:$2,0)-MATCH($D$1,[2]stages!$2:$2,0)+1),MATCH(F$1,[2]stages!$2:$2,0)-MATCH($D$1,[2]stages!$2:$2,0)+1,FALSE)</f>
        <v>【超絶級】雪の歌姫</v>
      </c>
      <c r="G102" s="99">
        <v>3</v>
      </c>
      <c r="H102" s="12" t="str">
        <f t="shared" si="12"/>
        <v>39008_5-3</v>
      </c>
      <c r="I102" s="4">
        <f ca="1">VLOOKUP($H102,OFFSET(floors!$A$1,0,0,COUNTA(floors!$A:$A),MATCH(I$1,floors!$1:$1,0)-MATCH($H$1,floors!$1:$1,0)+1),MATCH(I$1,floors!$1:$1,0)-MATCH($H$1,floors!$1:$1,0)+1,FALSE)</f>
        <v>60</v>
      </c>
      <c r="J102" s="4">
        <f ca="1">VLOOKUP($H102,OFFSET(floors!$A$1,0,0,COUNTA(floors!$A:$A),MATCH(J$1,floors!$1:$1,0)-MATCH($H$1,floors!$1:$1,0)+1),MATCH(J$1,floors!$1:$1,0)-MATCH($H$1,floors!$1:$1,0)+1,FALSE)</f>
        <v>60</v>
      </c>
      <c r="K102" s="32" t="s">
        <v>245</v>
      </c>
      <c r="L102" s="97">
        <v>531</v>
      </c>
      <c r="M102" s="14" t="str">
        <f ca="1">VLOOKUP($L102,OFFSET([3]enemies!$A$1,0,0,COUNTA([3]enemies!$A:$A),MATCH(M$1,[3]enemies!$1:$1,0)-MATCH($L$1,[3]enemies!$1:$1,0)+1),MATCH(M$1,[3]enemies!$1:$1,0)-MATCH($L$1,[3]enemies!$1:$1,0)+1,FALSE)</f>
        <v>冬服ポチ</v>
      </c>
      <c r="N102" s="14" t="str">
        <f ca="1">VLOOKUP($L102,OFFSET([3]enemies!$A$1,0,0,COUNTA([3]enemies!$A:$A),MATCH(N$1,[3]enemies!$1:$1,0)-MATCH($L$1,[3]enemies!$1:$1,0)+1),MATCH(N$1,[3]enemies!$1:$1,0)-MATCH($L$1,[3]enemies!$1:$1,0)+1,FALSE)</f>
        <v>blue</v>
      </c>
      <c r="O102" s="14" t="str">
        <f ca="1">VLOOKUP($L102,OFFSET([4]characters!$A$1,0,0,COUNTA([4]characters!$A:$A),MATCH(O$1,[4]characters!$1:$1,0)-MATCH($L$1,[4]characters!$1:$1,0)+1),MATCH(O$1,[4]characters!$1:$1,0)-MATCH($L$1,[4]characters!$1:$1,0)+1,FALSE)</f>
        <v>Drop1T</v>
      </c>
      <c r="P102" s="14" t="str">
        <f ca="1">VLOOKUP($L102,OFFSET([3]enemies!$A$1,0,0,COUNTA([3]enemies!$A:$A),MATCH(P$1,[3]enemies!$1:$1,0)-MATCH($L$1,[3]enemies!$1:$1,0)+1),MATCH(P$1,[3]enemies!$1:$1,0)-MATCH($L$1,[3]enemies!$1:$1,0)+1,FALSE)</f>
        <v>unknown</v>
      </c>
      <c r="Q102" s="14">
        <f ca="1">VLOOKUP($L102,OFFSET([3]enemies!$A$1,0,0,COUNTA([3]enemies!$A:$A),MATCH(Q$1,[3]enemies!$1:$1,0)-MATCH($L$1,[3]enemies!$1:$1,0)+1),MATCH(Q$1,[3]enemies!$1:$1,0)-MATCH($L$1,[3]enemies!$1:$1,0)+1,FALSE)</f>
        <v>15</v>
      </c>
      <c r="R102" s="5">
        <v>63</v>
      </c>
      <c r="S102" s="19">
        <v>1</v>
      </c>
      <c r="T102" s="92">
        <f ca="1">ROUND(VLOOKUP(R102,[3]enemy_base_stats!$A:$F,2,FALSE) *INDIRECT("[EnemyMasterData.xlsm]enemies!Y"&amp;(L102+1))*  INDIRECT("[EnemyMasterData.xlsm]enemies!J"&amp;(L102+1))* INDIRECT("[EnemyMasterData.xlsm]enemies!O"&amp;(L102+1))* INDIRECT("[EnemyMasterData.xlsm]enemies!E"&amp;(L102+1))* INDIRECT("[EnemyMasterData.xlsm]enemies!S"&amp;(L102+1))* INDIRECT("[EnemyMasterData.xlsm]enemies!AD"&amp;(L102+1))*[4]ステータス!$B$2,0)*S102</f>
        <v>10320</v>
      </c>
      <c r="U102" s="19">
        <v>0.8</v>
      </c>
      <c r="V102" s="92">
        <f ca="1">ROUND(VLOOKUP(R102,[3]enemy_base_stats!$A:$F,3,FALSE) *INDIRECT("[EnemyMasterData.xlsm]enemies!Z"&amp;(L102+1))*  INDIRECT("[EnemyMasterData.xlsm]enemies!K"&amp;(L102+1))* INDIRECT("[EnemyMasterData.xlsm]enemies!P"&amp;(L102+1))* INDIRECT("[EnemyMasterData.xlsm]enemies!F"&amp;(L102+1))* INDIRECT("[EnemyMasterData.xlsm]enemies!T"&amp;(L102+1))* INDIRECT("[EnemyMasterData.xlsm]enemies!AE"&amp;(L102+1))*[4]ステータス!$C$2,0)*U102</f>
        <v>2366.4</v>
      </c>
      <c r="W102" s="5">
        <v>0</v>
      </c>
      <c r="X102" s="4" t="e">
        <f ca="1">VLOOKUP($Y102,OFFSET(enemy_skill_sets!$B$1,0,0,COUNTA(enemy_skill_sets!$B:$B),MATCH(M$1,enemy_skill_sets!$1:$1,0)-MATCH($Y$1,enemy_skill_sets!$1:$1,0)+2),MATCH(M$1,enemy_skill_sets!$1:$1,0)-MATCH($Y$1,enemy_skill_sets!$1:$1,0)+2,FALSE)</f>
        <v>#N/A</v>
      </c>
      <c r="Y102" s="4">
        <f ca="1">VLOOKUP($L102,OFFSET([3]enemies!$A$1,0,0,COUNTA([3]enemies!$A:$A),MATCH(Y$1,[3]enemies!$1:$1,0)-MATCH($L$1,[3]enemies!$1:$1,0)+1),MATCH(Y$1,[3]enemies!$1:$1,0)-MATCH($L$1,[3]enemies!$1:$1,0)+1,FALSE)</f>
        <v>0</v>
      </c>
      <c r="Z102" s="6">
        <v>0</v>
      </c>
      <c r="AA102" s="6">
        <v>100</v>
      </c>
      <c r="AB102" s="6">
        <v>0</v>
      </c>
      <c r="AC102" s="14">
        <v>3</v>
      </c>
      <c r="AD102" s="98">
        <f t="shared" si="13"/>
        <v>531</v>
      </c>
      <c r="AE102" s="4" t="str">
        <f ca="1">VLOOKUP($AD102,OFFSET([4]characters!$A$1,0,0,COUNTA([4]characters!$A:$A),MATCH(AE$1,[4]characters!$1:$1,0)-MATCH("character_id",[4]characters!$1:$1,0)+1),MATCH(AE$1,[4]characters!$1:$1,0)-MATCH("character_id",[4]characters!$1:$1,0)+1,FALSE)</f>
        <v>冬服ポチ</v>
      </c>
      <c r="AF102" s="4">
        <f ca="1">VLOOKUP($AD102,OFFSET([4]characters!$A$1,0,0,COUNTA([4]characters!$A:$A),MATCH(AF$1,[4]characters!$1:$1,0)-MATCH("character_id",[4]characters!$1:$1,0)+1),MATCH(AF$1,[4]characters!$1:$1,0)-MATCH("character_id",[4]characters!$1:$1,0)+1,FALSE)</f>
        <v>1</v>
      </c>
      <c r="AG102" s="4" t="str">
        <f ca="1">VLOOKUP($AD102,OFFSET([4]characters!$A$1,0,0,COUNTA([4]characters!$A:$A),MATCH(AG$1,[4]characters!$1:$1,0)-MATCH("character_id",[4]characters!$1:$1,0)+1),MATCH(AG$1,[4]characters!$1:$1,0)-MATCH("character_id",[4]characters!$1:$1,0)+1,FALSE)</f>
        <v>Drop1T</v>
      </c>
      <c r="AH102" s="94">
        <v>1</v>
      </c>
      <c r="AI102" s="98">
        <f t="shared" ca="1" si="14"/>
        <v>1</v>
      </c>
      <c r="AJ102" s="7">
        <v>20</v>
      </c>
      <c r="AK102" s="94">
        <v>0</v>
      </c>
      <c r="AL102" s="94">
        <v>0</v>
      </c>
      <c r="AM102" s="94">
        <v>0</v>
      </c>
      <c r="AN102" s="94">
        <v>0</v>
      </c>
      <c r="AO102" s="94">
        <v>1</v>
      </c>
      <c r="AP102" s="62">
        <v>1</v>
      </c>
    </row>
    <row r="103" spans="1:42" ht="21" customHeight="1" x14ac:dyDescent="0.15">
      <c r="A103" s="13" t="str">
        <f t="shared" si="10"/>
        <v>39008_5-3/532&lt;lv63&gt;s2</v>
      </c>
      <c r="B103" s="17">
        <v>39008</v>
      </c>
      <c r="C103" s="95">
        <v>5</v>
      </c>
      <c r="D103" s="12" t="str">
        <f t="shared" si="11"/>
        <v>39008_5</v>
      </c>
      <c r="E103" s="4" t="str">
        <f ca="1">VLOOKUP($B103,OFFSET([2]quests!$A$1,0,0,COUNTA([2]quests!$A:$A),MATCH(E$1,[2]quests!$1:$1,0)-MATCH($B$1,[2]quests!$1:$1,0)+1),MATCH(E$1,[2]quests!$1:$1,0)-MATCH($B$1,[2]quests!$1:$1,0)+1,FALSE)</f>
        <v>雪の歌姫</v>
      </c>
      <c r="F103" s="4" t="str">
        <f ca="1">VLOOKUP($D103,OFFSET([2]stages!$A$1,0,0,COUNTA([2]stages!$A:$A),MATCH(F$1,[2]stages!$2:$2,0)-MATCH($D$1,[2]stages!$2:$2,0)+1),MATCH(F$1,[2]stages!$2:$2,0)-MATCH($D$1,[2]stages!$2:$2,0)+1,FALSE)</f>
        <v>【超絶級】雪の歌姫</v>
      </c>
      <c r="G103" s="99">
        <v>3</v>
      </c>
      <c r="H103" s="12" t="str">
        <f t="shared" si="12"/>
        <v>39008_5-3</v>
      </c>
      <c r="I103" s="4">
        <f ca="1">VLOOKUP($H103,OFFSET(floors!$A$1,0,0,COUNTA(floors!$A:$A),MATCH(I$1,floors!$1:$1,0)-MATCH($H$1,floors!$1:$1,0)+1),MATCH(I$1,floors!$1:$1,0)-MATCH($H$1,floors!$1:$1,0)+1,FALSE)</f>
        <v>60</v>
      </c>
      <c r="J103" s="4">
        <f ca="1">VLOOKUP($H103,OFFSET(floors!$A$1,0,0,COUNTA(floors!$A:$A),MATCH(J$1,floors!$1:$1,0)-MATCH($H$1,floors!$1:$1,0)+1),MATCH(J$1,floors!$1:$1,0)-MATCH($H$1,floors!$1:$1,0)+1,FALSE)</f>
        <v>60</v>
      </c>
      <c r="K103" s="32" t="s">
        <v>245</v>
      </c>
      <c r="L103" s="97">
        <v>532</v>
      </c>
      <c r="M103" s="14" t="str">
        <f ca="1">VLOOKUP($L103,OFFSET([3]enemies!$A$1,0,0,COUNTA([3]enemies!$A:$A),MATCH(M$1,[3]enemies!$1:$1,0)-MATCH($L$1,[3]enemies!$1:$1,0)+1),MATCH(M$1,[3]enemies!$1:$1,0)-MATCH($L$1,[3]enemies!$1:$1,0)+1,FALSE)</f>
        <v>冬服エレキポット</v>
      </c>
      <c r="N103" s="14" t="str">
        <f ca="1">VLOOKUP($L103,OFFSET([3]enemies!$A$1,0,0,COUNTA([3]enemies!$A:$A),MATCH(N$1,[3]enemies!$1:$1,0)-MATCH($L$1,[3]enemies!$1:$1,0)+1),MATCH(N$1,[3]enemies!$1:$1,0)-MATCH($L$1,[3]enemies!$1:$1,0)+1,FALSE)</f>
        <v>yellow</v>
      </c>
      <c r="O103" s="14" t="str">
        <f ca="1">VLOOKUP($L103,OFFSET([4]characters!$A$1,0,0,COUNTA([4]characters!$A:$A),MATCH(O$1,[4]characters!$1:$1,0)-MATCH($L$1,[4]characters!$1:$1,0)+1),MATCH(O$1,[4]characters!$1:$1,0)-MATCH($L$1,[4]characters!$1:$1,0)+1,FALSE)</f>
        <v>Drop1T</v>
      </c>
      <c r="P103" s="14" t="str">
        <f ca="1">VLOOKUP($L103,OFFSET([3]enemies!$A$1,0,0,COUNTA([3]enemies!$A:$A),MATCH(P$1,[3]enemies!$1:$1,0)-MATCH($L$1,[3]enemies!$1:$1,0)+1),MATCH(P$1,[3]enemies!$1:$1,0)-MATCH($L$1,[3]enemies!$1:$1,0)+1,FALSE)</f>
        <v>unknown</v>
      </c>
      <c r="Q103" s="14">
        <f ca="1">VLOOKUP($L103,OFFSET([3]enemies!$A$1,0,0,COUNTA([3]enemies!$A:$A),MATCH(Q$1,[3]enemies!$1:$1,0)-MATCH($L$1,[3]enemies!$1:$1,0)+1),MATCH(Q$1,[3]enemies!$1:$1,0)-MATCH($L$1,[3]enemies!$1:$1,0)+1,FALSE)</f>
        <v>15</v>
      </c>
      <c r="R103" s="5">
        <v>63</v>
      </c>
      <c r="S103" s="19">
        <v>1</v>
      </c>
      <c r="T103" s="92">
        <f ca="1">ROUND(VLOOKUP(R103,[3]enemy_base_stats!$A:$F,2,FALSE) *INDIRECT("[EnemyMasterData.xlsm]enemies!Y"&amp;(L103+1))*  INDIRECT("[EnemyMasterData.xlsm]enemies!J"&amp;(L103+1))* INDIRECT("[EnemyMasterData.xlsm]enemies!O"&amp;(L103+1))* INDIRECT("[EnemyMasterData.xlsm]enemies!E"&amp;(L103+1))* INDIRECT("[EnemyMasterData.xlsm]enemies!S"&amp;(L103+1))* INDIRECT("[EnemyMasterData.xlsm]enemies!AD"&amp;(L103+1))*[4]ステータス!$B$2,0)*S103</f>
        <v>12642</v>
      </c>
      <c r="U103" s="19">
        <v>0.4</v>
      </c>
      <c r="V103" s="92">
        <f ca="1">ROUND(VLOOKUP(R103,[3]enemy_base_stats!$A:$F,3,FALSE) *INDIRECT("[EnemyMasterData.xlsm]enemies!Z"&amp;(L103+1))*  INDIRECT("[EnemyMasterData.xlsm]enemies!K"&amp;(L103+1))* INDIRECT("[EnemyMasterData.xlsm]enemies!P"&amp;(L103+1))* INDIRECT("[EnemyMasterData.xlsm]enemies!F"&amp;(L103+1))* INDIRECT("[EnemyMasterData.xlsm]enemies!T"&amp;(L103+1))* INDIRECT("[EnemyMasterData.xlsm]enemies!AE"&amp;(L103+1))*[4]ステータス!$C$2,0)*U103</f>
        <v>2079.6</v>
      </c>
      <c r="W103" s="5">
        <v>0</v>
      </c>
      <c r="X103" s="4" t="e">
        <f ca="1">VLOOKUP($Y103,OFFSET(enemy_skill_sets!$B$1,0,0,COUNTA(enemy_skill_sets!$B:$B),MATCH(M$1,enemy_skill_sets!$1:$1,0)-MATCH($Y$1,enemy_skill_sets!$1:$1,0)+2),MATCH(M$1,enemy_skill_sets!$1:$1,0)-MATCH($Y$1,enemy_skill_sets!$1:$1,0)+2,FALSE)</f>
        <v>#N/A</v>
      </c>
      <c r="Y103" s="4">
        <f ca="1">VLOOKUP($L103,OFFSET([3]enemies!$A$1,0,0,COUNTA([3]enemies!$A:$A),MATCH(Y$1,[3]enemies!$1:$1,0)-MATCH($L$1,[3]enemies!$1:$1,0)+1),MATCH(Y$1,[3]enemies!$1:$1,0)-MATCH($L$1,[3]enemies!$1:$1,0)+1,FALSE)</f>
        <v>0</v>
      </c>
      <c r="Z103" s="6">
        <v>0</v>
      </c>
      <c r="AA103" s="6">
        <v>100</v>
      </c>
      <c r="AB103" s="6">
        <v>0</v>
      </c>
      <c r="AC103" s="14">
        <v>2</v>
      </c>
      <c r="AD103" s="98">
        <f t="shared" si="13"/>
        <v>532</v>
      </c>
      <c r="AE103" s="4" t="str">
        <f ca="1">VLOOKUP($AD103,OFFSET([4]characters!$A$1,0,0,COUNTA([4]characters!$A:$A),MATCH(AE$1,[4]characters!$1:$1,0)-MATCH("character_id",[4]characters!$1:$1,0)+1),MATCH(AE$1,[4]characters!$1:$1,0)-MATCH("character_id",[4]characters!$1:$1,0)+1,FALSE)</f>
        <v>冬服エレキポット</v>
      </c>
      <c r="AF103" s="4">
        <f ca="1">VLOOKUP($AD103,OFFSET([4]characters!$A$1,0,0,COUNTA([4]characters!$A:$A),MATCH(AF$1,[4]characters!$1:$1,0)-MATCH("character_id",[4]characters!$1:$1,0)+1),MATCH(AF$1,[4]characters!$1:$1,0)-MATCH("character_id",[4]characters!$1:$1,0)+1,FALSE)</f>
        <v>1</v>
      </c>
      <c r="AG103" s="4" t="str">
        <f ca="1">VLOOKUP($AD103,OFFSET([4]characters!$A$1,0,0,COUNTA([4]characters!$A:$A),MATCH(AG$1,[4]characters!$1:$1,0)-MATCH("character_id",[4]characters!$1:$1,0)+1),MATCH(AG$1,[4]characters!$1:$1,0)-MATCH("character_id",[4]characters!$1:$1,0)+1,FALSE)</f>
        <v>Drop1T</v>
      </c>
      <c r="AH103" s="94">
        <v>1</v>
      </c>
      <c r="AI103" s="98">
        <f t="shared" ca="1" si="14"/>
        <v>1</v>
      </c>
      <c r="AJ103" s="7">
        <v>20</v>
      </c>
      <c r="AK103" s="94">
        <v>0</v>
      </c>
      <c r="AL103" s="94">
        <v>0</v>
      </c>
      <c r="AM103" s="94">
        <v>0</v>
      </c>
      <c r="AN103" s="94">
        <v>0</v>
      </c>
      <c r="AO103" s="94">
        <v>1</v>
      </c>
      <c r="AP103" s="62">
        <v>1</v>
      </c>
    </row>
    <row r="104" spans="1:42" ht="21" customHeight="1" x14ac:dyDescent="0.15">
      <c r="A104" s="13" t="str">
        <f t="shared" si="10"/>
        <v>39008_5-3/533&lt;lv63&gt;s3</v>
      </c>
      <c r="B104" s="17">
        <v>39008</v>
      </c>
      <c r="C104" s="95">
        <v>5</v>
      </c>
      <c r="D104" s="12" t="str">
        <f t="shared" si="11"/>
        <v>39008_5</v>
      </c>
      <c r="E104" s="4" t="str">
        <f ca="1">VLOOKUP($B104,OFFSET([2]quests!$A$1,0,0,COUNTA([2]quests!$A:$A),MATCH(E$1,[2]quests!$1:$1,0)-MATCH($B$1,[2]quests!$1:$1,0)+1),MATCH(E$1,[2]quests!$1:$1,0)-MATCH($B$1,[2]quests!$1:$1,0)+1,FALSE)</f>
        <v>雪の歌姫</v>
      </c>
      <c r="F104" s="4" t="str">
        <f ca="1">VLOOKUP($D104,OFFSET([2]stages!$A$1,0,0,COUNTA([2]stages!$A:$A),MATCH(F$1,[2]stages!$2:$2,0)-MATCH($D$1,[2]stages!$2:$2,0)+1),MATCH(F$1,[2]stages!$2:$2,0)-MATCH($D$1,[2]stages!$2:$2,0)+1,FALSE)</f>
        <v>【超絶級】雪の歌姫</v>
      </c>
      <c r="G104" s="99">
        <v>3</v>
      </c>
      <c r="H104" s="12" t="str">
        <f t="shared" si="12"/>
        <v>39008_5-3</v>
      </c>
      <c r="I104" s="4">
        <f ca="1">VLOOKUP($H104,OFFSET(floors!$A$1,0,0,COUNTA(floors!$A:$A),MATCH(I$1,floors!$1:$1,0)-MATCH($H$1,floors!$1:$1,0)+1),MATCH(I$1,floors!$1:$1,0)-MATCH($H$1,floors!$1:$1,0)+1,FALSE)</f>
        <v>60</v>
      </c>
      <c r="J104" s="4">
        <f ca="1">VLOOKUP($H104,OFFSET(floors!$A$1,0,0,COUNTA(floors!$A:$A),MATCH(J$1,floors!$1:$1,0)-MATCH($H$1,floors!$1:$1,0)+1),MATCH(J$1,floors!$1:$1,0)-MATCH($H$1,floors!$1:$1,0)+1,FALSE)</f>
        <v>60</v>
      </c>
      <c r="K104" s="32" t="s">
        <v>245</v>
      </c>
      <c r="L104" s="97">
        <v>533</v>
      </c>
      <c r="M104" s="14" t="str">
        <f ca="1">VLOOKUP($L104,OFFSET([3]enemies!$A$1,0,0,COUNTA([3]enemies!$A:$A),MATCH(M$1,[3]enemies!$1:$1,0)-MATCH($L$1,[3]enemies!$1:$1,0)+1),MATCH(M$1,[3]enemies!$1:$1,0)-MATCH($L$1,[3]enemies!$1:$1,0)+1,FALSE)</f>
        <v>冬服アカネ</v>
      </c>
      <c r="N104" s="14" t="str">
        <f ca="1">VLOOKUP($L104,OFFSET([3]enemies!$A$1,0,0,COUNTA([3]enemies!$A:$A),MATCH(N$1,[3]enemies!$1:$1,0)-MATCH($L$1,[3]enemies!$1:$1,0)+1),MATCH(N$1,[3]enemies!$1:$1,0)-MATCH($L$1,[3]enemies!$1:$1,0)+1,FALSE)</f>
        <v>red</v>
      </c>
      <c r="O104" s="14" t="str">
        <f ca="1">VLOOKUP($L104,OFFSET([4]characters!$A$1,0,0,COUNTA([4]characters!$A:$A),MATCH(O$1,[4]characters!$1:$1,0)-MATCH($L$1,[4]characters!$1:$1,0)+1),MATCH(O$1,[4]characters!$1:$1,0)-MATCH($L$1,[4]characters!$1:$1,0)+1,FALSE)</f>
        <v>Drop1W</v>
      </c>
      <c r="P104" s="14" t="str">
        <f ca="1">VLOOKUP($L104,OFFSET([3]enemies!$A$1,0,0,COUNTA([3]enemies!$A:$A),MATCH(P$1,[3]enemies!$1:$1,0)-MATCH($L$1,[3]enemies!$1:$1,0)+1),MATCH(P$1,[3]enemies!$1:$1,0)-MATCH($L$1,[3]enemies!$1:$1,0)+1,FALSE)</f>
        <v>human</v>
      </c>
      <c r="Q104" s="14">
        <f ca="1">VLOOKUP($L104,OFFSET([3]enemies!$A$1,0,0,COUNTA([3]enemies!$A:$A),MATCH(Q$1,[3]enemies!$1:$1,0)-MATCH($L$1,[3]enemies!$1:$1,0)+1),MATCH(Q$1,[3]enemies!$1:$1,0)-MATCH($L$1,[3]enemies!$1:$1,0)+1,FALSE)</f>
        <v>15</v>
      </c>
      <c r="R104" s="5">
        <v>63</v>
      </c>
      <c r="S104" s="19">
        <v>1</v>
      </c>
      <c r="T104" s="92">
        <f ca="1">ROUND(VLOOKUP(R104,[3]enemy_base_stats!$A:$F,2,FALSE) *INDIRECT("[EnemyMasterData.xlsm]enemies!Y"&amp;(L104+1))*  INDIRECT("[EnemyMasterData.xlsm]enemies!J"&amp;(L104+1))* INDIRECT("[EnemyMasterData.xlsm]enemies!O"&amp;(L104+1))* INDIRECT("[EnemyMasterData.xlsm]enemies!E"&amp;(L104+1))* INDIRECT("[EnemyMasterData.xlsm]enemies!S"&amp;(L104+1))* INDIRECT("[EnemyMasterData.xlsm]enemies!AD"&amp;(L104+1))*[4]ステータス!$B$2,0)*S104</f>
        <v>12126</v>
      </c>
      <c r="U104" s="19">
        <v>0.6</v>
      </c>
      <c r="V104" s="92">
        <f ca="1">ROUND(VLOOKUP(R104,[3]enemy_base_stats!$A:$F,3,FALSE) *INDIRECT("[EnemyMasterData.xlsm]enemies!Z"&amp;(L104+1))*  INDIRECT("[EnemyMasterData.xlsm]enemies!K"&amp;(L104+1))* INDIRECT("[EnemyMasterData.xlsm]enemies!P"&amp;(L104+1))* INDIRECT("[EnemyMasterData.xlsm]enemies!F"&amp;(L104+1))* INDIRECT("[EnemyMasterData.xlsm]enemies!T"&amp;(L104+1))* INDIRECT("[EnemyMasterData.xlsm]enemies!AE"&amp;(L104+1))*[4]ステータス!$C$2,0)*U104</f>
        <v>2344.7999999999997</v>
      </c>
      <c r="W104" s="5">
        <v>0</v>
      </c>
      <c r="X104" s="4" t="e">
        <f ca="1">VLOOKUP($Y104,OFFSET(enemy_skill_sets!$B$1,0,0,COUNTA(enemy_skill_sets!$B:$B),MATCH(M$1,enemy_skill_sets!$1:$1,0)-MATCH($Y$1,enemy_skill_sets!$1:$1,0)+2),MATCH(M$1,enemy_skill_sets!$1:$1,0)-MATCH($Y$1,enemy_skill_sets!$1:$1,0)+2,FALSE)</f>
        <v>#N/A</v>
      </c>
      <c r="Y104" s="4">
        <f ca="1">VLOOKUP($L104,OFFSET([3]enemies!$A$1,0,0,COUNTA([3]enemies!$A:$A),MATCH(Y$1,[3]enemies!$1:$1,0)-MATCH($L$1,[3]enemies!$1:$1,0)+1),MATCH(Y$1,[3]enemies!$1:$1,0)-MATCH($L$1,[3]enemies!$1:$1,0)+1,FALSE)</f>
        <v>0</v>
      </c>
      <c r="Z104" s="6">
        <v>0</v>
      </c>
      <c r="AA104" s="6">
        <v>100</v>
      </c>
      <c r="AB104" s="6">
        <v>0</v>
      </c>
      <c r="AC104" s="14">
        <v>3</v>
      </c>
      <c r="AD104" s="98">
        <f t="shared" si="13"/>
        <v>533</v>
      </c>
      <c r="AE104" s="4" t="str">
        <f ca="1">VLOOKUP($AD104,OFFSET([4]characters!$A$1,0,0,COUNTA([4]characters!$A:$A),MATCH(AE$1,[4]characters!$1:$1,0)-MATCH("character_id",[4]characters!$1:$1,0)+1),MATCH(AE$1,[4]characters!$1:$1,0)-MATCH("character_id",[4]characters!$1:$1,0)+1,FALSE)</f>
        <v>冬服アカネ</v>
      </c>
      <c r="AF104" s="4">
        <f ca="1">VLOOKUP($AD104,OFFSET([4]characters!$A$1,0,0,COUNTA([4]characters!$A:$A),MATCH(AF$1,[4]characters!$1:$1,0)-MATCH("character_id",[4]characters!$1:$1,0)+1),MATCH(AF$1,[4]characters!$1:$1,0)-MATCH("character_id",[4]characters!$1:$1,0)+1,FALSE)</f>
        <v>1</v>
      </c>
      <c r="AG104" s="4" t="str">
        <f ca="1">VLOOKUP($AD104,OFFSET([4]characters!$A$1,0,0,COUNTA([4]characters!$A:$A),MATCH(AG$1,[4]characters!$1:$1,0)-MATCH("character_id",[4]characters!$1:$1,0)+1),MATCH(AG$1,[4]characters!$1:$1,0)-MATCH("character_id",[4]characters!$1:$1,0)+1,FALSE)</f>
        <v>Drop1W</v>
      </c>
      <c r="AH104" s="94">
        <v>1</v>
      </c>
      <c r="AI104" s="98">
        <f t="shared" ca="1" si="14"/>
        <v>1</v>
      </c>
      <c r="AJ104" s="7">
        <v>20</v>
      </c>
      <c r="AK104" s="94">
        <v>0</v>
      </c>
      <c r="AL104" s="94">
        <v>0</v>
      </c>
      <c r="AM104" s="94">
        <v>0</v>
      </c>
      <c r="AN104" s="94">
        <v>0</v>
      </c>
      <c r="AO104" s="94">
        <v>1</v>
      </c>
      <c r="AP104" s="62">
        <v>1</v>
      </c>
    </row>
    <row r="105" spans="1:42" ht="21" customHeight="1" x14ac:dyDescent="0.15">
      <c r="A105" s="13" t="str">
        <f t="shared" si="10"/>
        <v>39008_5-3/534&lt;lv63&gt;s1</v>
      </c>
      <c r="B105" s="17">
        <v>39008</v>
      </c>
      <c r="C105" s="95">
        <v>5</v>
      </c>
      <c r="D105" s="12" t="str">
        <f t="shared" si="11"/>
        <v>39008_5</v>
      </c>
      <c r="E105" s="4" t="str">
        <f ca="1">VLOOKUP($B105,OFFSET([2]quests!$A$1,0,0,COUNTA([2]quests!$A:$A),MATCH(E$1,[2]quests!$1:$1,0)-MATCH($B$1,[2]quests!$1:$1,0)+1),MATCH(E$1,[2]quests!$1:$1,0)-MATCH($B$1,[2]quests!$1:$1,0)+1,FALSE)</f>
        <v>雪の歌姫</v>
      </c>
      <c r="F105" s="4" t="str">
        <f ca="1">VLOOKUP($D105,OFFSET([2]stages!$A$1,0,0,COUNTA([2]stages!$A:$A),MATCH(F$1,[2]stages!$2:$2,0)-MATCH($D$1,[2]stages!$2:$2,0)+1),MATCH(F$1,[2]stages!$2:$2,0)-MATCH($D$1,[2]stages!$2:$2,0)+1,FALSE)</f>
        <v>【超絶級】雪の歌姫</v>
      </c>
      <c r="G105" s="99">
        <v>3</v>
      </c>
      <c r="H105" s="12" t="str">
        <f t="shared" si="12"/>
        <v>39008_5-3</v>
      </c>
      <c r="I105" s="4">
        <f ca="1">VLOOKUP($H105,OFFSET(floors!$A$1,0,0,COUNTA(floors!$A:$A),MATCH(I$1,floors!$1:$1,0)-MATCH($H$1,floors!$1:$1,0)+1),MATCH(I$1,floors!$1:$1,0)-MATCH($H$1,floors!$1:$1,0)+1,FALSE)</f>
        <v>60</v>
      </c>
      <c r="J105" s="4">
        <f ca="1">VLOOKUP($H105,OFFSET(floors!$A$1,0,0,COUNTA(floors!$A:$A),MATCH(J$1,floors!$1:$1,0)-MATCH($H$1,floors!$1:$1,0)+1),MATCH(J$1,floors!$1:$1,0)-MATCH($H$1,floors!$1:$1,0)+1,FALSE)</f>
        <v>60</v>
      </c>
      <c r="K105" s="32" t="s">
        <v>245</v>
      </c>
      <c r="L105" s="97">
        <v>534</v>
      </c>
      <c r="M105" s="14" t="str">
        <f ca="1">VLOOKUP($L105,OFFSET([3]enemies!$A$1,0,0,COUNTA([3]enemies!$A:$A),MATCH(M$1,[3]enemies!$1:$1,0)-MATCH($L$1,[3]enemies!$1:$1,0)+1),MATCH(M$1,[3]enemies!$1:$1,0)-MATCH($L$1,[3]enemies!$1:$1,0)+1,FALSE)</f>
        <v>冬服パトライン</v>
      </c>
      <c r="N105" s="14" t="str">
        <f ca="1">VLOOKUP($L105,OFFSET([3]enemies!$A$1,0,0,COUNTA([3]enemies!$A:$A),MATCH(N$1,[3]enemies!$1:$1,0)-MATCH($L$1,[3]enemies!$1:$1,0)+1),MATCH(N$1,[3]enemies!$1:$1,0)-MATCH($L$1,[3]enemies!$1:$1,0)+1,FALSE)</f>
        <v>green</v>
      </c>
      <c r="O105" s="14" t="str">
        <f ca="1">VLOOKUP($L105,OFFSET([4]characters!$A$1,0,0,COUNTA([4]characters!$A:$A),MATCH(O$1,[4]characters!$1:$1,0)-MATCH($L$1,[4]characters!$1:$1,0)+1),MATCH(O$1,[4]characters!$1:$1,0)-MATCH($L$1,[4]characters!$1:$1,0)+1,FALSE)</f>
        <v>Drop1W</v>
      </c>
      <c r="P105" s="14" t="str">
        <f ca="1">VLOOKUP($L105,OFFSET([3]enemies!$A$1,0,0,COUNTA([3]enemies!$A:$A),MATCH(P$1,[3]enemies!$1:$1,0)-MATCH($L$1,[3]enemies!$1:$1,0)+1),MATCH(P$1,[3]enemies!$1:$1,0)-MATCH($L$1,[3]enemies!$1:$1,0)+1,FALSE)</f>
        <v>machine</v>
      </c>
      <c r="Q105" s="14">
        <f ca="1">VLOOKUP($L105,OFFSET([3]enemies!$A$1,0,0,COUNTA([3]enemies!$A:$A),MATCH(Q$1,[3]enemies!$1:$1,0)-MATCH($L$1,[3]enemies!$1:$1,0)+1),MATCH(Q$1,[3]enemies!$1:$1,0)-MATCH($L$1,[3]enemies!$1:$1,0)+1,FALSE)</f>
        <v>15</v>
      </c>
      <c r="R105" s="5">
        <v>63</v>
      </c>
      <c r="S105" s="19">
        <v>1</v>
      </c>
      <c r="T105" s="92">
        <f ca="1">ROUND(VLOOKUP(R105,[3]enemy_base_stats!$A:$F,2,FALSE) *INDIRECT("[EnemyMasterData.xlsm]enemies!Y"&amp;(L105+1))*  INDIRECT("[EnemyMasterData.xlsm]enemies!J"&amp;(L105+1))* INDIRECT("[EnemyMasterData.xlsm]enemies!O"&amp;(L105+1))* INDIRECT("[EnemyMasterData.xlsm]enemies!E"&amp;(L105+1))* INDIRECT("[EnemyMasterData.xlsm]enemies!S"&amp;(L105+1))* INDIRECT("[EnemyMasterData.xlsm]enemies!AD"&amp;(L105+1))*[4]ステータス!$B$2,0)*S105</f>
        <v>10526</v>
      </c>
      <c r="U105" s="19">
        <v>0.6</v>
      </c>
      <c r="V105" s="92">
        <f ca="1">ROUND(VLOOKUP(R105,[3]enemy_base_stats!$A:$F,3,FALSE) *INDIRECT("[EnemyMasterData.xlsm]enemies!Z"&amp;(L105+1))*  INDIRECT("[EnemyMasterData.xlsm]enemies!K"&amp;(L105+1))* INDIRECT("[EnemyMasterData.xlsm]enemies!P"&amp;(L105+1))* INDIRECT("[EnemyMasterData.xlsm]enemies!F"&amp;(L105+1))* INDIRECT("[EnemyMasterData.xlsm]enemies!T"&amp;(L105+1))* INDIRECT("[EnemyMasterData.xlsm]enemies!AE"&amp;(L105+1))*[4]ステータス!$C$2,0)*U105</f>
        <v>1774.8</v>
      </c>
      <c r="W105" s="5">
        <v>0</v>
      </c>
      <c r="X105" s="4" t="e">
        <f ca="1">VLOOKUP($Y105,OFFSET(enemy_skill_sets!$B$1,0,0,COUNTA(enemy_skill_sets!$B:$B),MATCH(M$1,enemy_skill_sets!$1:$1,0)-MATCH($Y$1,enemy_skill_sets!$1:$1,0)+2),MATCH(M$1,enemy_skill_sets!$1:$1,0)-MATCH($Y$1,enemy_skill_sets!$1:$1,0)+2,FALSE)</f>
        <v>#N/A</v>
      </c>
      <c r="Y105" s="4">
        <f ca="1">VLOOKUP($L105,OFFSET([3]enemies!$A$1,0,0,COUNTA([3]enemies!$A:$A),MATCH(Y$1,[3]enemies!$1:$1,0)-MATCH($L$1,[3]enemies!$1:$1,0)+1),MATCH(Y$1,[3]enemies!$1:$1,0)-MATCH($L$1,[3]enemies!$1:$1,0)+1,FALSE)</f>
        <v>0</v>
      </c>
      <c r="Z105" s="6">
        <v>0</v>
      </c>
      <c r="AA105" s="6">
        <v>100</v>
      </c>
      <c r="AB105" s="6">
        <v>0</v>
      </c>
      <c r="AC105" s="14">
        <v>1</v>
      </c>
      <c r="AD105" s="98">
        <f t="shared" si="13"/>
        <v>534</v>
      </c>
      <c r="AE105" s="4" t="str">
        <f ca="1">VLOOKUP($AD105,OFFSET([4]characters!$A$1,0,0,COUNTA([4]characters!$A:$A),MATCH(AE$1,[4]characters!$1:$1,0)-MATCH("character_id",[4]characters!$1:$1,0)+1),MATCH(AE$1,[4]characters!$1:$1,0)-MATCH("character_id",[4]characters!$1:$1,0)+1,FALSE)</f>
        <v>冬服パトライン</v>
      </c>
      <c r="AF105" s="4">
        <f ca="1">VLOOKUP($AD105,OFFSET([4]characters!$A$1,0,0,COUNTA([4]characters!$A:$A),MATCH(AF$1,[4]characters!$1:$1,0)-MATCH("character_id",[4]characters!$1:$1,0)+1),MATCH(AF$1,[4]characters!$1:$1,0)-MATCH("character_id",[4]characters!$1:$1,0)+1,FALSE)</f>
        <v>1</v>
      </c>
      <c r="AG105" s="4" t="str">
        <f ca="1">VLOOKUP($AD105,OFFSET([4]characters!$A$1,0,0,COUNTA([4]characters!$A:$A),MATCH(AG$1,[4]characters!$1:$1,0)-MATCH("character_id",[4]characters!$1:$1,0)+1),MATCH(AG$1,[4]characters!$1:$1,0)-MATCH("character_id",[4]characters!$1:$1,0)+1,FALSE)</f>
        <v>Drop1W</v>
      </c>
      <c r="AH105" s="94">
        <v>1</v>
      </c>
      <c r="AI105" s="98">
        <f t="shared" ca="1" si="14"/>
        <v>1</v>
      </c>
      <c r="AJ105" s="7">
        <v>20</v>
      </c>
      <c r="AK105" s="94">
        <v>0</v>
      </c>
      <c r="AL105" s="94">
        <v>0</v>
      </c>
      <c r="AM105" s="94">
        <v>0</v>
      </c>
      <c r="AN105" s="94">
        <v>0</v>
      </c>
      <c r="AO105" s="94">
        <v>1</v>
      </c>
      <c r="AP105" s="62">
        <v>1</v>
      </c>
    </row>
    <row r="106" spans="1:42" ht="21" customHeight="1" x14ac:dyDescent="0.15">
      <c r="A106" s="13" t="str">
        <f t="shared" si="10"/>
        <v>39008_5-3/535&lt;lv63&gt;s2</v>
      </c>
      <c r="B106" s="17">
        <v>39008</v>
      </c>
      <c r="C106" s="95">
        <v>5</v>
      </c>
      <c r="D106" s="12" t="str">
        <f t="shared" si="11"/>
        <v>39008_5</v>
      </c>
      <c r="E106" s="4" t="str">
        <f ca="1">VLOOKUP($B106,OFFSET([2]quests!$A$1,0,0,COUNTA([2]quests!$A:$A),MATCH(E$1,[2]quests!$1:$1,0)-MATCH($B$1,[2]quests!$1:$1,0)+1),MATCH(E$1,[2]quests!$1:$1,0)-MATCH($B$1,[2]quests!$1:$1,0)+1,FALSE)</f>
        <v>雪の歌姫</v>
      </c>
      <c r="F106" s="4" t="str">
        <f ca="1">VLOOKUP($D106,OFFSET([2]stages!$A$1,0,0,COUNTA([2]stages!$A:$A),MATCH(F$1,[2]stages!$2:$2,0)-MATCH($D$1,[2]stages!$2:$2,0)+1),MATCH(F$1,[2]stages!$2:$2,0)-MATCH($D$1,[2]stages!$2:$2,0)+1,FALSE)</f>
        <v>【超絶級】雪の歌姫</v>
      </c>
      <c r="G106" s="99">
        <v>3</v>
      </c>
      <c r="H106" s="12" t="str">
        <f t="shared" si="12"/>
        <v>39008_5-3</v>
      </c>
      <c r="I106" s="4">
        <f ca="1">VLOOKUP($H106,OFFSET(floors!$A$1,0,0,COUNTA(floors!$A:$A),MATCH(I$1,floors!$1:$1,0)-MATCH($H$1,floors!$1:$1,0)+1),MATCH(I$1,floors!$1:$1,0)-MATCH($H$1,floors!$1:$1,0)+1,FALSE)</f>
        <v>60</v>
      </c>
      <c r="J106" s="4">
        <f ca="1">VLOOKUP($H106,OFFSET(floors!$A$1,0,0,COUNTA(floors!$A:$A),MATCH(J$1,floors!$1:$1,0)-MATCH($H$1,floors!$1:$1,0)+1),MATCH(J$1,floors!$1:$1,0)-MATCH($H$1,floors!$1:$1,0)+1,FALSE)</f>
        <v>60</v>
      </c>
      <c r="K106" s="32" t="s">
        <v>245</v>
      </c>
      <c r="L106" s="97">
        <v>535</v>
      </c>
      <c r="M106" s="14" t="str">
        <f ca="1">VLOOKUP($L106,OFFSET([3]enemies!$A$1,0,0,COUNTA([3]enemies!$A:$A),MATCH(M$1,[3]enemies!$1:$1,0)-MATCH($L$1,[3]enemies!$1:$1,0)+1),MATCH(M$1,[3]enemies!$1:$1,0)-MATCH($L$1,[3]enemies!$1:$1,0)+1,FALSE)</f>
        <v>冬服リム</v>
      </c>
      <c r="N106" s="14" t="str">
        <f ca="1">VLOOKUP($L106,OFFSET([3]enemies!$A$1,0,0,COUNTA([3]enemies!$A:$A),MATCH(N$1,[3]enemies!$1:$1,0)-MATCH($L$1,[3]enemies!$1:$1,0)+1),MATCH(N$1,[3]enemies!$1:$1,0)-MATCH($L$1,[3]enemies!$1:$1,0)+1,FALSE)</f>
        <v>blue</v>
      </c>
      <c r="O106" s="14" t="str">
        <f ca="1">VLOOKUP($L106,OFFSET([4]characters!$A$1,0,0,COUNTA([4]characters!$A:$A),MATCH(O$1,[4]characters!$1:$1,0)-MATCH($L$1,[4]characters!$1:$1,0)+1),MATCH(O$1,[4]characters!$1:$1,0)-MATCH($L$1,[4]characters!$1:$1,0)+1,FALSE)</f>
        <v>Drop1W</v>
      </c>
      <c r="P106" s="14" t="str">
        <f ca="1">VLOOKUP($L106,OFFSET([3]enemies!$A$1,0,0,COUNTA([3]enemies!$A:$A),MATCH(P$1,[3]enemies!$1:$1,0)-MATCH($L$1,[3]enemies!$1:$1,0)+1),MATCH(P$1,[3]enemies!$1:$1,0)-MATCH($L$1,[3]enemies!$1:$1,0)+1,FALSE)</f>
        <v>human</v>
      </c>
      <c r="Q106" s="14">
        <f ca="1">VLOOKUP($L106,OFFSET([3]enemies!$A$1,0,0,COUNTA([3]enemies!$A:$A),MATCH(Q$1,[3]enemies!$1:$1,0)-MATCH($L$1,[3]enemies!$1:$1,0)+1),MATCH(Q$1,[3]enemies!$1:$1,0)-MATCH($L$1,[3]enemies!$1:$1,0)+1,FALSE)</f>
        <v>15</v>
      </c>
      <c r="R106" s="5">
        <v>63</v>
      </c>
      <c r="S106" s="19">
        <v>1</v>
      </c>
      <c r="T106" s="92">
        <f ca="1">ROUND(VLOOKUP(R106,[3]enemy_base_stats!$A:$F,2,FALSE) *INDIRECT("[EnemyMasterData.xlsm]enemies!Y"&amp;(L106+1))*  INDIRECT("[EnemyMasterData.xlsm]enemies!J"&amp;(L106+1))* INDIRECT("[EnemyMasterData.xlsm]enemies!O"&amp;(L106+1))* INDIRECT("[EnemyMasterData.xlsm]enemies!E"&amp;(L106+1))* INDIRECT("[EnemyMasterData.xlsm]enemies!S"&amp;(L106+1))* INDIRECT("[EnemyMasterData.xlsm]enemies!AD"&amp;(L106+1))*[4]ステータス!$B$2,0)*S106</f>
        <v>12126</v>
      </c>
      <c r="U106" s="19">
        <v>0.6</v>
      </c>
      <c r="V106" s="92">
        <f ca="1">ROUND(VLOOKUP(R106,[3]enemy_base_stats!$A:$F,3,FALSE) *INDIRECT("[EnemyMasterData.xlsm]enemies!Z"&amp;(L106+1))*  INDIRECT("[EnemyMasterData.xlsm]enemies!K"&amp;(L106+1))* INDIRECT("[EnemyMasterData.xlsm]enemies!P"&amp;(L106+1))* INDIRECT("[EnemyMasterData.xlsm]enemies!F"&amp;(L106+1))* INDIRECT("[EnemyMasterData.xlsm]enemies!T"&amp;(L106+1))* INDIRECT("[EnemyMasterData.xlsm]enemies!AE"&amp;(L106+1))*[4]ステータス!$C$2,0)*U106</f>
        <v>2253</v>
      </c>
      <c r="W106" s="5">
        <v>0</v>
      </c>
      <c r="X106" s="4" t="e">
        <f ca="1">VLOOKUP($Y106,OFFSET(enemy_skill_sets!$B$1,0,0,COUNTA(enemy_skill_sets!$B:$B),MATCH(M$1,enemy_skill_sets!$1:$1,0)-MATCH($Y$1,enemy_skill_sets!$1:$1,0)+2),MATCH(M$1,enemy_skill_sets!$1:$1,0)-MATCH($Y$1,enemy_skill_sets!$1:$1,0)+2,FALSE)</f>
        <v>#N/A</v>
      </c>
      <c r="Y106" s="4">
        <f ca="1">VLOOKUP($L106,OFFSET([3]enemies!$A$1,0,0,COUNTA([3]enemies!$A:$A),MATCH(Y$1,[3]enemies!$1:$1,0)-MATCH($L$1,[3]enemies!$1:$1,0)+1),MATCH(Y$1,[3]enemies!$1:$1,0)-MATCH($L$1,[3]enemies!$1:$1,0)+1,FALSE)</f>
        <v>0</v>
      </c>
      <c r="Z106" s="6">
        <v>0</v>
      </c>
      <c r="AA106" s="6">
        <v>100</v>
      </c>
      <c r="AB106" s="6">
        <v>0</v>
      </c>
      <c r="AC106" s="14">
        <v>2</v>
      </c>
      <c r="AD106" s="98">
        <f t="shared" si="13"/>
        <v>535</v>
      </c>
      <c r="AE106" s="4" t="str">
        <f ca="1">VLOOKUP($AD106,OFFSET([4]characters!$A$1,0,0,COUNTA([4]characters!$A:$A),MATCH(AE$1,[4]characters!$1:$1,0)-MATCH("character_id",[4]characters!$1:$1,0)+1),MATCH(AE$1,[4]characters!$1:$1,0)-MATCH("character_id",[4]characters!$1:$1,0)+1,FALSE)</f>
        <v>冬服リム</v>
      </c>
      <c r="AF106" s="4">
        <f ca="1">VLOOKUP($AD106,OFFSET([4]characters!$A$1,0,0,COUNTA([4]characters!$A:$A),MATCH(AF$1,[4]characters!$1:$1,0)-MATCH("character_id",[4]characters!$1:$1,0)+1),MATCH(AF$1,[4]characters!$1:$1,0)-MATCH("character_id",[4]characters!$1:$1,0)+1,FALSE)</f>
        <v>1</v>
      </c>
      <c r="AG106" s="4" t="str">
        <f ca="1">VLOOKUP($AD106,OFFSET([4]characters!$A$1,0,0,COUNTA([4]characters!$A:$A),MATCH(AG$1,[4]characters!$1:$1,0)-MATCH("character_id",[4]characters!$1:$1,0)+1),MATCH(AG$1,[4]characters!$1:$1,0)-MATCH("character_id",[4]characters!$1:$1,0)+1,FALSE)</f>
        <v>Drop1W</v>
      </c>
      <c r="AH106" s="94">
        <v>1</v>
      </c>
      <c r="AI106" s="98">
        <f t="shared" ca="1" si="14"/>
        <v>1</v>
      </c>
      <c r="AJ106" s="7">
        <v>20</v>
      </c>
      <c r="AK106" s="94">
        <v>0</v>
      </c>
      <c r="AL106" s="94">
        <v>0</v>
      </c>
      <c r="AM106" s="94">
        <v>0</v>
      </c>
      <c r="AN106" s="94">
        <v>0</v>
      </c>
      <c r="AO106" s="94">
        <v>1</v>
      </c>
      <c r="AP106" s="62">
        <v>1</v>
      </c>
    </row>
    <row r="107" spans="1:42" ht="21" customHeight="1" x14ac:dyDescent="0.15">
      <c r="A107" s="13" t="str">
        <f t="shared" si="10"/>
        <v>39008_5-3/536&lt;lv63&gt;s2</v>
      </c>
      <c r="B107" s="17">
        <v>39008</v>
      </c>
      <c r="C107" s="95">
        <v>5</v>
      </c>
      <c r="D107" s="12" t="str">
        <f t="shared" si="11"/>
        <v>39008_5</v>
      </c>
      <c r="E107" s="4" t="str">
        <f ca="1">VLOOKUP($B107,OFFSET([2]quests!$A$1,0,0,COUNTA([2]quests!$A:$A),MATCH(E$1,[2]quests!$1:$1,0)-MATCH($B$1,[2]quests!$1:$1,0)+1),MATCH(E$1,[2]quests!$1:$1,0)-MATCH($B$1,[2]quests!$1:$1,0)+1,FALSE)</f>
        <v>雪の歌姫</v>
      </c>
      <c r="F107" s="4" t="str">
        <f ca="1">VLOOKUP($D107,OFFSET([2]stages!$A$1,0,0,COUNTA([2]stages!$A:$A),MATCH(F$1,[2]stages!$2:$2,0)-MATCH($D$1,[2]stages!$2:$2,0)+1),MATCH(F$1,[2]stages!$2:$2,0)-MATCH($D$1,[2]stages!$2:$2,0)+1,FALSE)</f>
        <v>【超絶級】雪の歌姫</v>
      </c>
      <c r="G107" s="99">
        <v>3</v>
      </c>
      <c r="H107" s="12" t="str">
        <f t="shared" si="12"/>
        <v>39008_5-3</v>
      </c>
      <c r="I107" s="4">
        <f ca="1">VLOOKUP($H107,OFFSET(floors!$A$1,0,0,COUNTA(floors!$A:$A),MATCH(I$1,floors!$1:$1,0)-MATCH($H$1,floors!$1:$1,0)+1),MATCH(I$1,floors!$1:$1,0)-MATCH($H$1,floors!$1:$1,0)+1,FALSE)</f>
        <v>60</v>
      </c>
      <c r="J107" s="4">
        <f ca="1">VLOOKUP($H107,OFFSET(floors!$A$1,0,0,COUNTA(floors!$A:$A),MATCH(J$1,floors!$1:$1,0)-MATCH($H$1,floors!$1:$1,0)+1),MATCH(J$1,floors!$1:$1,0)-MATCH($H$1,floors!$1:$1,0)+1,FALSE)</f>
        <v>60</v>
      </c>
      <c r="K107" s="32" t="s">
        <v>245</v>
      </c>
      <c r="L107" s="97">
        <v>536</v>
      </c>
      <c r="M107" s="14" t="str">
        <f ca="1">VLOOKUP($L107,OFFSET([3]enemies!$A$1,0,0,COUNTA([3]enemies!$A:$A),MATCH(M$1,[3]enemies!$1:$1,0)-MATCH($L$1,[3]enemies!$1:$1,0)+1),MATCH(M$1,[3]enemies!$1:$1,0)-MATCH($L$1,[3]enemies!$1:$1,0)+1,FALSE)</f>
        <v>冬服ミミ</v>
      </c>
      <c r="N107" s="14" t="str">
        <f ca="1">VLOOKUP($L107,OFFSET([3]enemies!$A$1,0,0,COUNTA([3]enemies!$A:$A),MATCH(N$1,[3]enemies!$1:$1,0)-MATCH($L$1,[3]enemies!$1:$1,0)+1),MATCH(N$1,[3]enemies!$1:$1,0)-MATCH($L$1,[3]enemies!$1:$1,0)+1,FALSE)</f>
        <v>yellow</v>
      </c>
      <c r="O107" s="14" t="str">
        <f ca="1">VLOOKUP($L107,OFFSET([4]characters!$A$1,0,0,COUNTA([4]characters!$A:$A),MATCH(O$1,[4]characters!$1:$1,0)-MATCH($L$1,[4]characters!$1:$1,0)+1),MATCH(O$1,[4]characters!$1:$1,0)-MATCH($L$1,[4]characters!$1:$1,0)+1,FALSE)</f>
        <v>Drop1W</v>
      </c>
      <c r="P107" s="14" t="str">
        <f ca="1">VLOOKUP($L107,OFFSET([3]enemies!$A$1,0,0,COUNTA([3]enemies!$A:$A),MATCH(P$1,[3]enemies!$1:$1,0)-MATCH($L$1,[3]enemies!$1:$1,0)+1),MATCH(P$1,[3]enemies!$1:$1,0)-MATCH($L$1,[3]enemies!$1:$1,0)+1,FALSE)</f>
        <v>animal</v>
      </c>
      <c r="Q107" s="14">
        <f ca="1">VLOOKUP($L107,OFFSET([3]enemies!$A$1,0,0,COUNTA([3]enemies!$A:$A),MATCH(Q$1,[3]enemies!$1:$1,0)-MATCH($L$1,[3]enemies!$1:$1,0)+1),MATCH(Q$1,[3]enemies!$1:$1,0)-MATCH($L$1,[3]enemies!$1:$1,0)+1,FALSE)</f>
        <v>15</v>
      </c>
      <c r="R107" s="5">
        <v>63</v>
      </c>
      <c r="S107" s="19">
        <v>1</v>
      </c>
      <c r="T107" s="92">
        <f ca="1">ROUND(VLOOKUP(R107,[3]enemy_base_stats!$A:$F,2,FALSE) *INDIRECT("[EnemyMasterData.xlsm]enemies!Y"&amp;(L107+1))*  INDIRECT("[EnemyMasterData.xlsm]enemies!J"&amp;(L107+1))* INDIRECT("[EnemyMasterData.xlsm]enemies!O"&amp;(L107+1))* INDIRECT("[EnemyMasterData.xlsm]enemies!E"&amp;(L107+1))* INDIRECT("[EnemyMasterData.xlsm]enemies!S"&amp;(L107+1))* INDIRECT("[EnemyMasterData.xlsm]enemies!AD"&amp;(L107+1))*[4]ステータス!$B$2,0)*S107</f>
        <v>12642</v>
      </c>
      <c r="U107" s="19">
        <v>0.4</v>
      </c>
      <c r="V107" s="92">
        <f ca="1">ROUND(VLOOKUP(R107,[3]enemy_base_stats!$A:$F,3,FALSE) *INDIRECT("[EnemyMasterData.xlsm]enemies!Z"&amp;(L107+1))*  INDIRECT("[EnemyMasterData.xlsm]enemies!K"&amp;(L107+1))* INDIRECT("[EnemyMasterData.xlsm]enemies!P"&amp;(L107+1))* INDIRECT("[EnemyMasterData.xlsm]enemies!F"&amp;(L107+1))* INDIRECT("[EnemyMasterData.xlsm]enemies!T"&amp;(L107+1))* INDIRECT("[EnemyMasterData.xlsm]enemies!AE"&amp;(L107+1))*[4]ステータス!$C$2,0)*U107</f>
        <v>2287.2000000000003</v>
      </c>
      <c r="W107" s="5">
        <v>0</v>
      </c>
      <c r="X107" s="4" t="e">
        <f ca="1">VLOOKUP($Y107,OFFSET(enemy_skill_sets!$B$1,0,0,COUNTA(enemy_skill_sets!$B:$B),MATCH(M$1,enemy_skill_sets!$1:$1,0)-MATCH($Y$1,enemy_skill_sets!$1:$1,0)+2),MATCH(M$1,enemy_skill_sets!$1:$1,0)-MATCH($Y$1,enemy_skill_sets!$1:$1,0)+2,FALSE)</f>
        <v>#N/A</v>
      </c>
      <c r="Y107" s="4">
        <f ca="1">VLOOKUP($L107,OFFSET([3]enemies!$A$1,0,0,COUNTA([3]enemies!$A:$A),MATCH(Y$1,[3]enemies!$1:$1,0)-MATCH($L$1,[3]enemies!$1:$1,0)+1),MATCH(Y$1,[3]enemies!$1:$1,0)-MATCH($L$1,[3]enemies!$1:$1,0)+1,FALSE)</f>
        <v>0</v>
      </c>
      <c r="Z107" s="6">
        <v>0</v>
      </c>
      <c r="AA107" s="6">
        <v>100</v>
      </c>
      <c r="AB107" s="6">
        <v>0</v>
      </c>
      <c r="AC107" s="14">
        <v>2</v>
      </c>
      <c r="AD107" s="98">
        <f t="shared" si="13"/>
        <v>536</v>
      </c>
      <c r="AE107" s="4" t="str">
        <f ca="1">VLOOKUP($AD107,OFFSET([4]characters!$A$1,0,0,COUNTA([4]characters!$A:$A),MATCH(AE$1,[4]characters!$1:$1,0)-MATCH("character_id",[4]characters!$1:$1,0)+1),MATCH(AE$1,[4]characters!$1:$1,0)-MATCH("character_id",[4]characters!$1:$1,0)+1,FALSE)</f>
        <v>冬服ミミ</v>
      </c>
      <c r="AF107" s="4">
        <f ca="1">VLOOKUP($AD107,OFFSET([4]characters!$A$1,0,0,COUNTA([4]characters!$A:$A),MATCH(AF$1,[4]characters!$1:$1,0)-MATCH("character_id",[4]characters!$1:$1,0)+1),MATCH(AF$1,[4]characters!$1:$1,0)-MATCH("character_id",[4]characters!$1:$1,0)+1,FALSE)</f>
        <v>1</v>
      </c>
      <c r="AG107" s="4" t="str">
        <f ca="1">VLOOKUP($AD107,OFFSET([4]characters!$A$1,0,0,COUNTA([4]characters!$A:$A),MATCH(AG$1,[4]characters!$1:$1,0)-MATCH("character_id",[4]characters!$1:$1,0)+1),MATCH(AG$1,[4]characters!$1:$1,0)-MATCH("character_id",[4]characters!$1:$1,0)+1,FALSE)</f>
        <v>Drop1W</v>
      </c>
      <c r="AH107" s="94">
        <v>1</v>
      </c>
      <c r="AI107" s="98">
        <f t="shared" ca="1" si="14"/>
        <v>1</v>
      </c>
      <c r="AJ107" s="7">
        <v>20</v>
      </c>
      <c r="AK107" s="94">
        <v>0</v>
      </c>
      <c r="AL107" s="94">
        <v>0</v>
      </c>
      <c r="AM107" s="94">
        <v>0</v>
      </c>
      <c r="AN107" s="94">
        <v>0</v>
      </c>
      <c r="AO107" s="94">
        <v>1</v>
      </c>
      <c r="AP107" s="62">
        <v>1</v>
      </c>
    </row>
    <row r="108" spans="1:42" ht="21" customHeight="1" x14ac:dyDescent="0.15">
      <c r="A108" s="13" t="str">
        <f t="shared" si="10"/>
        <v>39008_5-3/537&lt;lv63&gt;s2</v>
      </c>
      <c r="B108" s="17">
        <v>39008</v>
      </c>
      <c r="C108" s="95">
        <v>5</v>
      </c>
      <c r="D108" s="12" t="str">
        <f t="shared" si="11"/>
        <v>39008_5</v>
      </c>
      <c r="E108" s="4" t="str">
        <f ca="1">VLOOKUP($B108,OFFSET([2]quests!$A$1,0,0,COUNTA([2]quests!$A:$A),MATCH(E$1,[2]quests!$1:$1,0)-MATCH($B$1,[2]quests!$1:$1,0)+1),MATCH(E$1,[2]quests!$1:$1,0)-MATCH($B$1,[2]quests!$1:$1,0)+1,FALSE)</f>
        <v>雪の歌姫</v>
      </c>
      <c r="F108" s="4" t="str">
        <f ca="1">VLOOKUP($D108,OFFSET([2]stages!$A$1,0,0,COUNTA([2]stages!$A:$A),MATCH(F$1,[2]stages!$2:$2,0)-MATCH($D$1,[2]stages!$2:$2,0)+1),MATCH(F$1,[2]stages!$2:$2,0)-MATCH($D$1,[2]stages!$2:$2,0)+1,FALSE)</f>
        <v>【超絶級】雪の歌姫</v>
      </c>
      <c r="G108" s="99">
        <v>3</v>
      </c>
      <c r="H108" s="12" t="str">
        <f t="shared" si="12"/>
        <v>39008_5-3</v>
      </c>
      <c r="I108" s="4">
        <f ca="1">VLOOKUP($H108,OFFSET(floors!$A$1,0,0,COUNTA(floors!$A:$A),MATCH(I$1,floors!$1:$1,0)-MATCH($H$1,floors!$1:$1,0)+1),MATCH(I$1,floors!$1:$1,0)-MATCH($H$1,floors!$1:$1,0)+1,FALSE)</f>
        <v>60</v>
      </c>
      <c r="J108" s="4">
        <f ca="1">VLOOKUP($H108,OFFSET(floors!$A$1,0,0,COUNTA(floors!$A:$A),MATCH(J$1,floors!$1:$1,0)-MATCH($H$1,floors!$1:$1,0)+1),MATCH(J$1,floors!$1:$1,0)-MATCH($H$1,floors!$1:$1,0)+1,FALSE)</f>
        <v>60</v>
      </c>
      <c r="K108" s="32" t="s">
        <v>245</v>
      </c>
      <c r="L108" s="97">
        <v>537</v>
      </c>
      <c r="M108" s="14" t="str">
        <f ca="1">VLOOKUP($L108,OFFSET([3]enemies!$A$1,0,0,COUNTA([3]enemies!$A:$A),MATCH(M$1,[3]enemies!$1:$1,0)-MATCH($L$1,[3]enemies!$1:$1,0)+1),MATCH(M$1,[3]enemies!$1:$1,0)-MATCH($L$1,[3]enemies!$1:$1,0)+1,FALSE)</f>
        <v>冬服ハッピー100</v>
      </c>
      <c r="N108" s="14" t="str">
        <f ca="1">VLOOKUP($L108,OFFSET([3]enemies!$A$1,0,0,COUNTA([3]enemies!$A:$A),MATCH(N$1,[3]enemies!$1:$1,0)-MATCH($L$1,[3]enemies!$1:$1,0)+1),MATCH(N$1,[3]enemies!$1:$1,0)-MATCH($L$1,[3]enemies!$1:$1,0)+1,FALSE)</f>
        <v>green</v>
      </c>
      <c r="O108" s="14" t="str">
        <f ca="1">VLOOKUP($L108,OFFSET([4]characters!$A$1,0,0,COUNTA([4]characters!$A:$A),MATCH(O$1,[4]characters!$1:$1,0)-MATCH($L$1,[4]characters!$1:$1,0)+1),MATCH(O$1,[4]characters!$1:$1,0)-MATCH($L$1,[4]characters!$1:$1,0)+1,FALSE)</f>
        <v>DropWizW</v>
      </c>
      <c r="P108" s="14" t="str">
        <f ca="1">VLOOKUP($L108,OFFSET([3]enemies!$A$1,0,0,COUNTA([3]enemies!$A:$A),MATCH(P$1,[3]enemies!$1:$1,0)-MATCH($L$1,[3]enemies!$1:$1,0)+1),MATCH(P$1,[3]enemies!$1:$1,0)-MATCH($L$1,[3]enemies!$1:$1,0)+1,FALSE)</f>
        <v>unknown</v>
      </c>
      <c r="Q108" s="14">
        <f ca="1">VLOOKUP($L108,OFFSET([3]enemies!$A$1,0,0,COUNTA([3]enemies!$A:$A),MATCH(Q$1,[3]enemies!$1:$1,0)-MATCH($L$1,[3]enemies!$1:$1,0)+1),MATCH(Q$1,[3]enemies!$1:$1,0)-MATCH($L$1,[3]enemies!$1:$1,0)+1,FALSE)</f>
        <v>25</v>
      </c>
      <c r="R108" s="5">
        <v>63</v>
      </c>
      <c r="S108" s="19">
        <v>2</v>
      </c>
      <c r="T108" s="92">
        <f ca="1">ROUND(VLOOKUP(R108,[3]enemy_base_stats!$A:$F,2,FALSE) *INDIRECT("[EnemyMasterData.xlsm]enemies!Y"&amp;(L108+1))*  INDIRECT("[EnemyMasterData.xlsm]enemies!J"&amp;(L108+1))* INDIRECT("[EnemyMasterData.xlsm]enemies!O"&amp;(L108+1))* INDIRECT("[EnemyMasterData.xlsm]enemies!E"&amp;(L108+1))* INDIRECT("[EnemyMasterData.xlsm]enemies!S"&amp;(L108+1))* INDIRECT("[EnemyMasterData.xlsm]enemies!AD"&amp;(L108+1))*[4]ステータス!$B$2,0)*S108</f>
        <v>25264</v>
      </c>
      <c r="U108" s="19">
        <v>1</v>
      </c>
      <c r="V108" s="92">
        <f ca="1">ROUND(VLOOKUP(R108,[3]enemy_base_stats!$A:$F,3,FALSE) *INDIRECT("[EnemyMasterData.xlsm]enemies!Z"&amp;(L108+1))*  INDIRECT("[EnemyMasterData.xlsm]enemies!K"&amp;(L108+1))* INDIRECT("[EnemyMasterData.xlsm]enemies!P"&amp;(L108+1))* INDIRECT("[EnemyMasterData.xlsm]enemies!F"&amp;(L108+1))* INDIRECT("[EnemyMasterData.xlsm]enemies!T"&amp;(L108+1))* INDIRECT("[EnemyMasterData.xlsm]enemies!AE"&amp;(L108+1))*[4]ステータス!$C$2,0)*U108</f>
        <v>3698</v>
      </c>
      <c r="W108" s="5">
        <v>0</v>
      </c>
      <c r="X108" s="4" t="e">
        <f ca="1">VLOOKUP($Y108,OFFSET(enemy_skill_sets!$B$1,0,0,COUNTA(enemy_skill_sets!$B:$B),MATCH(M$1,enemy_skill_sets!$1:$1,0)-MATCH($Y$1,enemy_skill_sets!$1:$1,0)+2),MATCH(M$1,enemy_skill_sets!$1:$1,0)-MATCH($Y$1,enemy_skill_sets!$1:$1,0)+2,FALSE)</f>
        <v>#N/A</v>
      </c>
      <c r="Y108" s="4">
        <f ca="1">VLOOKUP($L108,OFFSET([3]enemies!$A$1,0,0,COUNTA([3]enemies!$A:$A),MATCH(Y$1,[3]enemies!$1:$1,0)-MATCH($L$1,[3]enemies!$1:$1,0)+1),MATCH(Y$1,[3]enemies!$1:$1,0)-MATCH($L$1,[3]enemies!$1:$1,0)+1,FALSE)</f>
        <v>0</v>
      </c>
      <c r="Z108" s="6">
        <v>0</v>
      </c>
      <c r="AA108" s="6">
        <v>30</v>
      </c>
      <c r="AB108" s="6">
        <v>1</v>
      </c>
      <c r="AC108" s="14">
        <v>2</v>
      </c>
      <c r="AD108" s="98">
        <f t="shared" si="13"/>
        <v>537</v>
      </c>
      <c r="AE108" s="4" t="str">
        <f ca="1">VLOOKUP($AD108,OFFSET([4]characters!$A$1,0,0,COUNTA([4]characters!$A:$A),MATCH(AE$1,[4]characters!$1:$1,0)-MATCH("character_id",[4]characters!$1:$1,0)+1),MATCH(AE$1,[4]characters!$1:$1,0)-MATCH("character_id",[4]characters!$1:$1,0)+1,FALSE)</f>
        <v>冬服ハッピー100</v>
      </c>
      <c r="AF108" s="4">
        <f ca="1">VLOOKUP($AD108,OFFSET([4]characters!$A$1,0,0,COUNTA([4]characters!$A:$A),MATCH(AF$1,[4]characters!$1:$1,0)-MATCH("character_id",[4]characters!$1:$1,0)+1),MATCH(AF$1,[4]characters!$1:$1,0)-MATCH("character_id",[4]characters!$1:$1,0)+1,FALSE)</f>
        <v>3</v>
      </c>
      <c r="AG108" s="4" t="str">
        <f ca="1">VLOOKUP($AD108,OFFSET([4]characters!$A$1,0,0,COUNTA([4]characters!$A:$A),MATCH(AG$1,[4]characters!$1:$1,0)-MATCH("character_id",[4]characters!$1:$1,0)+1),MATCH(AG$1,[4]characters!$1:$1,0)-MATCH("character_id",[4]characters!$1:$1,0)+1,FALSE)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108" s="94">
        <v>1</v>
      </c>
      <c r="AI108" s="98">
        <f t="shared" ca="1" si="14"/>
        <v>3</v>
      </c>
      <c r="AJ108" s="7">
        <v>20</v>
      </c>
      <c r="AK108" s="94">
        <v>0</v>
      </c>
      <c r="AL108" s="94">
        <v>0</v>
      </c>
      <c r="AM108" s="94">
        <v>0</v>
      </c>
      <c r="AN108" s="94">
        <v>0</v>
      </c>
      <c r="AO108" s="94">
        <v>1</v>
      </c>
      <c r="AP108" s="62">
        <v>1</v>
      </c>
    </row>
    <row r="109" spans="1:42" ht="21" customHeight="1" x14ac:dyDescent="0.15">
      <c r="A109" s="13" t="str">
        <f t="shared" si="10"/>
        <v>39008_5-3/538&lt;lv63&gt;s2</v>
      </c>
      <c r="B109" s="17">
        <v>39008</v>
      </c>
      <c r="C109" s="95">
        <v>5</v>
      </c>
      <c r="D109" s="12" t="str">
        <f t="shared" si="11"/>
        <v>39008_5</v>
      </c>
      <c r="E109" s="4" t="str">
        <f ca="1">VLOOKUP($B109,OFFSET([2]quests!$A$1,0,0,COUNTA([2]quests!$A:$A),MATCH(E$1,[2]quests!$1:$1,0)-MATCH($B$1,[2]quests!$1:$1,0)+1),MATCH(E$1,[2]quests!$1:$1,0)-MATCH($B$1,[2]quests!$1:$1,0)+1,FALSE)</f>
        <v>雪の歌姫</v>
      </c>
      <c r="F109" s="4" t="str">
        <f ca="1">VLOOKUP($D109,OFFSET([2]stages!$A$1,0,0,COUNTA([2]stages!$A:$A),MATCH(F$1,[2]stages!$2:$2,0)-MATCH($D$1,[2]stages!$2:$2,0)+1),MATCH(F$1,[2]stages!$2:$2,0)-MATCH($D$1,[2]stages!$2:$2,0)+1,FALSE)</f>
        <v>【超絶級】雪の歌姫</v>
      </c>
      <c r="G109" s="99">
        <v>3</v>
      </c>
      <c r="H109" s="12" t="str">
        <f t="shared" si="12"/>
        <v>39008_5-3</v>
      </c>
      <c r="I109" s="4">
        <f ca="1">VLOOKUP($H109,OFFSET(floors!$A$1,0,0,COUNTA(floors!$A:$A),MATCH(I$1,floors!$1:$1,0)-MATCH($H$1,floors!$1:$1,0)+1),MATCH(I$1,floors!$1:$1,0)-MATCH($H$1,floors!$1:$1,0)+1,FALSE)</f>
        <v>60</v>
      </c>
      <c r="J109" s="4">
        <f ca="1">VLOOKUP($H109,OFFSET(floors!$A$1,0,0,COUNTA(floors!$A:$A),MATCH(J$1,floors!$1:$1,0)-MATCH($H$1,floors!$1:$1,0)+1),MATCH(J$1,floors!$1:$1,0)-MATCH($H$1,floors!$1:$1,0)+1,FALSE)</f>
        <v>60</v>
      </c>
      <c r="K109" s="32" t="s">
        <v>245</v>
      </c>
      <c r="L109" s="97">
        <v>538</v>
      </c>
      <c r="M109" s="14" t="str">
        <f ca="1">VLOOKUP($L109,OFFSET([3]enemies!$A$1,0,0,COUNTA([3]enemies!$A:$A),MATCH(M$1,[3]enemies!$1:$1,0)-MATCH($L$1,[3]enemies!$1:$1,0)+1),MATCH(M$1,[3]enemies!$1:$1,0)-MATCH($L$1,[3]enemies!$1:$1,0)+1,FALSE)</f>
        <v>冬服ニムダ</v>
      </c>
      <c r="N109" s="14" t="str">
        <f ca="1">VLOOKUP($L109,OFFSET([3]enemies!$A$1,0,0,COUNTA([3]enemies!$A:$A),MATCH(N$1,[3]enemies!$1:$1,0)-MATCH($L$1,[3]enemies!$1:$1,0)+1),MATCH(N$1,[3]enemies!$1:$1,0)-MATCH($L$1,[3]enemies!$1:$1,0)+1,FALSE)</f>
        <v>yellow</v>
      </c>
      <c r="O109" s="14" t="str">
        <f ca="1">VLOOKUP($L109,OFFSET([4]characters!$A$1,0,0,COUNTA([4]characters!$A:$A),MATCH(O$1,[4]characters!$1:$1,0)-MATCH($L$1,[4]characters!$1:$1,0)+1),MATCH(O$1,[4]characters!$1:$1,0)-MATCH($L$1,[4]characters!$1:$1,0)+1,FALSE)</f>
        <v>DropWizW</v>
      </c>
      <c r="P109" s="14" t="str">
        <f ca="1">VLOOKUP($L109,OFFSET([3]enemies!$A$1,0,0,COUNTA([3]enemies!$A:$A),MATCH(P$1,[3]enemies!$1:$1,0)-MATCH($L$1,[3]enemies!$1:$1,0)+1),MATCH(P$1,[3]enemies!$1:$1,0)-MATCH($L$1,[3]enemies!$1:$1,0)+1,FALSE)</f>
        <v>unknown</v>
      </c>
      <c r="Q109" s="14">
        <f ca="1">VLOOKUP($L109,OFFSET([3]enemies!$A$1,0,0,COUNTA([3]enemies!$A:$A),MATCH(Q$1,[3]enemies!$1:$1,0)-MATCH($L$1,[3]enemies!$1:$1,0)+1),MATCH(Q$1,[3]enemies!$1:$1,0)-MATCH($L$1,[3]enemies!$1:$1,0)+1,FALSE)</f>
        <v>25</v>
      </c>
      <c r="R109" s="5">
        <v>63</v>
      </c>
      <c r="S109" s="19">
        <v>2</v>
      </c>
      <c r="T109" s="92">
        <f ca="1">ROUND(VLOOKUP(R109,[3]enemy_base_stats!$A:$F,2,FALSE) *INDIRECT("[EnemyMasterData.xlsm]enemies!Y"&amp;(L109+1))*  INDIRECT("[EnemyMasterData.xlsm]enemies!J"&amp;(L109+1))* INDIRECT("[EnemyMasterData.xlsm]enemies!O"&amp;(L109+1))* INDIRECT("[EnemyMasterData.xlsm]enemies!E"&amp;(L109+1))* INDIRECT("[EnemyMasterData.xlsm]enemies!S"&amp;(L109+1))* INDIRECT("[EnemyMasterData.xlsm]enemies!AD"&amp;(L109+1))*[4]ステータス!$B$2,0)*S109</f>
        <v>24272</v>
      </c>
      <c r="U109" s="19">
        <v>1</v>
      </c>
      <c r="V109" s="92">
        <f ca="1">ROUND(VLOOKUP(R109,[3]enemy_base_stats!$A:$F,3,FALSE) *INDIRECT("[EnemyMasterData.xlsm]enemies!Z"&amp;(L109+1))*  INDIRECT("[EnemyMasterData.xlsm]enemies!K"&amp;(L109+1))* INDIRECT("[EnemyMasterData.xlsm]enemies!P"&amp;(L109+1))* INDIRECT("[EnemyMasterData.xlsm]enemies!F"&amp;(L109+1))* INDIRECT("[EnemyMasterData.xlsm]enemies!T"&amp;(L109+1))* INDIRECT("[EnemyMasterData.xlsm]enemies!AE"&amp;(L109+1))*[4]ステータス!$C$2,0)*U109</f>
        <v>3811</v>
      </c>
      <c r="W109" s="5">
        <v>0</v>
      </c>
      <c r="X109" s="4" t="e">
        <f ca="1">VLOOKUP($Y109,OFFSET(enemy_skill_sets!$B$1,0,0,COUNTA(enemy_skill_sets!$B:$B),MATCH(M$1,enemy_skill_sets!$1:$1,0)-MATCH($Y$1,enemy_skill_sets!$1:$1,0)+2),MATCH(M$1,enemy_skill_sets!$1:$1,0)-MATCH($Y$1,enemy_skill_sets!$1:$1,0)+2,FALSE)</f>
        <v>#N/A</v>
      </c>
      <c r="Y109" s="4">
        <f ca="1">VLOOKUP($L109,OFFSET([3]enemies!$A$1,0,0,COUNTA([3]enemies!$A:$A),MATCH(Y$1,[3]enemies!$1:$1,0)-MATCH($L$1,[3]enemies!$1:$1,0)+1),MATCH(Y$1,[3]enemies!$1:$1,0)-MATCH($L$1,[3]enemies!$1:$1,0)+1,FALSE)</f>
        <v>0</v>
      </c>
      <c r="Z109" s="6">
        <v>0</v>
      </c>
      <c r="AA109" s="6">
        <v>30</v>
      </c>
      <c r="AB109" s="6">
        <v>1</v>
      </c>
      <c r="AC109" s="14">
        <v>2</v>
      </c>
      <c r="AD109" s="98">
        <f t="shared" si="13"/>
        <v>538</v>
      </c>
      <c r="AE109" s="4" t="str">
        <f ca="1">VLOOKUP($AD109,OFFSET([4]characters!$A$1,0,0,COUNTA([4]characters!$A:$A),MATCH(AE$1,[4]characters!$1:$1,0)-MATCH("character_id",[4]characters!$1:$1,0)+1),MATCH(AE$1,[4]characters!$1:$1,0)-MATCH("character_id",[4]characters!$1:$1,0)+1,FALSE)</f>
        <v>冬服ニムダ</v>
      </c>
      <c r="AF109" s="4">
        <f ca="1">VLOOKUP($AD109,OFFSET([4]characters!$A$1,0,0,COUNTA([4]characters!$A:$A),MATCH(AF$1,[4]characters!$1:$1,0)-MATCH("character_id",[4]characters!$1:$1,0)+1),MATCH(AF$1,[4]characters!$1:$1,0)-MATCH("character_id",[4]characters!$1:$1,0)+1,FALSE)</f>
        <v>3</v>
      </c>
      <c r="AG109" s="4" t="str">
        <f ca="1">VLOOKUP($AD109,OFFSET([4]characters!$A$1,0,0,COUNTA([4]characters!$A:$A),MATCH(AG$1,[4]characters!$1:$1,0)-MATCH("character_id",[4]characters!$1:$1,0)+1),MATCH(AG$1,[4]characters!$1:$1,0)-MATCH("character_id",[4]characters!$1:$1,0)+1,FALSE)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109" s="94">
        <v>1</v>
      </c>
      <c r="AI109" s="98">
        <f t="shared" ca="1" si="14"/>
        <v>3</v>
      </c>
      <c r="AJ109" s="7">
        <v>20</v>
      </c>
      <c r="AK109" s="94">
        <v>0</v>
      </c>
      <c r="AL109" s="94">
        <v>0</v>
      </c>
      <c r="AM109" s="94">
        <v>0</v>
      </c>
      <c r="AN109" s="94">
        <v>0</v>
      </c>
      <c r="AO109" s="94">
        <v>1</v>
      </c>
      <c r="AP109" s="62">
        <v>1</v>
      </c>
    </row>
    <row r="110" spans="1:42" ht="21" customHeight="1" x14ac:dyDescent="0.15">
      <c r="A110" s="13" t="str">
        <f t="shared" si="10"/>
        <v>39008_5-4/526&lt;lv70&gt;s2</v>
      </c>
      <c r="B110" s="17">
        <v>39008</v>
      </c>
      <c r="C110" s="95">
        <v>5</v>
      </c>
      <c r="D110" s="12" t="str">
        <f t="shared" si="11"/>
        <v>39008_5</v>
      </c>
      <c r="E110" s="4" t="str">
        <f ca="1">VLOOKUP($B110,OFFSET([2]quests!$A$1,0,0,COUNTA([2]quests!$A:$A),MATCH(E$1,[2]quests!$1:$1,0)-MATCH($B$1,[2]quests!$1:$1,0)+1),MATCH(E$1,[2]quests!$1:$1,0)-MATCH($B$1,[2]quests!$1:$1,0)+1,FALSE)</f>
        <v>雪の歌姫</v>
      </c>
      <c r="F110" s="4" t="str">
        <f ca="1">VLOOKUP($D110,OFFSET([2]stages!$A$1,0,0,COUNTA([2]stages!$A:$A),MATCH(F$1,[2]stages!$2:$2,0)-MATCH($D$1,[2]stages!$2:$2,0)+1),MATCH(F$1,[2]stages!$2:$2,0)-MATCH($D$1,[2]stages!$2:$2,0)+1,FALSE)</f>
        <v>【超絶級】雪の歌姫</v>
      </c>
      <c r="G110" s="101">
        <v>4</v>
      </c>
      <c r="H110" s="12" t="str">
        <f t="shared" si="12"/>
        <v>39008_5-4</v>
      </c>
      <c r="I110" s="4">
        <f ca="1">VLOOKUP($H110,OFFSET(floors!$A$1,0,0,COUNTA(floors!$A:$A),MATCH(I$1,floors!$1:$1,0)-MATCH($H$1,floors!$1:$1,0)+1),MATCH(I$1,floors!$1:$1,0)-MATCH($H$1,floors!$1:$1,0)+1,FALSE)</f>
        <v>60</v>
      </c>
      <c r="J110" s="4">
        <f ca="1">VLOOKUP($H110,OFFSET(floors!$A$1,0,0,COUNTA(floors!$A:$A),MATCH(J$1,floors!$1:$1,0)-MATCH($H$1,floors!$1:$1,0)+1),MATCH(J$1,floors!$1:$1,0)-MATCH($H$1,floors!$1:$1,0)+1,FALSE)</f>
        <v>60</v>
      </c>
      <c r="K110" s="32">
        <v>4</v>
      </c>
      <c r="L110" s="97">
        <v>526</v>
      </c>
      <c r="M110" s="14" t="str">
        <f ca="1">VLOOKUP($L110,OFFSET([3]enemies!$A$1,0,0,COUNTA([3]enemies!$A:$A),MATCH(M$1,[3]enemies!$1:$1,0)-MATCH($L$1,[3]enemies!$1:$1,0)+1),MATCH(M$1,[3]enemies!$1:$1,0)-MATCH($L$1,[3]enemies!$1:$1,0)+1,FALSE)</f>
        <v>大滑走 雪ミク&amp;ラビットユキネ</v>
      </c>
      <c r="N110" s="14" t="str">
        <f ca="1">VLOOKUP($L110,OFFSET([3]enemies!$A$1,0,0,COUNTA([3]enemies!$A:$A),MATCH(N$1,[3]enemies!$1:$1,0)-MATCH($L$1,[3]enemies!$1:$1,0)+1),MATCH(N$1,[3]enemies!$1:$1,0)-MATCH($L$1,[3]enemies!$1:$1,0)+1,FALSE)</f>
        <v>blue</v>
      </c>
      <c r="O110" s="14" t="str">
        <f ca="1">VLOOKUP($L110,OFFSET([4]characters!$A$1,0,0,COUNTA([4]characters!$A:$A),MATCH(O$1,[4]characters!$1:$1,0)-MATCH($L$1,[4]characters!$1:$1,0)+1),MATCH(O$1,[4]characters!$1:$1,0)-MATCH($L$1,[4]characters!$1:$1,0)+1,FALSE)</f>
        <v>Drop2N</v>
      </c>
      <c r="P110" s="14" t="str">
        <f ca="1">VLOOKUP($L110,OFFSET([3]enemies!$A$1,0,0,COUNTA([3]enemies!$A:$A),MATCH(P$1,[3]enemies!$1:$1,0)-MATCH($L$1,[3]enemies!$1:$1,0)+1),MATCH(P$1,[3]enemies!$1:$1,0)-MATCH($L$1,[3]enemies!$1:$1,0)+1,FALSE)</f>
        <v>unknown</v>
      </c>
      <c r="Q110" s="14">
        <f ca="1">VLOOKUP($L110,OFFSET([3]enemies!$A$1,0,0,COUNTA([3]enemies!$A:$A),MATCH(Q$1,[3]enemies!$1:$1,0)-MATCH($L$1,[3]enemies!$1:$1,0)+1),MATCH(Q$1,[3]enemies!$1:$1,0)-MATCH($L$1,[3]enemies!$1:$1,0)+1,FALSE)</f>
        <v>60</v>
      </c>
      <c r="R110" s="5">
        <v>70</v>
      </c>
      <c r="S110" s="19">
        <v>1.8</v>
      </c>
      <c r="T110" s="92">
        <f ca="1">ROUND(VLOOKUP(R110,[3]enemy_base_stats!$A:$F,2,FALSE) *INDIRECT("[EnemyMasterData.xlsm]enemies!Y"&amp;(L110+1))*  INDIRECT("[EnemyMasterData.xlsm]enemies!J"&amp;(L110+1))* INDIRECT("[EnemyMasterData.xlsm]enemies!O"&amp;(L110+1))* INDIRECT("[EnemyMasterData.xlsm]enemies!E"&amp;(L110+1))* INDIRECT("[EnemyMasterData.xlsm]enemies!S"&amp;(L110+1))* INDIRECT("[EnemyMasterData.xlsm]enemies!AD"&amp;(L110+1))*[4]ステータス!$B$2,0)*S110</f>
        <v>164530.80000000002</v>
      </c>
      <c r="U110" s="19">
        <v>1.1000000000000001</v>
      </c>
      <c r="V110" s="92">
        <f ca="1">ROUND(VLOOKUP(R110,[3]enemy_base_stats!$A:$F,3,FALSE) *INDIRECT("[EnemyMasterData.xlsm]enemies!Z"&amp;(L110+1))*  INDIRECT("[EnemyMasterData.xlsm]enemies!K"&amp;(L110+1))* INDIRECT("[EnemyMasterData.xlsm]enemies!P"&amp;(L110+1))* INDIRECT("[EnemyMasterData.xlsm]enemies!F"&amp;(L110+1))* INDIRECT("[EnemyMasterData.xlsm]enemies!T"&amp;(L110+1))* INDIRECT("[EnemyMasterData.xlsm]enemies!AE"&amp;(L110+1))*[4]ステータス!$C$2,0)*U110</f>
        <v>6499.9000000000005</v>
      </c>
      <c r="W110" s="5">
        <v>0</v>
      </c>
      <c r="X110" s="4" t="str">
        <f ca="1">VLOOKUP($Y110,OFFSET(enemy_skill_sets!$B$1,0,0,COUNTA(enemy_skill_sets!$B:$B),MATCH(M$1,enemy_skill_sets!$1:$1,0)-MATCH($Y$1,enemy_skill_sets!$1:$1,0)+2),MATCH(M$1,enemy_skill_sets!$1:$1,0)-MATCH($Y$1,enemy_skill_sets!$1:$1,0)+2,FALSE)</f>
        <v>8ターンハートパネル無効</v>
      </c>
      <c r="Y110" s="102">
        <v>39008003</v>
      </c>
      <c r="Z110" s="6">
        <v>0</v>
      </c>
      <c r="AA110" s="6">
        <v>100</v>
      </c>
      <c r="AB110" s="6">
        <v>0</v>
      </c>
      <c r="AC110" s="14">
        <v>2</v>
      </c>
      <c r="AD110" s="98">
        <v>526</v>
      </c>
      <c r="AE110" s="4" t="str">
        <f ca="1">VLOOKUP($AD110,OFFSET([4]characters!$A$1,0,0,COUNTA([4]characters!$A:$A),MATCH(AE$1,[4]characters!$1:$1,0)-MATCH("character_id",[4]characters!$1:$1,0)+1),MATCH(AE$1,[4]characters!$1:$1,0)-MATCH("character_id",[4]characters!$1:$1,0)+1,FALSE)</f>
        <v>大滑走 雪ミク&amp;ラビットユキネ</v>
      </c>
      <c r="AF110" s="4">
        <f ca="1">VLOOKUP($AD110,OFFSET([4]characters!$A$1,0,0,COUNTA([4]characters!$A:$A),MATCH(AF$1,[4]characters!$1:$1,0)-MATCH("character_id",[4]characters!$1:$1,0)+1),MATCH(AF$1,[4]characters!$1:$1,0)-MATCH("character_id",[4]characters!$1:$1,0)+1,FALSE)</f>
        <v>5</v>
      </c>
      <c r="AG110" s="4" t="str">
        <f ca="1">VLOOKUP($AD110,OFFSET([4]characters!$A$1,0,0,COUNTA([4]characters!$A:$A),MATCH(AG$1,[4]characters!$1:$1,0)-MATCH("character_id",[4]characters!$1:$1,0)+1),MATCH(AG$1,[4]characters!$1:$1,0)-MATCH("character_id",[4]characters!$1:$1,0)+1,FALSE)</f>
        <v>Drop2N</v>
      </c>
      <c r="AH110" s="94">
        <v>1</v>
      </c>
      <c r="AI110" s="98">
        <f t="shared" ca="1" si="14"/>
        <v>5</v>
      </c>
      <c r="AJ110" s="103">
        <v>100</v>
      </c>
      <c r="AK110" s="94">
        <v>0</v>
      </c>
      <c r="AL110" s="94">
        <v>0</v>
      </c>
      <c r="AM110" s="94">
        <v>0</v>
      </c>
      <c r="AN110" s="94">
        <v>0</v>
      </c>
      <c r="AO110" s="94">
        <v>1</v>
      </c>
      <c r="AP110" s="62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2" sqref="S2"/>
    </sheetView>
  </sheetViews>
  <sheetFormatPr baseColWidth="12" defaultColWidth="13" defaultRowHeight="21" customHeight="1" outlineLevelCol="1" x14ac:dyDescent="0.15"/>
  <cols>
    <col min="1" max="1" width="17" style="16" bestFit="1" customWidth="1"/>
    <col min="2" max="2" width="10.83203125" style="3" bestFit="1" customWidth="1"/>
    <col min="3" max="3" width="10.6640625" style="3" bestFit="1" customWidth="1" collapsed="1"/>
    <col min="4" max="4" width="13" style="11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8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29" customFormat="1" ht="21" customHeight="1" x14ac:dyDescent="0.15">
      <c r="A1" s="21" t="s">
        <v>28</v>
      </c>
      <c r="B1" s="22" t="s">
        <v>0</v>
      </c>
      <c r="C1" s="22" t="s">
        <v>1</v>
      </c>
      <c r="D1" s="23" t="s">
        <v>27</v>
      </c>
      <c r="E1" s="24" t="s">
        <v>15</v>
      </c>
      <c r="F1" s="24" t="s">
        <v>15</v>
      </c>
      <c r="G1" s="22" t="s">
        <v>18</v>
      </c>
      <c r="H1" s="23" t="s">
        <v>29</v>
      </c>
      <c r="I1" s="23" t="s">
        <v>13</v>
      </c>
      <c r="J1" s="23" t="s">
        <v>14</v>
      </c>
      <c r="K1" s="30" t="s">
        <v>53</v>
      </c>
      <c r="L1" s="30" t="s">
        <v>54</v>
      </c>
      <c r="M1" s="31" t="s">
        <v>2</v>
      </c>
      <c r="N1" s="25" t="s">
        <v>15</v>
      </c>
      <c r="O1" s="23" t="s">
        <v>23</v>
      </c>
      <c r="P1" s="23" t="s">
        <v>22</v>
      </c>
      <c r="Q1" s="26" t="s">
        <v>25</v>
      </c>
      <c r="R1" s="24" t="s">
        <v>24</v>
      </c>
      <c r="S1" s="22" t="s">
        <v>3</v>
      </c>
      <c r="T1" s="20" t="s">
        <v>47</v>
      </c>
      <c r="U1" s="91" t="s">
        <v>243</v>
      </c>
      <c r="V1" s="20" t="s">
        <v>49</v>
      </c>
      <c r="W1" s="91" t="s">
        <v>244</v>
      </c>
      <c r="X1" s="20" t="s">
        <v>51</v>
      </c>
      <c r="Y1" s="22" t="s">
        <v>126</v>
      </c>
      <c r="Z1" s="23" t="s">
        <v>125</v>
      </c>
      <c r="AA1" s="22" t="s">
        <v>7</v>
      </c>
    </row>
    <row r="2" spans="1:27" ht="21" customHeight="1" x14ac:dyDescent="0.15">
      <c r="A2" s="13" t="str">
        <f>B2&amp;"_"&amp;C2&amp;"-"&amp;G2&amp;"/"&amp;M2&amp;"&lt;lv"&amp;S2&amp;"&gt;sq"&amp;K2&amp;"st"&amp;L2</f>
        <v>39008_5-2/525&lt;lv65&gt;sq3st2</v>
      </c>
      <c r="B2" s="17">
        <v>39008</v>
      </c>
      <c r="C2" s="95">
        <v>5</v>
      </c>
      <c r="D2" s="12" t="str">
        <f>B2&amp;"_"&amp;C2</f>
        <v>39008_5</v>
      </c>
      <c r="E2" s="4" t="str">
        <f ca="1">VLOOKUP($B2,OFFSET([2]quests!$A$1,0,0,COUNTA([2]quests!$A:$A),MATCH(E$1,[2]quests!$1:$1,0)-MATCH($B$1,[2]quests!$1:$1,0)+1),MATCH(E$1,[2]quests!$1:$1,0)-MATCH($B$1,[2]quests!$1:$1,0)+1,FALSE)</f>
        <v>雪の歌姫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【超絶級】雪の歌姫</v>
      </c>
      <c r="G2" s="95">
        <v>2</v>
      </c>
      <c r="H2" s="12" t="str">
        <f>B2&amp;"_"&amp;C2&amp;"-"&amp;G2</f>
        <v>39008_5-2</v>
      </c>
      <c r="I2" s="4" t="e">
        <v>#VALUE!</v>
      </c>
      <c r="J2" s="4" t="e">
        <v>#VALUE!</v>
      </c>
      <c r="K2" s="32">
        <v>3</v>
      </c>
      <c r="L2" s="32">
        <v>2</v>
      </c>
      <c r="M2" s="97">
        <v>525</v>
      </c>
      <c r="N2" s="14" t="str">
        <f ca="1">VLOOKUP($M2,OFFSET([3]enemies!$A$1,0,0,COUNTA([3]enemies!$A:$A),MATCH(N$1,[3]enemies!$1:$1,0)-MATCH($M$1,[3]enemies!$1:$1,0)+1),MATCH(N$1,[3]enemies!$1:$1,0)-MATCH($M$1,[3]enemies!$1:$1,0)+1,FALSE)</f>
        <v>ウィンタースポーツ 雪ミク</v>
      </c>
      <c r="O2" s="14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4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4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4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65</v>
      </c>
      <c r="T2" s="19">
        <v>1.7</v>
      </c>
      <c r="U2" s="9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110517</v>
      </c>
      <c r="V2" s="19">
        <v>1.2</v>
      </c>
      <c r="W2" s="9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6123.5999999999995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106">
        <v>39008002</v>
      </c>
      <c r="AA2" s="63">
        <v>1</v>
      </c>
    </row>
    <row r="3" spans="1:27" ht="21" customHeight="1" x14ac:dyDescent="0.15">
      <c r="A3" s="13" t="str">
        <f t="shared" ref="A3:A4" si="0">B3&amp;"_"&amp;C3&amp;"-"&amp;G3&amp;"/"&amp;M3&amp;"&lt;lv"&amp;S3&amp;"&gt;sq"&amp;K3&amp;"st"&amp;L3</f>
        <v>39008_5-4/526&lt;lv70&gt;sq4st2</v>
      </c>
      <c r="B3" s="17">
        <v>39008</v>
      </c>
      <c r="C3" s="95">
        <v>5</v>
      </c>
      <c r="D3" s="12" t="str">
        <f t="shared" ref="D3:D4" si="1">B3&amp;"_"&amp;C3</f>
        <v>39008_5</v>
      </c>
      <c r="E3" s="4" t="str">
        <f ca="1">VLOOKUP($B3,OFFSET([2]quests!$A$1,0,0,COUNTA([2]quests!$A:$A),MATCH(E$1,[2]quests!$1:$1,0)-MATCH($B$1,[2]quests!$1:$1,0)+1),MATCH(E$1,[2]quests!$1:$1,0)-MATCH($B$1,[2]quests!$1:$1,0)+1,FALSE)</f>
        <v>雪の歌姫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【超絶級】雪の歌姫</v>
      </c>
      <c r="G3" s="95">
        <v>4</v>
      </c>
      <c r="H3" s="12" t="str">
        <f t="shared" ref="H3:H4" si="2">B3&amp;"_"&amp;C3&amp;"-"&amp;G3</f>
        <v>39008_5-4</v>
      </c>
      <c r="I3" s="4" t="e">
        <v>#VALUE!</v>
      </c>
      <c r="J3" s="4" t="e">
        <v>#VALUE!</v>
      </c>
      <c r="K3" s="32">
        <v>4</v>
      </c>
      <c r="L3" s="32">
        <v>2</v>
      </c>
      <c r="M3" s="97">
        <v>526</v>
      </c>
      <c r="N3" s="14" t="str">
        <f ca="1">VLOOKUP($M3,OFFSET([3]enemies!$A$1,0,0,COUNTA([3]enemies!$A:$A),MATCH(N$1,[3]enemies!$1:$1,0)-MATCH($M$1,[3]enemies!$1:$1,0)+1),MATCH(N$1,[3]enemies!$1:$1,0)-MATCH($M$1,[3]enemies!$1:$1,0)+1,FALSE)</f>
        <v>大滑走 雪ミク&amp;ラビットユキネ</v>
      </c>
      <c r="O3" s="14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4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4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4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70</v>
      </c>
      <c r="T3" s="19">
        <v>1.6</v>
      </c>
      <c r="U3" s="92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146249.60000000001</v>
      </c>
      <c r="V3" s="19">
        <v>1.4</v>
      </c>
      <c r="W3" s="92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8272.6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106">
        <v>39008004</v>
      </c>
      <c r="AA3" s="63">
        <v>2</v>
      </c>
    </row>
    <row r="4" spans="1:27" ht="21" customHeight="1" x14ac:dyDescent="0.15">
      <c r="A4" s="13" t="str">
        <f t="shared" si="0"/>
        <v>39008_5-4/526&lt;lv70&gt;sq4st3</v>
      </c>
      <c r="B4" s="17">
        <v>39008</v>
      </c>
      <c r="C4" s="95">
        <v>5</v>
      </c>
      <c r="D4" s="12" t="str">
        <f t="shared" si="1"/>
        <v>39008_5</v>
      </c>
      <c r="E4" s="4" t="str">
        <f ca="1">VLOOKUP($B4,OFFSET([2]quests!$A$1,0,0,COUNTA([2]quests!$A:$A),MATCH(E$1,[2]quests!$1:$1,0)-MATCH($B$1,[2]quests!$1:$1,0)+1),MATCH(E$1,[2]quests!$1:$1,0)-MATCH($B$1,[2]quests!$1:$1,0)+1,FALSE)</f>
        <v>雪の歌姫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【超絶級】雪の歌姫</v>
      </c>
      <c r="G4" s="95">
        <v>4</v>
      </c>
      <c r="H4" s="12" t="str">
        <f t="shared" si="2"/>
        <v>39008_5-4</v>
      </c>
      <c r="I4" s="4" t="e">
        <v>#VALUE!</v>
      </c>
      <c r="J4" s="4" t="e">
        <v>#VALUE!</v>
      </c>
      <c r="K4" s="32">
        <v>4</v>
      </c>
      <c r="L4" s="32">
        <v>3</v>
      </c>
      <c r="M4" s="97">
        <v>526</v>
      </c>
      <c r="N4" s="14" t="str">
        <f ca="1">VLOOKUP($M4,OFFSET([3]enemies!$A$1,0,0,COUNTA([3]enemies!$A:$A),MATCH(N$1,[3]enemies!$1:$1,0)-MATCH($M$1,[3]enemies!$1:$1,0)+1),MATCH(N$1,[3]enemies!$1:$1,0)-MATCH($M$1,[3]enemies!$1:$1,0)+1,FALSE)</f>
        <v>大滑走 雪ミク&amp;ラビットユキネ</v>
      </c>
      <c r="O4" s="14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4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4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4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70</v>
      </c>
      <c r="T4" s="19">
        <v>2</v>
      </c>
      <c r="U4" s="92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182812</v>
      </c>
      <c r="V4" s="19">
        <v>1.3</v>
      </c>
      <c r="W4" s="92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7681.7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106">
        <v>39008005</v>
      </c>
      <c r="AA4" s="63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3"/>
  <sheetViews>
    <sheetView showGridLines="0" tabSelected="1" zoomScale="110" zoomScaleNormal="110" zoomScalePageLayoutView="110" workbookViewId="0">
      <pane ySplit="1" topLeftCell="A31" activePane="bottomLeft" state="frozenSplit"/>
      <selection pane="bottomLeft" activeCell="F43" sqref="F43"/>
    </sheetView>
  </sheetViews>
  <sheetFormatPr baseColWidth="12" defaultColWidth="12.83203125" defaultRowHeight="14" outlineLevelCol="1" x14ac:dyDescent="0.15"/>
  <cols>
    <col min="1" max="1" width="12.83203125" style="43"/>
    <col min="2" max="2" width="67.1640625" style="152" customWidth="1"/>
    <col min="3" max="4" width="12.83203125" style="43"/>
    <col min="5" max="5" width="23.6640625" style="43" bestFit="1" customWidth="1"/>
    <col min="6" max="6" width="44.1640625" style="43" bestFit="1" customWidth="1"/>
    <col min="7" max="7" width="52" style="43" hidden="1" customWidth="1" outlineLevel="1"/>
    <col min="8" max="8" width="18.33203125" style="43" hidden="1" customWidth="1" outlineLevel="1"/>
    <col min="9" max="11" width="18.6640625" style="43" hidden="1" customWidth="1" outlineLevel="1"/>
    <col min="12" max="12" width="23.6640625" style="43" customWidth="1" collapsed="1"/>
    <col min="13" max="18" width="23.6640625" style="43" hidden="1" customWidth="1" outlineLevel="1"/>
    <col min="19" max="19" width="23.6640625" style="43" customWidth="1" collapsed="1"/>
    <col min="20" max="24" width="23.6640625" style="43" hidden="1" customWidth="1" outlineLevel="1"/>
    <col min="25" max="25" width="23.6640625" style="43" customWidth="1" collapsed="1"/>
    <col min="26" max="27" width="12.83203125" style="43"/>
    <col min="28" max="28" width="44.5" style="43" customWidth="1"/>
    <col min="29" max="16384" width="12.83203125" style="43"/>
  </cols>
  <sheetData>
    <row r="1" spans="1:28" x14ac:dyDescent="0.15">
      <c r="A1" s="34" t="s">
        <v>78</v>
      </c>
      <c r="B1" s="150" t="s">
        <v>79</v>
      </c>
      <c r="C1" s="34" t="s">
        <v>80</v>
      </c>
      <c r="D1" s="34" t="s">
        <v>124</v>
      </c>
      <c r="E1" s="34" t="s">
        <v>81</v>
      </c>
      <c r="F1" s="34" t="s">
        <v>82</v>
      </c>
      <c r="G1" s="35" t="s">
        <v>129</v>
      </c>
      <c r="H1" s="35" t="s">
        <v>135</v>
      </c>
      <c r="I1" s="35" t="s">
        <v>137</v>
      </c>
      <c r="J1" s="35" t="s">
        <v>136</v>
      </c>
      <c r="K1" s="35" t="s">
        <v>138</v>
      </c>
      <c r="L1" s="35" t="s">
        <v>130</v>
      </c>
      <c r="M1" s="35" t="s">
        <v>128</v>
      </c>
      <c r="N1" s="35" t="s">
        <v>131</v>
      </c>
      <c r="O1" s="35" t="s">
        <v>139</v>
      </c>
      <c r="P1" s="35" t="s">
        <v>140</v>
      </c>
      <c r="Q1" s="35" t="s">
        <v>141</v>
      </c>
      <c r="R1" s="35" t="s">
        <v>142</v>
      </c>
      <c r="S1" s="35" t="s">
        <v>132</v>
      </c>
      <c r="T1" s="35" t="s">
        <v>133</v>
      </c>
      <c r="U1" s="35" t="s">
        <v>143</v>
      </c>
      <c r="V1" s="35" t="s">
        <v>144</v>
      </c>
      <c r="W1" s="35" t="s">
        <v>145</v>
      </c>
      <c r="X1" s="35" t="s">
        <v>146</v>
      </c>
      <c r="Y1" s="35" t="s">
        <v>134</v>
      </c>
      <c r="Z1" s="35" t="s">
        <v>75</v>
      </c>
      <c r="AA1" s="35" t="s">
        <v>76</v>
      </c>
      <c r="AB1" s="35" t="s">
        <v>77</v>
      </c>
    </row>
    <row r="2" spans="1:28" ht="84" x14ac:dyDescent="0.15">
      <c r="A2" s="102">
        <v>39008001</v>
      </c>
      <c r="B2" s="41" t="s">
        <v>412</v>
      </c>
      <c r="C2" s="44">
        <v>3</v>
      </c>
      <c r="D2" s="44" t="s">
        <v>330</v>
      </c>
      <c r="E2" s="107" t="s">
        <v>287</v>
      </c>
      <c r="F2" s="108" t="s">
        <v>378</v>
      </c>
      <c r="G2" s="57" t="str">
        <f>IFERROR(LEFT(B2,FIND("],",B2)),B2)</f>
        <v>[effect:enemy_message, val1:2.0, val2:1.8]</v>
      </c>
      <c r="H2" s="57">
        <f>FIND("effect:",G2)+7</f>
        <v>9</v>
      </c>
      <c r="I2" s="57">
        <f>IFERROR(FIND(",",G2),LEN(G2))</f>
        <v>22</v>
      </c>
      <c r="J2" s="57" t="e">
        <f>FIND("target:",G2)+7</f>
        <v>#VALUE!</v>
      </c>
      <c r="K2" s="57">
        <f>FIND(",",G2,I2+1)</f>
        <v>32</v>
      </c>
      <c r="L2" s="57" t="str">
        <f>IFERROR(VLOOKUP(MID(G2,J2,K2-J2),[6]skilldef!$C:$D,2,FALSE),"-") &amp; " / " &amp; IFERROR(VLOOKUP(MID(G2,H2,I2-H2),[6]skilldef!$A:$B,2,FALSE),"-")</f>
        <v>- / -</v>
      </c>
      <c r="M2" s="57" t="str">
        <f t="shared" ref="M2:M32" si="0">IFERROR(RIGHT(B2,LEN(B2)-FIND("],",B2)-1),"none")</f>
        <v>[effect:enhance_enemy, target:enemy_all, turn:3, status:defense, val:3000, calc:add, animation:enemy_enhance_enemy]</v>
      </c>
      <c r="N2" s="42" t="str">
        <f t="shared" ref="N2:N14" si="1">IFERROR(LEFT(M2,FIND("],",M2)+S16),M2)</f>
        <v>[effect:enhance_enemy, target:enemy_all, turn:3, status:defense, val:3000, calc:add, animation:enemy_enhance_enemy]</v>
      </c>
      <c r="O2" s="57">
        <f t="shared" ref="O2:O32" si="2">FIND("effect:",N2)+7</f>
        <v>9</v>
      </c>
      <c r="P2" s="57">
        <f t="shared" ref="P2:P32" si="3">IFERROR(FIND(",",N2),LEN(N2))</f>
        <v>22</v>
      </c>
      <c r="Q2" s="57">
        <f t="shared" ref="Q2:Q32" si="4">FIND("target:",N2)+7</f>
        <v>31</v>
      </c>
      <c r="R2" s="57">
        <f t="shared" ref="R2:R32" si="5">FIND(",",N2,P2+1)</f>
        <v>40</v>
      </c>
      <c r="S2" s="57" t="str">
        <f>IFERROR(VLOOKUP(MID(N2,Q2,R2-Q2),[6]skilldef!$C:$D,2,FALSE),"-") &amp; " / " &amp; IFERROR(VLOOKUP(MID(N2,O2,P2-O2),[6]skilldef!$A:$B,2,FALSE),"-")</f>
        <v>敵全体に / ステータス強化</v>
      </c>
      <c r="T2" s="42" t="str">
        <f t="shared" ref="T2:T32" si="6">IFERROR(RIGHT(M2,LEN(M2)-FIND("],",M2)-1),"none")</f>
        <v>none</v>
      </c>
      <c r="U2" s="57" t="e">
        <f t="shared" ref="U2:U32" si="7">FIND("effect:",T2)+7</f>
        <v>#VALUE!</v>
      </c>
      <c r="V2" s="57">
        <f t="shared" ref="V2:V32" si="8">IFERROR(FIND(",",T2),LEN(T2))</f>
        <v>4</v>
      </c>
      <c r="W2" s="57" t="e">
        <f t="shared" ref="W2:W32" si="9">FIND("target:",T2)+7</f>
        <v>#VALUE!</v>
      </c>
      <c r="X2" s="57" t="e">
        <f t="shared" ref="X2:X32" si="10">FIND(",",T2,V2+1)</f>
        <v>#VALUE!</v>
      </c>
      <c r="Y2" s="57" t="str">
        <f>IFERROR(VLOOKUP(MID(T2,W2,X2-W2),[6]skilldef!$C:$D,2,FALSE),"-") &amp; " / " &amp; IFERROR(VLOOKUP(MID(T2,U2,V2-U2),[6]skilldef!$A:$B,2,FALSE),"-")</f>
        <v>- / -</v>
      </c>
      <c r="Z2" s="44"/>
      <c r="AA2" s="46"/>
      <c r="AB2" s="44"/>
    </row>
    <row r="3" spans="1:28" x14ac:dyDescent="0.15">
      <c r="A3" s="102">
        <v>39008002</v>
      </c>
      <c r="B3" s="41" t="s">
        <v>413</v>
      </c>
      <c r="C3" s="44">
        <v>3</v>
      </c>
      <c r="D3" s="44" t="s">
        <v>247</v>
      </c>
      <c r="E3" s="45" t="s">
        <v>248</v>
      </c>
      <c r="F3" s="45" t="s">
        <v>249</v>
      </c>
      <c r="G3" s="57" t="str">
        <f>IFERROR(LEFT(B3,FIND("],",B3)),B3)</f>
        <v>[effect:enemy_message, val1:1.2, val2:1.7]</v>
      </c>
      <c r="H3" s="57">
        <f>FIND("effect:",G3)+7</f>
        <v>9</v>
      </c>
      <c r="I3" s="57">
        <f>IFERROR(FIND(",",G3),LEN(G3))</f>
        <v>22</v>
      </c>
      <c r="J3" s="57" t="e">
        <f>FIND("target:",G3)+7</f>
        <v>#VALUE!</v>
      </c>
      <c r="K3" s="57">
        <f>FIND(",",G3,I3+1)</f>
        <v>32</v>
      </c>
      <c r="L3" s="57" t="str">
        <f>IFERROR(VLOOKUP(MID(G3,J3,K3-J3),[6]skilldef!$C:$D,2,FALSE),"-") &amp; " / " &amp; IFERROR(VLOOKUP(MID(G3,H3,I3-H3),[6]skilldef!$A:$B,2,FALSE),"-")</f>
        <v>- / -</v>
      </c>
      <c r="M3" s="57" t="str">
        <f t="shared" si="0"/>
        <v>[effect:rush, count:3, val:0.45]</v>
      </c>
      <c r="N3" s="42" t="str">
        <f t="shared" si="1"/>
        <v>[effect:rush, count:3, val:0.45]</v>
      </c>
      <c r="O3" s="57">
        <f t="shared" si="2"/>
        <v>9</v>
      </c>
      <c r="P3" s="57">
        <f t="shared" si="3"/>
        <v>13</v>
      </c>
      <c r="Q3" s="57" t="e">
        <f t="shared" si="4"/>
        <v>#VALUE!</v>
      </c>
      <c r="R3" s="57">
        <f t="shared" si="5"/>
        <v>22</v>
      </c>
      <c r="S3" s="57" t="str">
        <f>IFERROR(VLOOKUP(MID(N3,Q3,R3-Q3),[6]skilldef!$C:$D,2,FALSE),"-") &amp; " / " &amp; IFERROR(VLOOKUP(MID(N3,O3,P3-O3),[6]skilldef!$A:$B,2,FALSE),"-")</f>
        <v>- / 連続攻撃</v>
      </c>
      <c r="T3" s="42" t="str">
        <f t="shared" si="6"/>
        <v>none</v>
      </c>
      <c r="U3" s="57" t="e">
        <f t="shared" si="7"/>
        <v>#VALUE!</v>
      </c>
      <c r="V3" s="57">
        <f t="shared" si="8"/>
        <v>4</v>
      </c>
      <c r="W3" s="57" t="e">
        <f t="shared" si="9"/>
        <v>#VALUE!</v>
      </c>
      <c r="X3" s="57" t="e">
        <f t="shared" si="10"/>
        <v>#VALUE!</v>
      </c>
      <c r="Y3" s="57" t="str">
        <f>IFERROR(VLOOKUP(MID(T3,W3,X3-W3),[6]skilldef!$C:$D,2,FALSE),"-") &amp; " / " &amp; IFERROR(VLOOKUP(MID(T3,U3,V3-U3),[6]skilldef!$A:$B,2,FALSE),"-")</f>
        <v>- / -</v>
      </c>
      <c r="Z3" s="44"/>
      <c r="AA3" s="46"/>
      <c r="AB3" s="44"/>
    </row>
    <row r="4" spans="1:28" ht="42" x14ac:dyDescent="0.15">
      <c r="A4" s="102">
        <v>39008003</v>
      </c>
      <c r="B4" s="41" t="s">
        <v>405</v>
      </c>
      <c r="C4" s="44">
        <v>3</v>
      </c>
      <c r="D4" s="44" t="s">
        <v>247</v>
      </c>
      <c r="E4" s="45" t="s">
        <v>250</v>
      </c>
      <c r="F4" s="154" t="s">
        <v>368</v>
      </c>
      <c r="G4" s="57" t="str">
        <f>IFERROR(LEFT(B4,FIND("],",B4)),B4)</f>
        <v>[effect:enemy_message, val1:1.2, val2:2.7]</v>
      </c>
      <c r="H4" s="57">
        <f>FIND("effect:",G4)+7</f>
        <v>9</v>
      </c>
      <c r="I4" s="57">
        <f>IFERROR(FIND(",",G4),LEN(G4))</f>
        <v>22</v>
      </c>
      <c r="J4" s="57" t="e">
        <f>FIND("target:",G4)+7</f>
        <v>#VALUE!</v>
      </c>
      <c r="K4" s="57">
        <f>FIND(",",G4,I4+1)</f>
        <v>32</v>
      </c>
      <c r="L4" s="57" t="str">
        <f>IFERROR(VLOOKUP(MID(G4,J4,K4-J4),[6]skilldef!$C:$D,2,FALSE),"-") &amp; " / " &amp; IFERROR(VLOOKUP(MID(G4,H4,I4-H4),[6]skilldef!$A:$B,2,FALSE),"-")</f>
        <v>- / -</v>
      </c>
      <c r="M4" s="57" t="str">
        <f t="shared" si="0"/>
        <v>[effect:damage_anti_tribe, target:unit_all, tribe:unknown, val1:0.01, val2:0.38]</v>
      </c>
      <c r="N4" s="42" t="str">
        <f t="shared" si="1"/>
        <v>[effect:damage_anti_tribe, target:unit_all, tribe:unknown, val1:0.01, val2:0.38]</v>
      </c>
      <c r="O4" s="57">
        <f t="shared" si="2"/>
        <v>9</v>
      </c>
      <c r="P4" s="57">
        <f t="shared" si="3"/>
        <v>26</v>
      </c>
      <c r="Q4" s="57">
        <f t="shared" si="4"/>
        <v>35</v>
      </c>
      <c r="R4" s="57">
        <f t="shared" si="5"/>
        <v>43</v>
      </c>
      <c r="S4" s="57" t="str">
        <f>IFERROR(VLOOKUP(MID(N4,Q4,R4-Q4),[6]skilldef!$C:$D,2,FALSE),"-") &amp; " / " &amp; IFERROR(VLOOKUP(MID(N4,O4,P4-O4),[6]skilldef!$A:$B,2,FALSE),"-")</f>
        <v>味方全体に / 種族キラー</v>
      </c>
      <c r="T4" s="42" t="str">
        <f t="shared" si="6"/>
        <v>none</v>
      </c>
      <c r="U4" s="57" t="e">
        <f t="shared" si="7"/>
        <v>#VALUE!</v>
      </c>
      <c r="V4" s="57">
        <f t="shared" si="8"/>
        <v>4</v>
      </c>
      <c r="W4" s="57" t="e">
        <f t="shared" si="9"/>
        <v>#VALUE!</v>
      </c>
      <c r="X4" s="57" t="e">
        <f t="shared" si="10"/>
        <v>#VALUE!</v>
      </c>
      <c r="Y4" s="57" t="str">
        <f>IFERROR(VLOOKUP(MID(T4,W4,X4-W4),[6]skilldef!$C:$D,2,FALSE),"-") &amp; " / " &amp; IFERROR(VLOOKUP(MID(T4,U4,V4-U4),[6]skilldef!$A:$B,2,FALSE),"-")</f>
        <v>- / -</v>
      </c>
      <c r="Z4" s="44"/>
      <c r="AA4" s="46"/>
      <c r="AB4" s="44"/>
    </row>
    <row r="5" spans="1:28" ht="56" x14ac:dyDescent="0.15">
      <c r="A5" s="102">
        <v>39008004</v>
      </c>
      <c r="B5" s="41" t="s">
        <v>414</v>
      </c>
      <c r="C5" s="44">
        <v>3</v>
      </c>
      <c r="D5" s="44" t="s">
        <v>247</v>
      </c>
      <c r="E5" s="45" t="s">
        <v>377</v>
      </c>
      <c r="F5" s="189" t="s">
        <v>376</v>
      </c>
      <c r="G5" s="57" t="str">
        <f>IFERROR(LEFT(B5,FIND("],",B5)),B5)</f>
        <v>[effect:enemy_message, val1:1.6, val2:1.7]</v>
      </c>
      <c r="H5" s="57">
        <f>FIND("effect:",G5)+7</f>
        <v>9</v>
      </c>
      <c r="I5" s="57">
        <f>IFERROR(FIND(",",G5),LEN(G5))</f>
        <v>22</v>
      </c>
      <c r="J5" s="57" t="e">
        <f>FIND("target:",G5)+7</f>
        <v>#VALUE!</v>
      </c>
      <c r="K5" s="57">
        <f>FIND(",",G5,I5+1)</f>
        <v>32</v>
      </c>
      <c r="L5" s="57" t="str">
        <f>IFERROR(VLOOKUP(MID(G5,J5,K5-J5),[6]skilldef!$C:$D,2,FALSE),"-") &amp; " / " &amp; IFERROR(VLOOKUP(MID(G5,H5,I5-H5),[6]skilldef!$A:$B,2,FALSE),"-")</f>
        <v>- / -</v>
      </c>
      <c r="M5" s="57" t="str">
        <f t="shared" si="0"/>
        <v>[effect:heal, target:enemy_all, val:0.1, animation:enemy_heal],[effect:rush, count:1, val:0.8]</v>
      </c>
      <c r="N5" s="42" t="str">
        <f t="shared" si="1"/>
        <v>[effect:heal, target:enemy_all, val:0.1, animation:enemy_heal],[effect:rush, count:1, val:0.8]</v>
      </c>
      <c r="O5" s="57">
        <f t="shared" si="2"/>
        <v>9</v>
      </c>
      <c r="P5" s="57">
        <f t="shared" si="3"/>
        <v>13</v>
      </c>
      <c r="Q5" s="57">
        <f t="shared" si="4"/>
        <v>22</v>
      </c>
      <c r="R5" s="57">
        <f t="shared" si="5"/>
        <v>31</v>
      </c>
      <c r="S5" s="57" t="str">
        <f>IFERROR(VLOOKUP(MID(N5,Q5,R5-Q5),[6]skilldef!$C:$D,2,FALSE),"-") &amp; " / " &amp; IFERROR(VLOOKUP(MID(N5,O5,P5-O5),[6]skilldef!$A:$B,2,FALSE),"-")</f>
        <v>敵全体に / 回復</v>
      </c>
      <c r="T5" s="42" t="str">
        <f t="shared" si="6"/>
        <v>[effect:rush, count:1, val:0.8]</v>
      </c>
      <c r="U5" s="57">
        <f t="shared" si="7"/>
        <v>9</v>
      </c>
      <c r="V5" s="57">
        <f t="shared" si="8"/>
        <v>13</v>
      </c>
      <c r="W5" s="57" t="e">
        <f t="shared" si="9"/>
        <v>#VALUE!</v>
      </c>
      <c r="X5" s="57">
        <f t="shared" si="10"/>
        <v>22</v>
      </c>
      <c r="Y5" s="57" t="str">
        <f>IFERROR(VLOOKUP(MID(T5,W5,X5-W5),[6]skilldef!$C:$D,2,FALSE),"-") &amp; " / " &amp; IFERROR(VLOOKUP(MID(T5,U5,V5-U5),[6]skilldef!$A:$B,2,FALSE),"-")</f>
        <v>- / 連続攻撃</v>
      </c>
      <c r="Z5" s="44"/>
      <c r="AA5" s="46"/>
      <c r="AB5" s="44"/>
    </row>
    <row r="6" spans="1:28" x14ac:dyDescent="0.15">
      <c r="A6" s="109">
        <v>39008005</v>
      </c>
      <c r="B6" s="41" t="s">
        <v>415</v>
      </c>
      <c r="C6" s="44">
        <v>3</v>
      </c>
      <c r="D6" s="44" t="s">
        <v>247</v>
      </c>
      <c r="E6" s="45" t="s">
        <v>252</v>
      </c>
      <c r="F6" s="190" t="s">
        <v>379</v>
      </c>
      <c r="G6" s="57"/>
      <c r="H6" s="57"/>
      <c r="I6" s="57"/>
      <c r="J6" s="57"/>
      <c r="K6" s="57"/>
      <c r="L6" s="57" t="str">
        <f>IFERROR(VLOOKUP(MID(G6,J6,K6-J6),[6]skilldef!$C:$D,2,FALSE),"-") &amp; " / " &amp; IFERROR(VLOOKUP(MID(G6,H6,I6-H6),[6]skilldef!$A:$B,2,FALSE),"-")</f>
        <v>- / -</v>
      </c>
      <c r="M6" s="57" t="str">
        <f t="shared" si="0"/>
        <v>[effect:enhance_enemy, target:enemy_all, turn:3, status:attack, val:0.4, animation:enemy_enhance_enemy]</v>
      </c>
      <c r="N6" s="42" t="str">
        <f t="shared" si="1"/>
        <v>[effect:enhance_enemy, target:enemy_all, turn:3, status:attack, val:0.4, animation:enemy_enhance_enemy]</v>
      </c>
      <c r="O6" s="57">
        <f t="shared" si="2"/>
        <v>9</v>
      </c>
      <c r="P6" s="57">
        <f t="shared" si="3"/>
        <v>22</v>
      </c>
      <c r="Q6" s="57">
        <f t="shared" si="4"/>
        <v>31</v>
      </c>
      <c r="R6" s="57">
        <f t="shared" si="5"/>
        <v>40</v>
      </c>
      <c r="S6" s="57" t="str">
        <f>IFERROR(VLOOKUP(MID(N6,Q6,R6-Q6),[6]skilldef!$C:$D,2,FALSE),"-") &amp; " / " &amp; IFERROR(VLOOKUP(MID(N6,O6,P6-O6),[6]skilldef!$A:$B,2,FALSE),"-")</f>
        <v>敵全体に / ステータス強化</v>
      </c>
      <c r="T6" s="42" t="str">
        <f t="shared" si="6"/>
        <v>none</v>
      </c>
      <c r="U6" s="57" t="e">
        <f t="shared" si="7"/>
        <v>#VALUE!</v>
      </c>
      <c r="V6" s="57">
        <f t="shared" si="8"/>
        <v>4</v>
      </c>
      <c r="W6" s="57" t="e">
        <f t="shared" si="9"/>
        <v>#VALUE!</v>
      </c>
      <c r="X6" s="57" t="e">
        <f t="shared" si="10"/>
        <v>#VALUE!</v>
      </c>
      <c r="Y6" s="57" t="str">
        <f>IFERROR(VLOOKUP(MID(T6,W6,X6-W6),[6]skilldef!$C:$D,2,FALSE),"-") &amp; " / " &amp; IFERROR(VLOOKUP(MID(T6,U6,V6-U6),[6]skilldef!$A:$B,2,FALSE),"-")</f>
        <v>- / -</v>
      </c>
      <c r="Z6" s="44"/>
      <c r="AA6" s="46"/>
      <c r="AB6" s="44"/>
    </row>
    <row r="7" spans="1:28" x14ac:dyDescent="0.15">
      <c r="A7" s="109">
        <v>39008006</v>
      </c>
      <c r="B7" s="41" t="s">
        <v>416</v>
      </c>
      <c r="C7" s="44">
        <v>3</v>
      </c>
      <c r="D7" s="44" t="s">
        <v>247</v>
      </c>
      <c r="E7" s="45" t="s">
        <v>253</v>
      </c>
      <c r="F7" s="191" t="s">
        <v>380</v>
      </c>
      <c r="G7" s="57"/>
      <c r="H7" s="57"/>
      <c r="I7" s="57"/>
      <c r="J7" s="57"/>
      <c r="K7" s="57"/>
      <c r="L7" s="57" t="str">
        <f>IFERROR(VLOOKUP(MID(G7,J7,K7-J7),[6]skilldef!$C:$D,2,FALSE),"-") &amp; " / " &amp; IFERROR(VLOOKUP(MID(G7,H7,I7-H7),[6]skilldef!$A:$B,2,FALSE),"-")</f>
        <v>- / -</v>
      </c>
      <c r="M7" s="57" t="str">
        <f t="shared" si="0"/>
        <v>[effect:enhance_enemy, target:enemy_all, turn:3, status:defense, val:3000, calc:add, animation:enemy_enhance_enemy]</v>
      </c>
      <c r="N7" s="42" t="str">
        <f t="shared" si="1"/>
        <v>[effect:enhance_enemy, target:enemy_all, turn:3, status:defense, val:3000, calc:add, animation:enemy_enhance_enemy]</v>
      </c>
      <c r="O7" s="57">
        <f t="shared" si="2"/>
        <v>9</v>
      </c>
      <c r="P7" s="57">
        <f t="shared" si="3"/>
        <v>22</v>
      </c>
      <c r="Q7" s="57">
        <f t="shared" si="4"/>
        <v>31</v>
      </c>
      <c r="R7" s="57">
        <f t="shared" si="5"/>
        <v>40</v>
      </c>
      <c r="S7" s="57" t="str">
        <f>IFERROR(VLOOKUP(MID(N7,Q7,R7-Q7),[6]skilldef!$C:$D,2,FALSE),"-") &amp; " / " &amp; IFERROR(VLOOKUP(MID(N7,O7,P7-O7),[6]skilldef!$A:$B,2,FALSE),"-")</f>
        <v>敵全体に / ステータス強化</v>
      </c>
      <c r="T7" s="42" t="str">
        <f t="shared" si="6"/>
        <v>none</v>
      </c>
      <c r="U7" s="57" t="e">
        <f t="shared" si="7"/>
        <v>#VALUE!</v>
      </c>
      <c r="V7" s="57">
        <f t="shared" si="8"/>
        <v>4</v>
      </c>
      <c r="W7" s="57" t="e">
        <f t="shared" si="9"/>
        <v>#VALUE!</v>
      </c>
      <c r="X7" s="57" t="e">
        <f t="shared" si="10"/>
        <v>#VALUE!</v>
      </c>
      <c r="Y7" s="57" t="str">
        <f>IFERROR(VLOOKUP(MID(T7,W7,X7-W7),[6]skilldef!$C:$D,2,FALSE),"-") &amp; " / " &amp; IFERROR(VLOOKUP(MID(T7,U7,V7-U7),[6]skilldef!$A:$B,2,FALSE),"-")</f>
        <v>- / -</v>
      </c>
      <c r="Z7" s="44"/>
      <c r="AA7" s="46"/>
      <c r="AB7" s="44"/>
    </row>
    <row r="8" spans="1:28" ht="84" x14ac:dyDescent="0.15">
      <c r="A8" s="102">
        <v>39008007</v>
      </c>
      <c r="B8" s="41" t="s">
        <v>417</v>
      </c>
      <c r="C8" s="44">
        <v>3</v>
      </c>
      <c r="D8" s="44" t="s">
        <v>247</v>
      </c>
      <c r="E8" s="107" t="s">
        <v>254</v>
      </c>
      <c r="F8" s="190" t="s">
        <v>381</v>
      </c>
      <c r="G8" s="57" t="str">
        <f>IFERROR(LEFT(B8,FIND("],",B8)),B8)</f>
        <v>[effect:enemy_message, val1:1.5, val2:1.8]</v>
      </c>
      <c r="H8" s="57">
        <f>FIND("effect:",G8)+7</f>
        <v>9</v>
      </c>
      <c r="I8" s="57">
        <f>IFERROR(FIND(",",G8),LEN(G8))</f>
        <v>22</v>
      </c>
      <c r="J8" s="57" t="e">
        <f>FIND("target:",G8)+7</f>
        <v>#VALUE!</v>
      </c>
      <c r="K8" s="57">
        <f>FIND(",",G8,I8+1)</f>
        <v>32</v>
      </c>
      <c r="L8" s="57" t="str">
        <f>IFERROR(VLOOKUP(MID(G8,J8,K8-J8),[6]skilldef!$C:$D,2,FALSE),"-") &amp; " / " &amp; IFERROR(VLOOKUP(MID(G8,H8,I8-H8),[6]skilldef!$A:$B,2,FALSE),"-")</f>
        <v>- / -</v>
      </c>
      <c r="M8" s="57" t="str">
        <f t="shared" si="0"/>
        <v>[effect:fix_speed, target:myself, turn:1],[effect:enhance_enemy, target:enemy_all, turn:3, status:attack, val:0.2, animation:enemy_enhance_enemy]</v>
      </c>
      <c r="N8" s="42" t="str">
        <f t="shared" si="1"/>
        <v>[effect:fix_speed, target:myself, turn:1],[effect:enhance_enemy, target:enemy_all, turn:3, status:attack, val:0.2, animation:enemy_enhance_enemy]</v>
      </c>
      <c r="O8" s="57">
        <f t="shared" si="2"/>
        <v>9</v>
      </c>
      <c r="P8" s="57">
        <f t="shared" si="3"/>
        <v>18</v>
      </c>
      <c r="Q8" s="57">
        <f t="shared" si="4"/>
        <v>27</v>
      </c>
      <c r="R8" s="57">
        <f t="shared" si="5"/>
        <v>33</v>
      </c>
      <c r="S8" s="57" t="str">
        <f>IFERROR(VLOOKUP(MID(N8,Q8,R8-Q8),[6]skilldef!$C:$D,2,FALSE),"-") &amp; " / " &amp; IFERROR(VLOOKUP(MID(N8,O8,P8-O8),[6]skilldef!$A:$B,2,FALSE),"-")</f>
        <v>自分自身に / 行動値設定</v>
      </c>
      <c r="T8" s="42" t="str">
        <f t="shared" si="6"/>
        <v>[effect:enhance_enemy, target:enemy_all, turn:3, status:attack, val:0.2, animation:enemy_enhance_enemy]</v>
      </c>
      <c r="U8" s="57">
        <f t="shared" si="7"/>
        <v>9</v>
      </c>
      <c r="V8" s="57">
        <f t="shared" si="8"/>
        <v>22</v>
      </c>
      <c r="W8" s="57">
        <f t="shared" si="9"/>
        <v>31</v>
      </c>
      <c r="X8" s="57">
        <f t="shared" si="10"/>
        <v>40</v>
      </c>
      <c r="Y8" s="57" t="str">
        <f>IFERROR(VLOOKUP(MID(T8,W8,X8-W8),[6]skilldef!$C:$D,2,FALSE),"-") &amp; " / " &amp; IFERROR(VLOOKUP(MID(T8,U8,V8-U8),[6]skilldef!$A:$B,2,FALSE),"-")</f>
        <v>敵全体に / ステータス強化</v>
      </c>
      <c r="Z8" s="44"/>
      <c r="AA8" s="46"/>
      <c r="AB8" s="44"/>
    </row>
    <row r="9" spans="1:28" x14ac:dyDescent="0.15">
      <c r="A9" s="102">
        <v>39008008</v>
      </c>
      <c r="B9" s="41" t="s">
        <v>418</v>
      </c>
      <c r="C9" s="44">
        <v>3</v>
      </c>
      <c r="D9" s="44" t="s">
        <v>247</v>
      </c>
      <c r="E9" s="45" t="s">
        <v>248</v>
      </c>
      <c r="F9" s="45" t="s">
        <v>249</v>
      </c>
      <c r="G9" s="57" t="str">
        <f>IFERROR(LEFT(B9,FIND("],",B9)),B9)</f>
        <v>[effect:enemy_message, val1:1.2, val2:1.7]</v>
      </c>
      <c r="H9" s="57">
        <f>FIND("effect:",G9)+7</f>
        <v>9</v>
      </c>
      <c r="I9" s="57">
        <f>IFERROR(FIND(",",G9),LEN(G9))</f>
        <v>22</v>
      </c>
      <c r="J9" s="57" t="e">
        <f>FIND("target:",G9)+7</f>
        <v>#VALUE!</v>
      </c>
      <c r="K9" s="57">
        <f>FIND(",",G9,I9+1)</f>
        <v>32</v>
      </c>
      <c r="L9" s="57" t="str">
        <f>IFERROR(VLOOKUP(MID(G9,J9,K9-J9),[6]skilldef!$C:$D,2,FALSE),"-") &amp; " / " &amp; IFERROR(VLOOKUP(MID(G9,H9,I9-H9),[6]skilldef!$A:$B,2,FALSE),"-")</f>
        <v>- / -</v>
      </c>
      <c r="M9" s="57" t="str">
        <f t="shared" si="0"/>
        <v>[effect:rush, count:3, val:0.45]</v>
      </c>
      <c r="N9" s="42" t="str">
        <f t="shared" si="1"/>
        <v>[effect:rush, count:3, val:0.45]</v>
      </c>
      <c r="O9" s="57">
        <f t="shared" si="2"/>
        <v>9</v>
      </c>
      <c r="P9" s="57">
        <f t="shared" si="3"/>
        <v>13</v>
      </c>
      <c r="Q9" s="57" t="e">
        <f t="shared" si="4"/>
        <v>#VALUE!</v>
      </c>
      <c r="R9" s="57">
        <f t="shared" si="5"/>
        <v>22</v>
      </c>
      <c r="S9" s="57" t="str">
        <f>IFERROR(VLOOKUP(MID(N9,Q9,R9-Q9),[6]skilldef!$C:$D,2,FALSE),"-") &amp; " / " &amp; IFERROR(VLOOKUP(MID(N9,O9,P9-O9),[6]skilldef!$A:$B,2,FALSE),"-")</f>
        <v>- / 連続攻撃</v>
      </c>
      <c r="T9" s="42" t="str">
        <f t="shared" si="6"/>
        <v>none</v>
      </c>
      <c r="U9" s="57" t="e">
        <f t="shared" si="7"/>
        <v>#VALUE!</v>
      </c>
      <c r="V9" s="57">
        <f t="shared" si="8"/>
        <v>4</v>
      </c>
      <c r="W9" s="57" t="e">
        <f t="shared" si="9"/>
        <v>#VALUE!</v>
      </c>
      <c r="X9" s="57" t="e">
        <f t="shared" si="10"/>
        <v>#VALUE!</v>
      </c>
      <c r="Y9" s="57" t="str">
        <f>IFERROR(VLOOKUP(MID(T9,W9,X9-W9),[6]skilldef!$C:$D,2,FALSE),"-") &amp; " / " &amp; IFERROR(VLOOKUP(MID(T9,U9,V9-U9),[6]skilldef!$A:$B,2,FALSE),"-")</f>
        <v>- / -</v>
      </c>
      <c r="Z9" s="44"/>
      <c r="AA9" s="46"/>
      <c r="AB9" s="44"/>
    </row>
    <row r="10" spans="1:28" ht="56" x14ac:dyDescent="0.15">
      <c r="A10" s="102">
        <v>39008009</v>
      </c>
      <c r="B10" s="41" t="s">
        <v>419</v>
      </c>
      <c r="C10" s="44">
        <v>3</v>
      </c>
      <c r="D10" s="44" t="s">
        <v>247</v>
      </c>
      <c r="E10" s="45" t="s">
        <v>386</v>
      </c>
      <c r="F10" s="194" t="s">
        <v>312</v>
      </c>
      <c r="G10" s="57" t="str">
        <f>IFERROR(LEFT(B10,FIND("],",B10)),B10)</f>
        <v>[effect:enemy_message, val1:1.6, val2:1.8]</v>
      </c>
      <c r="H10" s="57">
        <f>FIND("effect:",G10)+7</f>
        <v>9</v>
      </c>
      <c r="I10" s="57">
        <f>IFERROR(FIND(",",G10),LEN(G10))</f>
        <v>22</v>
      </c>
      <c r="J10" s="57" t="e">
        <f>FIND("target:",G10)+7</f>
        <v>#VALUE!</v>
      </c>
      <c r="K10" s="57">
        <f>FIND(",",G10,I10+1)</f>
        <v>32</v>
      </c>
      <c r="L10" s="57" t="str">
        <f>IFERROR(VLOOKUP(MID(G10,J10,K10-J10),[6]skilldef!$C:$D,2,FALSE),"-") &amp; " / " &amp; IFERROR(VLOOKUP(MID(G10,H10,I10-H10),[6]skilldef!$A:$B,2,FALSE),"-")</f>
        <v>- / -</v>
      </c>
      <c r="M10" s="57" t="str">
        <f t="shared" si="0"/>
        <v>[effect:heal, target:enemy_all, val:0.1, animation:enemy_heal],[effect:rush, count:2, val:0.7]</v>
      </c>
      <c r="N10" s="42" t="str">
        <f t="shared" si="1"/>
        <v>[effect:heal, target:enemy_all, val:0.1, animation:enemy_heal],[effect:rush, count:2, val:0.7]</v>
      </c>
      <c r="O10" s="57">
        <f t="shared" si="2"/>
        <v>9</v>
      </c>
      <c r="P10" s="57">
        <f t="shared" si="3"/>
        <v>13</v>
      </c>
      <c r="Q10" s="57">
        <f t="shared" si="4"/>
        <v>22</v>
      </c>
      <c r="R10" s="57">
        <f t="shared" si="5"/>
        <v>31</v>
      </c>
      <c r="S10" s="57" t="str">
        <f>IFERROR(VLOOKUP(MID(N10,Q10,R10-Q10),[6]skilldef!$C:$D,2,FALSE),"-") &amp; " / " &amp; IFERROR(VLOOKUP(MID(N10,O10,P10-O10),[6]skilldef!$A:$B,2,FALSE),"-")</f>
        <v>敵全体に / 回復</v>
      </c>
      <c r="T10" s="42" t="str">
        <f t="shared" si="6"/>
        <v>[effect:rush, count:2, val:0.7]</v>
      </c>
      <c r="U10" s="57">
        <f t="shared" si="7"/>
        <v>9</v>
      </c>
      <c r="V10" s="57">
        <f t="shared" si="8"/>
        <v>13</v>
      </c>
      <c r="W10" s="57" t="e">
        <f t="shared" si="9"/>
        <v>#VALUE!</v>
      </c>
      <c r="X10" s="57">
        <f t="shared" si="10"/>
        <v>22</v>
      </c>
      <c r="Y10" s="57" t="str">
        <f>IFERROR(VLOOKUP(MID(T10,W10,X10-W10),[6]skilldef!$C:$D,2,FALSE),"-") &amp; " / " &amp; IFERROR(VLOOKUP(MID(T10,U10,V10-U10),[6]skilldef!$A:$B,2,FALSE),"-")</f>
        <v>- / 連続攻撃</v>
      </c>
      <c r="Z10" s="44"/>
      <c r="AA10" s="46"/>
      <c r="AB10" s="44"/>
    </row>
    <row r="11" spans="1:28" x14ac:dyDescent="0.15">
      <c r="A11" s="102">
        <v>39008010</v>
      </c>
      <c r="B11" s="41" t="s">
        <v>420</v>
      </c>
      <c r="C11" s="44">
        <v>3</v>
      </c>
      <c r="D11" s="44" t="s">
        <v>247</v>
      </c>
      <c r="E11" s="45" t="s">
        <v>255</v>
      </c>
      <c r="F11" s="195" t="s">
        <v>315</v>
      </c>
      <c r="G11" s="57" t="str">
        <f>IFERROR(LEFT(B11,FIND("],",B11)),B11)</f>
        <v>[effect:enemy_message, val1:1.2, val2:1.8]</v>
      </c>
      <c r="H11" s="57">
        <f>FIND("effect:",G11)+7</f>
        <v>9</v>
      </c>
      <c r="I11" s="57">
        <f>IFERROR(FIND(",",G11),LEN(G11))</f>
        <v>22</v>
      </c>
      <c r="J11" s="57" t="e">
        <f>FIND("target:",G11)+7</f>
        <v>#VALUE!</v>
      </c>
      <c r="K11" s="57">
        <f>FIND(",",G11,I11+1)</f>
        <v>32</v>
      </c>
      <c r="L11" s="57" t="str">
        <f>IFERROR(VLOOKUP(MID(G11,J11,K11-J11),[6]skilldef!$C:$D,2,FALSE),"-") &amp; " / " &amp; IFERROR(VLOOKUP(MID(G11,H11,I11-H11),[6]skilldef!$A:$B,2,FALSE),"-")</f>
        <v>- / -</v>
      </c>
      <c r="M11" s="57" t="str">
        <f t="shared" si="0"/>
        <v>[effect:dis_heart, turn:7, rate:1.0, animation:enemy_dis_heart]</v>
      </c>
      <c r="N11" s="42" t="str">
        <f t="shared" si="1"/>
        <v>[effect:dis_heart, turn:7, rate:1.0, animation:enemy_dis_heart]</v>
      </c>
      <c r="O11" s="57">
        <f t="shared" si="2"/>
        <v>9</v>
      </c>
      <c r="P11" s="57">
        <f t="shared" si="3"/>
        <v>18</v>
      </c>
      <c r="Q11" s="57" t="e">
        <f t="shared" si="4"/>
        <v>#VALUE!</v>
      </c>
      <c r="R11" s="57">
        <f t="shared" si="5"/>
        <v>26</v>
      </c>
      <c r="S11" s="57" t="str">
        <f>IFERROR(VLOOKUP(MID(N11,Q11,R11-Q11),[6]skilldef!$C:$D,2,FALSE),"-") &amp; " / " &amp; IFERROR(VLOOKUP(MID(N11,O11,P11-O11),[6]skilldef!$A:$B,2,FALSE),"-")</f>
        <v>- / ディスハート</v>
      </c>
      <c r="T11" s="42" t="str">
        <f t="shared" si="6"/>
        <v>none</v>
      </c>
      <c r="U11" s="57" t="e">
        <f t="shared" si="7"/>
        <v>#VALUE!</v>
      </c>
      <c r="V11" s="57">
        <f t="shared" si="8"/>
        <v>4</v>
      </c>
      <c r="W11" s="57" t="e">
        <f t="shared" si="9"/>
        <v>#VALUE!</v>
      </c>
      <c r="X11" s="57" t="e">
        <f t="shared" si="10"/>
        <v>#VALUE!</v>
      </c>
      <c r="Y11" s="57" t="str">
        <f>IFERROR(VLOOKUP(MID(T11,W11,X11-W11),[6]skilldef!$C:$D,2,FALSE),"-") &amp; " / " &amp; IFERROR(VLOOKUP(MID(T11,U11,V11-U11),[6]skilldef!$A:$B,2,FALSE),"-")</f>
        <v>- / -</v>
      </c>
      <c r="Z11" s="44"/>
      <c r="AA11" s="46"/>
      <c r="AB11" s="44"/>
    </row>
    <row r="12" spans="1:28" x14ac:dyDescent="0.15">
      <c r="A12" s="109">
        <v>39008011</v>
      </c>
      <c r="B12" s="41" t="s">
        <v>387</v>
      </c>
      <c r="C12" s="44">
        <v>3</v>
      </c>
      <c r="D12" s="44" t="s">
        <v>247</v>
      </c>
      <c r="E12" s="45" t="s">
        <v>256</v>
      </c>
      <c r="F12" s="45" t="s">
        <v>310</v>
      </c>
      <c r="G12" s="57"/>
      <c r="H12" s="57"/>
      <c r="I12" s="57"/>
      <c r="J12" s="57"/>
      <c r="K12" s="57"/>
      <c r="L12" s="57" t="str">
        <f>IFERROR(VLOOKUP(MID(G12,J12,K12-J12),[6]skilldef!$C:$D,2,FALSE),"-") &amp; " / " &amp; IFERROR(VLOOKUP(MID(G12,H12,I12-H12),[6]skilldef!$A:$B,2,FALSE),"-")</f>
        <v>- / -</v>
      </c>
      <c r="M12" s="57" t="str">
        <f t="shared" si="0"/>
        <v>[effect:heal, target:enemy_all, val:0.5, animation:enemy_heal]</v>
      </c>
      <c r="N12" s="42" t="str">
        <f t="shared" si="1"/>
        <v>[effect:heal, target:enemy_all, val:0.5, animation:enemy_heal]</v>
      </c>
      <c r="O12" s="57">
        <f t="shared" si="2"/>
        <v>9</v>
      </c>
      <c r="P12" s="57">
        <f t="shared" si="3"/>
        <v>13</v>
      </c>
      <c r="Q12" s="57">
        <f t="shared" si="4"/>
        <v>22</v>
      </c>
      <c r="R12" s="57">
        <f t="shared" si="5"/>
        <v>31</v>
      </c>
      <c r="S12" s="57" t="str">
        <f>IFERROR(VLOOKUP(MID(N12,Q12,R12-Q12),[6]skilldef!$C:$D,2,FALSE),"-") &amp; " / " &amp; IFERROR(VLOOKUP(MID(N12,O12,P12-O12),[6]skilldef!$A:$B,2,FALSE),"-")</f>
        <v>敵全体に / 回復</v>
      </c>
      <c r="T12" s="42" t="str">
        <f t="shared" si="6"/>
        <v>none</v>
      </c>
      <c r="U12" s="57" t="e">
        <f t="shared" si="7"/>
        <v>#VALUE!</v>
      </c>
      <c r="V12" s="57">
        <f t="shared" si="8"/>
        <v>4</v>
      </c>
      <c r="W12" s="57" t="e">
        <f t="shared" si="9"/>
        <v>#VALUE!</v>
      </c>
      <c r="X12" s="57" t="e">
        <f t="shared" si="10"/>
        <v>#VALUE!</v>
      </c>
      <c r="Y12" s="57" t="str">
        <f>IFERROR(VLOOKUP(MID(T12,W12,X12-W12),[6]skilldef!$C:$D,2,FALSE),"-") &amp; " / " &amp; IFERROR(VLOOKUP(MID(T12,U12,V12-U12),[6]skilldef!$A:$B,2,FALSE),"-")</f>
        <v>- / -</v>
      </c>
      <c r="Z12" s="44"/>
      <c r="AA12" s="46"/>
      <c r="AB12" s="44"/>
    </row>
    <row r="13" spans="1:28" x14ac:dyDescent="0.15">
      <c r="A13" s="109">
        <v>39008012</v>
      </c>
      <c r="B13" s="41" t="s">
        <v>421</v>
      </c>
      <c r="C13" s="44">
        <v>3</v>
      </c>
      <c r="D13" s="44" t="s">
        <v>247</v>
      </c>
      <c r="E13" s="45" t="s">
        <v>257</v>
      </c>
      <c r="F13" s="194" t="s">
        <v>382</v>
      </c>
      <c r="G13" s="57"/>
      <c r="H13" s="57"/>
      <c r="I13" s="57"/>
      <c r="J13" s="57"/>
      <c r="K13" s="57"/>
      <c r="L13" s="57" t="str">
        <f>IFERROR(VLOOKUP(MID(G13,J13,K13-J13),[6]skilldef!$C:$D,2,FALSE),"-") &amp; " / " &amp; IFERROR(VLOOKUP(MID(G13,H13,I13-H13),[6]skilldef!$A:$B,2,FALSE),"-")</f>
        <v>- / -</v>
      </c>
      <c r="M13" s="57" t="str">
        <f t="shared" si="0"/>
        <v>[effect:freq_turn, target:enemy_all, turn:3, val:1, animation:enemy_freq_turn]</v>
      </c>
      <c r="N13" s="42" t="str">
        <f t="shared" si="1"/>
        <v>[effect:freq_turn, target:enemy_all, turn:3, val:1, animation:enemy_freq_turn]</v>
      </c>
      <c r="O13" s="57">
        <f t="shared" si="2"/>
        <v>9</v>
      </c>
      <c r="P13" s="57">
        <f t="shared" si="3"/>
        <v>18</v>
      </c>
      <c r="Q13" s="57">
        <f t="shared" si="4"/>
        <v>27</v>
      </c>
      <c r="R13" s="57">
        <f t="shared" si="5"/>
        <v>36</v>
      </c>
      <c r="S13" s="57" t="str">
        <f>IFERROR(VLOOKUP(MID(N13,Q13,R13-Q13),[6]skilldef!$C:$D,2,FALSE),"-") &amp; " / " &amp; IFERROR(VLOOKUP(MID(N13,O13,P13-O13),[6]skilldef!$A:$B,2,FALSE),"-")</f>
        <v>敵全体に / 攻撃頻度がUP</v>
      </c>
      <c r="T13" s="42" t="str">
        <f t="shared" si="6"/>
        <v>none</v>
      </c>
      <c r="U13" s="57" t="e">
        <f t="shared" si="7"/>
        <v>#VALUE!</v>
      </c>
      <c r="V13" s="57">
        <f t="shared" si="8"/>
        <v>4</v>
      </c>
      <c r="W13" s="57" t="e">
        <f t="shared" si="9"/>
        <v>#VALUE!</v>
      </c>
      <c r="X13" s="57" t="e">
        <f t="shared" si="10"/>
        <v>#VALUE!</v>
      </c>
      <c r="Y13" s="57" t="str">
        <f>IFERROR(VLOOKUP(MID(T13,W13,X13-W13),[6]skilldef!$C:$D,2,FALSE),"-") &amp; " / " &amp; IFERROR(VLOOKUP(MID(T13,U13,V13-U13),[6]skilldef!$A:$B,2,FALSE),"-")</f>
        <v>- / -</v>
      </c>
      <c r="Z13" s="44"/>
      <c r="AA13" s="46"/>
      <c r="AB13" s="44"/>
    </row>
    <row r="14" spans="1:28" ht="28" x14ac:dyDescent="0.15">
      <c r="A14" s="110">
        <v>39008013</v>
      </c>
      <c r="B14" s="41" t="s">
        <v>422</v>
      </c>
      <c r="C14" s="44">
        <v>3</v>
      </c>
      <c r="D14" s="44" t="s">
        <v>247</v>
      </c>
      <c r="E14" s="107" t="s">
        <v>288</v>
      </c>
      <c r="F14" s="195" t="s">
        <v>313</v>
      </c>
      <c r="G14" s="57" t="str">
        <f t="shared" ref="G14:G32" si="11">IFERROR(LEFT(B14,FIND("],",B14)),B14)</f>
        <v>[effect:enemy_message, val1:1.9, val2:1.8]</v>
      </c>
      <c r="H14" s="57">
        <f t="shared" ref="H14:H32" si="12">FIND("effect:",G14)+7</f>
        <v>9</v>
      </c>
      <c r="I14" s="57">
        <f t="shared" ref="I14:I32" si="13">IFERROR(FIND(",",G14),LEN(G14))</f>
        <v>22</v>
      </c>
      <c r="J14" s="57" t="e">
        <f t="shared" ref="J14:J32" si="14">FIND("target:",G14)+7</f>
        <v>#VALUE!</v>
      </c>
      <c r="K14" s="57">
        <f t="shared" ref="K14:K32" si="15">FIND(",",G14,I14+1)</f>
        <v>32</v>
      </c>
      <c r="L14" s="57" t="str">
        <f>IFERROR(VLOOKUP(MID(G14,J14,K14-J14),[6]skilldef!$C:$D,2,FALSE),"-") &amp; " / " &amp; IFERROR(VLOOKUP(MID(G14,H14,I14-H14),[6]skilldef!$A:$B,2,FALSE),"-")</f>
        <v>- / -</v>
      </c>
      <c r="M14" s="57" t="str">
        <f t="shared" si="0"/>
        <v>[effect:dis_heart, turn:8, rate:1.0, animation:enemy_dis_heart]</v>
      </c>
      <c r="N14" s="42" t="str">
        <f t="shared" si="1"/>
        <v>[effect:dis_heart, turn:8, rate:1.0, animation:enemy_dis_heart]</v>
      </c>
      <c r="O14" s="57">
        <f t="shared" si="2"/>
        <v>9</v>
      </c>
      <c r="P14" s="57">
        <f t="shared" si="3"/>
        <v>18</v>
      </c>
      <c r="Q14" s="57" t="e">
        <f t="shared" si="4"/>
        <v>#VALUE!</v>
      </c>
      <c r="R14" s="57">
        <f t="shared" si="5"/>
        <v>26</v>
      </c>
      <c r="S14" s="57" t="str">
        <f>IFERROR(VLOOKUP(MID(N14,Q14,R14-Q14),[6]skilldef!$C:$D,2,FALSE),"-") &amp; " / " &amp; IFERROR(VLOOKUP(MID(N14,O14,P14-O14),[6]skilldef!$A:$B,2,FALSE),"-")</f>
        <v>- / ディスハート</v>
      </c>
      <c r="T14" s="42" t="str">
        <f t="shared" si="6"/>
        <v>none</v>
      </c>
      <c r="U14" s="57" t="e">
        <f t="shared" si="7"/>
        <v>#VALUE!</v>
      </c>
      <c r="V14" s="57">
        <f t="shared" si="8"/>
        <v>4</v>
      </c>
      <c r="W14" s="57" t="e">
        <f t="shared" si="9"/>
        <v>#VALUE!</v>
      </c>
      <c r="X14" s="57" t="e">
        <f t="shared" si="10"/>
        <v>#VALUE!</v>
      </c>
      <c r="Y14" s="57" t="str">
        <f>IFERROR(VLOOKUP(MID(T14,W14,X14-W14),[6]skilldef!$C:$D,2,FALSE),"-") &amp; " / " &amp; IFERROR(VLOOKUP(MID(T14,U14,V14-U14),[6]skilldef!$A:$B,2,FALSE),"-")</f>
        <v>- / -</v>
      </c>
      <c r="Z14" s="44"/>
      <c r="AA14" s="46"/>
      <c r="AB14" s="44"/>
    </row>
    <row r="15" spans="1:28" ht="70" x14ac:dyDescent="0.15">
      <c r="A15" s="110">
        <v>39008014</v>
      </c>
      <c r="B15" s="41" t="s">
        <v>388</v>
      </c>
      <c r="C15" s="44">
        <v>3</v>
      </c>
      <c r="D15" s="44" t="s">
        <v>247</v>
      </c>
      <c r="E15" s="45" t="s">
        <v>258</v>
      </c>
      <c r="F15" s="194" t="s">
        <v>319</v>
      </c>
      <c r="G15" s="57" t="str">
        <f t="shared" si="11"/>
        <v>[effect:enemy_message, val1:1.2, val2:2.2]</v>
      </c>
      <c r="H15" s="57">
        <f t="shared" si="12"/>
        <v>9</v>
      </c>
      <c r="I15" s="57">
        <f t="shared" si="13"/>
        <v>22</v>
      </c>
      <c r="J15" s="57" t="e">
        <f t="shared" si="14"/>
        <v>#VALUE!</v>
      </c>
      <c r="K15" s="57">
        <f t="shared" si="15"/>
        <v>32</v>
      </c>
      <c r="L15" s="57" t="str">
        <f>IFERROR(VLOOKUP(MID(G15,J15,K15-J15),[6]skilldef!$C:$D,2,FALSE),"-") &amp; " / " &amp; IFERROR(VLOOKUP(MID(G15,H15,I15-H15),[6]skilldef!$A:$B,2,FALSE),"-")</f>
        <v>- / -</v>
      </c>
      <c r="M15" s="57" t="str">
        <f t="shared" si="0"/>
        <v>[effect:degrade_unit, target:unit_all, turn:3, status:heal, val:1, calc:mul, animation:degrade_unit_all_heal],[effect:rush, count:1, val:0.8]</v>
      </c>
      <c r="N15" s="42" t="str">
        <f>IFERROR(LEFT(M15,FIND("],",M15)+S25),M15)</f>
        <v>[effect:degrade_unit, target:unit_all, turn:3, status:heal, val:1, calc:mul, animation:degrade_unit_all_heal],[effect:rush, count:1, val:0.8]</v>
      </c>
      <c r="O15" s="57">
        <f t="shared" si="2"/>
        <v>9</v>
      </c>
      <c r="P15" s="57">
        <f t="shared" si="3"/>
        <v>21</v>
      </c>
      <c r="Q15" s="57">
        <f t="shared" si="4"/>
        <v>30</v>
      </c>
      <c r="R15" s="57">
        <f t="shared" si="5"/>
        <v>38</v>
      </c>
      <c r="S15" s="57" t="str">
        <f>IFERROR(VLOOKUP(MID(N15,Q15,R15-Q15),[6]skilldef!$C:$D,2,FALSE),"-") &amp; " / " &amp; IFERROR(VLOOKUP(MID(N15,O15,P15-O15),[6]skilldef!$A:$B,2,FALSE),"-")</f>
        <v>味方全体に / ステータスDOWN</v>
      </c>
      <c r="T15" s="42" t="str">
        <f t="shared" si="6"/>
        <v>[effect:rush, count:1, val:0.8]</v>
      </c>
      <c r="U15" s="57">
        <f t="shared" si="7"/>
        <v>9</v>
      </c>
      <c r="V15" s="57">
        <f t="shared" si="8"/>
        <v>13</v>
      </c>
      <c r="W15" s="57" t="e">
        <f t="shared" si="9"/>
        <v>#VALUE!</v>
      </c>
      <c r="X15" s="57">
        <f t="shared" si="10"/>
        <v>22</v>
      </c>
      <c r="Y15" s="57" t="str">
        <f>IFERROR(VLOOKUP(MID(T15,W15,X15-W15),[6]skilldef!$C:$D,2,FALSE),"-") &amp; " / " &amp; IFERROR(VLOOKUP(MID(T15,U15,V15-U15),[6]skilldef!$A:$B,2,FALSE),"-")</f>
        <v>- / 連続攻撃</v>
      </c>
      <c r="Z15" s="44"/>
      <c r="AA15" s="46"/>
      <c r="AB15" s="44"/>
    </row>
    <row r="16" spans="1:28" x14ac:dyDescent="0.15">
      <c r="A16" s="110">
        <v>39008015</v>
      </c>
      <c r="B16" s="41" t="s">
        <v>389</v>
      </c>
      <c r="C16" s="44">
        <v>3</v>
      </c>
      <c r="D16" s="44" t="s">
        <v>247</v>
      </c>
      <c r="E16" s="45" t="s">
        <v>259</v>
      </c>
      <c r="F16" s="41" t="s">
        <v>260</v>
      </c>
      <c r="G16" s="57" t="str">
        <f t="shared" si="11"/>
        <v>[effect:enemy_message, val1:1.2, val2:1.2]</v>
      </c>
      <c r="H16" s="57">
        <f t="shared" si="12"/>
        <v>9</v>
      </c>
      <c r="I16" s="57">
        <f t="shared" si="13"/>
        <v>22</v>
      </c>
      <c r="J16" s="57" t="e">
        <f t="shared" si="14"/>
        <v>#VALUE!</v>
      </c>
      <c r="K16" s="57">
        <f t="shared" si="15"/>
        <v>32</v>
      </c>
      <c r="L16" s="57" t="str">
        <f>IFERROR(VLOOKUP(MID(G16,J16,K16-J16),[6]skilldef!$C:$D,2,FALSE),"-") &amp; " / " &amp; IFERROR(VLOOKUP(MID(G16,H16,I16-H16),[6]skilldef!$A:$B,2,FALSE),"-")</f>
        <v>- / -</v>
      </c>
      <c r="M16" s="57" t="str">
        <f t="shared" si="0"/>
        <v>[effect:spread, val:0.35, animation:enemy_spread]</v>
      </c>
      <c r="N16" s="42" t="str">
        <f>IFERROR(LEFT(M16,FIND("],",M16)+S26),M16)</f>
        <v>[effect:spread, val:0.35, animation:enemy_spread]</v>
      </c>
      <c r="O16" s="57">
        <f t="shared" si="2"/>
        <v>9</v>
      </c>
      <c r="P16" s="57">
        <f t="shared" si="3"/>
        <v>15</v>
      </c>
      <c r="Q16" s="57" t="e">
        <f t="shared" si="4"/>
        <v>#VALUE!</v>
      </c>
      <c r="R16" s="57">
        <f t="shared" si="5"/>
        <v>25</v>
      </c>
      <c r="S16" s="57" t="str">
        <f>IFERROR(VLOOKUP(MID(N16,Q16,R16-Q16),[6]skilldef!$C:$D,2,FALSE),"-") &amp; " / " &amp; IFERROR(VLOOKUP(MID(N16,O16,P16-O16),[6]skilldef!$A:$B,2,FALSE),"-")</f>
        <v>- / 全体攻撃</v>
      </c>
      <c r="T16" s="42" t="str">
        <f t="shared" si="6"/>
        <v>none</v>
      </c>
      <c r="U16" s="57" t="e">
        <f t="shared" si="7"/>
        <v>#VALUE!</v>
      </c>
      <c r="V16" s="57">
        <f t="shared" si="8"/>
        <v>4</v>
      </c>
      <c r="W16" s="57" t="e">
        <f t="shared" si="9"/>
        <v>#VALUE!</v>
      </c>
      <c r="X16" s="57" t="e">
        <f t="shared" si="10"/>
        <v>#VALUE!</v>
      </c>
      <c r="Y16" s="57" t="str">
        <f>IFERROR(VLOOKUP(MID(T16,W16,X16-W16),[6]skilldef!$C:$D,2,FALSE),"-") &amp; " / " &amp; IFERROR(VLOOKUP(MID(T16,U16,V16-U16),[6]skilldef!$A:$B,2,FALSE),"-")</f>
        <v>- / -</v>
      </c>
      <c r="Z16" s="44"/>
      <c r="AA16" s="46"/>
      <c r="AB16" s="44"/>
    </row>
    <row r="17" spans="1:28" ht="70" x14ac:dyDescent="0.15">
      <c r="A17" s="110">
        <v>39008016</v>
      </c>
      <c r="B17" s="41" t="s">
        <v>390</v>
      </c>
      <c r="C17" s="44">
        <v>3</v>
      </c>
      <c r="D17" s="44" t="s">
        <v>247</v>
      </c>
      <c r="E17" s="45" t="s">
        <v>261</v>
      </c>
      <c r="F17" s="121" t="s">
        <v>372</v>
      </c>
      <c r="G17" s="57" t="str">
        <f t="shared" si="11"/>
        <v>[effect:enemy_message, val1:1.2, val2:2.1]</v>
      </c>
      <c r="H17" s="57">
        <f t="shared" si="12"/>
        <v>9</v>
      </c>
      <c r="I17" s="57">
        <f t="shared" si="13"/>
        <v>22</v>
      </c>
      <c r="J17" s="57" t="e">
        <f t="shared" si="14"/>
        <v>#VALUE!</v>
      </c>
      <c r="K17" s="57">
        <f t="shared" si="15"/>
        <v>32</v>
      </c>
      <c r="L17" s="57" t="str">
        <f>IFERROR(VLOOKUP(MID(G17,J17,K17-J17),[6]skilldef!$C:$D,2,FALSE),"-") &amp; " / " &amp; IFERROR(VLOOKUP(MID(G17,H17,I17-H17),[6]skilldef!$A:$B,2,FALSE),"-")</f>
        <v>- / -</v>
      </c>
      <c r="M17" s="57" t="str">
        <f t="shared" si="0"/>
        <v>[effect:enhance_enemy, target:enemy_all, turn:3, status:attack, val:0.3, animation:enemy_enhance_enemy],[effect:rush, count:2, val:0.6]</v>
      </c>
      <c r="N17" s="42" t="str">
        <f>IFERROR(LEFT(M17,FIND("],",M17)+S27),M17)</f>
        <v>[effect:enhance_enemy, target:enemy_all, turn:3, status:attack, val:0.3, animation:enemy_enhance_enemy],[effect:rush, count:2, val:0.6]</v>
      </c>
      <c r="O17" s="57">
        <f t="shared" si="2"/>
        <v>9</v>
      </c>
      <c r="P17" s="57">
        <f t="shared" si="3"/>
        <v>22</v>
      </c>
      <c r="Q17" s="57">
        <f t="shared" si="4"/>
        <v>31</v>
      </c>
      <c r="R17" s="57">
        <f t="shared" si="5"/>
        <v>40</v>
      </c>
      <c r="S17" s="57" t="str">
        <f>IFERROR(VLOOKUP(MID(N17,Q17,R17-Q17),[6]skilldef!$C:$D,2,FALSE),"-") &amp; " / " &amp; IFERROR(VLOOKUP(MID(N17,O17,P17-O17),[6]skilldef!$A:$B,2,FALSE),"-")</f>
        <v>敵全体に / ステータス強化</v>
      </c>
      <c r="T17" s="42" t="str">
        <f t="shared" si="6"/>
        <v>[effect:rush, count:2, val:0.6]</v>
      </c>
      <c r="U17" s="57">
        <f t="shared" si="7"/>
        <v>9</v>
      </c>
      <c r="V17" s="57">
        <f t="shared" si="8"/>
        <v>13</v>
      </c>
      <c r="W17" s="57" t="e">
        <f t="shared" si="9"/>
        <v>#VALUE!</v>
      </c>
      <c r="X17" s="57">
        <f t="shared" si="10"/>
        <v>22</v>
      </c>
      <c r="Y17" s="57" t="str">
        <f>IFERROR(VLOOKUP(MID(T17,W17,X17-W17),[6]skilldef!$C:$D,2,FALSE),"-") &amp; " / " &amp; IFERROR(VLOOKUP(MID(T17,U17,V17-U17),[6]skilldef!$A:$B,2,FALSE),"-")</f>
        <v>- / 連続攻撃</v>
      </c>
      <c r="Z17" s="44"/>
      <c r="AA17" s="46"/>
      <c r="AB17" s="44"/>
    </row>
    <row r="18" spans="1:28" ht="28" x14ac:dyDescent="0.15">
      <c r="A18" s="111">
        <v>39008017</v>
      </c>
      <c r="B18" s="41" t="s">
        <v>423</v>
      </c>
      <c r="C18" s="44">
        <v>3</v>
      </c>
      <c r="D18" s="44" t="s">
        <v>247</v>
      </c>
      <c r="E18" s="112" t="s">
        <v>262</v>
      </c>
      <c r="F18" s="192" t="s">
        <v>317</v>
      </c>
      <c r="G18" s="57" t="str">
        <f t="shared" si="11"/>
        <v>[effect:enemy_message, val1:1.8, val2:1.8]</v>
      </c>
      <c r="H18" s="57">
        <f t="shared" si="12"/>
        <v>9</v>
      </c>
      <c r="I18" s="57">
        <f t="shared" si="13"/>
        <v>22</v>
      </c>
      <c r="J18" s="57" t="e">
        <f t="shared" si="14"/>
        <v>#VALUE!</v>
      </c>
      <c r="K18" s="57">
        <f t="shared" si="15"/>
        <v>32</v>
      </c>
      <c r="L18" s="57" t="str">
        <f>IFERROR(VLOOKUP(MID(G18,J18,K18-J18),[6]skilldef!$C:$D,2,FALSE),"-") &amp; " / " &amp; IFERROR(VLOOKUP(MID(G18,H18,I18-H18),[6]skilldef!$A:$B,2,FALSE),"-")</f>
        <v>- / -</v>
      </c>
      <c r="M18" s="57" t="str">
        <f t="shared" si="0"/>
        <v>[effect:critical, val:0.6, animation:enemy_critical]</v>
      </c>
      <c r="N18" s="42" t="str">
        <f>IFERROR(LEFT(M18,FIND("],",M18)+S28),M18)</f>
        <v>[effect:critical, val:0.6, animation:enemy_critical]</v>
      </c>
      <c r="O18" s="57">
        <f t="shared" si="2"/>
        <v>9</v>
      </c>
      <c r="P18" s="57">
        <f t="shared" si="3"/>
        <v>17</v>
      </c>
      <c r="Q18" s="57" t="e">
        <f t="shared" si="4"/>
        <v>#VALUE!</v>
      </c>
      <c r="R18" s="57">
        <f t="shared" si="5"/>
        <v>26</v>
      </c>
      <c r="S18" s="57" t="str">
        <f>IFERROR(VLOOKUP(MID(N18,Q18,R18-Q18),[6]skilldef!$C:$D,2,FALSE),"-") &amp; " / " &amp; IFERROR(VLOOKUP(MID(N18,O18,P18-O18),[6]skilldef!$A:$B,2,FALSE),"-")</f>
        <v>- / 大攻撃</v>
      </c>
      <c r="T18" s="42" t="str">
        <f t="shared" si="6"/>
        <v>none</v>
      </c>
      <c r="U18" s="57" t="e">
        <f t="shared" si="7"/>
        <v>#VALUE!</v>
      </c>
      <c r="V18" s="57">
        <f t="shared" si="8"/>
        <v>4</v>
      </c>
      <c r="W18" s="57" t="e">
        <f t="shared" si="9"/>
        <v>#VALUE!</v>
      </c>
      <c r="X18" s="57" t="e">
        <f t="shared" si="10"/>
        <v>#VALUE!</v>
      </c>
      <c r="Y18" s="57" t="str">
        <f>IFERROR(VLOOKUP(MID(T18,W18,X18-W18),[6]skilldef!$C:$D,2,FALSE),"-") &amp; " / " &amp; IFERROR(VLOOKUP(MID(T18,U18,V18-U18),[6]skilldef!$A:$B,2,FALSE),"-")</f>
        <v>- / -</v>
      </c>
      <c r="Z18" s="44"/>
      <c r="AA18" s="46"/>
      <c r="AB18" s="44"/>
    </row>
    <row r="19" spans="1:28" ht="28" x14ac:dyDescent="0.15">
      <c r="A19" s="111">
        <v>39008018</v>
      </c>
      <c r="B19" s="41" t="s">
        <v>424</v>
      </c>
      <c r="C19" s="44">
        <v>3</v>
      </c>
      <c r="D19" s="44" t="s">
        <v>247</v>
      </c>
      <c r="E19" s="112" t="s">
        <v>263</v>
      </c>
      <c r="F19" s="193" t="s">
        <v>318</v>
      </c>
      <c r="G19" s="57" t="str">
        <f t="shared" si="11"/>
        <v>[effect:enemy_message, val1:1.5, val2:1.8]</v>
      </c>
      <c r="H19" s="57">
        <f t="shared" si="12"/>
        <v>9</v>
      </c>
      <c r="I19" s="57">
        <f t="shared" si="13"/>
        <v>22</v>
      </c>
      <c r="J19" s="57" t="e">
        <f t="shared" si="14"/>
        <v>#VALUE!</v>
      </c>
      <c r="K19" s="57">
        <f t="shared" si="15"/>
        <v>32</v>
      </c>
      <c r="L19" s="57" t="str">
        <f>IFERROR(VLOOKUP(MID(G19,J19,K19-J19),[6]skilldef!$C:$D,2,FALSE),"-") &amp; " / " &amp; IFERROR(VLOOKUP(MID(G19,H19,I19-H19),[6]skilldef!$A:$B,2,FALSE),"-")</f>
        <v>- / -</v>
      </c>
      <c r="M19" s="57" t="str">
        <f t="shared" si="0"/>
        <v>[effect:critical, val:1.0, animation:enemy_critical]</v>
      </c>
      <c r="N19" s="42" t="str">
        <f>IFERROR(LEFT(M19,FIND("],",M19)+S29),M19)</f>
        <v>[effect:critical, val:1.0, animation:enemy_critical]</v>
      </c>
      <c r="O19" s="57">
        <f t="shared" si="2"/>
        <v>9</v>
      </c>
      <c r="P19" s="57">
        <f t="shared" si="3"/>
        <v>17</v>
      </c>
      <c r="Q19" s="57" t="e">
        <f t="shared" si="4"/>
        <v>#VALUE!</v>
      </c>
      <c r="R19" s="57">
        <f t="shared" si="5"/>
        <v>26</v>
      </c>
      <c r="S19" s="57" t="str">
        <f>IFERROR(VLOOKUP(MID(N19,Q19,R19-Q19),[6]skilldef!$C:$D,2,FALSE),"-") &amp; " / " &amp; IFERROR(VLOOKUP(MID(N19,O19,P19-O19),[6]skilldef!$A:$B,2,FALSE),"-")</f>
        <v>- / 大攻撃</v>
      </c>
      <c r="T19" s="42" t="str">
        <f t="shared" si="6"/>
        <v>none</v>
      </c>
      <c r="U19" s="57" t="e">
        <f t="shared" si="7"/>
        <v>#VALUE!</v>
      </c>
      <c r="V19" s="57">
        <f t="shared" si="8"/>
        <v>4</v>
      </c>
      <c r="W19" s="57" t="e">
        <f t="shared" si="9"/>
        <v>#VALUE!</v>
      </c>
      <c r="X19" s="57" t="e">
        <f t="shared" si="10"/>
        <v>#VALUE!</v>
      </c>
      <c r="Y19" s="57" t="str">
        <f>IFERROR(VLOOKUP(MID(T19,W19,X19-W19),[6]skilldef!$C:$D,2,FALSE),"-") &amp; " / " &amp; IFERROR(VLOOKUP(MID(T19,U19,V19-U19),[6]skilldef!$A:$B,2,FALSE),"-")</f>
        <v>- / -</v>
      </c>
      <c r="Z19" s="44"/>
      <c r="AA19" s="46"/>
      <c r="AB19" s="44"/>
    </row>
    <row r="20" spans="1:28" ht="28" x14ac:dyDescent="0.15">
      <c r="A20" s="111">
        <v>39008019</v>
      </c>
      <c r="B20" s="41" t="s">
        <v>425</v>
      </c>
      <c r="C20" s="44">
        <v>3</v>
      </c>
      <c r="D20" s="44" t="s">
        <v>247</v>
      </c>
      <c r="E20" s="112" t="s">
        <v>263</v>
      </c>
      <c r="F20" s="193" t="s">
        <v>317</v>
      </c>
      <c r="G20" s="57" t="str">
        <f t="shared" si="11"/>
        <v>[effect:enemy_message, val1:1.5, val2:1.8]</v>
      </c>
      <c r="H20" s="57">
        <f t="shared" si="12"/>
        <v>9</v>
      </c>
      <c r="I20" s="57">
        <f t="shared" si="13"/>
        <v>22</v>
      </c>
      <c r="J20" s="57" t="e">
        <f t="shared" si="14"/>
        <v>#VALUE!</v>
      </c>
      <c r="K20" s="57">
        <f t="shared" si="15"/>
        <v>32</v>
      </c>
      <c r="L20" s="57" t="str">
        <f>IFERROR(VLOOKUP(MID(G20,J20,K20-J20),[6]skilldef!$C:$D,2,FALSE),"-") &amp; " / " &amp; IFERROR(VLOOKUP(MID(G20,H20,I20-H20),[6]skilldef!$A:$B,2,FALSE),"-")</f>
        <v>- / -</v>
      </c>
      <c r="M20" s="57" t="str">
        <f t="shared" si="0"/>
        <v>[effect:critical, val:1.3, animation:enemy_critical]</v>
      </c>
      <c r="N20" s="42" t="str">
        <f>IFERROR(LEFT(M20,FIND("],",M20)+#REF!),M20)</f>
        <v>[effect:critical, val:1.3, animation:enemy_critical]</v>
      </c>
      <c r="O20" s="57">
        <f t="shared" si="2"/>
        <v>9</v>
      </c>
      <c r="P20" s="57">
        <f t="shared" si="3"/>
        <v>17</v>
      </c>
      <c r="Q20" s="57" t="e">
        <f t="shared" si="4"/>
        <v>#VALUE!</v>
      </c>
      <c r="R20" s="57">
        <f t="shared" si="5"/>
        <v>26</v>
      </c>
      <c r="S20" s="57" t="str">
        <f>IFERROR(VLOOKUP(MID(N20,Q20,R20-Q20),[6]skilldef!$C:$D,2,FALSE),"-") &amp; " / " &amp; IFERROR(VLOOKUP(MID(N20,O20,P20-O20),[6]skilldef!$A:$B,2,FALSE),"-")</f>
        <v>- / 大攻撃</v>
      </c>
      <c r="T20" s="42" t="str">
        <f t="shared" si="6"/>
        <v>none</v>
      </c>
      <c r="U20" s="57" t="e">
        <f t="shared" si="7"/>
        <v>#VALUE!</v>
      </c>
      <c r="V20" s="57">
        <f t="shared" si="8"/>
        <v>4</v>
      </c>
      <c r="W20" s="57" t="e">
        <f t="shared" si="9"/>
        <v>#VALUE!</v>
      </c>
      <c r="X20" s="57" t="e">
        <f t="shared" si="10"/>
        <v>#VALUE!</v>
      </c>
      <c r="Y20" s="57" t="str">
        <f>IFERROR(VLOOKUP(MID(T20,W20,X20-W20),[6]skilldef!$C:$D,2,FALSE),"-") &amp; " / " &amp; IFERROR(VLOOKUP(MID(T20,U20,V20-U20),[6]skilldef!$A:$B,2,FALSE),"-")</f>
        <v>- / -</v>
      </c>
      <c r="Z20" s="44"/>
      <c r="AA20" s="46"/>
      <c r="AB20" s="44"/>
    </row>
    <row r="21" spans="1:28" ht="28" x14ac:dyDescent="0.15">
      <c r="A21" s="111">
        <v>39008020</v>
      </c>
      <c r="B21" s="41" t="s">
        <v>426</v>
      </c>
      <c r="C21" s="44">
        <v>3</v>
      </c>
      <c r="D21" s="44" t="s">
        <v>247</v>
      </c>
      <c r="E21" s="112" t="s">
        <v>264</v>
      </c>
      <c r="F21" s="193" t="s">
        <v>317</v>
      </c>
      <c r="G21" s="57" t="str">
        <f t="shared" si="11"/>
        <v>[effect:enemy_message, val1:1.5, val2:1.8]</v>
      </c>
      <c r="H21" s="57">
        <f t="shared" si="12"/>
        <v>9</v>
      </c>
      <c r="I21" s="57">
        <f t="shared" si="13"/>
        <v>22</v>
      </c>
      <c r="J21" s="57" t="e">
        <f t="shared" si="14"/>
        <v>#VALUE!</v>
      </c>
      <c r="K21" s="57">
        <f t="shared" si="15"/>
        <v>32</v>
      </c>
      <c r="L21" s="57" t="str">
        <f>IFERROR(VLOOKUP(MID(G21,J21,K21-J21),[6]skilldef!$C:$D,2,FALSE),"-") &amp; " / " &amp; IFERROR(VLOOKUP(MID(G21,H21,I21-H21),[6]skilldef!$A:$B,2,FALSE),"-")</f>
        <v>- / -</v>
      </c>
      <c r="M21" s="57" t="str">
        <f t="shared" si="0"/>
        <v>[effect:critical, val:1.6, animation:enemy_critical]</v>
      </c>
      <c r="N21" s="42" t="str">
        <f>IFERROR(LEFT(M21,FIND("],",M21)+#REF!),M21)</f>
        <v>[effect:critical, val:1.6, animation:enemy_critical]</v>
      </c>
      <c r="O21" s="57">
        <f t="shared" si="2"/>
        <v>9</v>
      </c>
      <c r="P21" s="57">
        <f t="shared" si="3"/>
        <v>17</v>
      </c>
      <c r="Q21" s="57" t="e">
        <f t="shared" si="4"/>
        <v>#VALUE!</v>
      </c>
      <c r="R21" s="57">
        <f t="shared" si="5"/>
        <v>26</v>
      </c>
      <c r="S21" s="57" t="str">
        <f>IFERROR(VLOOKUP(MID(N21,Q21,R21-Q21),[6]skilldef!$C:$D,2,FALSE),"-") &amp; " / " &amp; IFERROR(VLOOKUP(MID(N21,O21,P21-O21),[6]skilldef!$A:$B,2,FALSE),"-")</f>
        <v>- / 大攻撃</v>
      </c>
      <c r="T21" s="42" t="str">
        <f t="shared" si="6"/>
        <v>none</v>
      </c>
      <c r="U21" s="57" t="e">
        <f t="shared" si="7"/>
        <v>#VALUE!</v>
      </c>
      <c r="V21" s="57">
        <f t="shared" si="8"/>
        <v>4</v>
      </c>
      <c r="W21" s="57" t="e">
        <f t="shared" si="9"/>
        <v>#VALUE!</v>
      </c>
      <c r="X21" s="57" t="e">
        <f t="shared" si="10"/>
        <v>#VALUE!</v>
      </c>
      <c r="Y21" s="57" t="str">
        <f>IFERROR(VLOOKUP(MID(T21,W21,X21-W21),[6]skilldef!$C:$D,2,FALSE),"-") &amp; " / " &amp; IFERROR(VLOOKUP(MID(T21,U21,V21-U21),[6]skilldef!$A:$B,2,FALSE),"-")</f>
        <v>- / -</v>
      </c>
      <c r="Z21" s="44"/>
      <c r="AA21" s="46"/>
      <c r="AB21" s="44"/>
    </row>
    <row r="22" spans="1:28" ht="98" x14ac:dyDescent="0.15">
      <c r="A22" s="111">
        <v>39008021</v>
      </c>
      <c r="B22" s="41" t="s">
        <v>391</v>
      </c>
      <c r="C22" s="44">
        <v>3</v>
      </c>
      <c r="D22" s="44" t="s">
        <v>247</v>
      </c>
      <c r="E22" s="45" t="s">
        <v>265</v>
      </c>
      <c r="F22" s="194" t="s">
        <v>366</v>
      </c>
      <c r="G22" s="57" t="str">
        <f t="shared" si="11"/>
        <v>[effect:enemy_message, val1:1.2, val2:4.0]</v>
      </c>
      <c r="H22" s="57">
        <f t="shared" si="12"/>
        <v>9</v>
      </c>
      <c r="I22" s="57">
        <f t="shared" si="13"/>
        <v>22</v>
      </c>
      <c r="J22" s="57" t="e">
        <f t="shared" si="14"/>
        <v>#VALUE!</v>
      </c>
      <c r="K22" s="57">
        <f t="shared" si="15"/>
        <v>32</v>
      </c>
      <c r="L22" s="57" t="str">
        <f>IFERROR(VLOOKUP(MID(G22,J22,K22-J22),[6]skilldef!$C:$D,2,FALSE),"-") &amp; " / " &amp; IFERROR(VLOOKUP(MID(G22,H22,I22-H22),[6]skilldef!$A:$B,2,FALSE),"-")</f>
        <v>- / -</v>
      </c>
      <c r="M22" s="57" t="str">
        <f t="shared" si="0"/>
        <v>[effect:change_panel_ratio, turn:3, block_type:heal, val:0, animation:block_incidence04],[effect:degrade_unit, target:unit_all, turn:3, status:heal, val:1.0, calc:mul, animation:degrade_unit_all_heal]</v>
      </c>
      <c r="N22" s="42" t="str">
        <f>IFERROR(LEFT(M22,FIND("],",M22)+#REF!),M22)</f>
        <v>[effect:change_panel_ratio, turn:3, block_type:heal, val:0, animation:block_incidence04],[effect:degrade_unit, target:unit_all, turn:3, status:heal, val:1.0, calc:mul, animation:degrade_unit_all_heal]</v>
      </c>
      <c r="O22" s="57">
        <f t="shared" si="2"/>
        <v>9</v>
      </c>
      <c r="P22" s="57">
        <f t="shared" si="3"/>
        <v>27</v>
      </c>
      <c r="Q22" s="57">
        <f t="shared" si="4"/>
        <v>119</v>
      </c>
      <c r="R22" s="57">
        <f t="shared" si="5"/>
        <v>35</v>
      </c>
      <c r="S22" s="57" t="str">
        <f>IFERROR(VLOOKUP(MID(N22,Q22,R22-Q22),[6]skilldef!$C:$D,2,FALSE),"-") &amp; " / " &amp; IFERROR(VLOOKUP(MID(N22,O22,P22-O22),[6]skilldef!$A:$B,2,FALSE),"-")</f>
        <v>- / -</v>
      </c>
      <c r="T22" s="42" t="str">
        <f t="shared" si="6"/>
        <v>[effect:degrade_unit, target:unit_all, turn:3, status:heal, val:1.0, calc:mul, animation:degrade_unit_all_heal]</v>
      </c>
      <c r="U22" s="57">
        <f t="shared" si="7"/>
        <v>9</v>
      </c>
      <c r="V22" s="57">
        <f t="shared" si="8"/>
        <v>21</v>
      </c>
      <c r="W22" s="57">
        <f t="shared" si="9"/>
        <v>30</v>
      </c>
      <c r="X22" s="57">
        <f t="shared" si="10"/>
        <v>38</v>
      </c>
      <c r="Y22" s="57" t="str">
        <f>IFERROR(VLOOKUP(MID(T22,W22,X22-W22),[6]skilldef!$C:$D,2,FALSE),"-") &amp; " / " &amp; IFERROR(VLOOKUP(MID(T22,U22,V22-U22),[6]skilldef!$A:$B,2,FALSE),"-")</f>
        <v>味方全体に / ステータスDOWN</v>
      </c>
      <c r="Z22" s="44"/>
      <c r="AA22" s="46"/>
      <c r="AB22" s="44"/>
    </row>
    <row r="23" spans="1:28" ht="42" x14ac:dyDescent="0.15">
      <c r="A23" s="111">
        <v>39008022</v>
      </c>
      <c r="B23" s="41" t="s">
        <v>427</v>
      </c>
      <c r="C23" s="44">
        <v>3</v>
      </c>
      <c r="D23" s="44" t="s">
        <v>247</v>
      </c>
      <c r="E23" s="107" t="s">
        <v>266</v>
      </c>
      <c r="F23" s="45" t="s">
        <v>316</v>
      </c>
      <c r="G23" s="57" t="str">
        <f t="shared" si="11"/>
        <v>[effect:enemy_message, val1:1.2, val2:1.8]</v>
      </c>
      <c r="H23" s="57">
        <f t="shared" si="12"/>
        <v>9</v>
      </c>
      <c r="I23" s="57">
        <f t="shared" si="13"/>
        <v>22</v>
      </c>
      <c r="J23" s="57" t="e">
        <f t="shared" si="14"/>
        <v>#VALUE!</v>
      </c>
      <c r="K23" s="57">
        <f t="shared" si="15"/>
        <v>32</v>
      </c>
      <c r="L23" s="57" t="str">
        <f>IFERROR(VLOOKUP(MID(G23,J23,K23-J23),[6]skilldef!$C:$D,2,FALSE),"-") &amp; " / " &amp; IFERROR(VLOOKUP(MID(G23,H23,I23-H23),[6]skilldef!$A:$B,2,FALSE),"-")</f>
        <v>- / -</v>
      </c>
      <c r="M23" s="57" t="str">
        <f t="shared" si="0"/>
        <v>[effect:freq_turn, target:myself, turn:-1, val:1, animation:enemy_freq_turn]</v>
      </c>
      <c r="N23" s="42" t="str">
        <f>IFERROR(LEFT(M23,FIND("],",M23)+#REF!),M23)</f>
        <v>[effect:freq_turn, target:myself, turn:-1, val:1, animation:enemy_freq_turn]</v>
      </c>
      <c r="O23" s="57">
        <f t="shared" si="2"/>
        <v>9</v>
      </c>
      <c r="P23" s="57">
        <f t="shared" si="3"/>
        <v>18</v>
      </c>
      <c r="Q23" s="57">
        <f t="shared" si="4"/>
        <v>27</v>
      </c>
      <c r="R23" s="57">
        <f t="shared" si="5"/>
        <v>33</v>
      </c>
      <c r="S23" s="57" t="str">
        <f>IFERROR(VLOOKUP(MID(N23,Q23,R23-Q23),[6]skilldef!$C:$D,2,FALSE),"-") &amp; " / " &amp; IFERROR(VLOOKUP(MID(N23,O23,P23-O23),[6]skilldef!$A:$B,2,FALSE),"-")</f>
        <v>自分自身に / 攻撃頻度がUP</v>
      </c>
      <c r="T23" s="42" t="str">
        <f t="shared" si="6"/>
        <v>none</v>
      </c>
      <c r="U23" s="57" t="e">
        <f t="shared" si="7"/>
        <v>#VALUE!</v>
      </c>
      <c r="V23" s="57">
        <f t="shared" si="8"/>
        <v>4</v>
      </c>
      <c r="W23" s="57" t="e">
        <f t="shared" si="9"/>
        <v>#VALUE!</v>
      </c>
      <c r="X23" s="57" t="e">
        <f t="shared" si="10"/>
        <v>#VALUE!</v>
      </c>
      <c r="Y23" s="57" t="str">
        <f>IFERROR(VLOOKUP(MID(T23,W23,X23-W23),[6]skilldef!$C:$D,2,FALSE),"-") &amp; " / " &amp; IFERROR(VLOOKUP(MID(T23,U23,V23-U23),[6]skilldef!$A:$B,2,FALSE),"-")</f>
        <v>- / -</v>
      </c>
      <c r="Z23" s="44"/>
      <c r="AA23" s="46"/>
      <c r="AB23" s="44"/>
    </row>
    <row r="24" spans="1:28" x14ac:dyDescent="0.15">
      <c r="A24" s="113">
        <v>39008023</v>
      </c>
      <c r="B24" s="41" t="s">
        <v>392</v>
      </c>
      <c r="C24" s="44">
        <v>3</v>
      </c>
      <c r="D24" s="44" t="s">
        <v>247</v>
      </c>
      <c r="E24" s="45" t="s">
        <v>267</v>
      </c>
      <c r="F24" s="45" t="s">
        <v>289</v>
      </c>
      <c r="G24" s="57" t="str">
        <f t="shared" si="11"/>
        <v>[effect:enemy_message, val1:1.2, val2:1.2]</v>
      </c>
      <c r="H24" s="57">
        <f t="shared" si="12"/>
        <v>9</v>
      </c>
      <c r="I24" s="57">
        <f t="shared" si="13"/>
        <v>22</v>
      </c>
      <c r="J24" s="57" t="e">
        <f t="shared" si="14"/>
        <v>#VALUE!</v>
      </c>
      <c r="K24" s="57">
        <f t="shared" si="15"/>
        <v>32</v>
      </c>
      <c r="L24" s="57" t="str">
        <f>IFERROR(VLOOKUP(MID(G24,J24,K24-J24),[6]skilldef!$C:$D,2,FALSE),"-") &amp; " / " &amp; IFERROR(VLOOKUP(MID(G24,H24,I24-H24),[6]skilldef!$A:$B,2,FALSE),"-")</f>
        <v>- / -</v>
      </c>
      <c r="M24" s="57" t="str">
        <f t="shared" si="0"/>
        <v>[effect:critical, val:1.7, animation:enemy_critical]</v>
      </c>
      <c r="N24" s="42" t="str">
        <f>IFERROR(LEFT(M24,FIND("],",M24)+#REF!),M24)</f>
        <v>[effect:critical, val:1.7, animation:enemy_critical]</v>
      </c>
      <c r="O24" s="57">
        <f t="shared" si="2"/>
        <v>9</v>
      </c>
      <c r="P24" s="57">
        <f t="shared" si="3"/>
        <v>17</v>
      </c>
      <c r="Q24" s="57" t="e">
        <f t="shared" si="4"/>
        <v>#VALUE!</v>
      </c>
      <c r="R24" s="57">
        <f t="shared" si="5"/>
        <v>26</v>
      </c>
      <c r="S24" s="57" t="str">
        <f>IFERROR(VLOOKUP(MID(N24,Q24,R24-Q24),[6]skilldef!$C:$D,2,FALSE),"-") &amp; " / " &amp; IFERROR(VLOOKUP(MID(N24,O24,P24-O24),[6]skilldef!$A:$B,2,FALSE),"-")</f>
        <v>- / 大攻撃</v>
      </c>
      <c r="T24" s="42" t="str">
        <f t="shared" si="6"/>
        <v>none</v>
      </c>
      <c r="U24" s="57" t="e">
        <f t="shared" si="7"/>
        <v>#VALUE!</v>
      </c>
      <c r="V24" s="57">
        <f t="shared" si="8"/>
        <v>4</v>
      </c>
      <c r="W24" s="57" t="e">
        <f t="shared" si="9"/>
        <v>#VALUE!</v>
      </c>
      <c r="X24" s="57" t="e">
        <f t="shared" si="10"/>
        <v>#VALUE!</v>
      </c>
      <c r="Y24" s="57" t="str">
        <f>IFERROR(VLOOKUP(MID(T24,W24,X24-W24),[6]skilldef!$C:$D,2,FALSE),"-") &amp; " / " &amp; IFERROR(VLOOKUP(MID(T24,U24,V24-U24),[6]skilldef!$A:$B,2,FALSE),"-")</f>
        <v>- / -</v>
      </c>
      <c r="Z24" s="44"/>
      <c r="AA24" s="46"/>
      <c r="AB24" s="44"/>
    </row>
    <row r="25" spans="1:28" ht="42" x14ac:dyDescent="0.15">
      <c r="A25" s="113">
        <v>39008024</v>
      </c>
      <c r="B25" s="41" t="s">
        <v>406</v>
      </c>
      <c r="C25" s="44">
        <v>3</v>
      </c>
      <c r="D25" s="44" t="s">
        <v>247</v>
      </c>
      <c r="E25" s="114" t="s">
        <v>268</v>
      </c>
      <c r="F25" s="194" t="s">
        <v>369</v>
      </c>
      <c r="G25" s="57" t="str">
        <f t="shared" si="11"/>
        <v>[effect:enemy_message, val1:1.2, val2:2.7]</v>
      </c>
      <c r="H25" s="57">
        <f t="shared" si="12"/>
        <v>9</v>
      </c>
      <c r="I25" s="57">
        <f t="shared" si="13"/>
        <v>22</v>
      </c>
      <c r="J25" s="57" t="e">
        <f t="shared" si="14"/>
        <v>#VALUE!</v>
      </c>
      <c r="K25" s="57">
        <f t="shared" si="15"/>
        <v>32</v>
      </c>
      <c r="L25" s="57" t="str">
        <f>IFERROR(VLOOKUP(MID(G25,J25,K25-J25),[6]skilldef!$C:$D,2,FALSE),"-") &amp; " / " &amp; IFERROR(VLOOKUP(MID(G25,H25,I25-H25),[6]skilldef!$A:$B,2,FALSE),"-")</f>
        <v>- / -</v>
      </c>
      <c r="M25" s="57" t="str">
        <f t="shared" si="0"/>
        <v>[effect:damage_anti_tribe, target:unit_all, tribe:unknown, val1:0.01, val2:0.42]</v>
      </c>
      <c r="N25" s="42" t="str">
        <f>IFERROR(LEFT(M25,FIND("],",M25)+#REF!),M25)</f>
        <v>[effect:damage_anti_tribe, target:unit_all, tribe:unknown, val1:0.01, val2:0.42]</v>
      </c>
      <c r="O25" s="57">
        <f t="shared" si="2"/>
        <v>9</v>
      </c>
      <c r="P25" s="57">
        <f t="shared" si="3"/>
        <v>26</v>
      </c>
      <c r="Q25" s="57">
        <f t="shared" si="4"/>
        <v>35</v>
      </c>
      <c r="R25" s="57">
        <f t="shared" si="5"/>
        <v>43</v>
      </c>
      <c r="S25" s="57" t="str">
        <f>IFERROR(VLOOKUP(MID(N25,Q25,R25-Q25),[6]skilldef!$C:$D,2,FALSE),"-") &amp; " / " &amp; IFERROR(VLOOKUP(MID(N25,O25,P25-O25),[6]skilldef!$A:$B,2,FALSE),"-")</f>
        <v>味方全体に / 種族キラー</v>
      </c>
      <c r="T25" s="42" t="str">
        <f t="shared" si="6"/>
        <v>none</v>
      </c>
      <c r="U25" s="57" t="e">
        <f t="shared" si="7"/>
        <v>#VALUE!</v>
      </c>
      <c r="V25" s="57">
        <f t="shared" si="8"/>
        <v>4</v>
      </c>
      <c r="W25" s="57" t="e">
        <f t="shared" si="9"/>
        <v>#VALUE!</v>
      </c>
      <c r="X25" s="57" t="e">
        <f t="shared" si="10"/>
        <v>#VALUE!</v>
      </c>
      <c r="Y25" s="57" t="str">
        <f>IFERROR(VLOOKUP(MID(T25,W25,X25-W25),[6]skilldef!$C:$D,2,FALSE),"-") &amp; " / " &amp; IFERROR(VLOOKUP(MID(T25,U25,V25-U25),[6]skilldef!$A:$B,2,FALSE),"-")</f>
        <v>- / -</v>
      </c>
      <c r="Z25" s="44"/>
      <c r="AA25" s="46"/>
      <c r="AB25" s="44"/>
    </row>
    <row r="26" spans="1:28" ht="84" x14ac:dyDescent="0.15">
      <c r="A26" s="113">
        <v>39008025</v>
      </c>
      <c r="B26" s="41" t="s">
        <v>393</v>
      </c>
      <c r="C26" s="44">
        <v>3</v>
      </c>
      <c r="D26" s="44" t="s">
        <v>247</v>
      </c>
      <c r="E26" s="115" t="s">
        <v>269</v>
      </c>
      <c r="F26" s="155" t="s">
        <v>373</v>
      </c>
      <c r="G26" s="57" t="str">
        <f t="shared" si="11"/>
        <v>[effect:enemy_message, val1:1.2, val2:2.2]</v>
      </c>
      <c r="H26" s="57">
        <f t="shared" si="12"/>
        <v>9</v>
      </c>
      <c r="I26" s="57">
        <f t="shared" si="13"/>
        <v>22</v>
      </c>
      <c r="J26" s="57" t="e">
        <f t="shared" si="14"/>
        <v>#VALUE!</v>
      </c>
      <c r="K26" s="57">
        <f t="shared" si="15"/>
        <v>32</v>
      </c>
      <c r="L26" s="57" t="str">
        <f>IFERROR(VLOOKUP(MID(G26,J26,K26-J26),[6]skilldef!$C:$D,2,FALSE),"-") &amp; " / " &amp; IFERROR(VLOOKUP(MID(G26,H26,I26-H26),[6]skilldef!$A:$B,2,FALSE),"-")</f>
        <v>- / -</v>
      </c>
      <c r="M26" s="57" t="str">
        <f t="shared" si="0"/>
        <v>[effect:enhance_enemy, target:enemy_all, turn:5, status:defense, val:6000, calc:add, animation:enemy_enhance_enemy],[effect:rush, count:4, val:0.35]</v>
      </c>
      <c r="N26" s="42" t="str">
        <f>IFERROR(LEFT(M26,FIND("],",M26)+#REF!),M26)</f>
        <v>[effect:enhance_enemy, target:enemy_all, turn:5, status:defense, val:6000, calc:add, animation:enemy_enhance_enemy],[effect:rush, count:4, val:0.35]</v>
      </c>
      <c r="O26" s="57">
        <f t="shared" si="2"/>
        <v>9</v>
      </c>
      <c r="P26" s="57">
        <f t="shared" si="3"/>
        <v>22</v>
      </c>
      <c r="Q26" s="57">
        <f t="shared" si="4"/>
        <v>31</v>
      </c>
      <c r="R26" s="57">
        <f t="shared" si="5"/>
        <v>40</v>
      </c>
      <c r="S26" s="57" t="str">
        <f>IFERROR(VLOOKUP(MID(N26,Q26,R26-Q26),[6]skilldef!$C:$D,2,FALSE),"-") &amp; " / " &amp; IFERROR(VLOOKUP(MID(N26,O26,P26-O26),[6]skilldef!$A:$B,2,FALSE),"-")</f>
        <v>敵全体に / ステータス強化</v>
      </c>
      <c r="T26" s="42" t="str">
        <f t="shared" si="6"/>
        <v>[effect:rush, count:4, val:0.35]</v>
      </c>
      <c r="U26" s="57">
        <f t="shared" si="7"/>
        <v>9</v>
      </c>
      <c r="V26" s="57">
        <f t="shared" si="8"/>
        <v>13</v>
      </c>
      <c r="W26" s="57" t="e">
        <f t="shared" si="9"/>
        <v>#VALUE!</v>
      </c>
      <c r="X26" s="57">
        <f t="shared" si="10"/>
        <v>22</v>
      </c>
      <c r="Y26" s="57" t="str">
        <f>IFERROR(VLOOKUP(MID(T26,W26,X26-W26),[6]skilldef!$C:$D,2,FALSE),"-") &amp; " / " &amp; IFERROR(VLOOKUP(MID(T26,U26,V26-U26),[6]skilldef!$A:$B,2,FALSE),"-")</f>
        <v>- / 連続攻撃</v>
      </c>
      <c r="Z26" s="44"/>
      <c r="AA26" s="46"/>
      <c r="AB26" s="44"/>
    </row>
    <row r="27" spans="1:28" ht="84" x14ac:dyDescent="0.15">
      <c r="A27" s="113">
        <v>39008026</v>
      </c>
      <c r="B27" s="41" t="s">
        <v>394</v>
      </c>
      <c r="C27" s="44">
        <v>3</v>
      </c>
      <c r="D27" s="44" t="s">
        <v>247</v>
      </c>
      <c r="E27" s="45" t="s">
        <v>270</v>
      </c>
      <c r="F27" s="45" t="s">
        <v>370</v>
      </c>
      <c r="G27" s="57" t="str">
        <f t="shared" si="11"/>
        <v>[effect:enemy_message, val1:1.2, val2:2.4]</v>
      </c>
      <c r="H27" s="57">
        <f t="shared" si="12"/>
        <v>9</v>
      </c>
      <c r="I27" s="57">
        <f t="shared" si="13"/>
        <v>22</v>
      </c>
      <c r="J27" s="57" t="e">
        <f t="shared" si="14"/>
        <v>#VALUE!</v>
      </c>
      <c r="K27" s="57">
        <f t="shared" si="15"/>
        <v>32</v>
      </c>
      <c r="L27" s="57" t="str">
        <f>IFERROR(VLOOKUP(MID(G27,J27,K27-J27),[6]skilldef!$C:$D,2,FALSE),"-") &amp; " / " &amp; IFERROR(VLOOKUP(MID(G27,H27,I27-H27),[6]skilldef!$A:$B,2,FALSE),"-")</f>
        <v>- / -</v>
      </c>
      <c r="M27" s="57" t="str">
        <f t="shared" si="0"/>
        <v>[effect:remove_enhancement, target:unit_one, target_effect:enhance, target_type:buff, status:defense, animation:frozen_wave],[effect:rush, count:2, val:0.6]</v>
      </c>
      <c r="N27" s="42" t="str">
        <f>IFERROR(LEFT(M27,FIND("],",M27)+#REF!),M27)</f>
        <v>[effect:remove_enhancement, target:unit_one, target_effect:enhance, target_type:buff, status:defense, animation:frozen_wave],[effect:rush, count:2, val:0.6]</v>
      </c>
      <c r="O27" s="57">
        <f t="shared" si="2"/>
        <v>9</v>
      </c>
      <c r="P27" s="57">
        <f t="shared" si="3"/>
        <v>27</v>
      </c>
      <c r="Q27" s="57">
        <f t="shared" si="4"/>
        <v>36</v>
      </c>
      <c r="R27" s="57">
        <f t="shared" si="5"/>
        <v>44</v>
      </c>
      <c r="S27" s="57" t="str">
        <f>IFERROR(VLOOKUP(MID(N27,Q27,R27-Q27),[6]skilldef!$C:$D,2,FALSE),"-") &amp; " / " &amp; IFERROR(VLOOKUP(MID(N27,O27,P27-O27),[6]skilldef!$A:$B,2,FALSE),"-")</f>
        <v>味方単体に / -</v>
      </c>
      <c r="T27" s="42" t="str">
        <f t="shared" si="6"/>
        <v>[effect:rush, count:2, val:0.6]</v>
      </c>
      <c r="U27" s="57">
        <f t="shared" si="7"/>
        <v>9</v>
      </c>
      <c r="V27" s="57">
        <f t="shared" si="8"/>
        <v>13</v>
      </c>
      <c r="W27" s="57" t="e">
        <f t="shared" si="9"/>
        <v>#VALUE!</v>
      </c>
      <c r="X27" s="57">
        <f t="shared" si="10"/>
        <v>22</v>
      </c>
      <c r="Y27" s="57" t="str">
        <f>IFERROR(VLOOKUP(MID(T27,W27,X27-W27),[6]skilldef!$C:$D,2,FALSE),"-") &amp; " / " &amp; IFERROR(VLOOKUP(MID(T27,U27,V27-U27),[6]skilldef!$A:$B,2,FALSE),"-")</f>
        <v>- / 連続攻撃</v>
      </c>
      <c r="Z27" s="44"/>
      <c r="AA27" s="46"/>
      <c r="AB27" s="44"/>
    </row>
    <row r="28" spans="1:28" ht="28" x14ac:dyDescent="0.15">
      <c r="A28" s="116">
        <v>39008027</v>
      </c>
      <c r="B28" s="151" t="s">
        <v>395</v>
      </c>
      <c r="C28" s="44">
        <v>3</v>
      </c>
      <c r="D28" s="117" t="s">
        <v>247</v>
      </c>
      <c r="E28" s="118" t="s">
        <v>271</v>
      </c>
      <c r="F28" s="118" t="s">
        <v>272</v>
      </c>
      <c r="G28" s="57" t="str">
        <f t="shared" si="11"/>
        <v>[effect:enemy_message, val1:1.2, val2:1.2]</v>
      </c>
      <c r="H28" s="57">
        <f t="shared" si="12"/>
        <v>9</v>
      </c>
      <c r="I28" s="57">
        <f t="shared" si="13"/>
        <v>22</v>
      </c>
      <c r="J28" s="57" t="e">
        <f t="shared" si="14"/>
        <v>#VALUE!</v>
      </c>
      <c r="K28" s="57">
        <f t="shared" si="15"/>
        <v>32</v>
      </c>
      <c r="L28" s="57" t="str">
        <f>IFERROR(VLOOKUP(MID(G28,J28,K28-J28),[6]skilldef!$C:$D,2,FALSE),"-") &amp; " / " &amp; IFERROR(VLOOKUP(MID(G28,H28,I28-H28),[6]skilldef!$A:$B,2,FALSE),"-")</f>
        <v>- / -</v>
      </c>
      <c r="M28" s="57" t="str">
        <f t="shared" si="0"/>
        <v>[effect:degrade_fever, val:1000, animation:fevergauge_down]</v>
      </c>
      <c r="N28" s="42" t="str">
        <f>IFERROR(LEFT(M28,FIND("],",M28)+#REF!),M28)</f>
        <v>[effect:degrade_fever, val:1000, animation:fevergauge_down]</v>
      </c>
      <c r="O28" s="57">
        <f t="shared" si="2"/>
        <v>9</v>
      </c>
      <c r="P28" s="57">
        <f t="shared" si="3"/>
        <v>22</v>
      </c>
      <c r="Q28" s="57" t="e">
        <f t="shared" si="4"/>
        <v>#VALUE!</v>
      </c>
      <c r="R28" s="57">
        <f t="shared" si="5"/>
        <v>32</v>
      </c>
      <c r="S28" s="57" t="str">
        <f>IFERROR(VLOOKUP(MID(N28,Q28,R28-Q28),[6]skilldef!$C:$D,2,FALSE),"-") &amp; " / " &amp; IFERROR(VLOOKUP(MID(N28,O28,P28-O28),[6]skilldef!$A:$B,2,FALSE),"-")</f>
        <v>- / フィーバーゲージ減少</v>
      </c>
      <c r="T28" s="42" t="str">
        <f t="shared" si="6"/>
        <v>none</v>
      </c>
      <c r="U28" s="57" t="e">
        <f t="shared" si="7"/>
        <v>#VALUE!</v>
      </c>
      <c r="V28" s="57">
        <f t="shared" si="8"/>
        <v>4</v>
      </c>
      <c r="W28" s="57" t="e">
        <f t="shared" si="9"/>
        <v>#VALUE!</v>
      </c>
      <c r="X28" s="57" t="e">
        <f t="shared" si="10"/>
        <v>#VALUE!</v>
      </c>
      <c r="Y28" s="57" t="str">
        <f>IFERROR(VLOOKUP(MID(T28,W28,X28-W28),[6]skilldef!$C:$D,2,FALSE),"-") &amp; " / " &amp; IFERROR(VLOOKUP(MID(T28,U28,V28-U28),[6]skilldef!$A:$B,2,FALSE),"-")</f>
        <v>- / -</v>
      </c>
      <c r="Z28" s="44"/>
      <c r="AA28" s="46"/>
      <c r="AB28" s="44"/>
    </row>
    <row r="29" spans="1:28" ht="98" x14ac:dyDescent="0.15">
      <c r="A29" s="113">
        <v>39008028</v>
      </c>
      <c r="B29" s="121" t="s">
        <v>396</v>
      </c>
      <c r="C29" s="44">
        <v>3</v>
      </c>
      <c r="D29" s="44" t="s">
        <v>247</v>
      </c>
      <c r="E29" s="107" t="s">
        <v>311</v>
      </c>
      <c r="F29" s="194" t="s">
        <v>367</v>
      </c>
      <c r="G29" s="57" t="str">
        <f t="shared" si="11"/>
        <v>[effect:enemy_message, val1:1.2, val2:2.1]</v>
      </c>
      <c r="H29" s="57">
        <f t="shared" si="12"/>
        <v>9</v>
      </c>
      <c r="I29" s="57">
        <f t="shared" si="13"/>
        <v>22</v>
      </c>
      <c r="J29" s="57" t="e">
        <f t="shared" si="14"/>
        <v>#VALUE!</v>
      </c>
      <c r="K29" s="57">
        <f t="shared" si="15"/>
        <v>32</v>
      </c>
      <c r="L29" s="57" t="str">
        <f>IFERROR(VLOOKUP(MID(G29,J29,K29-J29),[6]skilldef!$C:$D,2,FALSE),"-") &amp; " / " &amp; IFERROR(VLOOKUP(MID(G29,H29,I29-H29),[6]skilldef!$A:$B,2,FALSE),"-")</f>
        <v>- / -</v>
      </c>
      <c r="M29" s="57" t="str">
        <f t="shared" si="0"/>
        <v>[effect:fix_speed, target:myself, turn:1],[effect:tolerance, target:myself, turn:-1, count:-1, tolerance_effect:all, animation:enemy_tolerance],[effect:degrade_fever, val:1000, animation:fevergauge_down]</v>
      </c>
      <c r="N29" s="42" t="str">
        <f>IFERROR(LEFT(M29,FIND("],",M29)+#REF!),M29)</f>
        <v>[effect:fix_speed, target:myself, turn:1],[effect:tolerance, target:myself, turn:-1, count:-1, tolerance_effect:all, animation:enemy_tolerance],[effect:degrade_fever, val:1000, animation:fevergauge_down]</v>
      </c>
      <c r="O29" s="57">
        <f t="shared" si="2"/>
        <v>9</v>
      </c>
      <c r="P29" s="57">
        <f t="shared" si="3"/>
        <v>18</v>
      </c>
      <c r="Q29" s="57">
        <f t="shared" si="4"/>
        <v>27</v>
      </c>
      <c r="R29" s="57">
        <f t="shared" si="5"/>
        <v>33</v>
      </c>
      <c r="S29" s="57" t="str">
        <f>IFERROR(VLOOKUP(MID(N29,Q29,R29-Q29),[6]skilldef!$C:$D,2,FALSE),"-") &amp; " / " &amp; IFERROR(VLOOKUP(MID(N29,O29,P29-O29),[6]skilldef!$A:$B,2,FALSE),"-")</f>
        <v>自分自身に / 行動値設定</v>
      </c>
      <c r="T29" s="42" t="str">
        <f t="shared" si="6"/>
        <v>[effect:tolerance, target:myself, turn:-1, count:-1, tolerance_effect:all, animation:enemy_tolerance],[effect:degrade_fever, val:1000, animation:fevergauge_down]</v>
      </c>
      <c r="U29" s="57">
        <f t="shared" si="7"/>
        <v>9</v>
      </c>
      <c r="V29" s="57">
        <f t="shared" si="8"/>
        <v>18</v>
      </c>
      <c r="W29" s="57">
        <f t="shared" si="9"/>
        <v>27</v>
      </c>
      <c r="X29" s="57">
        <f t="shared" si="10"/>
        <v>33</v>
      </c>
      <c r="Y29" s="57" t="str">
        <f>IFERROR(VLOOKUP(MID(T29,W29,X29-W29),[6]skilldef!$C:$D,2,FALSE),"-") &amp; " / " &amp; IFERROR(VLOOKUP(MID(T29,U29,V29-U29),[6]skilldef!$A:$B,2,FALSE),"-")</f>
        <v>自分自身に / 状態異常耐性</v>
      </c>
      <c r="Z29" s="44"/>
      <c r="AA29" s="46"/>
      <c r="AB29" s="44"/>
    </row>
    <row r="30" spans="1:28" ht="98" x14ac:dyDescent="0.15">
      <c r="A30" s="119">
        <v>39008029</v>
      </c>
      <c r="B30" s="121" t="s">
        <v>408</v>
      </c>
      <c r="C30" s="44">
        <v>3</v>
      </c>
      <c r="D30" s="44" t="s">
        <v>247</v>
      </c>
      <c r="E30" s="45" t="s">
        <v>273</v>
      </c>
      <c r="F30" s="45" t="s">
        <v>274</v>
      </c>
      <c r="G30" s="57" t="str">
        <f t="shared" si="11"/>
        <v>[effect:enemy_message, val1:1.4, val2:1.8]</v>
      </c>
      <c r="H30" s="57">
        <f t="shared" si="12"/>
        <v>9</v>
      </c>
      <c r="I30" s="57">
        <f t="shared" si="13"/>
        <v>22</v>
      </c>
      <c r="J30" s="57" t="e">
        <f t="shared" si="14"/>
        <v>#VALUE!</v>
      </c>
      <c r="K30" s="57">
        <f t="shared" si="15"/>
        <v>32</v>
      </c>
      <c r="L30" s="57" t="str">
        <f>IFERROR(VLOOKUP(MID(G30,J30,K30-J30),[6]skilldef!$C:$D,2,FALSE),"-") &amp; " / " &amp; IFERROR(VLOOKUP(MID(G30,H30,I30-H30),[6]skilldef!$A:$B,2,FALSE),"-")</f>
        <v>- / -</v>
      </c>
      <c r="M30" s="57" t="str">
        <f t="shared" si="0"/>
        <v>[effect:force_change_block, new_block:block_heart, target:block_all, ignore01:crash, ignore02:crack_bomb, ignore03:color_break, ignore04:magnet, count:5, val:0, animation:change_block]</v>
      </c>
      <c r="N30" s="42" t="str">
        <f>IFERROR(LEFT(M30,FIND("],",M30)+#REF!),M30)</f>
        <v>[effect:force_change_block, new_block:block_heart, target:block_all, ignore01:crash, ignore02:crack_bomb, ignore03:color_break, ignore04:magnet, count:5, val:0, animation:change_block]</v>
      </c>
      <c r="O30" s="57">
        <f t="shared" si="2"/>
        <v>9</v>
      </c>
      <c r="P30" s="57">
        <f t="shared" si="3"/>
        <v>27</v>
      </c>
      <c r="Q30" s="57">
        <f t="shared" si="4"/>
        <v>59</v>
      </c>
      <c r="R30" s="57">
        <f t="shared" si="5"/>
        <v>50</v>
      </c>
      <c r="S30" s="57" t="str">
        <f>IFERROR(VLOOKUP(MID(N30,Q30,R30-Q30),[6]skilldef!$C:$D,2,FALSE),"-") &amp; " / " &amp; IFERROR(VLOOKUP(MID(N30,O30,P30-O30),[6]skilldef!$A:$B,2,FALSE),"-")</f>
        <v>- / -</v>
      </c>
      <c r="T30" s="42" t="str">
        <f t="shared" si="6"/>
        <v>none</v>
      </c>
      <c r="U30" s="57" t="e">
        <f t="shared" si="7"/>
        <v>#VALUE!</v>
      </c>
      <c r="V30" s="57">
        <f t="shared" si="8"/>
        <v>4</v>
      </c>
      <c r="W30" s="57" t="e">
        <f t="shared" si="9"/>
        <v>#VALUE!</v>
      </c>
      <c r="X30" s="57" t="e">
        <f t="shared" si="10"/>
        <v>#VALUE!</v>
      </c>
      <c r="Y30" s="57" t="str">
        <f>IFERROR(VLOOKUP(MID(T30,W30,X30-W30),[6]skilldef!$C:$D,2,FALSE),"-") &amp; " / " &amp; IFERROR(VLOOKUP(MID(T30,U30,V30-U30),[6]skilldef!$A:$B,2,FALSE),"-")</f>
        <v>- / -</v>
      </c>
      <c r="Z30" s="44"/>
      <c r="AA30" s="46"/>
      <c r="AB30" s="44"/>
    </row>
    <row r="31" spans="1:28" ht="168" x14ac:dyDescent="0.15">
      <c r="A31" s="120">
        <v>39008030</v>
      </c>
      <c r="B31" s="121" t="s">
        <v>397</v>
      </c>
      <c r="C31" s="44">
        <v>3</v>
      </c>
      <c r="D31" s="44" t="s">
        <v>247</v>
      </c>
      <c r="E31" s="121" t="s">
        <v>275</v>
      </c>
      <c r="F31" s="194" t="s">
        <v>314</v>
      </c>
      <c r="G31" s="57" t="str">
        <f t="shared" si="11"/>
        <v>[effect:enemy_message, val1:2.2, val2:2.3]</v>
      </c>
      <c r="H31" s="57">
        <f t="shared" si="12"/>
        <v>9</v>
      </c>
      <c r="I31" s="57">
        <f t="shared" si="13"/>
        <v>22</v>
      </c>
      <c r="J31" s="57" t="e">
        <f t="shared" si="14"/>
        <v>#VALUE!</v>
      </c>
      <c r="K31" s="57">
        <f t="shared" si="15"/>
        <v>32</v>
      </c>
      <c r="L31" s="57" t="str">
        <f>IFERROR(VLOOKUP(MID(G31,J31,K31-J31),[6]skilldef!$C:$D,2,FALSE),"-") &amp; " / " &amp; IFERROR(VLOOKUP(MID(G31,H31,I31-H31),[6]skilldef!$A:$B,2,FALSE),"-")</f>
        <v>- / -</v>
      </c>
      <c r="M31" s="57" t="str">
        <f t="shared" si="0"/>
        <v>[effect:fix_speed, target:myself, turn:1],[effect:tolerance, target:myself, turn:-1, count:-1, tolerance_effect:all, animation:enemy_tolerance],[effect:force_change_block, new_block:block_heart, target:block_all, ignore01:crash, ignore02:crack_bomb, ignore03:color_break, ignore04:magnet, count:5, val:0, animation:change_block]</v>
      </c>
      <c r="N31" s="42" t="str">
        <f>IFERROR(LEFT(M31,FIND("],",M31)+#REF!),M31)</f>
        <v>[effect:fix_speed, target:myself, turn:1],[effect:tolerance, target:myself, turn:-1, count:-1, tolerance_effect:all, animation:enemy_tolerance],[effect:force_change_block, new_block:block_heart, target:block_all, ignore01:crash, ignore02:crack_bomb, ignore03:color_break, ignore04:magnet, count:5, val:0, animation:change_block]</v>
      </c>
      <c r="O31" s="57">
        <f t="shared" si="2"/>
        <v>9</v>
      </c>
      <c r="P31" s="57">
        <f t="shared" si="3"/>
        <v>18</v>
      </c>
      <c r="Q31" s="57">
        <f t="shared" si="4"/>
        <v>27</v>
      </c>
      <c r="R31" s="57">
        <f t="shared" si="5"/>
        <v>33</v>
      </c>
      <c r="S31" s="57" t="str">
        <f>IFERROR(VLOOKUP(MID(N31,Q31,R31-Q31),[6]skilldef!$C:$D,2,FALSE),"-") &amp; " / " &amp; IFERROR(VLOOKUP(MID(N31,O31,P31-O31),[6]skilldef!$A:$B,2,FALSE),"-")</f>
        <v>自分自身に / 行動値設定</v>
      </c>
      <c r="T31" s="42" t="str">
        <f t="shared" si="6"/>
        <v>[effect:tolerance, target:myself, turn:-1, count:-1, tolerance_effect:all, animation:enemy_tolerance],[effect:force_change_block, new_block:block_heart, target:block_all, ignore01:crash, ignore02:crack_bomb, ignore03:color_break, ignore04:magnet, count:5, val:0, animation:change_block]</v>
      </c>
      <c r="U31" s="57">
        <f t="shared" si="7"/>
        <v>9</v>
      </c>
      <c r="V31" s="57">
        <f t="shared" si="8"/>
        <v>18</v>
      </c>
      <c r="W31" s="57">
        <f t="shared" si="9"/>
        <v>27</v>
      </c>
      <c r="X31" s="57">
        <f t="shared" si="10"/>
        <v>33</v>
      </c>
      <c r="Y31" s="57" t="str">
        <f>IFERROR(VLOOKUP(MID(T31,W31,X31-W31),[6]skilldef!$C:$D,2,FALSE),"-") &amp; " / " &amp; IFERROR(VLOOKUP(MID(T31,U31,V31-U31),[6]skilldef!$A:$B,2,FALSE),"-")</f>
        <v>自分自身に / 状態異常耐性</v>
      </c>
      <c r="Z31" s="44"/>
      <c r="AA31" s="46"/>
      <c r="AB31" s="44"/>
    </row>
    <row r="32" spans="1:28" ht="70" x14ac:dyDescent="0.15">
      <c r="A32" s="102">
        <v>39008031</v>
      </c>
      <c r="B32" s="121" t="s">
        <v>409</v>
      </c>
      <c r="C32" s="44">
        <v>3</v>
      </c>
      <c r="D32" s="44" t="s">
        <v>276</v>
      </c>
      <c r="E32" s="107" t="s">
        <v>287</v>
      </c>
      <c r="F32" s="196" t="s">
        <v>375</v>
      </c>
      <c r="G32" s="57" t="str">
        <f t="shared" si="11"/>
        <v>[effect:enemy_message, val1:2, val2:1.8]</v>
      </c>
      <c r="H32" s="57">
        <f t="shared" si="12"/>
        <v>9</v>
      </c>
      <c r="I32" s="57">
        <f t="shared" si="13"/>
        <v>22</v>
      </c>
      <c r="J32" s="57" t="e">
        <f t="shared" si="14"/>
        <v>#VALUE!</v>
      </c>
      <c r="K32" s="57">
        <f t="shared" si="15"/>
        <v>30</v>
      </c>
      <c r="L32" s="57" t="str">
        <f>IFERROR(VLOOKUP(MID(G32,J32,K32-J32),[6]skilldef!$C:$D,2,FALSE),"-") &amp; " / " &amp; IFERROR(VLOOKUP(MID(G32,H32,I32-H32),[6]skilldef!$A:$B,2,FALSE),"-")</f>
        <v>- / -</v>
      </c>
      <c r="M32" s="57" t="str">
        <f t="shared" si="0"/>
        <v>[effect:enhance_enemy, target:myself, turn:1, status:defense, val:500, calc:add, animation:enemy_enhance_defense]</v>
      </c>
      <c r="N32" s="42" t="str">
        <f>IFERROR(LEFT(M32,FIND("],",M32)+enemy_skill_sets!#REF!),M32)</f>
        <v>[effect:enhance_enemy, target:myself, turn:1, status:defense, val:500, calc:add, animation:enemy_enhance_defense]</v>
      </c>
      <c r="O32" s="57">
        <f t="shared" si="2"/>
        <v>9</v>
      </c>
      <c r="P32" s="57">
        <f t="shared" si="3"/>
        <v>22</v>
      </c>
      <c r="Q32" s="57">
        <f t="shared" si="4"/>
        <v>31</v>
      </c>
      <c r="R32" s="57">
        <f t="shared" si="5"/>
        <v>37</v>
      </c>
      <c r="S32" s="57" t="str">
        <f>IFERROR(VLOOKUP(MID(N32,Q32,R32-Q32),[6]skilldef!$C:$D,2,FALSE),"-") &amp; " / " &amp; IFERROR(VLOOKUP(MID(N32,O32,P32-O32),[6]skilldef!$A:$B,2,FALSE),"-")</f>
        <v>自分自身に / ステータス強化</v>
      </c>
      <c r="T32" s="42" t="str">
        <f t="shared" si="6"/>
        <v>none</v>
      </c>
      <c r="U32" s="57" t="e">
        <f t="shared" si="7"/>
        <v>#VALUE!</v>
      </c>
      <c r="V32" s="57">
        <f t="shared" si="8"/>
        <v>4</v>
      </c>
      <c r="W32" s="57" t="e">
        <f t="shared" si="9"/>
        <v>#VALUE!</v>
      </c>
      <c r="X32" s="57" t="e">
        <f t="shared" si="10"/>
        <v>#VALUE!</v>
      </c>
      <c r="Y32" s="57" t="str">
        <f>IFERROR(VLOOKUP(MID(T32,W32,X32-W32),[6]skilldef!$C:$D,2,FALSE),"-") &amp; " / " &amp; IFERROR(VLOOKUP(MID(T32,U32,V32-U32),[6]skilldef!$A:$B,2,FALSE),"-")</f>
        <v>- / -</v>
      </c>
      <c r="Z32" s="44"/>
      <c r="AA32" s="46"/>
      <c r="AB32" s="44"/>
    </row>
    <row r="33" spans="1:28" ht="28" x14ac:dyDescent="0.15">
      <c r="A33" s="119">
        <v>39008032</v>
      </c>
      <c r="B33" s="121" t="s">
        <v>398</v>
      </c>
      <c r="C33" s="44">
        <v>3</v>
      </c>
      <c r="D33" s="44" t="s">
        <v>194</v>
      </c>
      <c r="E33" s="45" t="s">
        <v>301</v>
      </c>
      <c r="F33" s="45" t="s">
        <v>302</v>
      </c>
      <c r="G33" s="57" t="str">
        <f t="shared" ref="G33" si="16">IFERROR(LEFT(B33,FIND("],",B33)),B33)</f>
        <v>[effect:enemy_message, val1:1.7, val2:2.5, dead_type:escape]</v>
      </c>
      <c r="H33" s="57">
        <f t="shared" ref="H33" si="17">FIND("effect:",G33)+7</f>
        <v>9</v>
      </c>
      <c r="I33" s="57">
        <f t="shared" ref="I33" si="18">IFERROR(FIND(",",G33),LEN(G33))</f>
        <v>22</v>
      </c>
      <c r="J33" s="57" t="e">
        <f t="shared" ref="J33" si="19">FIND("target:",G33)+7</f>
        <v>#VALUE!</v>
      </c>
      <c r="K33" s="57">
        <f t="shared" ref="K33" si="20">FIND(",",G33,I33+1)</f>
        <v>32</v>
      </c>
      <c r="L33" s="57" t="str">
        <f>IFERROR(VLOOKUP(MID(G33,J33,K33-J33),[6]skilldef!$C:$D,2,FALSE),"-") &amp; " / " &amp; IFERROR(VLOOKUP(MID(G33,H33,I33-H33),[6]skilldef!$A:$B,2,FALSE),"-")</f>
        <v>- / -</v>
      </c>
      <c r="M33" s="57" t="str">
        <f t="shared" ref="M33" si="21">IFERROR(RIGHT(B33,LEN(B33)-FIND("],",B33)-1),"none")</f>
        <v>none</v>
      </c>
      <c r="N33" s="42" t="str">
        <f>IFERROR(LEFT(M33,FIND("],",M33)+#REF!),M33)</f>
        <v>none</v>
      </c>
      <c r="O33" s="57" t="e">
        <f t="shared" ref="O33" si="22">FIND("effect:",N33)+7</f>
        <v>#VALUE!</v>
      </c>
      <c r="P33" s="57">
        <f t="shared" ref="P33" si="23">IFERROR(FIND(",",N33),LEN(N33))</f>
        <v>4</v>
      </c>
      <c r="Q33" s="57" t="e">
        <f t="shared" ref="Q33" si="24">FIND("target:",N33)+7</f>
        <v>#VALUE!</v>
      </c>
      <c r="R33" s="57" t="e">
        <f t="shared" ref="R33" si="25">FIND(",",N33,P33+1)</f>
        <v>#VALUE!</v>
      </c>
      <c r="S33" s="57" t="str">
        <f>IFERROR(VLOOKUP(MID(N33,Q33,R33-Q33),[6]skilldef!$C:$D,2,FALSE),"-") &amp; " / " &amp; IFERROR(VLOOKUP(MID(N33,O33,P33-O33),[6]skilldef!$A:$B,2,FALSE),"-")</f>
        <v>- / -</v>
      </c>
      <c r="T33" s="42" t="str">
        <f t="shared" ref="T33" si="26">IFERROR(RIGHT(M33,LEN(M33)-FIND("],",M33)-1),"none")</f>
        <v>none</v>
      </c>
      <c r="U33" s="57" t="e">
        <f t="shared" ref="U33" si="27">FIND("effect:",T33)+7</f>
        <v>#VALUE!</v>
      </c>
      <c r="V33" s="57">
        <f t="shared" ref="V33" si="28">IFERROR(FIND(",",T33),LEN(T33))</f>
        <v>4</v>
      </c>
      <c r="W33" s="57" t="e">
        <f t="shared" ref="W33" si="29">FIND("target:",T33)+7</f>
        <v>#VALUE!</v>
      </c>
      <c r="X33" s="57" t="e">
        <f t="shared" ref="X33" si="30">FIND(",",T33,V33+1)</f>
        <v>#VALUE!</v>
      </c>
      <c r="Y33" s="57" t="str">
        <f>IFERROR(VLOOKUP(MID(T33,W33,X33-W33),[6]skilldef!$C:$D,2,FALSE),"-") &amp; " / " &amp; IFERROR(VLOOKUP(MID(T33,U33,V33-U33),[6]skilldef!$A:$B,2,FALSE),"-")</f>
        <v>- / -</v>
      </c>
      <c r="Z33" s="44"/>
      <c r="AA33" s="46"/>
      <c r="AB33" s="44"/>
    </row>
    <row r="34" spans="1:28" ht="28" x14ac:dyDescent="0.15">
      <c r="A34" s="119">
        <v>39008033</v>
      </c>
      <c r="B34" s="121" t="s">
        <v>399</v>
      </c>
      <c r="C34" s="44">
        <v>3</v>
      </c>
      <c r="D34" s="44" t="s">
        <v>194</v>
      </c>
      <c r="E34" s="45" t="s">
        <v>301</v>
      </c>
      <c r="F34" s="45" t="s">
        <v>303</v>
      </c>
      <c r="G34" s="57" t="str">
        <f t="shared" ref="G34:G35" si="31">IFERROR(LEFT(B34,FIND("],",B34)),B34)</f>
        <v>[effect:enemy_message, val1:1.7, val2:2.7, dead_type:escape]</v>
      </c>
      <c r="H34" s="57">
        <f t="shared" ref="H34:H35" si="32">FIND("effect:",G34)+7</f>
        <v>9</v>
      </c>
      <c r="I34" s="57">
        <f t="shared" ref="I34:I35" si="33">IFERROR(FIND(",",G34),LEN(G34))</f>
        <v>22</v>
      </c>
      <c r="J34" s="57" t="e">
        <f t="shared" ref="J34:J35" si="34">FIND("target:",G34)+7</f>
        <v>#VALUE!</v>
      </c>
      <c r="K34" s="57">
        <f t="shared" ref="K34:K35" si="35">FIND(",",G34,I34+1)</f>
        <v>32</v>
      </c>
      <c r="L34" s="57" t="str">
        <f>IFERROR(VLOOKUP(MID(G34,J34,K34-J34),[6]skilldef!$C:$D,2,FALSE),"-") &amp; " / " &amp; IFERROR(VLOOKUP(MID(G34,H34,I34-H34),[6]skilldef!$A:$B,2,FALSE),"-")</f>
        <v>- / -</v>
      </c>
      <c r="M34" s="57" t="str">
        <f t="shared" ref="M34:M35" si="36">IFERROR(RIGHT(B34,LEN(B34)-FIND("],",B34)-1),"none")</f>
        <v>none</v>
      </c>
      <c r="N34" s="42" t="str">
        <f>IFERROR(LEFT(M34,FIND("],",M34)+#REF!),M34)</f>
        <v>none</v>
      </c>
      <c r="O34" s="57" t="e">
        <f t="shared" ref="O34:O35" si="37">FIND("effect:",N34)+7</f>
        <v>#VALUE!</v>
      </c>
      <c r="P34" s="57">
        <f t="shared" ref="P34:P35" si="38">IFERROR(FIND(",",N34),LEN(N34))</f>
        <v>4</v>
      </c>
      <c r="Q34" s="57" t="e">
        <f t="shared" ref="Q34:Q35" si="39">FIND("target:",N34)+7</f>
        <v>#VALUE!</v>
      </c>
      <c r="R34" s="57" t="e">
        <f t="shared" ref="R34:R35" si="40">FIND(",",N34,P34+1)</f>
        <v>#VALUE!</v>
      </c>
      <c r="S34" s="57" t="str">
        <f>IFERROR(VLOOKUP(MID(N34,Q34,R34-Q34),[6]skilldef!$C:$D,2,FALSE),"-") &amp; " / " &amp; IFERROR(VLOOKUP(MID(N34,O34,P34-O34),[6]skilldef!$A:$B,2,FALSE),"-")</f>
        <v>- / -</v>
      </c>
      <c r="T34" s="42" t="str">
        <f t="shared" ref="T34:T35" si="41">IFERROR(RIGHT(M34,LEN(M34)-FIND("],",M34)-1),"none")</f>
        <v>none</v>
      </c>
      <c r="U34" s="57" t="e">
        <f t="shared" ref="U34:U35" si="42">FIND("effect:",T34)+7</f>
        <v>#VALUE!</v>
      </c>
      <c r="V34" s="57">
        <f t="shared" ref="V34:V35" si="43">IFERROR(FIND(",",T34),LEN(T34))</f>
        <v>4</v>
      </c>
      <c r="W34" s="57" t="e">
        <f t="shared" ref="W34:W35" si="44">FIND("target:",T34)+7</f>
        <v>#VALUE!</v>
      </c>
      <c r="X34" s="57" t="e">
        <f t="shared" ref="X34:X35" si="45">FIND(",",T34,V34+1)</f>
        <v>#VALUE!</v>
      </c>
      <c r="Y34" s="57" t="str">
        <f>IFERROR(VLOOKUP(MID(T34,W34,X34-W34),[6]skilldef!$C:$D,2,FALSE),"-") &amp; " / " &amp; IFERROR(VLOOKUP(MID(T34,U34,V34-U34),[6]skilldef!$A:$B,2,FALSE),"-")</f>
        <v>- / -</v>
      </c>
      <c r="Z34" s="44"/>
      <c r="AA34" s="46"/>
      <c r="AB34" s="44"/>
    </row>
    <row r="35" spans="1:28" ht="28" x14ac:dyDescent="0.15">
      <c r="A35" s="119">
        <v>39008034</v>
      </c>
      <c r="B35" s="121" t="s">
        <v>400</v>
      </c>
      <c r="C35" s="44">
        <v>3</v>
      </c>
      <c r="D35" s="44" t="s">
        <v>194</v>
      </c>
      <c r="E35" s="45" t="s">
        <v>301</v>
      </c>
      <c r="F35" s="45" t="s">
        <v>304</v>
      </c>
      <c r="G35" s="57" t="str">
        <f t="shared" si="31"/>
        <v>[effect:enemy_message, val1:1.7, val2:2.6, dead_type:escape]</v>
      </c>
      <c r="H35" s="57">
        <f t="shared" si="32"/>
        <v>9</v>
      </c>
      <c r="I35" s="57">
        <f t="shared" si="33"/>
        <v>22</v>
      </c>
      <c r="J35" s="57" t="e">
        <f t="shared" si="34"/>
        <v>#VALUE!</v>
      </c>
      <c r="K35" s="57">
        <f t="shared" si="35"/>
        <v>32</v>
      </c>
      <c r="L35" s="57" t="str">
        <f>IFERROR(VLOOKUP(MID(G35,J35,K35-J35),[6]skilldef!$C:$D,2,FALSE),"-") &amp; " / " &amp; IFERROR(VLOOKUP(MID(G35,H35,I35-H35),[6]skilldef!$A:$B,2,FALSE),"-")</f>
        <v>- / -</v>
      </c>
      <c r="M35" s="57" t="str">
        <f t="shared" si="36"/>
        <v>none</v>
      </c>
      <c r="N35" s="42" t="str">
        <f>IFERROR(LEFT(M35,FIND("],",M35)+#REF!),M35)</f>
        <v>none</v>
      </c>
      <c r="O35" s="57" t="e">
        <f t="shared" si="37"/>
        <v>#VALUE!</v>
      </c>
      <c r="P35" s="57">
        <f t="shared" si="38"/>
        <v>4</v>
      </c>
      <c r="Q35" s="57" t="e">
        <f t="shared" si="39"/>
        <v>#VALUE!</v>
      </c>
      <c r="R35" s="57" t="e">
        <f t="shared" si="40"/>
        <v>#VALUE!</v>
      </c>
      <c r="S35" s="57" t="str">
        <f>IFERROR(VLOOKUP(MID(N35,Q35,R35-Q35),[6]skilldef!$C:$D,2,FALSE),"-") &amp; " / " &amp; IFERROR(VLOOKUP(MID(N35,O35,P35-O35),[6]skilldef!$A:$B,2,FALSE),"-")</f>
        <v>- / -</v>
      </c>
      <c r="T35" s="42" t="str">
        <f t="shared" si="41"/>
        <v>none</v>
      </c>
      <c r="U35" s="57" t="e">
        <f t="shared" si="42"/>
        <v>#VALUE!</v>
      </c>
      <c r="V35" s="57">
        <f t="shared" si="43"/>
        <v>4</v>
      </c>
      <c r="W35" s="57" t="e">
        <f t="shared" si="44"/>
        <v>#VALUE!</v>
      </c>
      <c r="X35" s="57" t="e">
        <f t="shared" si="45"/>
        <v>#VALUE!</v>
      </c>
      <c r="Y35" s="57" t="str">
        <f>IFERROR(VLOOKUP(MID(T35,W35,X35-W35),[6]skilldef!$C:$D,2,FALSE),"-") &amp; " / " &amp; IFERROR(VLOOKUP(MID(T35,U35,V35-U35),[6]skilldef!$A:$B,2,FALSE),"-")</f>
        <v>- / -</v>
      </c>
      <c r="Z35" s="44"/>
      <c r="AA35" s="46"/>
      <c r="AB35" s="44"/>
    </row>
    <row r="36" spans="1:28" ht="28" x14ac:dyDescent="0.15">
      <c r="A36" s="119">
        <v>39008035</v>
      </c>
      <c r="B36" s="121" t="s">
        <v>401</v>
      </c>
      <c r="C36" s="44">
        <v>3</v>
      </c>
      <c r="D36" s="44" t="s">
        <v>194</v>
      </c>
      <c r="E36" s="45" t="s">
        <v>301</v>
      </c>
      <c r="F36" s="45" t="s">
        <v>305</v>
      </c>
      <c r="G36" s="57" t="str">
        <f t="shared" ref="G36:G39" si="46">IFERROR(LEFT(B36,FIND("],",B36)),B36)</f>
        <v>[effect:enemy_message, val1:1.7, val2:2.7, dead_type:escape]</v>
      </c>
      <c r="H36" s="57">
        <f t="shared" ref="H36:H39" si="47">FIND("effect:",G36)+7</f>
        <v>9</v>
      </c>
      <c r="I36" s="57">
        <f t="shared" ref="I36:I39" si="48">IFERROR(FIND(",",G36),LEN(G36))</f>
        <v>22</v>
      </c>
      <c r="J36" s="57" t="e">
        <f t="shared" ref="J36:J39" si="49">FIND("target:",G36)+7</f>
        <v>#VALUE!</v>
      </c>
      <c r="K36" s="57">
        <f t="shared" ref="K36:K39" si="50">FIND(",",G36,I36+1)</f>
        <v>32</v>
      </c>
      <c r="L36" s="57" t="str">
        <f>IFERROR(VLOOKUP(MID(G36,J36,K36-J36),[6]skilldef!$C:$D,2,FALSE),"-") &amp; " / " &amp; IFERROR(VLOOKUP(MID(G36,H36,I36-H36),[6]skilldef!$A:$B,2,FALSE),"-")</f>
        <v>- / -</v>
      </c>
      <c r="M36" s="57" t="str">
        <f t="shared" ref="M36:M39" si="51">IFERROR(RIGHT(B36,LEN(B36)-FIND("],",B36)-1),"none")</f>
        <v>none</v>
      </c>
      <c r="N36" s="42" t="str">
        <f>IFERROR(LEFT(M36,FIND("],",M36)+#REF!),M36)</f>
        <v>none</v>
      </c>
      <c r="O36" s="57" t="e">
        <f t="shared" ref="O36:O39" si="52">FIND("effect:",N36)+7</f>
        <v>#VALUE!</v>
      </c>
      <c r="P36" s="57">
        <f t="shared" ref="P36:P39" si="53">IFERROR(FIND(",",N36),LEN(N36))</f>
        <v>4</v>
      </c>
      <c r="Q36" s="57" t="e">
        <f t="shared" ref="Q36:Q39" si="54">FIND("target:",N36)+7</f>
        <v>#VALUE!</v>
      </c>
      <c r="R36" s="57" t="e">
        <f t="shared" ref="R36:R39" si="55">FIND(",",N36,P36+1)</f>
        <v>#VALUE!</v>
      </c>
      <c r="S36" s="57" t="str">
        <f>IFERROR(VLOOKUP(MID(N36,Q36,R36-Q36),[6]skilldef!$C:$D,2,FALSE),"-") &amp; " / " &amp; IFERROR(VLOOKUP(MID(N36,O36,P36-O36),[6]skilldef!$A:$B,2,FALSE),"-")</f>
        <v>- / -</v>
      </c>
      <c r="T36" s="42" t="str">
        <f t="shared" ref="T36:T39" si="56">IFERROR(RIGHT(M36,LEN(M36)-FIND("],",M36)-1),"none")</f>
        <v>none</v>
      </c>
      <c r="U36" s="57" t="e">
        <f t="shared" ref="U36:U39" si="57">FIND("effect:",T36)+7</f>
        <v>#VALUE!</v>
      </c>
      <c r="V36" s="57">
        <f t="shared" ref="V36:V39" si="58">IFERROR(FIND(",",T36),LEN(T36))</f>
        <v>4</v>
      </c>
      <c r="W36" s="57" t="e">
        <f t="shared" ref="W36:W39" si="59">FIND("target:",T36)+7</f>
        <v>#VALUE!</v>
      </c>
      <c r="X36" s="57" t="e">
        <f t="shared" ref="X36:X39" si="60">FIND(",",T36,V36+1)</f>
        <v>#VALUE!</v>
      </c>
      <c r="Y36" s="57" t="str">
        <f>IFERROR(VLOOKUP(MID(T36,W36,X36-W36),[6]skilldef!$C:$D,2,FALSE),"-") &amp; " / " &amp; IFERROR(VLOOKUP(MID(T36,U36,V36-U36),[6]skilldef!$A:$B,2,FALSE),"-")</f>
        <v>- / -</v>
      </c>
      <c r="Z36" s="44"/>
      <c r="AA36" s="46"/>
      <c r="AB36" s="44"/>
    </row>
    <row r="37" spans="1:28" ht="28" x14ac:dyDescent="0.15">
      <c r="A37" s="119">
        <v>39008036</v>
      </c>
      <c r="B37" s="121" t="s">
        <v>402</v>
      </c>
      <c r="C37" s="44">
        <v>3</v>
      </c>
      <c r="D37" s="44" t="s">
        <v>194</v>
      </c>
      <c r="E37" s="45" t="s">
        <v>301</v>
      </c>
      <c r="F37" s="45" t="s">
        <v>306</v>
      </c>
      <c r="G37" s="57" t="str">
        <f t="shared" si="46"/>
        <v>[effect:enemy_message, val1:1.7, val2:2.7, dead_type:escape]</v>
      </c>
      <c r="H37" s="57">
        <f t="shared" si="47"/>
        <v>9</v>
      </c>
      <c r="I37" s="57">
        <f t="shared" si="48"/>
        <v>22</v>
      </c>
      <c r="J37" s="57" t="e">
        <f t="shared" si="49"/>
        <v>#VALUE!</v>
      </c>
      <c r="K37" s="57">
        <f t="shared" si="50"/>
        <v>32</v>
      </c>
      <c r="L37" s="57" t="str">
        <f>IFERROR(VLOOKUP(MID(G37,J37,K37-J37),[6]skilldef!$C:$D,2,FALSE),"-") &amp; " / " &amp; IFERROR(VLOOKUP(MID(G37,H37,I37-H37),[6]skilldef!$A:$B,2,FALSE),"-")</f>
        <v>- / -</v>
      </c>
      <c r="M37" s="57" t="str">
        <f t="shared" si="51"/>
        <v>none</v>
      </c>
      <c r="N37" s="42" t="str">
        <f>IFERROR(LEFT(M37,FIND("],",M37)+#REF!),M37)</f>
        <v>none</v>
      </c>
      <c r="O37" s="57" t="e">
        <f t="shared" si="52"/>
        <v>#VALUE!</v>
      </c>
      <c r="P37" s="57">
        <f t="shared" si="53"/>
        <v>4</v>
      </c>
      <c r="Q37" s="57" t="e">
        <f t="shared" si="54"/>
        <v>#VALUE!</v>
      </c>
      <c r="R37" s="57" t="e">
        <f t="shared" si="55"/>
        <v>#VALUE!</v>
      </c>
      <c r="S37" s="57" t="str">
        <f>IFERROR(VLOOKUP(MID(N37,Q37,R37-Q37),[6]skilldef!$C:$D,2,FALSE),"-") &amp; " / " &amp; IFERROR(VLOOKUP(MID(N37,O37,P37-O37),[6]skilldef!$A:$B,2,FALSE),"-")</f>
        <v>- / -</v>
      </c>
      <c r="T37" s="42" t="str">
        <f t="shared" si="56"/>
        <v>none</v>
      </c>
      <c r="U37" s="57" t="e">
        <f t="shared" si="57"/>
        <v>#VALUE!</v>
      </c>
      <c r="V37" s="57">
        <f t="shared" si="58"/>
        <v>4</v>
      </c>
      <c r="W37" s="57" t="e">
        <f t="shared" si="59"/>
        <v>#VALUE!</v>
      </c>
      <c r="X37" s="57" t="e">
        <f t="shared" si="60"/>
        <v>#VALUE!</v>
      </c>
      <c r="Y37" s="57" t="str">
        <f>IFERROR(VLOOKUP(MID(T37,W37,X37-W37),[6]skilldef!$C:$D,2,FALSE),"-") &amp; " / " &amp; IFERROR(VLOOKUP(MID(T37,U37,V37-U37),[6]skilldef!$A:$B,2,FALSE),"-")</f>
        <v>- / -</v>
      </c>
      <c r="Z37" s="44"/>
      <c r="AA37" s="46"/>
      <c r="AB37" s="44"/>
    </row>
    <row r="38" spans="1:28" ht="28" x14ac:dyDescent="0.15">
      <c r="A38" s="119">
        <v>39008037</v>
      </c>
      <c r="B38" s="121" t="s">
        <v>403</v>
      </c>
      <c r="C38" s="44">
        <v>3</v>
      </c>
      <c r="D38" s="44" t="s">
        <v>194</v>
      </c>
      <c r="E38" s="45" t="s">
        <v>301</v>
      </c>
      <c r="F38" s="45" t="s">
        <v>307</v>
      </c>
      <c r="G38" s="57" t="str">
        <f t="shared" si="46"/>
        <v>[effect:enemy_message, val1:1.7, val2:2.6, dead_type:escape]</v>
      </c>
      <c r="H38" s="57">
        <f t="shared" si="47"/>
        <v>9</v>
      </c>
      <c r="I38" s="57">
        <f t="shared" si="48"/>
        <v>22</v>
      </c>
      <c r="J38" s="57" t="e">
        <f t="shared" si="49"/>
        <v>#VALUE!</v>
      </c>
      <c r="K38" s="57">
        <f t="shared" si="50"/>
        <v>32</v>
      </c>
      <c r="L38" s="57" t="str">
        <f>IFERROR(VLOOKUP(MID(G38,J38,K38-J38),[6]skilldef!$C:$D,2,FALSE),"-") &amp; " / " &amp; IFERROR(VLOOKUP(MID(G38,H38,I38-H38),[6]skilldef!$A:$B,2,FALSE),"-")</f>
        <v>- / -</v>
      </c>
      <c r="M38" s="57" t="str">
        <f t="shared" si="51"/>
        <v>none</v>
      </c>
      <c r="N38" s="42" t="str">
        <f>IFERROR(LEFT(M38,FIND("],",M38)+#REF!),M38)</f>
        <v>none</v>
      </c>
      <c r="O38" s="57" t="e">
        <f t="shared" si="52"/>
        <v>#VALUE!</v>
      </c>
      <c r="P38" s="57">
        <f t="shared" si="53"/>
        <v>4</v>
      </c>
      <c r="Q38" s="57" t="e">
        <f t="shared" si="54"/>
        <v>#VALUE!</v>
      </c>
      <c r="R38" s="57" t="e">
        <f t="shared" si="55"/>
        <v>#VALUE!</v>
      </c>
      <c r="S38" s="57" t="str">
        <f>IFERROR(VLOOKUP(MID(N38,Q38,R38-Q38),[6]skilldef!$C:$D,2,FALSE),"-") &amp; " / " &amp; IFERROR(VLOOKUP(MID(N38,O38,P38-O38),[6]skilldef!$A:$B,2,FALSE),"-")</f>
        <v>- / -</v>
      </c>
      <c r="T38" s="42" t="str">
        <f t="shared" si="56"/>
        <v>none</v>
      </c>
      <c r="U38" s="57" t="e">
        <f t="shared" si="57"/>
        <v>#VALUE!</v>
      </c>
      <c r="V38" s="57">
        <f t="shared" si="58"/>
        <v>4</v>
      </c>
      <c r="W38" s="57" t="e">
        <f t="shared" si="59"/>
        <v>#VALUE!</v>
      </c>
      <c r="X38" s="57" t="e">
        <f t="shared" si="60"/>
        <v>#VALUE!</v>
      </c>
      <c r="Y38" s="57" t="str">
        <f>IFERROR(VLOOKUP(MID(T38,W38,X38-W38),[6]skilldef!$C:$D,2,FALSE),"-") &amp; " / " &amp; IFERROR(VLOOKUP(MID(T38,U38,V38-U38),[6]skilldef!$A:$B,2,FALSE),"-")</f>
        <v>- / -</v>
      </c>
      <c r="Z38" s="44"/>
      <c r="AA38" s="46"/>
      <c r="AB38" s="44"/>
    </row>
    <row r="39" spans="1:28" ht="28" x14ac:dyDescent="0.15">
      <c r="A39" s="119">
        <v>39008038</v>
      </c>
      <c r="B39" s="121" t="s">
        <v>402</v>
      </c>
      <c r="C39" s="44">
        <v>3</v>
      </c>
      <c r="D39" s="44" t="s">
        <v>194</v>
      </c>
      <c r="E39" s="45" t="s">
        <v>301</v>
      </c>
      <c r="F39" s="45" t="s">
        <v>308</v>
      </c>
      <c r="G39" s="57" t="str">
        <f t="shared" si="46"/>
        <v>[effect:enemy_message, val1:1.7, val2:2.7, dead_type:escape]</v>
      </c>
      <c r="H39" s="57">
        <f t="shared" si="47"/>
        <v>9</v>
      </c>
      <c r="I39" s="57">
        <f t="shared" si="48"/>
        <v>22</v>
      </c>
      <c r="J39" s="57" t="e">
        <f t="shared" si="49"/>
        <v>#VALUE!</v>
      </c>
      <c r="K39" s="57">
        <f t="shared" si="50"/>
        <v>32</v>
      </c>
      <c r="L39" s="57" t="str">
        <f>IFERROR(VLOOKUP(MID(G39,J39,K39-J39),[6]skilldef!$C:$D,2,FALSE),"-") &amp; " / " &amp; IFERROR(VLOOKUP(MID(G39,H39,I39-H39),[6]skilldef!$A:$B,2,FALSE),"-")</f>
        <v>- / -</v>
      </c>
      <c r="M39" s="57" t="str">
        <f t="shared" si="51"/>
        <v>none</v>
      </c>
      <c r="N39" s="42" t="str">
        <f>IFERROR(LEFT(M39,FIND("],",M39)+#REF!),M39)</f>
        <v>none</v>
      </c>
      <c r="O39" s="57" t="e">
        <f t="shared" si="52"/>
        <v>#VALUE!</v>
      </c>
      <c r="P39" s="57">
        <f t="shared" si="53"/>
        <v>4</v>
      </c>
      <c r="Q39" s="57" t="e">
        <f t="shared" si="54"/>
        <v>#VALUE!</v>
      </c>
      <c r="R39" s="57" t="e">
        <f t="shared" si="55"/>
        <v>#VALUE!</v>
      </c>
      <c r="S39" s="57" t="str">
        <f>IFERROR(VLOOKUP(MID(N39,Q39,R39-Q39),[6]skilldef!$C:$D,2,FALSE),"-") &amp; " / " &amp; IFERROR(VLOOKUP(MID(N39,O39,P39-O39),[6]skilldef!$A:$B,2,FALSE),"-")</f>
        <v>- / -</v>
      </c>
      <c r="T39" s="42" t="str">
        <f t="shared" si="56"/>
        <v>none</v>
      </c>
      <c r="U39" s="57" t="e">
        <f t="shared" si="57"/>
        <v>#VALUE!</v>
      </c>
      <c r="V39" s="57">
        <f t="shared" si="58"/>
        <v>4</v>
      </c>
      <c r="W39" s="57" t="e">
        <f t="shared" si="59"/>
        <v>#VALUE!</v>
      </c>
      <c r="X39" s="57" t="e">
        <f t="shared" si="60"/>
        <v>#VALUE!</v>
      </c>
      <c r="Y39" s="57" t="str">
        <f>IFERROR(VLOOKUP(MID(T39,W39,X39-W39),[6]skilldef!$C:$D,2,FALSE),"-") &amp; " / " &amp; IFERROR(VLOOKUP(MID(T39,U39,V39-U39),[6]skilldef!$A:$B,2,FALSE),"-")</f>
        <v>- / -</v>
      </c>
      <c r="Z39" s="44"/>
      <c r="AA39" s="46"/>
      <c r="AB39" s="44"/>
    </row>
    <row r="40" spans="1:28" ht="28" x14ac:dyDescent="0.15">
      <c r="A40" s="119">
        <v>39008039</v>
      </c>
      <c r="B40" s="121" t="s">
        <v>404</v>
      </c>
      <c r="C40" s="44">
        <v>3</v>
      </c>
      <c r="D40" s="44" t="s">
        <v>194</v>
      </c>
      <c r="E40" s="45" t="s">
        <v>301</v>
      </c>
      <c r="F40" s="45" t="s">
        <v>309</v>
      </c>
      <c r="G40" s="57" t="str">
        <f t="shared" ref="G40" si="61">IFERROR(LEFT(B40,FIND("],",B40)),B40)</f>
        <v>[effect:enemy_message, val1:1.7, val2:2.8, dead_type:escape]</v>
      </c>
      <c r="H40" s="57">
        <f t="shared" ref="H40" si="62">FIND("effect:",G40)+7</f>
        <v>9</v>
      </c>
      <c r="I40" s="57">
        <f t="shared" ref="I40" si="63">IFERROR(FIND(",",G40),LEN(G40))</f>
        <v>22</v>
      </c>
      <c r="J40" s="57" t="e">
        <f t="shared" ref="J40" si="64">FIND("target:",G40)+7</f>
        <v>#VALUE!</v>
      </c>
      <c r="K40" s="57">
        <f t="shared" ref="K40" si="65">FIND(",",G40,I40+1)</f>
        <v>32</v>
      </c>
      <c r="L40" s="57" t="str">
        <f>IFERROR(VLOOKUP(MID(G40,J40,K40-J40),[6]skilldef!$C:$D,2,FALSE),"-") &amp; " / " &amp; IFERROR(VLOOKUP(MID(G40,H40,I40-H40),[6]skilldef!$A:$B,2,FALSE),"-")</f>
        <v>- / -</v>
      </c>
      <c r="M40" s="57" t="str">
        <f t="shared" ref="M40" si="66">IFERROR(RIGHT(B40,LEN(B40)-FIND("],",B40)-1),"none")</f>
        <v>none</v>
      </c>
      <c r="N40" s="42" t="str">
        <f>IFERROR(LEFT(M40,FIND("],",M40)+#REF!),M40)</f>
        <v>none</v>
      </c>
      <c r="O40" s="57" t="e">
        <f t="shared" ref="O40" si="67">FIND("effect:",N40)+7</f>
        <v>#VALUE!</v>
      </c>
      <c r="P40" s="57">
        <f t="shared" ref="P40" si="68">IFERROR(FIND(",",N40),LEN(N40))</f>
        <v>4</v>
      </c>
      <c r="Q40" s="57" t="e">
        <f t="shared" ref="Q40" si="69">FIND("target:",N40)+7</f>
        <v>#VALUE!</v>
      </c>
      <c r="R40" s="57" t="e">
        <f t="shared" ref="R40" si="70">FIND(",",N40,P40+1)</f>
        <v>#VALUE!</v>
      </c>
      <c r="S40" s="57" t="str">
        <f>IFERROR(VLOOKUP(MID(N40,Q40,R40-Q40),[6]skilldef!$C:$D,2,FALSE),"-") &amp; " / " &amp; IFERROR(VLOOKUP(MID(N40,O40,P40-O40),[6]skilldef!$A:$B,2,FALSE),"-")</f>
        <v>- / -</v>
      </c>
      <c r="T40" s="42" t="str">
        <f t="shared" ref="T40" si="71">IFERROR(RIGHT(M40,LEN(M40)-FIND("],",M40)-1),"none")</f>
        <v>none</v>
      </c>
      <c r="U40" s="57" t="e">
        <f t="shared" ref="U40" si="72">FIND("effect:",T40)+7</f>
        <v>#VALUE!</v>
      </c>
      <c r="V40" s="57">
        <f t="shared" ref="V40" si="73">IFERROR(FIND(",",T40),LEN(T40))</f>
        <v>4</v>
      </c>
      <c r="W40" s="57" t="e">
        <f t="shared" ref="W40" si="74">FIND("target:",T40)+7</f>
        <v>#VALUE!</v>
      </c>
      <c r="X40" s="57" t="e">
        <f t="shared" ref="X40" si="75">FIND(",",T40,V40+1)</f>
        <v>#VALUE!</v>
      </c>
      <c r="Y40" s="57" t="str">
        <f>IFERROR(VLOOKUP(MID(T40,W40,X40-W40),[6]skilldef!$C:$D,2,FALSE),"-") &amp; " / " &amp; IFERROR(VLOOKUP(MID(T40,U40,V40-U40),[6]skilldef!$A:$B,2,FALSE),"-")</f>
        <v>- / -</v>
      </c>
      <c r="Z40" s="44"/>
      <c r="AA40" s="46"/>
      <c r="AB40" s="44"/>
    </row>
    <row r="41" spans="1:28" ht="84" x14ac:dyDescent="0.15">
      <c r="A41" s="102">
        <v>39008040</v>
      </c>
      <c r="B41" s="41" t="s">
        <v>410</v>
      </c>
      <c r="C41" s="44">
        <v>3</v>
      </c>
      <c r="D41" s="44" t="s">
        <v>194</v>
      </c>
      <c r="E41" s="107" t="s">
        <v>287</v>
      </c>
      <c r="F41" s="108" t="s">
        <v>374</v>
      </c>
      <c r="G41" s="57" t="str">
        <f>IFERROR(LEFT(B41,FIND("],",B41)),B41)</f>
        <v>[effect:enemy_message, val1:2.0, val2:1.8]</v>
      </c>
      <c r="H41" s="57">
        <f>FIND("effect:",G41)+7</f>
        <v>9</v>
      </c>
      <c r="I41" s="57">
        <f>IFERROR(FIND(",",G41),LEN(G41))</f>
        <v>22</v>
      </c>
      <c r="J41" s="57" t="e">
        <f>FIND("target:",G41)+7</f>
        <v>#VALUE!</v>
      </c>
      <c r="K41" s="57">
        <f>FIND(",",G41,I41+1)</f>
        <v>32</v>
      </c>
      <c r="L41" s="57" t="str">
        <f>IFERROR(VLOOKUP(MID(G41,J41,K41-J41),[6]skilldef!$C:$D,2,FALSE),"-") &amp; " / " &amp; IFERROR(VLOOKUP(MID(G41,H41,I41-H41),[6]skilldef!$A:$B,2,FALSE),"-")</f>
        <v>- / -</v>
      </c>
      <c r="M41" s="57" t="str">
        <f t="shared" ref="M41:M42" si="76">IFERROR(RIGHT(B41,LEN(B41)-FIND("],",B41)-1),"none")</f>
        <v>[effect:enhance_enemy, target:myself, turn:3, status:defense, val:3000, calc:add, animation:enemy_enhance_enemy]</v>
      </c>
      <c r="N41" s="42" t="str">
        <f>IFERROR(LEFT(M41,FIND("],",M41)+S53),M41)</f>
        <v>[effect:enhance_enemy, target:myself, turn:3, status:defense, val:3000, calc:add, animation:enemy_enhance_enemy]</v>
      </c>
      <c r="O41" s="57">
        <f t="shared" ref="O41:O42" si="77">FIND("effect:",N41)+7</f>
        <v>9</v>
      </c>
      <c r="P41" s="57">
        <f t="shared" ref="P41:P42" si="78">IFERROR(FIND(",",N41),LEN(N41))</f>
        <v>22</v>
      </c>
      <c r="Q41" s="57">
        <f t="shared" ref="Q41:Q42" si="79">FIND("target:",N41)+7</f>
        <v>31</v>
      </c>
      <c r="R41" s="57">
        <f t="shared" ref="R41:R42" si="80">FIND(",",N41,P41+1)</f>
        <v>37</v>
      </c>
      <c r="S41" s="57" t="str">
        <f>IFERROR(VLOOKUP(MID(N41,Q41,R41-Q41),[6]skilldef!$C:$D,2,FALSE),"-") &amp; " / " &amp; IFERROR(VLOOKUP(MID(N41,O41,P41-O41),[6]skilldef!$A:$B,2,FALSE),"-")</f>
        <v>自分自身に / ステータス強化</v>
      </c>
      <c r="T41" s="42" t="str">
        <f t="shared" ref="T41:T42" si="81">IFERROR(RIGHT(M41,LEN(M41)-FIND("],",M41)-1),"none")</f>
        <v>none</v>
      </c>
      <c r="U41" s="57" t="e">
        <f t="shared" ref="U41:U42" si="82">FIND("effect:",T41)+7</f>
        <v>#VALUE!</v>
      </c>
      <c r="V41" s="57">
        <f t="shared" ref="V41:V42" si="83">IFERROR(FIND(",",T41),LEN(T41))</f>
        <v>4</v>
      </c>
      <c r="W41" s="57" t="e">
        <f t="shared" ref="W41:W42" si="84">FIND("target:",T41)+7</f>
        <v>#VALUE!</v>
      </c>
      <c r="X41" s="57" t="e">
        <f t="shared" ref="X41:X42" si="85">FIND(",",T41,V41+1)</f>
        <v>#VALUE!</v>
      </c>
      <c r="Y41" s="57" t="str">
        <f>IFERROR(VLOOKUP(MID(T41,W41,X41-W41),[6]skilldef!$C:$D,2,FALSE),"-") &amp; " / " &amp; IFERROR(VLOOKUP(MID(T41,U41,V41-U41),[6]skilldef!$A:$B,2,FALSE),"-")</f>
        <v>- / -</v>
      </c>
      <c r="Z41" s="44"/>
      <c r="AA41" s="46"/>
      <c r="AB41" s="44"/>
    </row>
    <row r="42" spans="1:28" ht="56" x14ac:dyDescent="0.15">
      <c r="A42" s="102">
        <v>39008041</v>
      </c>
      <c r="B42" s="41" t="s">
        <v>411</v>
      </c>
      <c r="C42" s="44">
        <v>3</v>
      </c>
      <c r="D42" s="44" t="s">
        <v>194</v>
      </c>
      <c r="E42" s="45" t="s">
        <v>251</v>
      </c>
      <c r="F42" s="189" t="s">
        <v>371</v>
      </c>
      <c r="G42" s="57" t="str">
        <f>IFERROR(LEFT(B42,FIND("],",B42)),B42)</f>
        <v>[effect:enemy_message, val1:1.4, val2:1.8]</v>
      </c>
      <c r="H42" s="57">
        <f>FIND("effect:",G42)+7</f>
        <v>9</v>
      </c>
      <c r="I42" s="57">
        <f>IFERROR(FIND(",",G42),LEN(G42))</f>
        <v>22</v>
      </c>
      <c r="J42" s="57" t="e">
        <f>FIND("target:",G42)+7</f>
        <v>#VALUE!</v>
      </c>
      <c r="K42" s="57">
        <f>FIND(",",G42,I42+1)</f>
        <v>32</v>
      </c>
      <c r="L42" s="57" t="str">
        <f>IFERROR(VLOOKUP(MID(G42,J42,K42-J42),[6]skilldef!$C:$D,2,FALSE),"-") &amp; " / " &amp; IFERROR(VLOOKUP(MID(G42,H42,I42-H42),[6]skilldef!$A:$B,2,FALSE),"-")</f>
        <v>- / -</v>
      </c>
      <c r="M42" s="57" t="str">
        <f t="shared" si="76"/>
        <v>[effect:heal, target:myself, val:0.1, animation:enemy_heal],[effect:rush, count:1, val:0.8]</v>
      </c>
      <c r="N42" s="42" t="str">
        <f t="shared" ref="N42" si="86">IFERROR(LEFT(M42,FIND("],",M42)+S56),M42)</f>
        <v>[effect:heal, target:myself, val:0.1, animation:enemy_heal]</v>
      </c>
      <c r="O42" s="57">
        <f t="shared" si="77"/>
        <v>9</v>
      </c>
      <c r="P42" s="57">
        <f t="shared" si="78"/>
        <v>13</v>
      </c>
      <c r="Q42" s="57">
        <f t="shared" si="79"/>
        <v>22</v>
      </c>
      <c r="R42" s="57">
        <f t="shared" si="80"/>
        <v>28</v>
      </c>
      <c r="S42" s="57" t="str">
        <f>IFERROR(VLOOKUP(MID(N42,Q42,R42-Q42),[6]skilldef!$C:$D,2,FALSE),"-") &amp; " / " &amp; IFERROR(VLOOKUP(MID(N42,O42,P42-O42),[6]skilldef!$A:$B,2,FALSE),"-")</f>
        <v>自分自身に / 回復</v>
      </c>
      <c r="T42" s="42" t="str">
        <f t="shared" si="81"/>
        <v>[effect:rush, count:1, val:0.8]</v>
      </c>
      <c r="U42" s="57">
        <f t="shared" si="82"/>
        <v>9</v>
      </c>
      <c r="V42" s="57">
        <f t="shared" si="83"/>
        <v>13</v>
      </c>
      <c r="W42" s="57" t="e">
        <f t="shared" si="84"/>
        <v>#VALUE!</v>
      </c>
      <c r="X42" s="57">
        <f t="shared" si="85"/>
        <v>22</v>
      </c>
      <c r="Y42" s="57" t="str">
        <f>IFERROR(VLOOKUP(MID(T42,W42,X42-W42),[6]skilldef!$C:$D,2,FALSE),"-") &amp; " / " &amp; IFERROR(VLOOKUP(MID(T42,U42,V42-U42),[6]skilldef!$A:$B,2,FALSE),"-")</f>
        <v>- / 連続攻撃</v>
      </c>
      <c r="Z42" s="44"/>
      <c r="AA42" s="46"/>
      <c r="AB42" s="44"/>
    </row>
    <row r="43" spans="1:28" ht="56" x14ac:dyDescent="0.15">
      <c r="A43" s="102">
        <v>39008042</v>
      </c>
      <c r="B43" s="41" t="s">
        <v>407</v>
      </c>
      <c r="C43" s="44">
        <v>3</v>
      </c>
      <c r="D43" s="44" t="s">
        <v>194</v>
      </c>
      <c r="E43" s="45" t="s">
        <v>384</v>
      </c>
      <c r="F43" s="189" t="s">
        <v>385</v>
      </c>
      <c r="G43" s="57" t="str">
        <f>IFERROR(LEFT(B43,FIND("],",B43)),B43)</f>
        <v>[effect:enemy_message, val1:1.2, val2:1.2]</v>
      </c>
      <c r="H43" s="57">
        <f>FIND("effect:",G43)+7</f>
        <v>9</v>
      </c>
      <c r="I43" s="57">
        <f>IFERROR(FIND(",",G43),LEN(G43))</f>
        <v>22</v>
      </c>
      <c r="J43" s="57" t="e">
        <f>FIND("target:",G43)+7</f>
        <v>#VALUE!</v>
      </c>
      <c r="K43" s="57">
        <f>FIND(",",G43,I43+1)</f>
        <v>32</v>
      </c>
      <c r="L43" s="57" t="str">
        <f>IFERROR(VLOOKUP(MID(G43,J43,K43-J43),[6]skilldef!$C:$D,2,FALSE),"-") &amp; " / " &amp; IFERROR(VLOOKUP(MID(G43,H43,I43-H43),[6]skilldef!$A:$B,2,FALSE),"-")</f>
        <v>- / -</v>
      </c>
      <c r="M43" s="57" t="str">
        <f t="shared" ref="M43" si="87">IFERROR(RIGHT(B43,LEN(B43)-FIND("],",B43)-1),"none")</f>
        <v>[effect:heal, target:enemy_all, val:0.5, animation:enemy_heal]</v>
      </c>
      <c r="N43" s="42" t="str">
        <f t="shared" ref="N43" si="88">IFERROR(LEFT(M43,FIND("],",M43)+S57),M43)</f>
        <v>[effect:heal, target:enemy_all, val:0.5, animation:enemy_heal]</v>
      </c>
      <c r="O43" s="57">
        <f t="shared" ref="O43" si="89">FIND("effect:",N43)+7</f>
        <v>9</v>
      </c>
      <c r="P43" s="57">
        <f t="shared" ref="P43" si="90">IFERROR(FIND(",",N43),LEN(N43))</f>
        <v>13</v>
      </c>
      <c r="Q43" s="57">
        <f t="shared" ref="Q43" si="91">FIND("target:",N43)+7</f>
        <v>22</v>
      </c>
      <c r="R43" s="57">
        <f t="shared" ref="R43" si="92">FIND(",",N43,P43+1)</f>
        <v>31</v>
      </c>
      <c r="S43" s="57" t="str">
        <f>IFERROR(VLOOKUP(MID(N43,Q43,R43-Q43),[6]skilldef!$C:$D,2,FALSE),"-") &amp; " / " &amp; IFERROR(VLOOKUP(MID(N43,O43,P43-O43),[6]skilldef!$A:$B,2,FALSE),"-")</f>
        <v>敵全体に / 回復</v>
      </c>
      <c r="T43" s="42" t="str">
        <f t="shared" ref="T43" si="93">IFERROR(RIGHT(M43,LEN(M43)-FIND("],",M43)-1),"none")</f>
        <v>none</v>
      </c>
      <c r="U43" s="57" t="e">
        <f t="shared" ref="U43" si="94">FIND("effect:",T43)+7</f>
        <v>#VALUE!</v>
      </c>
      <c r="V43" s="57">
        <f t="shared" ref="V43" si="95">IFERROR(FIND(",",T43),LEN(T43))</f>
        <v>4</v>
      </c>
      <c r="W43" s="57" t="e">
        <f t="shared" ref="W43" si="96">FIND("target:",T43)+7</f>
        <v>#VALUE!</v>
      </c>
      <c r="X43" s="57" t="e">
        <f t="shared" ref="X43" si="97">FIND(",",T43,V43+1)</f>
        <v>#VALUE!</v>
      </c>
      <c r="Y43" s="57" t="str">
        <f>IFERROR(VLOOKUP(MID(T43,W43,X43-W43),[6]skilldef!$C:$D,2,FALSE),"-") &amp; " / " &amp; IFERROR(VLOOKUP(MID(T43,U43,V43-U43),[6]skilldef!$A:$B,2,FALSE),"-")</f>
        <v>- / -</v>
      </c>
      <c r="Z43" s="44"/>
      <c r="AA43" s="46"/>
      <c r="AB43" s="44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32"/>
  <sheetViews>
    <sheetView showGridLines="0" workbookViewId="0">
      <pane xSplit="5" ySplit="1" topLeftCell="F327" activePane="bottomRight" state="frozen"/>
      <selection pane="topRight"/>
      <selection pane="bottomLeft"/>
      <selection pane="bottomRight" activeCell="B332" sqref="B332"/>
    </sheetView>
  </sheetViews>
  <sheetFormatPr baseColWidth="12" defaultColWidth="12.83203125" defaultRowHeight="21" customHeight="1" outlineLevelCol="1" x14ac:dyDescent="0.15"/>
  <cols>
    <col min="1" max="1" width="11.33203125" style="33" bestFit="1" customWidth="1"/>
    <col min="2" max="2" width="16.6640625" style="43" customWidth="1"/>
    <col min="3" max="3" width="9.6640625" style="43" customWidth="1"/>
    <col min="4" max="4" width="18.5" style="43" customWidth="1" outlineLevel="1"/>
    <col min="5" max="5" width="44.1640625" style="43" bestFit="1" customWidth="1" outlineLevel="1"/>
    <col min="6" max="6" width="10.83203125" style="43" bestFit="1" customWidth="1"/>
    <col min="7" max="7" width="8.33203125" style="43" bestFit="1" customWidth="1" outlineLevel="1"/>
    <col min="8" max="9" width="12.83203125" style="43" outlineLevel="1"/>
    <col min="10" max="10" width="17.6640625" style="43" bestFit="1" customWidth="1" outlineLevel="1"/>
    <col min="11" max="15" width="12.83203125" style="43" outlineLevel="1"/>
    <col min="16" max="16" width="8.33203125" style="39" bestFit="1" customWidth="1"/>
    <col min="17" max="17" width="9.6640625" style="39" customWidth="1"/>
    <col min="18" max="18" width="56.5" style="39" bestFit="1" customWidth="1"/>
    <col min="19" max="16384" width="12.83203125" style="39"/>
  </cols>
  <sheetData>
    <row r="1" spans="1:18" ht="21" customHeight="1" x14ac:dyDescent="0.15">
      <c r="A1" s="33" t="s">
        <v>59</v>
      </c>
      <c r="B1" s="34" t="s">
        <v>60</v>
      </c>
      <c r="C1" s="34" t="s">
        <v>61</v>
      </c>
      <c r="D1" s="35" t="s">
        <v>62</v>
      </c>
      <c r="E1" s="35" t="s">
        <v>63</v>
      </c>
      <c r="F1" s="36" t="s">
        <v>64</v>
      </c>
      <c r="G1" s="37" t="s">
        <v>65</v>
      </c>
      <c r="H1" s="37" t="s">
        <v>67</v>
      </c>
      <c r="I1" s="37" t="s">
        <v>68</v>
      </c>
      <c r="J1" s="37" t="s">
        <v>69</v>
      </c>
      <c r="K1" s="38" t="s">
        <v>70</v>
      </c>
      <c r="L1" s="38" t="s">
        <v>71</v>
      </c>
      <c r="M1" s="37" t="s">
        <v>72</v>
      </c>
      <c r="N1" s="37" t="s">
        <v>73</v>
      </c>
      <c r="O1" s="37" t="s">
        <v>74</v>
      </c>
      <c r="P1" s="35" t="s">
        <v>75</v>
      </c>
      <c r="Q1" s="35" t="s">
        <v>76</v>
      </c>
      <c r="R1" s="35" t="s">
        <v>77</v>
      </c>
    </row>
    <row r="2" spans="1:18" ht="21" customHeight="1" x14ac:dyDescent="0.15">
      <c r="A2" s="33" t="str">
        <f t="shared" ref="A2:A64" si="0">B2&amp;"_"&amp;C2</f>
        <v>39008001_39008001</v>
      </c>
      <c r="B2" s="102">
        <v>39008001</v>
      </c>
      <c r="C2" s="122">
        <v>39008001</v>
      </c>
      <c r="D2" s="40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よ〜し！_x000D_雪まつり盛り上げちゃうぞッ！</v>
      </c>
      <c r="E2" s="40" t="str">
        <f ca="1">VLOOKUP($C2,OFFSET(enemy_skills!$A$1,0,0,COUNTA(enemy_skills!$A:$A),MATCH(E$1,enemy_skills!$1:$1,0)-MATCH("enemy_skill_id",enemy_skills!$1:$1,0)+1),MATCH(E$1,enemy_skills!$1:$1,0)-MATCH("enemy_skill_id",enemy_skills!$1:$1,0)+1,FALSE)</f>
        <v>3ターン敵全体の防御力UP</v>
      </c>
      <c r="F2" s="122">
        <v>39008001</v>
      </c>
      <c r="G2" s="42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2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2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2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2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2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2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2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2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1"/>
      <c r="Q2" s="41"/>
      <c r="R2" s="41"/>
    </row>
    <row r="3" spans="1:18" ht="21" customHeight="1" x14ac:dyDescent="0.15">
      <c r="A3" s="33" t="str">
        <f t="shared" si="0"/>
        <v>39008001_39008002</v>
      </c>
      <c r="B3" s="102">
        <v>39008001</v>
      </c>
      <c r="C3" s="41">
        <v>39008002</v>
      </c>
      <c r="D3" s="40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ラピッドエッジ</v>
      </c>
      <c r="E3" s="40" t="str">
        <f ca="1">VLOOKUP($C3,OFFSET(enemy_skills!$A$1,0,0,COUNTA(enemy_skills!$A:$A),MATCH(E$1,enemy_skills!$1:$1,0)-MATCH("enemy_skill_id",enemy_skills!$1:$1,0)+1),MATCH(E$1,enemy_skills!$1:$1,0)-MATCH("enemy_skill_id",enemy_skills!$1:$1,0)+1,FALSE)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" s="122">
        <v>39008002</v>
      </c>
      <c r="G3" s="42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2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" s="42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" s="42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2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2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2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2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2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" s="41"/>
      <c r="Q3" s="41"/>
      <c r="R3" s="41"/>
    </row>
    <row r="4" spans="1:18" ht="21" customHeight="1" x14ac:dyDescent="0.15">
      <c r="A4" s="33" t="str">
        <f t="shared" si="0"/>
        <v>39008001_39008003</v>
      </c>
      <c r="B4" s="102">
        <v>39008001</v>
      </c>
      <c r="C4" s="41">
        <v>39008003</v>
      </c>
      <c r="D4" s="40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アイシクルターン</v>
      </c>
      <c r="E4" s="40" t="str">
        <f ca="1">VLOOKUP($C4,OFFSET(enemy_skills!$A$1,0,0,COUNTA(enemy_skills!$A:$A),MATCH(E$1,enemy_skills!$1:$1,0)-MATCH("enemy_skill_id",enemy_skills!$1:$1,0)+1),MATCH(E$1,enemy_skills!$1:$1,0)-MATCH("enemy_skill_id",enemy_skills!$1:$1,0)+1,FALSE)</f>
        <v>種族Unknown以外のユニットに_x000D_大ダメージの全体攻撃</v>
      </c>
      <c r="F4" s="122">
        <v>39008003</v>
      </c>
      <c r="G4" s="42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2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" s="42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" s="42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2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2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4" s="42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2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2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" s="41"/>
      <c r="Q4" s="41"/>
      <c r="R4" s="41"/>
    </row>
    <row r="5" spans="1:18" ht="21" customHeight="1" x14ac:dyDescent="0.15">
      <c r="A5" s="33" t="str">
        <f t="shared" si="0"/>
        <v>39008001_39008004</v>
      </c>
      <c r="B5" s="102">
        <v>39008001</v>
      </c>
      <c r="C5" s="41">
        <v>39008004</v>
      </c>
      <c r="D5" s="40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センタリングandターンアタック</v>
      </c>
      <c r="E5" s="40" t="str">
        <f ca="1">VLOOKUP($C5,OFFSET(enemy_skills!$A$1,0,0,COUNTA(enemy_skills!$A:$A),MATCH(E$1,enemy_skills!$1:$1,0)-MATCH("enemy_skill_id",enemy_skills!$1:$1,0)+1),MATCH(E$1,enemy_skills!$1:$1,0)-MATCH("enemy_skill_id",enemy_skills!$1:$1,0)+1,FALSE)</f>
        <v>全体回復+単体攻撃</v>
      </c>
      <c r="F5" s="122">
        <v>39008004</v>
      </c>
      <c r="G5" s="42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2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" s="42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" s="42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2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2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2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2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2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" s="41"/>
      <c r="Q5" s="41"/>
      <c r="R5" s="41"/>
    </row>
    <row r="6" spans="1:18" ht="21" customHeight="1" x14ac:dyDescent="0.15">
      <c r="A6" s="33" t="str">
        <f t="shared" si="0"/>
        <v>39008001_39008005</v>
      </c>
      <c r="B6" s="102">
        <v>39008001</v>
      </c>
      <c r="C6" s="41">
        <v>39008005</v>
      </c>
      <c r="D6" s="40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エッジケア</v>
      </c>
      <c r="E6" s="40" t="str">
        <f ca="1">VLOOKUP($C6,OFFSET(enemy_skills!$A$1,0,0,COUNTA(enemy_skills!$A:$A),MATCH(E$1,enemy_skills!$1:$1,0)-MATCH("enemy_skill_id",enemy_skills!$1:$1,0)+1),MATCH(E$1,enemy_skills!$1:$1,0)-MATCH("enemy_skill_id",enemy_skills!$1:$1,0)+1,FALSE)</f>
        <v>3ターン敵全体の攻撃力UP</v>
      </c>
      <c r="F6" s="122">
        <v>39008005</v>
      </c>
      <c r="G6" s="42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2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2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2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2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2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2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2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529</v>
      </c>
      <c r="O6" s="42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1"/>
      <c r="Q6" s="41"/>
      <c r="R6" s="41"/>
    </row>
    <row r="7" spans="1:18" ht="21" customHeight="1" x14ac:dyDescent="0.15">
      <c r="A7" s="33" t="str">
        <f t="shared" si="0"/>
        <v>39008001_39008006</v>
      </c>
      <c r="B7" s="102">
        <v>39008001</v>
      </c>
      <c r="C7" s="41">
        <v>39008006</v>
      </c>
      <c r="D7" s="40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ジェントルステップ</v>
      </c>
      <c r="E7" s="40" t="str">
        <f ca="1">VLOOKUP($C7,OFFSET(enemy_skills!$A$1,0,0,COUNTA(enemy_skills!$A:$A),MATCH(E$1,enemy_skills!$1:$1,0)-MATCH("enemy_skill_id",enemy_skills!$1:$1,0)+1),MATCH(E$1,enemy_skills!$1:$1,0)-MATCH("enemy_skill_id",enemy_skills!$1:$1,0)+1,FALSE)</f>
        <v>3ターン敵全体の防御力UP</v>
      </c>
      <c r="F7" s="122">
        <v>39008006</v>
      </c>
      <c r="G7" s="42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2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2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2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2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2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2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2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531</v>
      </c>
      <c r="O7" s="42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1"/>
      <c r="Q7" s="41"/>
      <c r="R7" s="41"/>
    </row>
    <row r="8" spans="1:18" ht="21" customHeight="1" x14ac:dyDescent="0.15">
      <c r="A8" s="33" t="str">
        <f t="shared" si="0"/>
        <v>39008001_39008011</v>
      </c>
      <c r="B8" s="102">
        <v>39008001</v>
      </c>
      <c r="C8" s="41">
        <v>39008011</v>
      </c>
      <c r="D8" s="40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センタリング</v>
      </c>
      <c r="E8" s="40" t="str">
        <f ca="1">VLOOKUP($C8,OFFSET(enemy_skills!$A$1,0,0,COUNTA(enemy_skills!$A:$A),MATCH(E$1,enemy_skills!$1:$1,0)-MATCH("enemy_skill_id",enemy_skills!$1:$1,0)+1),MATCH(E$1,enemy_skills!$1:$1,0)-MATCH("enemy_skill_id",enemy_skills!$1:$1,0)+1,FALSE)</f>
        <v>全体回復</v>
      </c>
      <c r="F8" s="122">
        <v>39008007</v>
      </c>
      <c r="G8" s="42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2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2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2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2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2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2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2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534</v>
      </c>
      <c r="O8" s="42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1"/>
      <c r="Q8" s="41"/>
      <c r="R8" s="41"/>
    </row>
    <row r="9" spans="1:18" ht="21" customHeight="1" x14ac:dyDescent="0.15">
      <c r="A9" s="33" t="str">
        <f t="shared" si="0"/>
        <v>39008001_39008012</v>
      </c>
      <c r="B9" s="102">
        <v>39008001</v>
      </c>
      <c r="C9" s="41">
        <v>39008012</v>
      </c>
      <c r="D9" s="40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ワイルドステップ</v>
      </c>
      <c r="E9" s="40" t="str">
        <f ca="1">VLOOKUP($C9,OFFSET(enemy_skills!$A$1,0,0,COUNTA(enemy_skills!$A:$A),MATCH(E$1,enemy_skills!$1:$1,0)-MATCH("enemy_skill_id",enemy_skills!$1:$1,0)+1),MATCH(E$1,enemy_skills!$1:$1,0)-MATCH("enemy_skill_id",enemy_skills!$1:$1,0)+1,FALSE)</f>
        <v>3ターン敵全体の行動頻度UP</v>
      </c>
      <c r="F9" s="122">
        <v>39008008</v>
      </c>
      <c r="G9" s="42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2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2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2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2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2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2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2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536</v>
      </c>
      <c r="O9" s="42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1"/>
      <c r="Q9" s="41"/>
      <c r="R9" s="41"/>
    </row>
    <row r="10" spans="1:18" ht="21" customHeight="1" x14ac:dyDescent="0.15">
      <c r="A10" s="33" t="str">
        <f t="shared" si="0"/>
        <v>39008002_39008007</v>
      </c>
      <c r="B10" s="123">
        <v>39008002</v>
      </c>
      <c r="C10" s="41">
        <v>39008007</v>
      </c>
      <c r="D10" s="40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準備運動かんりょーだよ！</v>
      </c>
      <c r="E10" s="40" t="str">
        <f ca="1">VLOOKUP($C10,OFFSET(enemy_skills!$A$1,0,0,COUNTA(enemy_skills!$A:$A),MATCH(E$1,enemy_skills!$1:$1,0)-MATCH("enemy_skill_id",enemy_skills!$1:$1,0)+1),MATCH(E$1,enemy_skills!$1:$1,0)-MATCH("enemy_skill_id",enemy_skills!$1:$1,0)+1,FALSE)</f>
        <v>3ターン敵全体の攻撃力UP</v>
      </c>
      <c r="F10" s="122">
        <v>39008009</v>
      </c>
      <c r="G10" s="42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2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2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2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2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2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2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2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2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1"/>
      <c r="Q10" s="41"/>
      <c r="R10" s="41"/>
    </row>
    <row r="11" spans="1:18" ht="21" customHeight="1" x14ac:dyDescent="0.15">
      <c r="A11" s="33" t="str">
        <f t="shared" si="0"/>
        <v>39008002_39008008</v>
      </c>
      <c r="B11" s="123">
        <v>39008002</v>
      </c>
      <c r="C11" s="41">
        <v>39008008</v>
      </c>
      <c r="D11" s="40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ラピッドエッジ</v>
      </c>
      <c r="E11" s="40" t="str">
        <f ca="1">VLOOKUP($C11,OFFSET(enemy_skills!$A$1,0,0,COUNTA(enemy_skills!$A:$A),MATCH(E$1,enemy_skills!$1:$1,0)-MATCH("enemy_skill_id",enemy_skills!$1:$1,0)+1),MATCH(E$1,enemy_skills!$1:$1,0)-MATCH("enemy_skill_id",enemy_skills!$1:$1,0)+1,FALSE)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1" s="122">
        <v>39008010</v>
      </c>
      <c r="G11" s="42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2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" s="42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1" s="42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2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2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2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2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2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1" s="41"/>
      <c r="Q11" s="41"/>
      <c r="R11" s="41"/>
    </row>
    <row r="12" spans="1:18" ht="21" customHeight="1" x14ac:dyDescent="0.15">
      <c r="A12" s="33" t="str">
        <f t="shared" si="0"/>
        <v>39008002_39008009</v>
      </c>
      <c r="B12" s="123">
        <v>39008002</v>
      </c>
      <c r="C12" s="41">
        <v>39008009</v>
      </c>
      <c r="D12" s="40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センタリングandターンアタック</v>
      </c>
      <c r="E12" s="40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全体回復+2回連続攻撃</v>
      </c>
      <c r="F12" s="122">
        <v>39008011</v>
      </c>
      <c r="G12" s="42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2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" s="42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2" s="42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2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2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2" s="42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2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2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2" s="41"/>
      <c r="Q12" s="41"/>
      <c r="R12" s="41"/>
    </row>
    <row r="13" spans="1:18" ht="21" customHeight="1" x14ac:dyDescent="0.15">
      <c r="A13" s="33" t="str">
        <f t="shared" si="0"/>
        <v>39008002_39008010</v>
      </c>
      <c r="B13" s="123">
        <v>39008002</v>
      </c>
      <c r="C13" s="41">
        <v>39008010</v>
      </c>
      <c r="D13" s="40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アイスバーン</v>
      </c>
      <c r="E13" s="40" t="str">
        <f ca="1">VLOOKUP($C13,OFFSET(enemy_skills!$A$1,0,0,COUNTA(enemy_skills!$A:$A),MATCH(E$1,enemy_skills!$1:$1,0)-MATCH("enemy_skill_id",enemy_skills!$1:$1,0)+1),MATCH(E$1,enemy_skills!$1:$1,0)-MATCH("enemy_skill_id",enemy_skills!$1:$1,0)+1,FALSE)</f>
        <v>7ターンハートパネル無効</v>
      </c>
      <c r="F13" s="122">
        <v>39008012</v>
      </c>
      <c r="G13" s="42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2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3" s="42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3" s="42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2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2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2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2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2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3" s="41"/>
      <c r="Q13" s="41"/>
      <c r="R13" s="41"/>
    </row>
    <row r="14" spans="1:18" ht="21" customHeight="1" x14ac:dyDescent="0.15">
      <c r="A14" s="33" t="str">
        <f t="shared" si="0"/>
        <v>39008002_39008005</v>
      </c>
      <c r="B14" s="123">
        <v>39008002</v>
      </c>
      <c r="C14" s="41">
        <v>39008005</v>
      </c>
      <c r="D14" s="40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エッジケア</v>
      </c>
      <c r="E14" s="40" t="str">
        <f ca="1">VLOOKUP($C14,OFFSET(enemy_skills!$A$1,0,0,COUNTA(enemy_skills!$A:$A),MATCH(E$1,enemy_skills!$1:$1,0)-MATCH("enemy_skill_id",enemy_skills!$1:$1,0)+1),MATCH(E$1,enemy_skills!$1:$1,0)-MATCH("enemy_skill_id",enemy_skills!$1:$1,0)+1,FALSE)</f>
        <v>3ターン敵全体の攻撃力UP</v>
      </c>
      <c r="F14" s="122">
        <v>39008013</v>
      </c>
      <c r="G14" s="42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2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2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2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2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2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2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2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529</v>
      </c>
      <c r="O14" s="42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1"/>
      <c r="Q14" s="41"/>
      <c r="R14" s="41"/>
    </row>
    <row r="15" spans="1:18" ht="21" customHeight="1" x14ac:dyDescent="0.15">
      <c r="A15" s="33" t="str">
        <f t="shared" si="0"/>
        <v>39008002_39008006</v>
      </c>
      <c r="B15" s="123">
        <v>39008002</v>
      </c>
      <c r="C15" s="41">
        <v>39008006</v>
      </c>
      <c r="D15" s="40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ジェントルステップ</v>
      </c>
      <c r="E15" s="40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3ターン敵全体の防御力UP</v>
      </c>
      <c r="F15" s="122">
        <v>39008014</v>
      </c>
      <c r="G15" s="42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2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2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2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2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2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2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2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531</v>
      </c>
      <c r="O15" s="42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1"/>
      <c r="Q15" s="41"/>
      <c r="R15" s="41"/>
    </row>
    <row r="16" spans="1:18" ht="21" customHeight="1" x14ac:dyDescent="0.15">
      <c r="A16" s="33" t="str">
        <f t="shared" si="0"/>
        <v>39008002_39008011</v>
      </c>
      <c r="B16" s="123">
        <v>39008002</v>
      </c>
      <c r="C16" s="41">
        <v>39008011</v>
      </c>
      <c r="D16" s="40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センタリング</v>
      </c>
      <c r="E16" s="40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全体回復</v>
      </c>
      <c r="F16" s="122">
        <v>39008015</v>
      </c>
      <c r="G16" s="42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2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2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2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2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2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2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2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534</v>
      </c>
      <c r="O16" s="42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1"/>
      <c r="Q16" s="41"/>
      <c r="R16" s="41"/>
    </row>
    <row r="17" spans="1:18" ht="21" customHeight="1" x14ac:dyDescent="0.15">
      <c r="A17" s="33" t="str">
        <f t="shared" si="0"/>
        <v>39008002_39008012</v>
      </c>
      <c r="B17" s="123">
        <v>39008002</v>
      </c>
      <c r="C17" s="41">
        <v>39008012</v>
      </c>
      <c r="D17" s="40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ワイルドステップ</v>
      </c>
      <c r="E17" s="40" t="str">
        <f ca="1">VLOOKUP($C17,OFFSET(enemy_skills!$A$1,0,0,COUNTA(enemy_skills!$A:$A),MATCH(E$1,enemy_skills!$1:$1,0)-MATCH("enemy_skill_id",enemy_skills!$1:$1,0)+1),MATCH(E$1,enemy_skills!$1:$1,0)-MATCH("enemy_skill_id",enemy_skills!$1:$1,0)+1,FALSE)</f>
        <v>3ターン敵全体の行動頻度UP</v>
      </c>
      <c r="F17" s="122">
        <v>39008016</v>
      </c>
      <c r="G17" s="42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2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2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2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2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2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2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2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536</v>
      </c>
      <c r="O17" s="42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1"/>
      <c r="Q17" s="41"/>
      <c r="R17" s="41"/>
    </row>
    <row r="18" spans="1:18" ht="21" customHeight="1" x14ac:dyDescent="0.15">
      <c r="A18" s="33" t="str">
        <f t="shared" si="0"/>
        <v>39008003_39008013</v>
      </c>
      <c r="B18" s="110">
        <v>39008003</v>
      </c>
      <c r="C18" s="41">
        <v>39008013</v>
      </c>
      <c r="D18" s="40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ユキネみっけ！_x000D_本番はこれからだよ！</v>
      </c>
      <c r="E18" s="40" t="str">
        <f ca="1">VLOOKUP($C18,OFFSET(enemy_skills!$A$1,0,0,COUNTA(enemy_skills!$A:$A),MATCH(E$1,enemy_skills!$1:$1,0)-MATCH("enemy_skill_id",enemy_skills!$1:$1,0)+1),MATCH(E$1,enemy_skills!$1:$1,0)-MATCH("enemy_skill_id",enemy_skills!$1:$1,0)+1,FALSE)</f>
        <v>8ターンハートパネル無効</v>
      </c>
      <c r="F18" s="122">
        <v>39008017</v>
      </c>
      <c r="G18" s="42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2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2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2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2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2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2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2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2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1"/>
      <c r="Q18" s="41"/>
      <c r="R18" s="41"/>
    </row>
    <row r="19" spans="1:18" ht="21" customHeight="1" x14ac:dyDescent="0.15">
      <c r="A19" s="33" t="str">
        <f t="shared" si="0"/>
        <v>39008003_39008014</v>
      </c>
      <c r="B19" s="110">
        <v>39008003</v>
      </c>
      <c r="C19" s="41">
        <v>39008014</v>
      </c>
      <c r="D19" s="40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クレイジーターンアタック</v>
      </c>
      <c r="E19" s="40" t="str">
        <f ca="1">VLOOKUP($C19,OFFSET(enemy_skills!$A$1,0,0,COUNTA(enemy_skills!$A:$A),MATCH(E$1,enemy_skills!$1:$1,0)-MATCH("enemy_skill_id",enemy_skills!$1:$1,0)+1),MATCH(E$1,enemy_skills!$1:$1,0)-MATCH("enemy_skill_id",enemy_skills!$1:$1,0)+1,FALSE)</f>
        <v>3ターン回復力100%DOWN+_x000D_単体攻撃</v>
      </c>
      <c r="F19" s="122">
        <v>39008018</v>
      </c>
      <c r="G19" s="42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2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9" s="42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9" s="42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2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2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2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2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2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9" s="41"/>
      <c r="Q19" s="41"/>
      <c r="R19" s="41"/>
    </row>
    <row r="20" spans="1:18" ht="21" customHeight="1" x14ac:dyDescent="0.15">
      <c r="A20" s="33" t="str">
        <f t="shared" si="0"/>
        <v>39008003_39008015</v>
      </c>
      <c r="B20" s="110">
        <v>39008003</v>
      </c>
      <c r="C20" s="41">
        <v>39008015</v>
      </c>
      <c r="D20" s="40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コンビネーションエッジ</v>
      </c>
      <c r="E20" s="40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0" s="122">
        <v>39008019</v>
      </c>
      <c r="G20" s="42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2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0" s="42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0" s="42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2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2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2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2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2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0" s="41"/>
      <c r="Q20" s="41"/>
      <c r="R20" s="41"/>
    </row>
    <row r="21" spans="1:18" ht="21" customHeight="1" x14ac:dyDescent="0.15">
      <c r="A21" s="33" t="str">
        <f t="shared" si="0"/>
        <v>39008003_39008016</v>
      </c>
      <c r="B21" s="110">
        <v>39008003</v>
      </c>
      <c r="C21" s="41">
        <v>39008016</v>
      </c>
      <c r="D21" s="40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ラピッドファイヤーエッジ</v>
      </c>
      <c r="E21" s="40" t="str">
        <f ca="1">VLOOKUP($C21,OFFSET(enemy_skills!$A$1,0,0,COUNTA(enemy_skills!$A:$A),MATCH(E$1,enemy_skills!$1:$1,0)-MATCH("enemy_skill_id",enemy_skills!$1:$1,0)+1),MATCH(E$1,enemy_skills!$1:$1,0)-MATCH("enemy_skill_id",enemy_skills!$1:$1,0)+1,FALSE)</f>
        <v>3ターン自身の攻撃力UP+_x000D_2回連続攻撃</v>
      </c>
      <c r="F21" s="122">
        <v>39008020</v>
      </c>
      <c r="G21" s="42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2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1" s="42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2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1" s="42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2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2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2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2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1"/>
      <c r="Q21" s="41"/>
      <c r="R21" s="41"/>
    </row>
    <row r="22" spans="1:18" ht="21" customHeight="1" x14ac:dyDescent="0.15">
      <c r="A22" s="33" t="str">
        <f t="shared" si="0"/>
        <v>39008004_39008017</v>
      </c>
      <c r="B22" s="111">
        <v>39008004</v>
      </c>
      <c r="C22" s="41">
        <v>39008017</v>
      </c>
      <c r="D22" s="40" t="str">
        <f ca="1">VLOOKUP($C22,OFFSET(enemy_skills!$A$1,0,0,COUNTA(enemy_skills!$A:$A),MATCH(D$1,enemy_skills!$1:$1,0)-MATCH("enemy_skill_id",enemy_skills!$1:$1,0)+1),MATCH(D$1,enemy_skills!$1:$1,0)-MATCH("enemy_skill_id",enemy_skills!$1:$1,0)+1,FALSE)</f>
        <v>SNOWMIKU-オーヴァーチュア-</v>
      </c>
      <c r="E22" s="40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敵HPが低いほど強力な攻撃</v>
      </c>
      <c r="F22" s="122">
        <v>39008021</v>
      </c>
      <c r="G22" s="42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2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2" s="42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2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2" s="42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76</v>
      </c>
      <c r="L22" s="42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2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2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2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1"/>
      <c r="Q22" s="41"/>
      <c r="R22" s="41"/>
    </row>
    <row r="23" spans="1:18" ht="21" customHeight="1" x14ac:dyDescent="0.15">
      <c r="A23" s="33" t="str">
        <f t="shared" si="0"/>
        <v>39008004_39008018</v>
      </c>
      <c r="B23" s="111">
        <v>39008004</v>
      </c>
      <c r="C23" s="41">
        <v>39008018</v>
      </c>
      <c r="D23" s="40" t="str">
        <f ca="1">VLOOKUP($C23,OFFSET(enemy_skills!$A$1,0,0,COUNTA(enemy_skills!$A:$A),MATCH(D$1,enemy_skills!$1:$1,0)-MATCH("enemy_skill_id",enemy_skills!$1:$1,0)+1),MATCH(D$1,enemy_skills!$1:$1,0)-MATCH("enemy_skill_id",enemy_skills!$1:$1,0)+1,FALSE)</f>
        <v>SNOWMIKU-スケルツォ-</v>
      </c>
      <c r="E23" s="40" t="str">
        <f ca="1">VLOOKUP($C23,OFFSET(enemy_skills!$A$1,0,0,COUNTA(enemy_skills!$A:$A),MATCH(E$1,enemy_skills!$1:$1,0)-MATCH("enemy_skill_id",enemy_skills!$1:$1,0)+1),MATCH(E$1,enemy_skills!$1:$1,0)-MATCH("enemy_skill_id",enemy_skills!$1:$1,0)+1,FALSE)</f>
        <v>敵HPが低いほど強力な攻撃</v>
      </c>
      <c r="F23" s="122">
        <v>39008022</v>
      </c>
      <c r="G23" s="42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2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42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2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23" s="42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51</v>
      </c>
      <c r="L23" s="42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2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2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2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1"/>
      <c r="Q23" s="41"/>
      <c r="R23" s="41"/>
    </row>
    <row r="24" spans="1:18" ht="21" customHeight="1" x14ac:dyDescent="0.15">
      <c r="A24" s="33" t="str">
        <f t="shared" si="0"/>
        <v>39008004_39008019</v>
      </c>
      <c r="B24" s="111">
        <v>39008004</v>
      </c>
      <c r="C24" s="41">
        <v>39008019</v>
      </c>
      <c r="D24" s="40" t="str">
        <f ca="1">VLOOKUP($C24,OFFSET(enemy_skills!$A$1,0,0,COUNTA(enemy_skills!$A:$A),MATCH(D$1,enemy_skills!$1:$1,0)-MATCH("enemy_skill_id",enemy_skills!$1:$1,0)+1),MATCH(D$1,enemy_skills!$1:$1,0)-MATCH("enemy_skill_id",enemy_skills!$1:$1,0)+1,FALSE)</f>
        <v>SNOWMIKU-スケルツォ-</v>
      </c>
      <c r="E24" s="40" t="str">
        <f ca="1">VLOOKUP($C24,OFFSET(enemy_skills!$A$1,0,0,COUNTA(enemy_skills!$A:$A),MATCH(E$1,enemy_skills!$1:$1,0)-MATCH("enemy_skill_id",enemy_skills!$1:$1,0)+1),MATCH(E$1,enemy_skills!$1:$1,0)-MATCH("enemy_skill_id",enemy_skills!$1:$1,0)+1,FALSE)</f>
        <v>敵HPが低いほど強力な攻撃</v>
      </c>
      <c r="F24" s="122">
        <v>39008023</v>
      </c>
      <c r="G24" s="42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2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4" s="42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2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2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26</v>
      </c>
      <c r="L24" s="42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2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2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2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1"/>
      <c r="Q24" s="41"/>
      <c r="R24" s="41"/>
    </row>
    <row r="25" spans="1:18" ht="21" customHeight="1" x14ac:dyDescent="0.15">
      <c r="A25" s="33" t="str">
        <f t="shared" si="0"/>
        <v>39008004_39008020</v>
      </c>
      <c r="B25" s="111">
        <v>39008004</v>
      </c>
      <c r="C25" s="41">
        <v>39008020</v>
      </c>
      <c r="D25" s="40" t="str">
        <f ca="1">VLOOKUP($C25,OFFSET(enemy_skills!$A$1,0,0,COUNTA(enemy_skills!$A:$A),MATCH(D$1,enemy_skills!$1:$1,0)-MATCH("enemy_skill_id",enemy_skills!$1:$1,0)+1),MATCH(D$1,enemy_skills!$1:$1,0)-MATCH("enemy_skill_id",enemy_skills!$1:$1,0)+1,FALSE)</f>
        <v>SNOWMIKU-フィナーレ-</v>
      </c>
      <c r="E25" s="40" t="str">
        <f ca="1">VLOOKUP($C25,OFFSET(enemy_skills!$A$1,0,0,COUNTA(enemy_skills!$A:$A),MATCH(E$1,enemy_skills!$1:$1,0)-MATCH("enemy_skill_id",enemy_skills!$1:$1,0)+1),MATCH(E$1,enemy_skills!$1:$1,0)-MATCH("enemy_skill_id",enemy_skills!$1:$1,0)+1,FALSE)</f>
        <v>敵HPが低いほど強力な攻撃</v>
      </c>
      <c r="F25" s="122">
        <v>39008024</v>
      </c>
      <c r="G25" s="42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2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5" s="42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2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25" s="42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2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2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2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2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1"/>
      <c r="Q25" s="41"/>
      <c r="R25" s="41"/>
    </row>
    <row r="26" spans="1:18" ht="21" customHeight="1" x14ac:dyDescent="0.15">
      <c r="A26" s="33" t="str">
        <f t="shared" si="0"/>
        <v>39008004_39008021</v>
      </c>
      <c r="B26" s="111">
        <v>39008004</v>
      </c>
      <c r="C26" s="41">
        <v>39008021</v>
      </c>
      <c r="D26" s="40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ストールサウンド</v>
      </c>
      <c r="E26" s="40" t="str">
        <f ca="1">VLOOKUP($C26,OFFSET(enemy_skills!$A$1,0,0,COUNTA(enemy_skills!$A:$A),MATCH(E$1,enemy_skills!$1:$1,0)-MATCH("enemy_skill_id",enemy_skills!$1:$1,0)+1),MATCH(E$1,enemy_skills!$1:$1,0)-MATCH("enemy_skill_id",enemy_skills!$1:$1,0)+1,FALSE)</f>
        <v>3ターンハートパネルが出現しない+_x000D_3ターン全ユニットの回復力100%DOWN</v>
      </c>
      <c r="F26" s="122">
        <v>39008025</v>
      </c>
      <c r="G26" s="42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2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6" s="42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2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6" s="42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2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2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2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2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1"/>
      <c r="Q26" s="41"/>
      <c r="R26" s="41"/>
    </row>
    <row r="27" spans="1:18" ht="21" customHeight="1" x14ac:dyDescent="0.15">
      <c r="A27" s="33" t="str">
        <f t="shared" si="0"/>
        <v>39008004_39008022</v>
      </c>
      <c r="B27" s="111">
        <v>39008004</v>
      </c>
      <c r="C27" s="41">
        <v>39008022</v>
      </c>
      <c r="D27" s="40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どっちが速いか競走だ！</v>
      </c>
      <c r="E27" s="40" t="str">
        <f ca="1">VLOOKUP($C27,OFFSET(enemy_skills!$A$1,0,0,COUNTA(enemy_skills!$A:$A),MATCH(E$1,enemy_skills!$1:$1,0)-MATCH("enemy_skill_id",enemy_skills!$1:$1,0)+1),MATCH(E$1,enemy_skills!$1:$1,0)-MATCH("enemy_skill_id",enemy_skills!$1:$1,0)+1,FALSE)</f>
        <v>自身の攻撃頻度UP</v>
      </c>
      <c r="F27" s="122">
        <v>39008026</v>
      </c>
      <c r="G27" s="42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2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7" s="42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2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2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2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2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2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2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1"/>
      <c r="Q27" s="41"/>
      <c r="R27" s="41"/>
    </row>
    <row r="28" spans="1:18" ht="21" customHeight="1" x14ac:dyDescent="0.15">
      <c r="A28" s="33" t="str">
        <f t="shared" si="0"/>
        <v>39008005_39008023</v>
      </c>
      <c r="B28" s="113">
        <v>39008005</v>
      </c>
      <c r="C28" s="41">
        <v>39008023</v>
      </c>
      <c r="D28" s="40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アイシクルボイス</v>
      </c>
      <c r="E28" s="40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8" s="122">
        <v>39008027</v>
      </c>
      <c r="G28" s="42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2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8" s="42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8" s="42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2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2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2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2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2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8" s="41"/>
      <c r="Q28" s="41"/>
      <c r="R28" s="41"/>
    </row>
    <row r="29" spans="1:18" ht="21" customHeight="1" x14ac:dyDescent="0.15">
      <c r="A29" s="33" t="str">
        <f t="shared" si="0"/>
        <v>39008005_39008024</v>
      </c>
      <c r="B29" s="113">
        <v>39008005</v>
      </c>
      <c r="C29" s="41">
        <v>39008024</v>
      </c>
      <c r="D29" s="40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リズムブレイク</v>
      </c>
      <c r="E29" s="40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種族Unknown以外のユニットに_x000D_大ダメージの全体攻撃</v>
      </c>
      <c r="F29" s="122">
        <v>39008028</v>
      </c>
      <c r="G29" s="42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2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9" s="42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9" s="42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2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2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9" s="42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2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2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9" s="41"/>
      <c r="Q29" s="41"/>
      <c r="R29" s="41"/>
    </row>
    <row r="30" spans="1:18" ht="21" customHeight="1" x14ac:dyDescent="0.15">
      <c r="A30" s="33" t="str">
        <f t="shared" si="0"/>
        <v>39008005_39008025</v>
      </c>
      <c r="B30" s="113">
        <v>39008005</v>
      </c>
      <c r="C30" s="41">
        <v>39008025</v>
      </c>
      <c r="D30" s="40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ジェントルエッジ</v>
      </c>
      <c r="E30" s="40" t="str">
        <f ca="1">VLOOKUP($C30,OFFSET(enemy_skills!$A$1,0,0,COUNTA(enemy_skills!$A:$A),MATCH(E$1,enemy_skills!$1:$1,0)-MATCH("enemy_skill_id",enemy_skills!$1:$1,0)+1),MATCH(E$1,enemy_skills!$1:$1,0)-MATCH("enemy_skill_id",enemy_skills!$1:$1,0)+1,FALSE)</f>
        <v>5ターン自身の防御力大UP+_x000D_4回連続攻撃</v>
      </c>
      <c r="F30" s="122">
        <v>39008029</v>
      </c>
      <c r="G30" s="42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2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0" s="42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2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30" s="42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2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2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2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2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1"/>
      <c r="Q30" s="41"/>
      <c r="R30" s="41"/>
    </row>
    <row r="31" spans="1:18" ht="21" customHeight="1" x14ac:dyDescent="0.15">
      <c r="A31" s="33" t="str">
        <f t="shared" si="0"/>
        <v>39008005_39008026</v>
      </c>
      <c r="B31" s="113">
        <v>39008005</v>
      </c>
      <c r="C31" s="41">
        <v>39008026</v>
      </c>
      <c r="D31" s="40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ローテーションジャンプ</v>
      </c>
      <c r="E31" s="40" t="str">
        <f ca="1">VLOOKUP($C31,OFFSET(enemy_skills!$A$1,0,0,COUNTA(enemy_skills!$A:$A),MATCH(E$1,enemy_skills!$1:$1,0)-MATCH("enemy_skill_id",enemy_skills!$1:$1,0)+1),MATCH(E$1,enemy_skills!$1:$1,0)-MATCH("enemy_skill_id",enemy_skills!$1:$1,0)+1,FALSE)</f>
        <v>単体ユニットの防御力UPを解除+_x000D_2回連続攻撃</v>
      </c>
      <c r="F31" s="122">
        <v>39008030</v>
      </c>
      <c r="G31" s="42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2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1" s="42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1" s="42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2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2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31" s="42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2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2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1" s="41"/>
      <c r="Q31" s="41"/>
      <c r="R31" s="41"/>
    </row>
    <row r="32" spans="1:18" ht="21" customHeight="1" x14ac:dyDescent="0.15">
      <c r="A32" s="33" t="str">
        <f t="shared" si="0"/>
        <v>39008005_39008028</v>
      </c>
      <c r="B32" s="113">
        <v>39008005</v>
      </c>
      <c r="C32" s="41">
        <v>39008028</v>
      </c>
      <c r="D32" s="40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ラストスパートだよ！</v>
      </c>
      <c r="E32" s="40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状態異常耐性+フィーバーゲージ100%減少</v>
      </c>
      <c r="F32" s="122">
        <v>39008031</v>
      </c>
      <c r="G32" s="42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2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2" s="42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2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2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2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2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2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2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1"/>
      <c r="Q32" s="41"/>
      <c r="R32" s="41"/>
    </row>
    <row r="33" spans="1:18" ht="21" customHeight="1" x14ac:dyDescent="0.15">
      <c r="A33" s="33" t="str">
        <f t="shared" si="0"/>
        <v>39008004_39008029</v>
      </c>
      <c r="B33" s="124">
        <v>39008004</v>
      </c>
      <c r="C33" s="41">
        <v>39008029</v>
      </c>
      <c r="D33" s="40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33" s="40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33" s="122">
        <v>39008032</v>
      </c>
      <c r="G33" s="42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2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999</v>
      </c>
      <c r="I33" s="42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2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2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2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2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2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33" s="42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1"/>
      <c r="Q33" s="41"/>
      <c r="R33" s="41"/>
    </row>
    <row r="34" spans="1:18" ht="21" customHeight="1" x14ac:dyDescent="0.15">
      <c r="A34" s="33" t="str">
        <f t="shared" si="0"/>
        <v>39008004_39008029</v>
      </c>
      <c r="B34" s="124">
        <v>39008004</v>
      </c>
      <c r="C34" s="41">
        <v>39008029</v>
      </c>
      <c r="D34" s="40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34" s="40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34" s="122">
        <v>39008033</v>
      </c>
      <c r="G34" s="42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2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998</v>
      </c>
      <c r="I34" s="42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2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2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2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2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2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34" s="42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1"/>
      <c r="Q34" s="41"/>
      <c r="R34" s="41"/>
    </row>
    <row r="35" spans="1:18" ht="21" customHeight="1" x14ac:dyDescent="0.15">
      <c r="A35" s="33" t="str">
        <f t="shared" si="0"/>
        <v>39008004_39008029</v>
      </c>
      <c r="B35" s="124">
        <v>39008004</v>
      </c>
      <c r="C35" s="41">
        <v>39008029</v>
      </c>
      <c r="D35" s="40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35" s="40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35" s="122">
        <v>39008034</v>
      </c>
      <c r="G35" s="42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2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997</v>
      </c>
      <c r="I35" s="42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2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2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2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2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2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35" s="42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1"/>
      <c r="Q35" s="41"/>
      <c r="R35" s="41"/>
    </row>
    <row r="36" spans="1:18" ht="21" customHeight="1" x14ac:dyDescent="0.15">
      <c r="A36" s="33" t="str">
        <f t="shared" si="0"/>
        <v>39008004_39008029</v>
      </c>
      <c r="B36" s="124">
        <v>39008004</v>
      </c>
      <c r="C36" s="41">
        <v>39008029</v>
      </c>
      <c r="D36" s="40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36" s="40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36" s="122">
        <v>39008035</v>
      </c>
      <c r="G36" s="42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2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996</v>
      </c>
      <c r="I36" s="42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2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2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2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2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2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36" s="42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1"/>
      <c r="Q36" s="41"/>
      <c r="R36" s="41"/>
    </row>
    <row r="37" spans="1:18" ht="21" customHeight="1" x14ac:dyDescent="0.15">
      <c r="A37" s="33" t="str">
        <f t="shared" si="0"/>
        <v>39008004_39008029</v>
      </c>
      <c r="B37" s="124">
        <v>39008004</v>
      </c>
      <c r="C37" s="41">
        <v>39008029</v>
      </c>
      <c r="D37" s="40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37" s="40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37" s="122">
        <v>39008036</v>
      </c>
      <c r="G37" s="42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2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995</v>
      </c>
      <c r="I37" s="42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2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2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2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2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2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37" s="42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1"/>
      <c r="Q37" s="41"/>
      <c r="R37" s="41"/>
    </row>
    <row r="38" spans="1:18" ht="21" customHeight="1" x14ac:dyDescent="0.15">
      <c r="A38" s="33" t="str">
        <f t="shared" si="0"/>
        <v>39008004_39008029</v>
      </c>
      <c r="B38" s="124">
        <v>39008004</v>
      </c>
      <c r="C38" s="41">
        <v>39008029</v>
      </c>
      <c r="D38" s="40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38" s="40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38" s="122">
        <v>39008037</v>
      </c>
      <c r="G38" s="42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2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994</v>
      </c>
      <c r="I38" s="42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2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2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2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2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2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38" s="42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1"/>
      <c r="Q38" s="41"/>
      <c r="R38" s="41"/>
    </row>
    <row r="39" spans="1:18" ht="21" customHeight="1" x14ac:dyDescent="0.15">
      <c r="A39" s="33" t="str">
        <f t="shared" si="0"/>
        <v>39008004_39008029</v>
      </c>
      <c r="B39" s="124">
        <v>39008004</v>
      </c>
      <c r="C39" s="41">
        <v>39008029</v>
      </c>
      <c r="D39" s="40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39" s="40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39" s="122">
        <v>39008038</v>
      </c>
      <c r="G39" s="42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2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993</v>
      </c>
      <c r="I39" s="42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2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2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2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2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2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39" s="42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1"/>
      <c r="Q39" s="41"/>
      <c r="R39" s="41"/>
    </row>
    <row r="40" spans="1:18" ht="21" customHeight="1" x14ac:dyDescent="0.15">
      <c r="A40" s="33" t="str">
        <f t="shared" si="0"/>
        <v>39008004_39008029</v>
      </c>
      <c r="B40" s="124">
        <v>39008004</v>
      </c>
      <c r="C40" s="41">
        <v>39008029</v>
      </c>
      <c r="D40" s="40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0" s="40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40" s="122">
        <v>39008039</v>
      </c>
      <c r="G40" s="42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2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992</v>
      </c>
      <c r="I40" s="42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2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2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2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2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2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40" s="42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1"/>
      <c r="Q40" s="41"/>
      <c r="R40" s="41"/>
    </row>
    <row r="41" spans="1:18" ht="21" customHeight="1" x14ac:dyDescent="0.15">
      <c r="A41" s="33" t="str">
        <f t="shared" si="0"/>
        <v>39008004_39008029</v>
      </c>
      <c r="B41" s="124">
        <v>39008004</v>
      </c>
      <c r="C41" s="41">
        <v>39008029</v>
      </c>
      <c r="D41" s="40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1" s="40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41" s="122">
        <v>39008040</v>
      </c>
      <c r="G41" s="42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2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991</v>
      </c>
      <c r="I41" s="42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2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2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2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2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2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41" s="42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1"/>
      <c r="Q41" s="41"/>
      <c r="R41" s="41"/>
    </row>
    <row r="42" spans="1:18" ht="21" customHeight="1" x14ac:dyDescent="0.15">
      <c r="A42" s="33" t="str">
        <f t="shared" si="0"/>
        <v>39008004_39008029</v>
      </c>
      <c r="B42" s="124">
        <v>39008004</v>
      </c>
      <c r="C42" s="41">
        <v>39008029</v>
      </c>
      <c r="D42" s="40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2" s="40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42" s="122">
        <v>39008041</v>
      </c>
      <c r="G42" s="42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2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990</v>
      </c>
      <c r="I42" s="42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2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2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2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2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2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42" s="42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1"/>
      <c r="Q42" s="41"/>
      <c r="R42" s="41"/>
    </row>
    <row r="43" spans="1:18" ht="21" customHeight="1" x14ac:dyDescent="0.15">
      <c r="A43" s="33" t="str">
        <f t="shared" si="0"/>
        <v>39008004_39008029</v>
      </c>
      <c r="B43" s="124">
        <v>39008004</v>
      </c>
      <c r="C43" s="41">
        <v>39008029</v>
      </c>
      <c r="D43" s="40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3" s="40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43" s="122">
        <v>39008042</v>
      </c>
      <c r="G43" s="42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2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989</v>
      </c>
      <c r="I43" s="42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2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2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2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2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2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43" s="42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1"/>
      <c r="Q43" s="41"/>
      <c r="R43" s="41"/>
    </row>
    <row r="44" spans="1:18" ht="21" customHeight="1" x14ac:dyDescent="0.15">
      <c r="A44" s="33" t="str">
        <f t="shared" si="0"/>
        <v>39008004_39008029</v>
      </c>
      <c r="B44" s="124">
        <v>39008004</v>
      </c>
      <c r="C44" s="41">
        <v>39008029</v>
      </c>
      <c r="D44" s="40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4" s="40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44" s="122">
        <v>39008043</v>
      </c>
      <c r="G44" s="42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2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988</v>
      </c>
      <c r="I44" s="42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2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2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2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2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2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44" s="42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1"/>
      <c r="Q44" s="41"/>
      <c r="R44" s="41"/>
    </row>
    <row r="45" spans="1:18" ht="21" customHeight="1" x14ac:dyDescent="0.15">
      <c r="A45" s="33" t="str">
        <f t="shared" si="0"/>
        <v>39008004_39008029</v>
      </c>
      <c r="B45" s="124">
        <v>39008004</v>
      </c>
      <c r="C45" s="41">
        <v>39008029</v>
      </c>
      <c r="D45" s="40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5" s="40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45" s="122">
        <v>39008044</v>
      </c>
      <c r="G45" s="42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2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987</v>
      </c>
      <c r="I45" s="42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2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2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2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2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2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45" s="42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1"/>
      <c r="Q45" s="41"/>
      <c r="R45" s="41"/>
    </row>
    <row r="46" spans="1:18" ht="21" customHeight="1" x14ac:dyDescent="0.15">
      <c r="A46" s="33" t="str">
        <f t="shared" si="0"/>
        <v>39008004_39008029</v>
      </c>
      <c r="B46" s="124">
        <v>39008004</v>
      </c>
      <c r="C46" s="41">
        <v>39008029</v>
      </c>
      <c r="D46" s="40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6" s="40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46" s="122">
        <v>39008045</v>
      </c>
      <c r="G46" s="42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2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986</v>
      </c>
      <c r="I46" s="42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2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2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2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2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2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46" s="42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1"/>
      <c r="Q46" s="41"/>
      <c r="R46" s="41"/>
    </row>
    <row r="47" spans="1:18" ht="21" customHeight="1" x14ac:dyDescent="0.15">
      <c r="A47" s="33" t="str">
        <f t="shared" si="0"/>
        <v>39008004_39008029</v>
      </c>
      <c r="B47" s="124">
        <v>39008004</v>
      </c>
      <c r="C47" s="41">
        <v>39008029</v>
      </c>
      <c r="D47" s="40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7" s="40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47" s="122">
        <v>39008046</v>
      </c>
      <c r="G47" s="42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2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985</v>
      </c>
      <c r="I47" s="42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2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2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2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2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2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47" s="42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1"/>
      <c r="Q47" s="41"/>
      <c r="R47" s="41"/>
    </row>
    <row r="48" spans="1:18" ht="21" customHeight="1" x14ac:dyDescent="0.15">
      <c r="A48" s="33" t="str">
        <f t="shared" si="0"/>
        <v>39008004_39008029</v>
      </c>
      <c r="B48" s="124">
        <v>39008004</v>
      </c>
      <c r="C48" s="41">
        <v>39008029</v>
      </c>
      <c r="D48" s="40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8" s="40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48" s="122">
        <v>39008047</v>
      </c>
      <c r="G48" s="42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2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984</v>
      </c>
      <c r="I48" s="42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2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2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2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2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2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48" s="42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1"/>
      <c r="Q48" s="41"/>
      <c r="R48" s="41"/>
    </row>
    <row r="49" spans="1:18" ht="21" customHeight="1" x14ac:dyDescent="0.15">
      <c r="A49" s="33" t="str">
        <f t="shared" si="0"/>
        <v>39008004_39008029</v>
      </c>
      <c r="B49" s="124">
        <v>39008004</v>
      </c>
      <c r="C49" s="41">
        <v>39008029</v>
      </c>
      <c r="D49" s="40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9" s="40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49" s="122">
        <v>39008048</v>
      </c>
      <c r="G49" s="42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2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983</v>
      </c>
      <c r="I49" s="42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2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2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2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2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2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49" s="42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1"/>
      <c r="Q49" s="41"/>
      <c r="R49" s="41"/>
    </row>
    <row r="50" spans="1:18" ht="21" customHeight="1" x14ac:dyDescent="0.15">
      <c r="A50" s="33" t="str">
        <f t="shared" si="0"/>
        <v>39008004_39008029</v>
      </c>
      <c r="B50" s="124">
        <v>39008004</v>
      </c>
      <c r="C50" s="41">
        <v>39008029</v>
      </c>
      <c r="D50" s="40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50" s="40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50" s="122">
        <v>39008049</v>
      </c>
      <c r="G50" s="42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2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982</v>
      </c>
      <c r="I50" s="42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2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2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2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2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2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50" s="42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1"/>
      <c r="Q50" s="41"/>
      <c r="R50" s="41"/>
    </row>
    <row r="51" spans="1:18" ht="21" customHeight="1" x14ac:dyDescent="0.15">
      <c r="A51" s="33" t="str">
        <f t="shared" si="0"/>
        <v>39008004_39008029</v>
      </c>
      <c r="B51" s="124">
        <v>39008004</v>
      </c>
      <c r="C51" s="41">
        <v>39008029</v>
      </c>
      <c r="D51" s="40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51" s="40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51" s="122">
        <v>39008050</v>
      </c>
      <c r="G51" s="42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2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981</v>
      </c>
      <c r="I51" s="42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2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2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2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2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2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51" s="42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1"/>
      <c r="Q51" s="41"/>
      <c r="R51" s="41"/>
    </row>
    <row r="52" spans="1:18" ht="21" customHeight="1" x14ac:dyDescent="0.15">
      <c r="A52" s="33" t="str">
        <f t="shared" si="0"/>
        <v>39008004_39008029</v>
      </c>
      <c r="B52" s="124">
        <v>39008004</v>
      </c>
      <c r="C52" s="41">
        <v>39008029</v>
      </c>
      <c r="D52" s="40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52" s="40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52" s="122">
        <v>39008051</v>
      </c>
      <c r="G52" s="42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2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980</v>
      </c>
      <c r="I52" s="42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2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2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2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2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2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52" s="42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1"/>
      <c r="Q52" s="41"/>
      <c r="R52" s="41"/>
    </row>
    <row r="53" spans="1:18" ht="21" customHeight="1" x14ac:dyDescent="0.15">
      <c r="A53" s="33" t="str">
        <f t="shared" si="0"/>
        <v>39008004_39008029</v>
      </c>
      <c r="B53" s="124">
        <v>39008004</v>
      </c>
      <c r="C53" s="41">
        <v>39008029</v>
      </c>
      <c r="D53" s="40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53" s="40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53" s="122">
        <v>39008052</v>
      </c>
      <c r="G53" s="42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2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979</v>
      </c>
      <c r="I53" s="42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2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2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2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2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2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53" s="42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1"/>
      <c r="Q53" s="41"/>
      <c r="R53" s="41"/>
    </row>
    <row r="54" spans="1:18" ht="21" customHeight="1" x14ac:dyDescent="0.15">
      <c r="A54" s="33" t="str">
        <f t="shared" si="0"/>
        <v>39008004_39008029</v>
      </c>
      <c r="B54" s="124">
        <v>39008004</v>
      </c>
      <c r="C54" s="41">
        <v>39008029</v>
      </c>
      <c r="D54" s="40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54" s="40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54" s="122">
        <v>39008053</v>
      </c>
      <c r="G54" s="42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2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978</v>
      </c>
      <c r="I54" s="42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2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2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2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2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2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54" s="42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1"/>
      <c r="Q54" s="41"/>
      <c r="R54" s="41"/>
    </row>
    <row r="55" spans="1:18" ht="21" customHeight="1" x14ac:dyDescent="0.15">
      <c r="A55" s="33" t="str">
        <f>B55&amp;"_"&amp;C55</f>
        <v>39008004_39008029</v>
      </c>
      <c r="B55" s="124">
        <v>39008004</v>
      </c>
      <c r="C55" s="41">
        <v>39008029</v>
      </c>
      <c r="D55" s="40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55" s="40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あたし達の歌を届けよう！</v>
      </c>
      <c r="F55" s="122">
        <v>39008054</v>
      </c>
      <c r="G55" s="42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2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977</v>
      </c>
      <c r="I55" s="42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2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2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2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2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2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55" s="42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1"/>
      <c r="Q55" s="41"/>
      <c r="R55" s="41"/>
    </row>
    <row r="56" spans="1:18" ht="21" customHeight="1" x14ac:dyDescent="0.15">
      <c r="A56" s="33" t="str">
        <f t="shared" si="0"/>
        <v>39008005_39008030</v>
      </c>
      <c r="B56" s="125">
        <v>39008005</v>
      </c>
      <c r="C56" s="41">
        <v>39008030</v>
      </c>
      <c r="D56" s="40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56" s="40" t="str">
        <f ca="1">VLOOKUP($C56,OFFSET(enemy_skills!$A$1,0,0,COUNTA(enemy_skills!$A:$A),MATCH(E$1,enemy_skills!$1:$1,0)-MATCH("enemy_skill_id",enemy_skills!$1:$1,0)+1),MATCH(E$1,enemy_skills!$1:$1,0)-MATCH("enemy_skill_id",enemy_skills!$1:$1,0)+1,FALSE)</f>
        <v>状態異常耐性+ランダムでハートパネルに5個変換</v>
      </c>
      <c r="F56" s="122">
        <v>39008055</v>
      </c>
      <c r="G56" s="42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2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976</v>
      </c>
      <c r="I56" s="42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2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2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2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2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2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56" s="42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1"/>
      <c r="Q56" s="41"/>
      <c r="R56" s="41"/>
    </row>
    <row r="57" spans="1:18" ht="21" customHeight="1" x14ac:dyDescent="0.15">
      <c r="A57" s="33" t="str">
        <f t="shared" si="0"/>
        <v>39008005_39008030</v>
      </c>
      <c r="B57" s="125">
        <v>39008005</v>
      </c>
      <c r="C57" s="41">
        <v>39008030</v>
      </c>
      <c r="D57" s="40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57" s="40" t="str">
        <f ca="1">VLOOKUP($C57,OFFSET(enemy_skills!$A$1,0,0,COUNTA(enemy_skills!$A:$A),MATCH(E$1,enemy_skills!$1:$1,0)-MATCH("enemy_skill_id",enemy_skills!$1:$1,0)+1),MATCH(E$1,enemy_skills!$1:$1,0)-MATCH("enemy_skill_id",enemy_skills!$1:$1,0)+1,FALSE)</f>
        <v>状態異常耐性+ランダムでハートパネルに5個変換</v>
      </c>
      <c r="F57" s="122">
        <v>39008056</v>
      </c>
      <c r="G57" s="42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2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975</v>
      </c>
      <c r="I57" s="42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2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2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2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2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2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57" s="42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1"/>
      <c r="Q57" s="41"/>
      <c r="R57" s="41"/>
    </row>
    <row r="58" spans="1:18" ht="21" customHeight="1" x14ac:dyDescent="0.15">
      <c r="A58" s="33" t="str">
        <f t="shared" si="0"/>
        <v>39008005_39008030</v>
      </c>
      <c r="B58" s="125">
        <v>39008005</v>
      </c>
      <c r="C58" s="41">
        <v>39008030</v>
      </c>
      <c r="D58" s="40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58" s="40" t="str">
        <f ca="1">VLOOKUP($C58,OFFSET(enemy_skills!$A$1,0,0,COUNTA(enemy_skills!$A:$A),MATCH(E$1,enemy_skills!$1:$1,0)-MATCH("enemy_skill_id",enemy_skills!$1:$1,0)+1),MATCH(E$1,enemy_skills!$1:$1,0)-MATCH("enemy_skill_id",enemy_skills!$1:$1,0)+1,FALSE)</f>
        <v>状態異常耐性+ランダムでハートパネルに5個変換</v>
      </c>
      <c r="F58" s="122">
        <v>39008057</v>
      </c>
      <c r="G58" s="42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42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974</v>
      </c>
      <c r="I58" s="42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2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2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2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2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2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58" s="42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1"/>
      <c r="Q58" s="41"/>
      <c r="R58" s="41"/>
    </row>
    <row r="59" spans="1:18" ht="21" customHeight="1" x14ac:dyDescent="0.15">
      <c r="A59" s="33" t="str">
        <f t="shared" si="0"/>
        <v>39008005_39008030</v>
      </c>
      <c r="B59" s="125">
        <v>39008005</v>
      </c>
      <c r="C59" s="41">
        <v>39008030</v>
      </c>
      <c r="D59" s="40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59" s="40" t="str">
        <f ca="1">VLOOKUP($C59,OFFSET(enemy_skills!$A$1,0,0,COUNTA(enemy_skills!$A:$A),MATCH(E$1,enemy_skills!$1:$1,0)-MATCH("enemy_skill_id",enemy_skills!$1:$1,0)+1),MATCH(E$1,enemy_skills!$1:$1,0)-MATCH("enemy_skill_id",enemy_skills!$1:$1,0)+1,FALSE)</f>
        <v>状態異常耐性+ランダムでハートパネルに5個変換</v>
      </c>
      <c r="F59" s="122">
        <v>39008058</v>
      </c>
      <c r="G59" s="42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42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973</v>
      </c>
      <c r="I59" s="42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2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2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2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2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2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59" s="42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1"/>
      <c r="Q59" s="41"/>
      <c r="R59" s="41"/>
    </row>
    <row r="60" spans="1:18" ht="21" customHeight="1" x14ac:dyDescent="0.15">
      <c r="A60" s="33" t="str">
        <f t="shared" si="0"/>
        <v>39008005_39008030</v>
      </c>
      <c r="B60" s="125">
        <v>39008005</v>
      </c>
      <c r="C60" s="41">
        <v>39008030</v>
      </c>
      <c r="D60" s="40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60" s="40" t="str">
        <f ca="1">VLOOKUP($C60,OFFSET(enemy_skills!$A$1,0,0,COUNTA(enemy_skills!$A:$A),MATCH(E$1,enemy_skills!$1:$1,0)-MATCH("enemy_skill_id",enemy_skills!$1:$1,0)+1),MATCH(E$1,enemy_skills!$1:$1,0)-MATCH("enemy_skill_id",enemy_skills!$1:$1,0)+1,FALSE)</f>
        <v>状態異常耐性+ランダムでハートパネルに5個変換</v>
      </c>
      <c r="F60" s="122">
        <v>39008059</v>
      </c>
      <c r="G60" s="42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2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972</v>
      </c>
      <c r="I60" s="42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2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2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2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2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2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60" s="42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1"/>
      <c r="Q60" s="41"/>
      <c r="R60" s="41"/>
    </row>
    <row r="61" spans="1:18" ht="21" customHeight="1" x14ac:dyDescent="0.15">
      <c r="A61" s="33" t="str">
        <f t="shared" si="0"/>
        <v>39008005_39008030</v>
      </c>
      <c r="B61" s="125">
        <v>39008005</v>
      </c>
      <c r="C61" s="41">
        <v>39008030</v>
      </c>
      <c r="D61" s="40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61" s="40" t="str">
        <f ca="1">VLOOKUP($C61,OFFSET(enemy_skills!$A$1,0,0,COUNTA(enemy_skills!$A:$A),MATCH(E$1,enemy_skills!$1:$1,0)-MATCH("enemy_skill_id",enemy_skills!$1:$1,0)+1),MATCH(E$1,enemy_skills!$1:$1,0)-MATCH("enemy_skill_id",enemy_skills!$1:$1,0)+1,FALSE)</f>
        <v>状態異常耐性+ランダムでハートパネルに5個変換</v>
      </c>
      <c r="F61" s="122">
        <v>39008060</v>
      </c>
      <c r="G61" s="42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2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971</v>
      </c>
      <c r="I61" s="42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2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2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2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2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2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61" s="42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1"/>
      <c r="Q61" s="41"/>
      <c r="R61" s="41"/>
    </row>
    <row r="62" spans="1:18" ht="21" customHeight="1" x14ac:dyDescent="0.15">
      <c r="A62" s="33" t="str">
        <f t="shared" si="0"/>
        <v>39008005_39008030</v>
      </c>
      <c r="B62" s="125">
        <v>39008005</v>
      </c>
      <c r="C62" s="41">
        <v>39008030</v>
      </c>
      <c r="D62" s="40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62" s="40" t="str">
        <f ca="1">VLOOKUP($C62,OFFSET(enemy_skills!$A$1,0,0,COUNTA(enemy_skills!$A:$A),MATCH(E$1,enemy_skills!$1:$1,0)-MATCH("enemy_skill_id",enemy_skills!$1:$1,0)+1),MATCH(E$1,enemy_skills!$1:$1,0)-MATCH("enemy_skill_id",enemy_skills!$1:$1,0)+1,FALSE)</f>
        <v>状態異常耐性+ランダムでハートパネルに5個変換</v>
      </c>
      <c r="F62" s="122">
        <v>39008061</v>
      </c>
      <c r="G62" s="42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2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970</v>
      </c>
      <c r="I62" s="42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2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2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2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2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2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62" s="42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1"/>
      <c r="Q62" s="41"/>
      <c r="R62" s="41"/>
    </row>
    <row r="63" spans="1:18" ht="21" customHeight="1" x14ac:dyDescent="0.15">
      <c r="A63" s="33" t="str">
        <f t="shared" si="0"/>
        <v>39008005_39008030</v>
      </c>
      <c r="B63" s="125">
        <v>39008005</v>
      </c>
      <c r="C63" s="41">
        <v>39008030</v>
      </c>
      <c r="D63" s="40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63" s="40" t="str">
        <f ca="1">VLOOKUP($C63,OFFSET(enemy_skills!$A$1,0,0,COUNTA(enemy_skills!$A:$A),MATCH(E$1,enemy_skills!$1:$1,0)-MATCH("enemy_skill_id",enemy_skills!$1:$1,0)+1),MATCH(E$1,enemy_skills!$1:$1,0)-MATCH("enemy_skill_id",enemy_skills!$1:$1,0)+1,FALSE)</f>
        <v>状態異常耐性+ランダムでハートパネルに5個変換</v>
      </c>
      <c r="F63" s="122">
        <v>39008062</v>
      </c>
      <c r="G63" s="42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2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969</v>
      </c>
      <c r="I63" s="42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2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2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2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2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2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63" s="42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1"/>
      <c r="Q63" s="41"/>
      <c r="R63" s="41"/>
    </row>
    <row r="64" spans="1:18" ht="21" customHeight="1" x14ac:dyDescent="0.15">
      <c r="A64" s="33" t="str">
        <f t="shared" si="0"/>
        <v>39008005_39008030</v>
      </c>
      <c r="B64" s="125">
        <v>39008005</v>
      </c>
      <c r="C64" s="41">
        <v>39008030</v>
      </c>
      <c r="D64" s="40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64" s="40" t="str">
        <f ca="1">VLOOKUP($C64,OFFSET(enemy_skills!$A$1,0,0,COUNTA(enemy_skills!$A:$A),MATCH(E$1,enemy_skills!$1:$1,0)-MATCH("enemy_skill_id",enemy_skills!$1:$1,0)+1),MATCH(E$1,enemy_skills!$1:$1,0)-MATCH("enemy_skill_id",enemy_skills!$1:$1,0)+1,FALSE)</f>
        <v>状態異常耐性+ランダムでハートパネルに5個変換</v>
      </c>
      <c r="F64" s="122">
        <v>39008063</v>
      </c>
      <c r="G64" s="42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2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968</v>
      </c>
      <c r="I64" s="42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2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2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2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2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2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64" s="42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1"/>
      <c r="Q64" s="41"/>
      <c r="R64" s="41"/>
    </row>
    <row r="65" spans="1:18" ht="21" customHeight="1" x14ac:dyDescent="0.15">
      <c r="A65" s="33" t="str">
        <f t="shared" ref="A65:A78" si="1">B65&amp;"_"&amp;C65</f>
        <v>39008005_39008030</v>
      </c>
      <c r="B65" s="125">
        <v>39008005</v>
      </c>
      <c r="C65" s="41">
        <v>39008030</v>
      </c>
      <c r="D65" s="40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65" s="40" t="str">
        <f ca="1">VLOOKUP($C65,OFFSET(enemy_skills!$A$1,0,0,COUNTA(enemy_skills!$A:$A),MATCH(E$1,enemy_skills!$1:$1,0)-MATCH("enemy_skill_id",enemy_skills!$1:$1,0)+1),MATCH(E$1,enemy_skills!$1:$1,0)-MATCH("enemy_skill_id",enemy_skills!$1:$1,0)+1,FALSE)</f>
        <v>状態異常耐性+ランダムでハートパネルに5個変換</v>
      </c>
      <c r="F65" s="122">
        <v>39008064</v>
      </c>
      <c r="G65" s="42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2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967</v>
      </c>
      <c r="I65" s="42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2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2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2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2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2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65" s="42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1"/>
      <c r="Q65" s="41"/>
      <c r="R65" s="41"/>
    </row>
    <row r="66" spans="1:18" ht="21" customHeight="1" x14ac:dyDescent="0.15">
      <c r="A66" s="33" t="str">
        <f t="shared" si="1"/>
        <v>39008005_39008030</v>
      </c>
      <c r="B66" s="125">
        <v>39008005</v>
      </c>
      <c r="C66" s="41">
        <v>39008030</v>
      </c>
      <c r="D66" s="40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66" s="40" t="str">
        <f ca="1">VLOOKUP($C66,OFFSET(enemy_skills!$A$1,0,0,COUNTA(enemy_skills!$A:$A),MATCH(E$1,enemy_skills!$1:$1,0)-MATCH("enemy_skill_id",enemy_skills!$1:$1,0)+1),MATCH(E$1,enemy_skills!$1:$1,0)-MATCH("enemy_skill_id",enemy_skills!$1:$1,0)+1,FALSE)</f>
        <v>状態異常耐性+ランダムでハートパネルに5個変換</v>
      </c>
      <c r="F66" s="122">
        <v>39008065</v>
      </c>
      <c r="G66" s="42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2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966</v>
      </c>
      <c r="I66" s="42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2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2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2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2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2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66" s="42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1"/>
      <c r="Q66" s="41"/>
      <c r="R66" s="41"/>
    </row>
    <row r="67" spans="1:18" ht="21" customHeight="1" x14ac:dyDescent="0.15">
      <c r="A67" s="33" t="str">
        <f t="shared" si="1"/>
        <v>39008005_39008030</v>
      </c>
      <c r="B67" s="125">
        <v>39008005</v>
      </c>
      <c r="C67" s="41">
        <v>39008030</v>
      </c>
      <c r="D67" s="40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67" s="40" t="str">
        <f ca="1">VLOOKUP($C67,OFFSET(enemy_skills!$A$1,0,0,COUNTA(enemy_skills!$A:$A),MATCH(E$1,enemy_skills!$1:$1,0)-MATCH("enemy_skill_id",enemy_skills!$1:$1,0)+1),MATCH(E$1,enemy_skills!$1:$1,0)-MATCH("enemy_skill_id",enemy_skills!$1:$1,0)+1,FALSE)</f>
        <v>状態異常耐性+ランダムでハートパネルに5個変換</v>
      </c>
      <c r="F67" s="122">
        <v>39008066</v>
      </c>
      <c r="G67" s="42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2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965</v>
      </c>
      <c r="I67" s="42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2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2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2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2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2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67" s="42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1"/>
      <c r="Q67" s="41"/>
      <c r="R67" s="41"/>
    </row>
    <row r="68" spans="1:18" ht="21" customHeight="1" x14ac:dyDescent="0.15">
      <c r="A68" s="33" t="str">
        <f t="shared" si="1"/>
        <v>39008005_39008030</v>
      </c>
      <c r="B68" s="125">
        <v>39008005</v>
      </c>
      <c r="C68" s="41">
        <v>39008030</v>
      </c>
      <c r="D68" s="40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68" s="40" t="str">
        <f ca="1">VLOOKUP($C68,OFFSET(enemy_skills!$A$1,0,0,COUNTA(enemy_skills!$A:$A),MATCH(E$1,enemy_skills!$1:$1,0)-MATCH("enemy_skill_id",enemy_skills!$1:$1,0)+1),MATCH(E$1,enemy_skills!$1:$1,0)-MATCH("enemy_skill_id",enemy_skills!$1:$1,0)+1,FALSE)</f>
        <v>状態異常耐性+ランダムでハートパネルに5個変換</v>
      </c>
      <c r="F68" s="122">
        <v>39008067</v>
      </c>
      <c r="G68" s="42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42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964</v>
      </c>
      <c r="I68" s="42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2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2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2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2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2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68" s="42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1"/>
      <c r="Q68" s="41"/>
      <c r="R68" s="41"/>
    </row>
    <row r="69" spans="1:18" ht="21" customHeight="1" x14ac:dyDescent="0.15">
      <c r="A69" s="33" t="str">
        <f t="shared" si="1"/>
        <v>39008005_39008030</v>
      </c>
      <c r="B69" s="125">
        <v>39008005</v>
      </c>
      <c r="C69" s="41">
        <v>39008030</v>
      </c>
      <c r="D69" s="40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69" s="40" t="str">
        <f ca="1">VLOOKUP($C69,OFFSET(enemy_skills!$A$1,0,0,COUNTA(enemy_skills!$A:$A),MATCH(E$1,enemy_skills!$1:$1,0)-MATCH("enemy_skill_id",enemy_skills!$1:$1,0)+1),MATCH(E$1,enemy_skills!$1:$1,0)-MATCH("enemy_skill_id",enemy_skills!$1:$1,0)+1,FALSE)</f>
        <v>状態異常耐性+ランダムでハートパネルに5個変換</v>
      </c>
      <c r="F69" s="122">
        <v>39008068</v>
      </c>
      <c r="G69" s="42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2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963</v>
      </c>
      <c r="I69" s="42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2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2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2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2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2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69" s="42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1"/>
      <c r="Q69" s="41"/>
      <c r="R69" s="41"/>
    </row>
    <row r="70" spans="1:18" ht="21" customHeight="1" x14ac:dyDescent="0.15">
      <c r="A70" s="33" t="str">
        <f t="shared" si="1"/>
        <v>39008005_39008030</v>
      </c>
      <c r="B70" s="125">
        <v>39008005</v>
      </c>
      <c r="C70" s="41">
        <v>39008030</v>
      </c>
      <c r="D70" s="40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70" s="40" t="str">
        <f ca="1">VLOOKUP($C70,OFFSET(enemy_skills!$A$1,0,0,COUNTA(enemy_skills!$A:$A),MATCH(E$1,enemy_skills!$1:$1,0)-MATCH("enemy_skill_id",enemy_skills!$1:$1,0)+1),MATCH(E$1,enemy_skills!$1:$1,0)-MATCH("enemy_skill_id",enemy_skills!$1:$1,0)+1,FALSE)</f>
        <v>状態異常耐性+ランダムでハートパネルに5個変換</v>
      </c>
      <c r="F70" s="122">
        <v>39008069</v>
      </c>
      <c r="G70" s="42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2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962</v>
      </c>
      <c r="I70" s="42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2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2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2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2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2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70" s="42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1"/>
      <c r="Q70" s="41"/>
      <c r="R70" s="41"/>
    </row>
    <row r="71" spans="1:18" ht="21" customHeight="1" x14ac:dyDescent="0.15">
      <c r="A71" s="33" t="str">
        <f t="shared" si="1"/>
        <v>39008005_39008030</v>
      </c>
      <c r="B71" s="125">
        <v>39008005</v>
      </c>
      <c r="C71" s="41">
        <v>39008030</v>
      </c>
      <c r="D71" s="40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71" s="40" t="str">
        <f ca="1">VLOOKUP($C71,OFFSET(enemy_skills!$A$1,0,0,COUNTA(enemy_skills!$A:$A),MATCH(E$1,enemy_skills!$1:$1,0)-MATCH("enemy_skill_id",enemy_skills!$1:$1,0)+1),MATCH(E$1,enemy_skills!$1:$1,0)-MATCH("enemy_skill_id",enemy_skills!$1:$1,0)+1,FALSE)</f>
        <v>状態異常耐性+ランダムでハートパネルに5個変換</v>
      </c>
      <c r="F71" s="122">
        <v>39008070</v>
      </c>
      <c r="G71" s="42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2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961</v>
      </c>
      <c r="I71" s="42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2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2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2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2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2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71" s="42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1"/>
      <c r="Q71" s="41"/>
      <c r="R71" s="41"/>
    </row>
    <row r="72" spans="1:18" ht="21" customHeight="1" x14ac:dyDescent="0.15">
      <c r="A72" s="33" t="str">
        <f t="shared" si="1"/>
        <v>39008005_39008030</v>
      </c>
      <c r="B72" s="125">
        <v>39008005</v>
      </c>
      <c r="C72" s="41">
        <v>39008030</v>
      </c>
      <c r="D72" s="40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72" s="40" t="str">
        <f ca="1">VLOOKUP($C72,OFFSET(enemy_skills!$A$1,0,0,COUNTA(enemy_skills!$A:$A),MATCH(E$1,enemy_skills!$1:$1,0)-MATCH("enemy_skill_id",enemy_skills!$1:$1,0)+1),MATCH(E$1,enemy_skills!$1:$1,0)-MATCH("enemy_skill_id",enemy_skills!$1:$1,0)+1,FALSE)</f>
        <v>状態異常耐性+ランダムでハートパネルに5個変換</v>
      </c>
      <c r="F72" s="122">
        <v>39008071</v>
      </c>
      <c r="G72" s="42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42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960</v>
      </c>
      <c r="I72" s="42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2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2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2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2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2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72" s="42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1"/>
      <c r="Q72" s="41"/>
      <c r="R72" s="41"/>
    </row>
    <row r="73" spans="1:18" ht="21" customHeight="1" x14ac:dyDescent="0.15">
      <c r="A73" s="33" t="str">
        <f t="shared" si="1"/>
        <v>39008005_39008030</v>
      </c>
      <c r="B73" s="125">
        <v>39008005</v>
      </c>
      <c r="C73" s="41">
        <v>39008030</v>
      </c>
      <c r="D73" s="40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73" s="40" t="str">
        <f ca="1">VLOOKUP($C73,OFFSET(enemy_skills!$A$1,0,0,COUNTA(enemy_skills!$A:$A),MATCH(E$1,enemy_skills!$1:$1,0)-MATCH("enemy_skill_id",enemy_skills!$1:$1,0)+1),MATCH(E$1,enemy_skills!$1:$1,0)-MATCH("enemy_skill_id",enemy_skills!$1:$1,0)+1,FALSE)</f>
        <v>状態異常耐性+ランダムでハートパネルに5個変換</v>
      </c>
      <c r="F73" s="122">
        <v>39008072</v>
      </c>
      <c r="G73" s="42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2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959</v>
      </c>
      <c r="I73" s="42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2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2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2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2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2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73" s="42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1"/>
      <c r="Q73" s="41"/>
      <c r="R73" s="41"/>
    </row>
    <row r="74" spans="1:18" ht="21" customHeight="1" x14ac:dyDescent="0.15">
      <c r="A74" s="33" t="str">
        <f t="shared" si="1"/>
        <v>39008005_39008030</v>
      </c>
      <c r="B74" s="125">
        <v>39008005</v>
      </c>
      <c r="C74" s="41">
        <v>39008030</v>
      </c>
      <c r="D74" s="40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74" s="40" t="str">
        <f ca="1">VLOOKUP($C74,OFFSET(enemy_skills!$A$1,0,0,COUNTA(enemy_skills!$A:$A),MATCH(E$1,enemy_skills!$1:$1,0)-MATCH("enemy_skill_id",enemy_skills!$1:$1,0)+1),MATCH(E$1,enemy_skills!$1:$1,0)-MATCH("enemy_skill_id",enemy_skills!$1:$1,0)+1,FALSE)</f>
        <v>状態異常耐性+ランダムでハートパネルに5個変換</v>
      </c>
      <c r="F74" s="122">
        <v>39008073</v>
      </c>
      <c r="G74" s="42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4" s="42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958</v>
      </c>
      <c r="I74" s="42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2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2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2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2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2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74" s="42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1"/>
      <c r="Q74" s="41"/>
      <c r="R74" s="41"/>
    </row>
    <row r="75" spans="1:18" ht="21" customHeight="1" x14ac:dyDescent="0.15">
      <c r="A75" s="33" t="str">
        <f t="shared" si="1"/>
        <v>39008005_39008030</v>
      </c>
      <c r="B75" s="125">
        <v>39008005</v>
      </c>
      <c r="C75" s="41">
        <v>39008030</v>
      </c>
      <c r="D75" s="40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75" s="40" t="str">
        <f ca="1">VLOOKUP($C75,OFFSET(enemy_skills!$A$1,0,0,COUNTA(enemy_skills!$A:$A),MATCH(E$1,enemy_skills!$1:$1,0)-MATCH("enemy_skill_id",enemy_skills!$1:$1,0)+1),MATCH(E$1,enemy_skills!$1:$1,0)-MATCH("enemy_skill_id",enemy_skills!$1:$1,0)+1,FALSE)</f>
        <v>状態異常耐性+ランダムでハートパネルに5個変換</v>
      </c>
      <c r="F75" s="122">
        <v>39008074</v>
      </c>
      <c r="G75" s="42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5" s="42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957</v>
      </c>
      <c r="I75" s="42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2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2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2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2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2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75" s="42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1"/>
      <c r="Q75" s="41"/>
      <c r="R75" s="41"/>
    </row>
    <row r="76" spans="1:18" ht="21" customHeight="1" x14ac:dyDescent="0.15">
      <c r="A76" s="33" t="str">
        <f t="shared" si="1"/>
        <v>39008005_39008030</v>
      </c>
      <c r="B76" s="125">
        <v>39008005</v>
      </c>
      <c r="C76" s="41">
        <v>39008030</v>
      </c>
      <c r="D76" s="40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76" s="40" t="str">
        <f ca="1">VLOOKUP($C76,OFFSET(enemy_skills!$A$1,0,0,COUNTA(enemy_skills!$A:$A),MATCH(E$1,enemy_skills!$1:$1,0)-MATCH("enemy_skill_id",enemy_skills!$1:$1,0)+1),MATCH(E$1,enemy_skills!$1:$1,0)-MATCH("enemy_skill_id",enemy_skills!$1:$1,0)+1,FALSE)</f>
        <v>状態異常耐性+ランダムでハートパネルに5個変換</v>
      </c>
      <c r="F76" s="122">
        <v>39008075</v>
      </c>
      <c r="G76" s="42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42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956</v>
      </c>
      <c r="I76" s="42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2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2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2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2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2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76" s="42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1"/>
      <c r="Q76" s="41"/>
      <c r="R76" s="41"/>
    </row>
    <row r="77" spans="1:18" ht="21" customHeight="1" x14ac:dyDescent="0.15">
      <c r="A77" s="33" t="str">
        <f t="shared" si="1"/>
        <v>39008005_39008030</v>
      </c>
      <c r="B77" s="125">
        <v>39008005</v>
      </c>
      <c r="C77" s="41">
        <v>39008030</v>
      </c>
      <c r="D77" s="40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77" s="40" t="str">
        <f ca="1">VLOOKUP($C77,OFFSET(enemy_skills!$A$1,0,0,COUNTA(enemy_skills!$A:$A),MATCH(E$1,enemy_skills!$1:$1,0)-MATCH("enemy_skill_id",enemy_skills!$1:$1,0)+1),MATCH(E$1,enemy_skills!$1:$1,0)-MATCH("enemy_skill_id",enemy_skills!$1:$1,0)+1,FALSE)</f>
        <v>状態異常耐性+ランダムでハートパネルに5個変換</v>
      </c>
      <c r="F77" s="122">
        <v>39008076</v>
      </c>
      <c r="G77" s="42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7" s="42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955</v>
      </c>
      <c r="I77" s="42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2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2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2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2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2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77" s="42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1"/>
      <c r="Q77" s="41"/>
      <c r="R77" s="41"/>
    </row>
    <row r="78" spans="1:18" ht="21" customHeight="1" x14ac:dyDescent="0.15">
      <c r="A78" s="33" t="str">
        <f t="shared" si="1"/>
        <v>39008005_39008030</v>
      </c>
      <c r="B78" s="125">
        <v>39008005</v>
      </c>
      <c r="C78" s="41">
        <v>39008030</v>
      </c>
      <c r="D78" s="40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もっともっと響かせよう！_x000D_　　あたし達の歌で！</v>
      </c>
      <c r="E78" s="40" t="str">
        <f ca="1">VLOOKUP($C78,OFFSET(enemy_skills!$A$1,0,0,COUNTA(enemy_skills!$A:$A),MATCH(E$1,enemy_skills!$1:$1,0)-MATCH("enemy_skill_id",enemy_skills!$1:$1,0)+1),MATCH(E$1,enemy_skills!$1:$1,0)-MATCH("enemy_skill_id",enemy_skills!$1:$1,0)+1,FALSE)</f>
        <v>状態異常耐性+ランダムでハートパネルに5個変換</v>
      </c>
      <c r="F78" s="122">
        <v>39008077</v>
      </c>
      <c r="G78" s="42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8" s="42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954</v>
      </c>
      <c r="I78" s="42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2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2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2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2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2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78" s="42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1"/>
      <c r="Q78" s="41"/>
      <c r="R78" s="41"/>
    </row>
    <row r="79" spans="1:18" ht="21" customHeight="1" x14ac:dyDescent="0.15">
      <c r="A79" s="33" t="str">
        <f t="shared" ref="A79:A80" si="2">B79&amp;"_"&amp;C79</f>
        <v>39008005_39008037</v>
      </c>
      <c r="B79" s="125">
        <v>39008005</v>
      </c>
      <c r="C79" s="119">
        <v>39008037</v>
      </c>
      <c r="D79" s="40" t="str">
        <f ca="1">VLOOKUP($C79,OFFSET(enemy_skills!$A$1,0,0,COUNTA(enemy_skills!$A:$A),MATCH(D$1,enemy_skills!$1:$1,0)-MATCH("enemy_skill_id",enemy_skills!$1:$1,0)+1),MATCH(D$1,enemy_skills!$1:$1,0)-MATCH("enemy_skill_id",enemy_skills!$1:$1,0)+1,FALSE)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79" s="40" t="str">
        <f ca="1">VLOOKUP($C79,OFFSET(enemy_skills!$A$1,0,0,COUNTA(enemy_skills!$A:$A),MATCH(E$1,enemy_skills!$1:$1,0)-MATCH("enemy_skill_id",enemy_skills!$1:$1,0)+1),MATCH(E$1,enemy_skills!$1:$1,0)-MATCH("enemy_skill_id",enemy_skills!$1:$1,0)+1,FALSE)</f>
        <v>そっか！ルカねぇが助けてくれたんだね！ありがとうっ！</v>
      </c>
      <c r="F79" s="122">
        <v>39008078</v>
      </c>
      <c r="G79" s="42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2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953</v>
      </c>
      <c r="I79" s="42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2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2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2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9" s="42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2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79" s="42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1"/>
      <c r="Q79" s="41"/>
      <c r="R79" s="41" t="s">
        <v>332</v>
      </c>
    </row>
    <row r="80" spans="1:18" ht="21" customHeight="1" x14ac:dyDescent="0.15">
      <c r="A80" s="33" t="str">
        <f t="shared" si="2"/>
        <v>39008005_39008037</v>
      </c>
      <c r="B80" s="125">
        <v>39008005</v>
      </c>
      <c r="C80" s="119">
        <v>39008037</v>
      </c>
      <c r="D80" s="40" t="str">
        <f ca="1">VLOOKUP($C80,OFFSET(enemy_skills!$A$1,0,0,COUNTA(enemy_skills!$A:$A),MATCH(D$1,enemy_skills!$1:$1,0)-MATCH("enemy_skill_id",enemy_skills!$1:$1,0)+1),MATCH(D$1,enemy_skills!$1:$1,0)-MATCH("enemy_skill_id",enemy_skills!$1:$1,0)+1,FALSE)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80" s="40" t="str">
        <f ca="1">VLOOKUP($C80,OFFSET(enemy_skills!$A$1,0,0,COUNTA(enemy_skills!$A:$A),MATCH(E$1,enemy_skills!$1:$1,0)-MATCH("enemy_skill_id",enemy_skills!$1:$1,0)+1),MATCH(E$1,enemy_skills!$1:$1,0)-MATCH("enemy_skill_id",enemy_skills!$1:$1,0)+1,FALSE)</f>
        <v>そっか！ルカねぇが助けてくれたんだね！ありがとうっ！</v>
      </c>
      <c r="F80" s="122">
        <v>39008079</v>
      </c>
      <c r="G80" s="42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2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952</v>
      </c>
      <c r="I80" s="42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2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2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2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0" s="42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2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548</v>
      </c>
      <c r="O80" s="42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1"/>
      <c r="Q80" s="41"/>
      <c r="R80" s="41" t="s">
        <v>333</v>
      </c>
    </row>
    <row r="81" spans="1:18" ht="21" customHeight="1" x14ac:dyDescent="0.15">
      <c r="A81" s="33" t="str">
        <f t="shared" ref="A81:A84" si="3">B81&amp;"_"&amp;C81</f>
        <v>39008005_39008037</v>
      </c>
      <c r="B81" s="125">
        <v>39008005</v>
      </c>
      <c r="C81" s="119">
        <v>39008037</v>
      </c>
      <c r="D81" s="40" t="str">
        <f ca="1">VLOOKUP($C81,OFFSET(enemy_skills!$A$1,0,0,COUNTA(enemy_skills!$A:$A),MATCH(D$1,enemy_skills!$1:$1,0)-MATCH("enemy_skill_id",enemy_skills!$1:$1,0)+1),MATCH(D$1,enemy_skills!$1:$1,0)-MATCH("enemy_skill_id",enemy_skills!$1:$1,0)+1,FALSE)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81" s="40" t="str">
        <f ca="1">VLOOKUP($C81,OFFSET(enemy_skills!$A$1,0,0,COUNTA(enemy_skills!$A:$A),MATCH(E$1,enemy_skills!$1:$1,0)-MATCH("enemy_skill_id",enemy_skills!$1:$1,0)+1),MATCH(E$1,enemy_skills!$1:$1,0)-MATCH("enemy_skill_id",enemy_skills!$1:$1,0)+1,FALSE)</f>
        <v>そっか！ルカねぇが助けてくれたんだね！ありがとうっ！</v>
      </c>
      <c r="F81" s="122">
        <v>39008080</v>
      </c>
      <c r="G81" s="42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2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951</v>
      </c>
      <c r="I81" s="42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2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2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2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1" s="42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2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1313</v>
      </c>
      <c r="O81" s="42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1"/>
      <c r="Q81" s="41"/>
      <c r="R81" s="41" t="s">
        <v>335</v>
      </c>
    </row>
    <row r="82" spans="1:18" ht="21" customHeight="1" x14ac:dyDescent="0.15">
      <c r="A82" s="33" t="str">
        <f t="shared" si="3"/>
        <v>39008005_39008038</v>
      </c>
      <c r="B82" s="125">
        <v>39008005</v>
      </c>
      <c r="C82" s="119">
        <v>39008038</v>
      </c>
      <c r="D82" s="40" t="str">
        <f ca="1">VLOOKUP($C82,OFFSET(enemy_skills!$A$1,0,0,COUNTA(enemy_skills!$A:$A),MATCH(D$1,enemy_skills!$1:$1,0)-MATCH("enemy_skill_id",enemy_skills!$1:$1,0)+1),MATCH(D$1,enemy_skills!$1:$1,0)-MATCH("enemy_skill_id",enemy_skills!$1:$1,0)+1,FALSE)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82" s="40" t="str">
        <f ca="1">VLOOKUP($C82,OFFSET(enemy_skills!$A$1,0,0,COUNTA(enemy_skills!$A:$A),MATCH(E$1,enemy_skills!$1:$1,0)-MATCH("enemy_skill_id",enemy_skills!$1:$1,0)+1),MATCH(E$1,enemy_skills!$1:$1,0)-MATCH("enemy_skill_id",enemy_skills!$1:$1,0)+1,FALSE)</f>
        <v>そっか！めーちゃんが助けてくれたんだね！ありがとうっ！</v>
      </c>
      <c r="F82" s="122">
        <v>39008081</v>
      </c>
      <c r="G82" s="42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2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950</v>
      </c>
      <c r="I82" s="42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2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2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2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2" s="42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2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82" s="42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1"/>
      <c r="Q82" s="41"/>
      <c r="R82" s="41" t="s">
        <v>336</v>
      </c>
    </row>
    <row r="83" spans="1:18" ht="21" customHeight="1" x14ac:dyDescent="0.15">
      <c r="A83" s="33" t="str">
        <f t="shared" si="3"/>
        <v>39008005_39008038</v>
      </c>
      <c r="B83" s="125">
        <v>39008005</v>
      </c>
      <c r="C83" s="119">
        <v>39008038</v>
      </c>
      <c r="D83" s="40" t="str">
        <f ca="1">VLOOKUP($C83,OFFSET(enemy_skills!$A$1,0,0,COUNTA(enemy_skills!$A:$A),MATCH(D$1,enemy_skills!$1:$1,0)-MATCH("enemy_skill_id",enemy_skills!$1:$1,0)+1),MATCH(D$1,enemy_skills!$1:$1,0)-MATCH("enemy_skill_id",enemy_skills!$1:$1,0)+1,FALSE)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83" s="40" t="str">
        <f ca="1">VLOOKUP($C83,OFFSET(enemy_skills!$A$1,0,0,COUNTA(enemy_skills!$A:$A),MATCH(E$1,enemy_skills!$1:$1,0)-MATCH("enemy_skill_id",enemy_skills!$1:$1,0)+1),MATCH(E$1,enemy_skills!$1:$1,0)-MATCH("enemy_skill_id",enemy_skills!$1:$1,0)+1,FALSE)</f>
        <v>そっか！めーちゃんが助けてくれたんだね！ありがとうっ！</v>
      </c>
      <c r="F83" s="122">
        <v>39008082</v>
      </c>
      <c r="G83" s="42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2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949</v>
      </c>
      <c r="I83" s="42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2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2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2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3" s="42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2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550</v>
      </c>
      <c r="O83" s="42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1"/>
      <c r="Q83" s="41"/>
      <c r="R83" s="41" t="s">
        <v>337</v>
      </c>
    </row>
    <row r="84" spans="1:18" ht="21" customHeight="1" x14ac:dyDescent="0.15">
      <c r="A84" s="33" t="str">
        <f t="shared" si="3"/>
        <v>39008005_39008038</v>
      </c>
      <c r="B84" s="125">
        <v>39008005</v>
      </c>
      <c r="C84" s="119">
        <v>39008038</v>
      </c>
      <c r="D84" s="40" t="str">
        <f ca="1">VLOOKUP($C84,OFFSET(enemy_skills!$A$1,0,0,COUNTA(enemy_skills!$A:$A),MATCH(D$1,enemy_skills!$1:$1,0)-MATCH("enemy_skill_id",enemy_skills!$1:$1,0)+1),MATCH(D$1,enemy_skills!$1:$1,0)-MATCH("enemy_skill_id",enemy_skills!$1:$1,0)+1,FALSE)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84" s="40" t="str">
        <f ca="1">VLOOKUP($C84,OFFSET(enemy_skills!$A$1,0,0,COUNTA(enemy_skills!$A:$A),MATCH(E$1,enemy_skills!$1:$1,0)-MATCH("enemy_skill_id",enemy_skills!$1:$1,0)+1),MATCH(E$1,enemy_skills!$1:$1,0)-MATCH("enemy_skill_id",enemy_skills!$1:$1,0)+1,FALSE)</f>
        <v>そっか！めーちゃんが助けてくれたんだね！ありがとうっ！</v>
      </c>
      <c r="F84" s="122">
        <v>39008083</v>
      </c>
      <c r="G84" s="42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2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948</v>
      </c>
      <c r="I84" s="42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2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2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2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4" s="42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2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1314</v>
      </c>
      <c r="O84" s="42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1"/>
      <c r="Q84" s="41"/>
      <c r="R84" s="41" t="s">
        <v>334</v>
      </c>
    </row>
    <row r="85" spans="1:18" ht="21" customHeight="1" x14ac:dyDescent="0.15">
      <c r="A85" s="33" t="str">
        <f t="shared" ref="A85:A92" si="4">B85&amp;"_"&amp;C85</f>
        <v>39008005_39008037</v>
      </c>
      <c r="B85" s="125">
        <v>39008005</v>
      </c>
      <c r="C85" s="119">
        <v>39008037</v>
      </c>
      <c r="D85" s="40" t="str">
        <f ca="1">VLOOKUP($C85,OFFSET(enemy_skills!$A$1,0,0,COUNTA(enemy_skills!$A:$A),MATCH(D$1,enemy_skills!$1:$1,0)-MATCH("enemy_skill_id",enemy_skills!$1:$1,0)+1),MATCH(D$1,enemy_skills!$1:$1,0)-MATCH("enemy_skill_id",enemy_skills!$1:$1,0)+1,FALSE)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85" s="40" t="str">
        <f ca="1">VLOOKUP($C85,OFFSET(enemy_skills!$A$1,0,0,COUNTA(enemy_skills!$A:$A),MATCH(E$1,enemy_skills!$1:$1,0)-MATCH("enemy_skill_id",enemy_skills!$1:$1,0)+1),MATCH(E$1,enemy_skills!$1:$1,0)-MATCH("enemy_skill_id",enemy_skills!$1:$1,0)+1,FALSE)</f>
        <v>そっか！ルカねぇが助けてくれたんだね！ありがとうっ！</v>
      </c>
      <c r="F85" s="122">
        <v>39008084</v>
      </c>
      <c r="G85" s="42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2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947</v>
      </c>
      <c r="I85" s="42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2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2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2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5" s="42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2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85" s="42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1"/>
      <c r="Q85" s="41"/>
      <c r="R85" s="41" t="s">
        <v>338</v>
      </c>
    </row>
    <row r="86" spans="1:18" ht="21" customHeight="1" x14ac:dyDescent="0.15">
      <c r="A86" s="33" t="str">
        <f t="shared" si="4"/>
        <v>39008005_39008037</v>
      </c>
      <c r="B86" s="125">
        <v>39008005</v>
      </c>
      <c r="C86" s="119">
        <v>39008037</v>
      </c>
      <c r="D86" s="40" t="str">
        <f ca="1">VLOOKUP($C86,OFFSET(enemy_skills!$A$1,0,0,COUNTA(enemy_skills!$A:$A),MATCH(D$1,enemy_skills!$1:$1,0)-MATCH("enemy_skill_id",enemy_skills!$1:$1,0)+1),MATCH(D$1,enemy_skills!$1:$1,0)-MATCH("enemy_skill_id",enemy_skills!$1:$1,0)+1,FALSE)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86" s="40" t="str">
        <f ca="1">VLOOKUP($C86,OFFSET(enemy_skills!$A$1,0,0,COUNTA(enemy_skills!$A:$A),MATCH(E$1,enemy_skills!$1:$1,0)-MATCH("enemy_skill_id",enemy_skills!$1:$1,0)+1),MATCH(E$1,enemy_skills!$1:$1,0)-MATCH("enemy_skill_id",enemy_skills!$1:$1,0)+1,FALSE)</f>
        <v>そっか！ルカねぇが助けてくれたんだね！ありがとうっ！</v>
      </c>
      <c r="F86" s="122">
        <v>39008085</v>
      </c>
      <c r="G86" s="42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2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946</v>
      </c>
      <c r="I86" s="42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2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2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2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6" s="42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2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1323</v>
      </c>
      <c r="O86" s="42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1"/>
      <c r="Q86" s="41"/>
      <c r="R86" s="41" t="s">
        <v>339</v>
      </c>
    </row>
    <row r="87" spans="1:18" ht="21" customHeight="1" x14ac:dyDescent="0.15">
      <c r="A87" s="33" t="str">
        <f t="shared" si="4"/>
        <v>39008005_39008033</v>
      </c>
      <c r="B87" s="125">
        <v>39008005</v>
      </c>
      <c r="C87" s="119">
        <v>39008033</v>
      </c>
      <c r="D87" s="40" t="str">
        <f ca="1">VLOOKUP($C87,OFFSET(enemy_skills!$A$1,0,0,COUNTA(enemy_skills!$A:$A),MATCH(D$1,enemy_skills!$1:$1,0)-MATCH("enemy_skill_id",enemy_skills!$1:$1,0)+1),MATCH(D$1,enemy_skills!$1:$1,0)-MATCH("enemy_skill_id",enemy_skills!$1:$1,0)+1,FALSE)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87" s="40" t="str">
        <f ca="1">VLOOKUP($C87,OFFSET(enemy_skills!$A$1,0,0,COUNTA(enemy_skills!$A:$A),MATCH(E$1,enemy_skills!$1:$1,0)-MATCH("enemy_skill_id",enemy_skills!$1:$1,0)+1),MATCH(E$1,enemy_skills!$1:$1,0)-MATCH("enemy_skill_id",enemy_skills!$1:$1,0)+1,FALSE)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87" s="122">
        <v>39008086</v>
      </c>
      <c r="G87" s="42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2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945</v>
      </c>
      <c r="I87" s="42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2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2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2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7" s="42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2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87" s="42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1"/>
      <c r="Q87" s="41"/>
      <c r="R87" s="41" t="s">
        <v>340</v>
      </c>
    </row>
    <row r="88" spans="1:18" ht="21" customHeight="1" x14ac:dyDescent="0.15">
      <c r="A88" s="33" t="str">
        <f t="shared" si="4"/>
        <v>39008005_39008033</v>
      </c>
      <c r="B88" s="125">
        <v>39008005</v>
      </c>
      <c r="C88" s="119">
        <v>39008033</v>
      </c>
      <c r="D88" s="40" t="str">
        <f ca="1">VLOOKUP($C88,OFFSET(enemy_skills!$A$1,0,0,COUNTA(enemy_skills!$A:$A),MATCH(D$1,enemy_skills!$1:$1,0)-MATCH("enemy_skill_id",enemy_skills!$1:$1,0)+1),MATCH(D$1,enemy_skills!$1:$1,0)-MATCH("enemy_skill_id",enemy_skills!$1:$1,0)+1,FALSE)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88" s="40" t="str">
        <f ca="1">VLOOKUP($C88,OFFSET(enemy_skills!$A$1,0,0,COUNTA(enemy_skills!$A:$A),MATCH(E$1,enemy_skills!$1:$1,0)-MATCH("enemy_skill_id",enemy_skills!$1:$1,0)+1),MATCH(E$1,enemy_skills!$1:$1,0)-MATCH("enemy_skill_id",enemy_skills!$1:$1,0)+1,FALSE)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88" s="122">
        <v>39008087</v>
      </c>
      <c r="G88" s="42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2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944</v>
      </c>
      <c r="I88" s="42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2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2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2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8" s="42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2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540</v>
      </c>
      <c r="O88" s="42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1"/>
      <c r="Q88" s="41"/>
      <c r="R88" s="41" t="s">
        <v>340</v>
      </c>
    </row>
    <row r="89" spans="1:18" ht="21" customHeight="1" x14ac:dyDescent="0.15">
      <c r="A89" s="33" t="str">
        <f t="shared" si="4"/>
        <v>39008005_39008033</v>
      </c>
      <c r="B89" s="125">
        <v>39008005</v>
      </c>
      <c r="C89" s="119">
        <v>39008033</v>
      </c>
      <c r="D89" s="40" t="str">
        <f ca="1">VLOOKUP($C89,OFFSET(enemy_skills!$A$1,0,0,COUNTA(enemy_skills!$A:$A),MATCH(D$1,enemy_skills!$1:$1,0)-MATCH("enemy_skill_id",enemy_skills!$1:$1,0)+1),MATCH(D$1,enemy_skills!$1:$1,0)-MATCH("enemy_skill_id",enemy_skills!$1:$1,0)+1,FALSE)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89" s="40" t="str">
        <f ca="1">VLOOKUP($C89,OFFSET(enemy_skills!$A$1,0,0,COUNTA(enemy_skills!$A:$A),MATCH(E$1,enemy_skills!$1:$1,0)-MATCH("enemy_skill_id",enemy_skills!$1:$1,0)+1),MATCH(E$1,enemy_skills!$1:$1,0)-MATCH("enemy_skill_id",enemy_skills!$1:$1,0)+1,FALSE)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89" s="122">
        <v>39008088</v>
      </c>
      <c r="G89" s="42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2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943</v>
      </c>
      <c r="I89" s="42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2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2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2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9" s="42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2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1309</v>
      </c>
      <c r="O89" s="42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1"/>
      <c r="Q89" s="41"/>
      <c r="R89" s="41" t="s">
        <v>340</v>
      </c>
    </row>
    <row r="90" spans="1:18" ht="21" customHeight="1" x14ac:dyDescent="0.15">
      <c r="A90" s="33" t="str">
        <f t="shared" si="4"/>
        <v>39008005_39008033</v>
      </c>
      <c r="B90" s="125">
        <v>39008005</v>
      </c>
      <c r="C90" s="119">
        <v>39008033</v>
      </c>
      <c r="D90" s="40" t="str">
        <f ca="1">VLOOKUP($C90,OFFSET(enemy_skills!$A$1,0,0,COUNTA(enemy_skills!$A:$A),MATCH(D$1,enemy_skills!$1:$1,0)-MATCH("enemy_skill_id",enemy_skills!$1:$1,0)+1),MATCH(D$1,enemy_skills!$1:$1,0)-MATCH("enemy_skill_id",enemy_skills!$1:$1,0)+1,FALSE)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90" s="40" t="str">
        <f ca="1">VLOOKUP($C90,OFFSET(enemy_skills!$A$1,0,0,COUNTA(enemy_skills!$A:$A),MATCH(E$1,enemy_skills!$1:$1,0)-MATCH("enemy_skill_id",enemy_skills!$1:$1,0)+1),MATCH(E$1,enemy_skills!$1:$1,0)-MATCH("enemy_skill_id",enemy_skills!$1:$1,0)+1,FALSE)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90" s="122">
        <v>39008089</v>
      </c>
      <c r="G90" s="42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2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942</v>
      </c>
      <c r="I90" s="42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2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2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2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0" s="42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2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1310</v>
      </c>
      <c r="O90" s="42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1"/>
      <c r="Q90" s="41"/>
      <c r="R90" s="41" t="s">
        <v>340</v>
      </c>
    </row>
    <row r="91" spans="1:18" ht="21" customHeight="1" x14ac:dyDescent="0.15">
      <c r="A91" s="33" t="str">
        <f t="shared" si="4"/>
        <v>39008005_39008033</v>
      </c>
      <c r="B91" s="125">
        <v>39008005</v>
      </c>
      <c r="C91" s="119">
        <v>39008033</v>
      </c>
      <c r="D91" s="40" t="str">
        <f ca="1">VLOOKUP($C91,OFFSET(enemy_skills!$A$1,0,0,COUNTA(enemy_skills!$A:$A),MATCH(D$1,enemy_skills!$1:$1,0)-MATCH("enemy_skill_id",enemy_skills!$1:$1,0)+1),MATCH(D$1,enemy_skills!$1:$1,0)-MATCH("enemy_skill_id",enemy_skills!$1:$1,0)+1,FALSE)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91" s="40" t="str">
        <f ca="1">VLOOKUP($C91,OFFSET(enemy_skills!$A$1,0,0,COUNTA(enemy_skills!$A:$A),MATCH(E$1,enemy_skills!$1:$1,0)-MATCH("enemy_skill_id",enemy_skills!$1:$1,0)+1),MATCH(E$1,enemy_skills!$1:$1,0)-MATCH("enemy_skill_id",enemy_skills!$1:$1,0)+1,FALSE)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91" s="122">
        <v>39008090</v>
      </c>
      <c r="G91" s="42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2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941</v>
      </c>
      <c r="I91" s="42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2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2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2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1" s="42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2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91" s="42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1"/>
      <c r="Q91" s="41"/>
      <c r="R91" s="41" t="s">
        <v>340</v>
      </c>
    </row>
    <row r="92" spans="1:18" ht="21" customHeight="1" x14ac:dyDescent="0.15">
      <c r="A92" s="33" t="str">
        <f t="shared" si="4"/>
        <v>39008005_39008033</v>
      </c>
      <c r="B92" s="125">
        <v>39008005</v>
      </c>
      <c r="C92" s="119">
        <v>39008033</v>
      </c>
      <c r="D92" s="40" t="str">
        <f ca="1">VLOOKUP($C92,OFFSET(enemy_skills!$A$1,0,0,COUNTA(enemy_skills!$A:$A),MATCH(D$1,enemy_skills!$1:$1,0)-MATCH("enemy_skill_id",enemy_skills!$1:$1,0)+1),MATCH(D$1,enemy_skills!$1:$1,0)-MATCH("enemy_skill_id",enemy_skills!$1:$1,0)+1,FALSE)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92" s="40" t="str">
        <f ca="1">VLOOKUP($C92,OFFSET(enemy_skills!$A$1,0,0,COUNTA(enemy_skills!$A:$A),MATCH(E$1,enemy_skills!$1:$1,0)-MATCH("enemy_skill_id",enemy_skills!$1:$1,0)+1),MATCH(E$1,enemy_skills!$1:$1,0)-MATCH("enemy_skill_id",enemy_skills!$1:$1,0)+1,FALSE)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92" s="122">
        <v>39008091</v>
      </c>
      <c r="G92" s="42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2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940</v>
      </c>
      <c r="I92" s="42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2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2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2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2" s="42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2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542</v>
      </c>
      <c r="O92" s="42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1"/>
      <c r="Q92" s="41"/>
      <c r="R92" s="41" t="s">
        <v>340</v>
      </c>
    </row>
    <row r="93" spans="1:18" ht="21" customHeight="1" x14ac:dyDescent="0.15">
      <c r="A93" s="33" t="str">
        <f t="shared" ref="A93:A97" si="5">B93&amp;"_"&amp;C93</f>
        <v>39008005_39008033</v>
      </c>
      <c r="B93" s="125">
        <v>39008005</v>
      </c>
      <c r="C93" s="119">
        <v>39008033</v>
      </c>
      <c r="D93" s="40" t="str">
        <f ca="1">VLOOKUP($C93,OFFSET(enemy_skills!$A$1,0,0,COUNTA(enemy_skills!$A:$A),MATCH(D$1,enemy_skills!$1:$1,0)-MATCH("enemy_skill_id",enemy_skills!$1:$1,0)+1),MATCH(D$1,enemy_skills!$1:$1,0)-MATCH("enemy_skill_id",enemy_skills!$1:$1,0)+1,FALSE)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93" s="40" t="str">
        <f ca="1">VLOOKUP($C93,OFFSET(enemy_skills!$A$1,0,0,COUNTA(enemy_skills!$A:$A),MATCH(E$1,enemy_skills!$1:$1,0)-MATCH("enemy_skill_id",enemy_skills!$1:$1,0)+1),MATCH(E$1,enemy_skills!$1:$1,0)-MATCH("enemy_skill_id",enemy_skills!$1:$1,0)+1,FALSE)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93" s="122">
        <v>39008092</v>
      </c>
      <c r="G93" s="42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2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939</v>
      </c>
      <c r="I93" s="42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2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2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2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3" s="42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2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1308</v>
      </c>
      <c r="O93" s="42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1"/>
      <c r="Q93" s="41"/>
      <c r="R93" s="41" t="s">
        <v>340</v>
      </c>
    </row>
    <row r="94" spans="1:18" ht="21" customHeight="1" x14ac:dyDescent="0.15">
      <c r="A94" s="33" t="str">
        <f t="shared" si="5"/>
        <v>39008005_39008033</v>
      </c>
      <c r="B94" s="125">
        <v>39008005</v>
      </c>
      <c r="C94" s="119">
        <v>39008033</v>
      </c>
      <c r="D94" s="40" t="str">
        <f ca="1">VLOOKUP($C94,OFFSET(enemy_skills!$A$1,0,0,COUNTA(enemy_skills!$A:$A),MATCH(D$1,enemy_skills!$1:$1,0)-MATCH("enemy_skill_id",enemy_skills!$1:$1,0)+1),MATCH(D$1,enemy_skills!$1:$1,0)-MATCH("enemy_skill_id",enemy_skills!$1:$1,0)+1,FALSE)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94" s="40" t="str">
        <f ca="1">VLOOKUP($C94,OFFSET(enemy_skills!$A$1,0,0,COUNTA(enemy_skills!$A:$A),MATCH(E$1,enemy_skills!$1:$1,0)-MATCH("enemy_skill_id",enemy_skills!$1:$1,0)+1),MATCH(E$1,enemy_skills!$1:$1,0)-MATCH("enemy_skill_id",enemy_skills!$1:$1,0)+1,FALSE)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94" s="122">
        <v>39008093</v>
      </c>
      <c r="G94" s="42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2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938</v>
      </c>
      <c r="I94" s="42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2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2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2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4" s="42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2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94" s="42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1"/>
      <c r="Q94" s="41"/>
      <c r="R94" s="41" t="s">
        <v>340</v>
      </c>
    </row>
    <row r="95" spans="1:18" ht="21" customHeight="1" x14ac:dyDescent="0.15">
      <c r="A95" s="33" t="str">
        <f t="shared" si="5"/>
        <v>39008005_39008033</v>
      </c>
      <c r="B95" s="125">
        <v>39008005</v>
      </c>
      <c r="C95" s="119">
        <v>39008033</v>
      </c>
      <c r="D95" s="40" t="str">
        <f ca="1">VLOOKUP($C95,OFFSET(enemy_skills!$A$1,0,0,COUNTA(enemy_skills!$A:$A),MATCH(D$1,enemy_skills!$1:$1,0)-MATCH("enemy_skill_id",enemy_skills!$1:$1,0)+1),MATCH(D$1,enemy_skills!$1:$1,0)-MATCH("enemy_skill_id",enemy_skills!$1:$1,0)+1,FALSE)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95" s="40" t="str">
        <f ca="1">VLOOKUP($C95,OFFSET(enemy_skills!$A$1,0,0,COUNTA(enemy_skills!$A:$A),MATCH(E$1,enemy_skills!$1:$1,0)-MATCH("enemy_skill_id",enemy_skills!$1:$1,0)+1),MATCH(E$1,enemy_skills!$1:$1,0)-MATCH("enemy_skill_id",enemy_skills!$1:$1,0)+1,FALSE)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95" s="122">
        <v>39008094</v>
      </c>
      <c r="G95" s="42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2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937</v>
      </c>
      <c r="I95" s="42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2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2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2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5" s="42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2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1298</v>
      </c>
      <c r="O95" s="42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1"/>
      <c r="Q95" s="41"/>
      <c r="R95" s="41" t="s">
        <v>340</v>
      </c>
    </row>
    <row r="96" spans="1:18" ht="21" customHeight="1" x14ac:dyDescent="0.15">
      <c r="A96" s="33" t="str">
        <f t="shared" si="5"/>
        <v>39008005_39008033</v>
      </c>
      <c r="B96" s="125">
        <v>39008005</v>
      </c>
      <c r="C96" s="119">
        <v>39008033</v>
      </c>
      <c r="D96" s="40" t="str">
        <f ca="1">VLOOKUP($C96,OFFSET(enemy_skills!$A$1,0,0,COUNTA(enemy_skills!$A:$A),MATCH(D$1,enemy_skills!$1:$1,0)-MATCH("enemy_skill_id",enemy_skills!$1:$1,0)+1),MATCH(D$1,enemy_skills!$1:$1,0)-MATCH("enemy_skill_id",enemy_skills!$1:$1,0)+1,FALSE)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96" s="40" t="str">
        <f ca="1">VLOOKUP($C96,OFFSET(enemy_skills!$A$1,0,0,COUNTA(enemy_skills!$A:$A),MATCH(E$1,enemy_skills!$1:$1,0)-MATCH("enemy_skill_id",enemy_skills!$1:$1,0)+1),MATCH(E$1,enemy_skills!$1:$1,0)-MATCH("enemy_skill_id",enemy_skills!$1:$1,0)+1,FALSE)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96" s="122">
        <v>39008095</v>
      </c>
      <c r="G96" s="42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2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936</v>
      </c>
      <c r="I96" s="42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2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2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2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6" s="42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2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96" s="42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1"/>
      <c r="Q96" s="41"/>
      <c r="R96" s="41" t="s">
        <v>340</v>
      </c>
    </row>
    <row r="97" spans="1:18" ht="21" customHeight="1" x14ac:dyDescent="0.15">
      <c r="A97" s="33" t="str">
        <f t="shared" si="5"/>
        <v>39008005_39008033</v>
      </c>
      <c r="B97" s="125">
        <v>39008005</v>
      </c>
      <c r="C97" s="119">
        <v>39008033</v>
      </c>
      <c r="D97" s="40" t="str">
        <f ca="1">VLOOKUP($C97,OFFSET(enemy_skills!$A$1,0,0,COUNTA(enemy_skills!$A:$A),MATCH(D$1,enemy_skills!$1:$1,0)-MATCH("enemy_skill_id",enemy_skills!$1:$1,0)+1),MATCH(D$1,enemy_skills!$1:$1,0)-MATCH("enemy_skill_id",enemy_skills!$1:$1,0)+1,FALSE)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97" s="40" t="str">
        <f ca="1">VLOOKUP($C97,OFFSET(enemy_skills!$A$1,0,0,COUNTA(enemy_skills!$A:$A),MATCH(E$1,enemy_skills!$1:$1,0)-MATCH("enemy_skill_id",enemy_skills!$1:$1,0)+1),MATCH(E$1,enemy_skills!$1:$1,0)-MATCH("enemy_skill_id",enemy_skills!$1:$1,0)+1,FALSE)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97" s="122">
        <v>39008096</v>
      </c>
      <c r="G97" s="42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2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935</v>
      </c>
      <c r="I97" s="42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2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2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2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7" s="42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2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1317</v>
      </c>
      <c r="O97" s="42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1"/>
      <c r="Q97" s="41"/>
      <c r="R97" s="41" t="s">
        <v>340</v>
      </c>
    </row>
    <row r="98" spans="1:18" ht="21" customHeight="1" x14ac:dyDescent="0.15">
      <c r="A98" s="33" t="str">
        <f t="shared" ref="A98" si="6">B98&amp;"_"&amp;C98</f>
        <v>39008005_39008039</v>
      </c>
      <c r="B98" s="125">
        <v>39008005</v>
      </c>
      <c r="C98" s="119">
        <v>39008039</v>
      </c>
      <c r="D98" s="40" t="str">
        <f ca="1">VLOOKUP($C98,OFFSET(enemy_skills!$A$1,0,0,COUNTA(enemy_skills!$A:$A),MATCH(D$1,enemy_skills!$1:$1,0)-MATCH("enemy_skill_id",enemy_skills!$1:$1,0)+1),MATCH(D$1,enemy_skills!$1:$1,0)-MATCH("enemy_skill_id",enemy_skills!$1:$1,0)+1,FALSE)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98" s="40" t="str">
        <f ca="1">VLOOKUP($C98,OFFSET(enemy_skills!$A$1,0,0,COUNTA(enemy_skills!$A:$A),MATCH(E$1,enemy_skills!$1:$1,0)-MATCH("enemy_skill_id",enemy_skills!$1:$1,0)+1),MATCH(E$1,enemy_skills!$1:$1,0)-MATCH("enemy_skill_id",enemy_skills!$1:$1,0)+1,FALSE)</f>
        <v>そっか！KAITOにぃが助けてくれたんだね！ありがとうっ！</v>
      </c>
      <c r="F98" s="122">
        <v>39008097</v>
      </c>
      <c r="G98" s="42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42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934</v>
      </c>
      <c r="I98" s="42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2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2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2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8" s="42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2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98" s="42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1"/>
      <c r="Q98" s="41"/>
      <c r="R98" s="41" t="s">
        <v>341</v>
      </c>
    </row>
    <row r="99" spans="1:18" ht="21" customHeight="1" x14ac:dyDescent="0.15">
      <c r="A99" s="33" t="str">
        <f t="shared" ref="A99" si="7">B99&amp;"_"&amp;C99</f>
        <v>39008005_39008039</v>
      </c>
      <c r="B99" s="125">
        <v>39008005</v>
      </c>
      <c r="C99" s="119">
        <v>39008039</v>
      </c>
      <c r="D99" s="40" t="str">
        <f ca="1">VLOOKUP($C99,OFFSET(enemy_skills!$A$1,0,0,COUNTA(enemy_skills!$A:$A),MATCH(D$1,enemy_skills!$1:$1,0)-MATCH("enemy_skill_id",enemy_skills!$1:$1,0)+1),MATCH(D$1,enemy_skills!$1:$1,0)-MATCH("enemy_skill_id",enemy_skills!$1:$1,0)+1,FALSE)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99" s="40" t="str">
        <f ca="1">VLOOKUP($C99,OFFSET(enemy_skills!$A$1,0,0,COUNTA(enemy_skills!$A:$A),MATCH(E$1,enemy_skills!$1:$1,0)-MATCH("enemy_skill_id",enemy_skills!$1:$1,0)+1),MATCH(E$1,enemy_skills!$1:$1,0)-MATCH("enemy_skill_id",enemy_skills!$1:$1,0)+1,FALSE)</f>
        <v>そっか！KAITOにぃが助けてくれたんだね！ありがとうっ！</v>
      </c>
      <c r="F99" s="122">
        <v>39008098</v>
      </c>
      <c r="G99" s="42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2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933</v>
      </c>
      <c r="I99" s="42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2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2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2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9" s="42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2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552</v>
      </c>
      <c r="O99" s="42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1"/>
      <c r="Q99" s="41"/>
      <c r="R99" s="41" t="s">
        <v>342</v>
      </c>
    </row>
    <row r="100" spans="1:18" ht="21" customHeight="1" x14ac:dyDescent="0.15">
      <c r="A100" s="33" t="str">
        <f t="shared" ref="A100" si="8">B100&amp;"_"&amp;C100</f>
        <v>39008005_39008039</v>
      </c>
      <c r="B100" s="125">
        <v>39008005</v>
      </c>
      <c r="C100" s="119">
        <v>39008039</v>
      </c>
      <c r="D100" s="40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00" s="40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そっか！KAITOにぃが助けてくれたんだね！ありがとうっ！</v>
      </c>
      <c r="F100" s="122">
        <v>39008099</v>
      </c>
      <c r="G100" s="42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2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932</v>
      </c>
      <c r="I100" s="42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2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2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2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0" s="42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2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1315</v>
      </c>
      <c r="O100" s="42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1"/>
      <c r="Q100" s="41"/>
      <c r="R100" s="41" t="s">
        <v>343</v>
      </c>
    </row>
    <row r="101" spans="1:18" ht="21" customHeight="1" x14ac:dyDescent="0.15">
      <c r="A101" s="33" t="str">
        <f t="shared" ref="A101:A124" si="9">B101&amp;"_"&amp;C101</f>
        <v>39008005_39008034</v>
      </c>
      <c r="B101" s="125">
        <v>39008005</v>
      </c>
      <c r="C101" s="119">
        <v>39008034</v>
      </c>
      <c r="D101" s="40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01" s="40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そっかー！ユキネが助けてくれたんだねー！すっごーい！</v>
      </c>
      <c r="F101" s="122">
        <v>39008100</v>
      </c>
      <c r="G101" s="42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2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931</v>
      </c>
      <c r="I101" s="42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2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2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2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1" s="42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2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101" s="42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1"/>
      <c r="Q101" s="41"/>
      <c r="R101" s="41" t="s">
        <v>344</v>
      </c>
    </row>
    <row r="102" spans="1:18" ht="21" customHeight="1" x14ac:dyDescent="0.15">
      <c r="A102" s="33" t="str">
        <f t="shared" si="9"/>
        <v>39008005_39008034</v>
      </c>
      <c r="B102" s="125">
        <v>39008005</v>
      </c>
      <c r="C102" s="119">
        <v>39008034</v>
      </c>
      <c r="D102" s="40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02" s="40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そっかー！ユキネが助けてくれたんだねー！すっごーい！</v>
      </c>
      <c r="F102" s="122">
        <v>39008101</v>
      </c>
      <c r="G102" s="42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42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930</v>
      </c>
      <c r="I102" s="42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2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2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2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2" s="42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2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558</v>
      </c>
      <c r="O102" s="42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1"/>
      <c r="Q102" s="41"/>
      <c r="R102" s="41" t="s">
        <v>345</v>
      </c>
    </row>
    <row r="103" spans="1:18" ht="21" customHeight="1" x14ac:dyDescent="0.15">
      <c r="A103" s="33" t="str">
        <f t="shared" si="9"/>
        <v>39008005_39008034</v>
      </c>
      <c r="B103" s="125">
        <v>39008005</v>
      </c>
      <c r="C103" s="119">
        <v>39008034</v>
      </c>
      <c r="D103" s="40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03" s="40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そっかー！ユキネが助けてくれたんだねー！すっごーい！</v>
      </c>
      <c r="F103" s="122">
        <v>39008102</v>
      </c>
      <c r="G103" s="42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2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929</v>
      </c>
      <c r="I103" s="42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2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2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2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3" s="42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2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559</v>
      </c>
      <c r="O103" s="42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1"/>
      <c r="Q103" s="41"/>
      <c r="R103" s="41" t="s">
        <v>346</v>
      </c>
    </row>
    <row r="104" spans="1:18" ht="21" customHeight="1" x14ac:dyDescent="0.15">
      <c r="A104" s="33" t="str">
        <f t="shared" si="9"/>
        <v>39008005_39008034</v>
      </c>
      <c r="B104" s="125">
        <v>39008005</v>
      </c>
      <c r="C104" s="119">
        <v>39008034</v>
      </c>
      <c r="D104" s="40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04" s="40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そっかー！ユキネが助けてくれたんだねー！すっごーい！</v>
      </c>
      <c r="F104" s="122">
        <v>39008103</v>
      </c>
      <c r="G104" s="42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42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928</v>
      </c>
      <c r="I104" s="42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2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2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2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4" s="42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42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104" s="42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1"/>
      <c r="Q104" s="41"/>
      <c r="R104" s="41" t="s">
        <v>347</v>
      </c>
    </row>
    <row r="105" spans="1:18" ht="21" customHeight="1" x14ac:dyDescent="0.15">
      <c r="A105" s="33" t="str">
        <f t="shared" si="9"/>
        <v>39008005_39008034</v>
      </c>
      <c r="B105" s="125">
        <v>39008005</v>
      </c>
      <c r="C105" s="119">
        <v>39008034</v>
      </c>
      <c r="D105" s="40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05" s="40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そっかー！ユキネが助けてくれたんだねー！すっごーい！</v>
      </c>
      <c r="F105" s="122">
        <v>39008104</v>
      </c>
      <c r="G105" s="42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5" s="42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927</v>
      </c>
      <c r="I105" s="42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2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2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2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5" s="42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42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1296</v>
      </c>
      <c r="O105" s="42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1"/>
      <c r="Q105" s="41"/>
      <c r="R105" s="41" t="s">
        <v>348</v>
      </c>
    </row>
    <row r="106" spans="1:18" ht="21" customHeight="1" x14ac:dyDescent="0.15">
      <c r="A106" s="33" t="str">
        <f t="shared" si="9"/>
        <v>39008005_39008033</v>
      </c>
      <c r="B106" s="125">
        <v>39008005</v>
      </c>
      <c r="C106" s="119">
        <v>39008033</v>
      </c>
      <c r="D106" s="40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06" s="40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06" s="122">
        <v>39008105</v>
      </c>
      <c r="G106" s="42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6" s="42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926</v>
      </c>
      <c r="I106" s="42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2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2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2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6" s="42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42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106" s="42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1"/>
      <c r="Q106" s="41"/>
      <c r="R106" s="41" t="s">
        <v>349</v>
      </c>
    </row>
    <row r="107" spans="1:18" ht="21" customHeight="1" x14ac:dyDescent="0.15">
      <c r="A107" s="33" t="str">
        <f t="shared" si="9"/>
        <v>39008005_39008033</v>
      </c>
      <c r="B107" s="125">
        <v>39008005</v>
      </c>
      <c r="C107" s="119">
        <v>39008033</v>
      </c>
      <c r="D107" s="40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07" s="40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07" s="122">
        <v>39008106</v>
      </c>
      <c r="G107" s="42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7" s="42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925</v>
      </c>
      <c r="I107" s="42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2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2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2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7" s="42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2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107" s="42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1"/>
      <c r="Q107" s="41"/>
      <c r="R107" s="41" t="s">
        <v>350</v>
      </c>
    </row>
    <row r="108" spans="1:18" ht="21" customHeight="1" x14ac:dyDescent="0.15">
      <c r="A108" s="33" t="str">
        <f t="shared" si="9"/>
        <v>39008005_39008033</v>
      </c>
      <c r="B108" s="125">
        <v>39008005</v>
      </c>
      <c r="C108" s="119">
        <v>39008033</v>
      </c>
      <c r="D108" s="40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08" s="40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08" s="122">
        <v>39008107</v>
      </c>
      <c r="G108" s="42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8" s="42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924</v>
      </c>
      <c r="I108" s="42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2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2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2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8" s="42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42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108" s="42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1"/>
      <c r="Q108" s="41"/>
      <c r="R108" s="41" t="s">
        <v>351</v>
      </c>
    </row>
    <row r="109" spans="1:18" ht="21" customHeight="1" x14ac:dyDescent="0.15">
      <c r="A109" s="33" t="str">
        <f t="shared" si="9"/>
        <v>39008005_39008033</v>
      </c>
      <c r="B109" s="125">
        <v>39008005</v>
      </c>
      <c r="C109" s="119">
        <v>39008033</v>
      </c>
      <c r="D109" s="40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09" s="40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09" s="122">
        <v>39008108</v>
      </c>
      <c r="G109" s="42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42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923</v>
      </c>
      <c r="I109" s="42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2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2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2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9" s="42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42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554</v>
      </c>
      <c r="O109" s="42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1"/>
      <c r="Q109" s="41"/>
      <c r="R109" s="41" t="s">
        <v>352</v>
      </c>
    </row>
    <row r="110" spans="1:18" ht="21" customHeight="1" x14ac:dyDescent="0.15">
      <c r="A110" s="33" t="str">
        <f t="shared" si="9"/>
        <v>39008005_39008033</v>
      </c>
      <c r="B110" s="125">
        <v>39008005</v>
      </c>
      <c r="C110" s="119">
        <v>39008033</v>
      </c>
      <c r="D110" s="40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10" s="40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10" s="122">
        <v>39008109</v>
      </c>
      <c r="G110" s="42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42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922</v>
      </c>
      <c r="I110" s="42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2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2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2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0" s="42" t="str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0" s="42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110" s="42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1"/>
      <c r="Q110" s="41"/>
      <c r="R110" s="41" t="s">
        <v>353</v>
      </c>
    </row>
    <row r="111" spans="1:18" ht="21" customHeight="1" x14ac:dyDescent="0.15">
      <c r="A111" s="33" t="str">
        <f t="shared" si="9"/>
        <v>39008005_39008033</v>
      </c>
      <c r="B111" s="125">
        <v>39008005</v>
      </c>
      <c r="C111" s="119">
        <v>39008033</v>
      </c>
      <c r="D111" s="40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11" s="40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11" s="122">
        <v>39008110</v>
      </c>
      <c r="G111" s="42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42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921</v>
      </c>
      <c r="I111" s="42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2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42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2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1" s="42" t="str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1" s="42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556</v>
      </c>
      <c r="O111" s="42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1"/>
      <c r="Q111" s="41"/>
      <c r="R111" s="41" t="s">
        <v>354</v>
      </c>
    </row>
    <row r="112" spans="1:18" ht="21" customHeight="1" x14ac:dyDescent="0.15">
      <c r="A112" s="33" t="str">
        <f t="shared" si="9"/>
        <v>39008005_39008035</v>
      </c>
      <c r="B112" s="125">
        <v>39008005</v>
      </c>
      <c r="C112" s="119">
        <v>39008035</v>
      </c>
      <c r="D112" s="40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12" s="40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そっか！リンちゃんが助けてくれたんだね！ありがとうっ！</v>
      </c>
      <c r="F112" s="122">
        <v>39008111</v>
      </c>
      <c r="G112" s="42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2" s="42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920</v>
      </c>
      <c r="I112" s="42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42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42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2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2" s="42" t="str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2" s="42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112" s="42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41"/>
      <c r="Q112" s="41"/>
      <c r="R112" s="41" t="s">
        <v>355</v>
      </c>
    </row>
    <row r="113" spans="1:18" ht="21" customHeight="1" x14ac:dyDescent="0.15">
      <c r="A113" s="33" t="str">
        <f t="shared" si="9"/>
        <v>39008005_39008035</v>
      </c>
      <c r="B113" s="125">
        <v>39008005</v>
      </c>
      <c r="C113" s="119">
        <v>39008035</v>
      </c>
      <c r="D113" s="40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13" s="40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そっか！リンちゃんが助けてくれたんだね！ありがとうっ！</v>
      </c>
      <c r="F113" s="122">
        <v>39008112</v>
      </c>
      <c r="G113" s="42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3" s="42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919</v>
      </c>
      <c r="I113" s="42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2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2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2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3" s="42" t="str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3" s="42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544</v>
      </c>
      <c r="O113" s="42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1"/>
      <c r="Q113" s="41"/>
      <c r="R113" s="41" t="s">
        <v>356</v>
      </c>
    </row>
    <row r="114" spans="1:18" ht="21" customHeight="1" x14ac:dyDescent="0.15">
      <c r="A114" s="33" t="str">
        <f t="shared" si="9"/>
        <v>39008005_39008035</v>
      </c>
      <c r="B114" s="125">
        <v>39008005</v>
      </c>
      <c r="C114" s="119">
        <v>39008035</v>
      </c>
      <c r="D114" s="40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14" s="40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そっか！リンちゃんが助けてくれたんだね！ありがとうっ！</v>
      </c>
      <c r="F114" s="122">
        <v>39008113</v>
      </c>
      <c r="G114" s="42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4" s="42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918</v>
      </c>
      <c r="I114" s="42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2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2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2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4" s="42" t="str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4" s="42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1311</v>
      </c>
      <c r="O114" s="42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1"/>
      <c r="Q114" s="41"/>
      <c r="R114" s="41" t="s">
        <v>357</v>
      </c>
    </row>
    <row r="115" spans="1:18" ht="21" customHeight="1" x14ac:dyDescent="0.15">
      <c r="A115" s="33" t="str">
        <f t="shared" si="9"/>
        <v>39008005_39008036</v>
      </c>
      <c r="B115" s="125">
        <v>39008005</v>
      </c>
      <c r="C115" s="119">
        <v>39008036</v>
      </c>
      <c r="D115" s="40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15" s="40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そっか！レンきゅんが助けてくれたんだね！ありがとうっ！</v>
      </c>
      <c r="F115" s="122">
        <v>39008114</v>
      </c>
      <c r="G115" s="42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5" s="42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917</v>
      </c>
      <c r="I115" s="42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2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2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2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5" s="42" t="str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5" s="42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115" s="42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1"/>
      <c r="Q115" s="41"/>
      <c r="R115" s="41" t="s">
        <v>358</v>
      </c>
    </row>
    <row r="116" spans="1:18" ht="21" customHeight="1" x14ac:dyDescent="0.15">
      <c r="A116" s="33" t="str">
        <f t="shared" si="9"/>
        <v>39008005_39008036</v>
      </c>
      <c r="B116" s="125">
        <v>39008005</v>
      </c>
      <c r="C116" s="119">
        <v>39008036</v>
      </c>
      <c r="D116" s="40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16" s="40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そっか！レンきゅんが助けてくれたんだね！ありがとうっ！</v>
      </c>
      <c r="F116" s="122">
        <v>39008115</v>
      </c>
      <c r="G116" s="42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6" s="42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916</v>
      </c>
      <c r="I116" s="42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42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42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2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6" s="42" t="str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6" s="42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546</v>
      </c>
      <c r="O116" s="42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1"/>
      <c r="Q116" s="41"/>
      <c r="R116" s="41" t="s">
        <v>359</v>
      </c>
    </row>
    <row r="117" spans="1:18" ht="21" customHeight="1" x14ac:dyDescent="0.15">
      <c r="A117" s="33" t="str">
        <f t="shared" si="9"/>
        <v>39008005_39008036</v>
      </c>
      <c r="B117" s="125">
        <v>39008005</v>
      </c>
      <c r="C117" s="119">
        <v>39008036</v>
      </c>
      <c r="D117" s="40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17" s="40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そっか！レンきゅんが助けてくれたんだね！ありがとうっ！</v>
      </c>
      <c r="F117" s="122">
        <v>39008116</v>
      </c>
      <c r="G117" s="42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7" s="42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915</v>
      </c>
      <c r="I117" s="42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2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42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42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7" s="42" t="str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7" s="42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1312</v>
      </c>
      <c r="O117" s="42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1"/>
      <c r="Q117" s="41"/>
      <c r="R117" s="41" t="s">
        <v>360</v>
      </c>
    </row>
    <row r="118" spans="1:18" ht="21" customHeight="1" x14ac:dyDescent="0.15">
      <c r="A118" s="33" t="str">
        <f t="shared" si="9"/>
        <v>39008005_39008033</v>
      </c>
      <c r="B118" s="125">
        <v>39008005</v>
      </c>
      <c r="C118" s="119">
        <v>39008033</v>
      </c>
      <c r="D118" s="40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18" s="40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18" s="122">
        <v>39008117</v>
      </c>
      <c r="G118" s="42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8" s="42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914</v>
      </c>
      <c r="I118" s="42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42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42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42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8" s="42" t="str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8" s="42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118" s="42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41"/>
      <c r="Q118" s="41"/>
      <c r="R118" s="41" t="s">
        <v>361</v>
      </c>
    </row>
    <row r="119" spans="1:18" ht="21" customHeight="1" x14ac:dyDescent="0.15">
      <c r="A119" s="33" t="str">
        <f t="shared" si="9"/>
        <v>39008005_39008033</v>
      </c>
      <c r="B119" s="125">
        <v>39008005</v>
      </c>
      <c r="C119" s="119">
        <v>39008033</v>
      </c>
      <c r="D119" s="40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19" s="40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19" s="122">
        <v>39008118</v>
      </c>
      <c r="G119" s="42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9" s="42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913</v>
      </c>
      <c r="I119" s="42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42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42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2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9" s="42" t="str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9" s="42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528</v>
      </c>
      <c r="O119" s="42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41"/>
      <c r="Q119" s="41"/>
      <c r="R119" s="41" t="s">
        <v>362</v>
      </c>
    </row>
    <row r="120" spans="1:18" ht="21" customHeight="1" x14ac:dyDescent="0.15">
      <c r="A120" s="33" t="str">
        <f t="shared" si="9"/>
        <v>39008005_39008033</v>
      </c>
      <c r="B120" s="125">
        <v>39008005</v>
      </c>
      <c r="C120" s="119">
        <v>39008033</v>
      </c>
      <c r="D120" s="40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20" s="40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20" s="122">
        <v>39008119</v>
      </c>
      <c r="G120" s="42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0" s="42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912</v>
      </c>
      <c r="I120" s="42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42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42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42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0" s="42" t="str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0" s="42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1299</v>
      </c>
      <c r="O120" s="42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0" s="41"/>
      <c r="Q120" s="41"/>
      <c r="R120" s="41" t="s">
        <v>353</v>
      </c>
    </row>
    <row r="121" spans="1:18" ht="21" customHeight="1" x14ac:dyDescent="0.15">
      <c r="A121" s="33" t="str">
        <f t="shared" si="9"/>
        <v>39008005_39008035</v>
      </c>
      <c r="B121" s="125">
        <v>39008005</v>
      </c>
      <c r="C121" s="119">
        <v>39008035</v>
      </c>
      <c r="D121" s="40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21" s="40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そっか！リンちゃんが助けてくれたんだね！ありがとうっ！</v>
      </c>
      <c r="F121" s="122">
        <v>39008120</v>
      </c>
      <c r="G121" s="42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1" s="42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911</v>
      </c>
      <c r="I121" s="42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42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42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2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1" s="42" t="str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1" s="42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121" s="42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1" s="41"/>
      <c r="Q121" s="41"/>
      <c r="R121" s="41" t="s">
        <v>363</v>
      </c>
    </row>
    <row r="122" spans="1:18" ht="21" customHeight="1" x14ac:dyDescent="0.15">
      <c r="A122" s="33" t="str">
        <f t="shared" si="9"/>
        <v>39008005_39008035</v>
      </c>
      <c r="B122" s="125">
        <v>39008005</v>
      </c>
      <c r="C122" s="119">
        <v>39008035</v>
      </c>
      <c r="D122" s="40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22" s="40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そっか！リンちゃんが助けてくれたんだね！ありがとうっ！</v>
      </c>
      <c r="F122" s="122">
        <v>39008121</v>
      </c>
      <c r="G122" s="42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2" s="42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910</v>
      </c>
      <c r="I122" s="42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2" s="42" t="str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2" s="42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42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2" s="42" t="str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2" s="42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1319</v>
      </c>
      <c r="O122" s="42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2" s="41"/>
      <c r="Q122" s="41"/>
      <c r="R122" s="41" t="s">
        <v>364</v>
      </c>
    </row>
    <row r="123" spans="1:18" ht="21" customHeight="1" x14ac:dyDescent="0.15">
      <c r="A123" s="33" t="str">
        <f t="shared" si="9"/>
        <v>39008005_39008036</v>
      </c>
      <c r="B123" s="125">
        <v>39008005</v>
      </c>
      <c r="C123" s="119">
        <v>39008036</v>
      </c>
      <c r="D123" s="40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23" s="40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そっか！レンきゅんが助けてくれたんだね！ありがとうっ！</v>
      </c>
      <c r="F123" s="122">
        <v>39008122</v>
      </c>
      <c r="G123" s="42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3" s="42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909</v>
      </c>
      <c r="I123" s="42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42" t="str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3" s="42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42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3" s="42" t="str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3" s="42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123" s="42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41"/>
      <c r="Q123" s="41"/>
      <c r="R123" s="41" t="s">
        <v>365</v>
      </c>
    </row>
    <row r="124" spans="1:18" ht="21" customHeight="1" x14ac:dyDescent="0.15">
      <c r="A124" s="33" t="str">
        <f t="shared" si="9"/>
        <v>39008005_39008036</v>
      </c>
      <c r="B124" s="125">
        <v>39008005</v>
      </c>
      <c r="C124" s="119">
        <v>39008036</v>
      </c>
      <c r="D124" s="40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24" s="40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そっか！レンきゅんが助けてくれたんだね！ありがとうっ！</v>
      </c>
      <c r="F124" s="122">
        <v>39008123</v>
      </c>
      <c r="G124" s="42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4" s="42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908</v>
      </c>
      <c r="I124" s="42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4" s="42" t="str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4" s="42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42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4" s="42" t="str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4" s="42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1321</v>
      </c>
      <c r="O124" s="42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4" s="41"/>
      <c r="Q124" s="41"/>
      <c r="R124" s="41" t="s">
        <v>359</v>
      </c>
    </row>
    <row r="125" spans="1:18" ht="21" customHeight="1" x14ac:dyDescent="0.15">
      <c r="A125" s="33" t="str">
        <f t="shared" ref="A125" si="10">B125&amp;"_"&amp;C125</f>
        <v>39008005_39008032</v>
      </c>
      <c r="B125" s="125">
        <v>39008005</v>
      </c>
      <c r="C125" s="41">
        <v>39008032</v>
      </c>
      <c r="D125" s="40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25" s="40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そっか！アナタが助けてくれたんだね！ありがとうっ！</v>
      </c>
      <c r="F125" s="122">
        <v>39008132</v>
      </c>
      <c r="G125" s="42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5" s="42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5" s="42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5" s="42" t="str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5" s="42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42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5" s="42" t="str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5" s="42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25" s="42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5" s="41"/>
      <c r="Q125" s="41"/>
      <c r="R125" s="41"/>
    </row>
    <row r="126" spans="1:18" ht="21" customHeight="1" x14ac:dyDescent="0.15">
      <c r="A126" s="33" t="str">
        <f t="shared" ref="A126:A129" si="11">B126&amp;"_"&amp;C126</f>
        <v>39008006_39008040</v>
      </c>
      <c r="B126" s="102">
        <v>39008006</v>
      </c>
      <c r="C126" s="122">
        <v>39008040</v>
      </c>
      <c r="D126" s="40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よ〜し！_x000D_雪まつり盛り上げちゃうぞッ！</v>
      </c>
      <c r="E126" s="40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3ターン自身の防御力UP</v>
      </c>
      <c r="F126" s="122">
        <v>39008133</v>
      </c>
      <c r="G126" s="42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6" s="42" t="str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6" s="42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6" s="42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42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42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6" s="42" t="str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6" s="42" t="str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6" s="42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6" s="41"/>
      <c r="Q126" s="41"/>
      <c r="R126" s="41"/>
    </row>
    <row r="127" spans="1:18" ht="21" customHeight="1" x14ac:dyDescent="0.15">
      <c r="A127" s="33" t="str">
        <f t="shared" si="11"/>
        <v>39008006_39008002</v>
      </c>
      <c r="B127" s="102">
        <v>39008006</v>
      </c>
      <c r="C127" s="41">
        <v>39008002</v>
      </c>
      <c r="D127" s="40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ラピッドエッジ</v>
      </c>
      <c r="E127" s="40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27" s="122">
        <v>39008134</v>
      </c>
      <c r="G127" s="42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7" s="42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7" s="42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27" s="42" t="str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7" s="42" t="str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7" s="42" t="str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7" s="42" t="str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7" s="42" t="str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7" s="42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27" s="41"/>
      <c r="Q127" s="41"/>
      <c r="R127" s="41"/>
    </row>
    <row r="128" spans="1:18" ht="21" customHeight="1" x14ac:dyDescent="0.15">
      <c r="A128" s="33" t="str">
        <f t="shared" si="11"/>
        <v>39008006_39008003</v>
      </c>
      <c r="B128" s="102">
        <v>39008006</v>
      </c>
      <c r="C128" s="41">
        <v>39008003</v>
      </c>
      <c r="D128" s="40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アイシクルターン</v>
      </c>
      <c r="E128" s="40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種族Unknown以外のユニットに_x000D_大ダメージの全体攻撃</v>
      </c>
      <c r="F128" s="122">
        <v>39008135</v>
      </c>
      <c r="G128" s="42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8" s="42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8" s="42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28" s="42" t="str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8" s="42" t="str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8" s="42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28" s="42" t="str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8" s="42" t="str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8" s="42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28" s="41"/>
      <c r="Q128" s="41"/>
      <c r="R128" s="41"/>
    </row>
    <row r="129" spans="1:18" ht="21" customHeight="1" x14ac:dyDescent="0.15">
      <c r="A129" s="33" t="str">
        <f t="shared" si="11"/>
        <v>39008006_39008041</v>
      </c>
      <c r="B129" s="102">
        <v>39008006</v>
      </c>
      <c r="C129" s="41">
        <v>39008041</v>
      </c>
      <c r="D129" s="40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センタリングandターンアタック</v>
      </c>
      <c r="E129" s="40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自己回復+単体攻撃</v>
      </c>
      <c r="F129" s="122">
        <v>39008136</v>
      </c>
      <c r="G129" s="42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9" s="42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29" s="42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29" s="42" t="str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9" s="42" t="str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9" s="42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9" s="42" t="str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9" s="42" t="str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9" s="42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29" s="41"/>
      <c r="Q129" s="41"/>
      <c r="R129" s="41"/>
    </row>
    <row r="130" spans="1:18" ht="21" customHeight="1" x14ac:dyDescent="0.15">
      <c r="A130" s="33" t="str">
        <f t="shared" ref="A130:A176" si="12">B130&amp;"_"&amp;C130</f>
        <v>39008006_39008037</v>
      </c>
      <c r="B130" s="102">
        <v>39008006</v>
      </c>
      <c r="C130" s="119">
        <v>39008037</v>
      </c>
      <c r="D130" s="40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30" s="40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そっか！ルカねぇが助けてくれたんだね！ありがとうっ！</v>
      </c>
      <c r="F130" s="122">
        <v>39008078</v>
      </c>
      <c r="G130" s="42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0" s="42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953</v>
      </c>
      <c r="I130" s="42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0" s="42" t="str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0" s="42" t="str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0" s="42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0" s="42" t="str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0" s="42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130" s="42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0" s="41"/>
      <c r="Q130" s="41"/>
      <c r="R130" s="41" t="s">
        <v>332</v>
      </c>
    </row>
    <row r="131" spans="1:18" ht="21" customHeight="1" x14ac:dyDescent="0.15">
      <c r="A131" s="33" t="str">
        <f t="shared" si="12"/>
        <v>39008006_39008037</v>
      </c>
      <c r="B131" s="102">
        <v>39008006</v>
      </c>
      <c r="C131" s="119">
        <v>39008037</v>
      </c>
      <c r="D131" s="40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31" s="40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そっか！ルカねぇが助けてくれたんだね！ありがとうっ！</v>
      </c>
      <c r="F131" s="122">
        <v>39008079</v>
      </c>
      <c r="G131" s="42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1" s="42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952</v>
      </c>
      <c r="I131" s="42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1" s="42" t="str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1" s="42" t="str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1" s="42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1" s="42" t="str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1" s="42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548</v>
      </c>
      <c r="O131" s="42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1" s="41"/>
      <c r="Q131" s="41"/>
      <c r="R131" s="41" t="s">
        <v>333</v>
      </c>
    </row>
    <row r="132" spans="1:18" ht="21" customHeight="1" x14ac:dyDescent="0.15">
      <c r="A132" s="33" t="str">
        <f t="shared" si="12"/>
        <v>39008006_39008037</v>
      </c>
      <c r="B132" s="102">
        <v>39008006</v>
      </c>
      <c r="C132" s="119">
        <v>39008037</v>
      </c>
      <c r="D132" s="40" t="str">
        <f ca="1">VLOOKUP($C132,OFFSET(enemy_skills!$A$1,0,0,COUNTA(enemy_skills!$A:$A),MATCH(D$1,enemy_skills!$1:$1,0)-MATCH("enemy_skill_id",enemy_skills!$1:$1,0)+1),MATCH(D$1,enemy_skills!$1:$1,0)-MATCH("enemy_skill_id",enemy_skills!$1:$1,0)+1,FALSE)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32" s="40" t="str">
        <f ca="1">VLOOKUP($C132,OFFSET(enemy_skills!$A$1,0,0,COUNTA(enemy_skills!$A:$A),MATCH(E$1,enemy_skills!$1:$1,0)-MATCH("enemy_skill_id",enemy_skills!$1:$1,0)+1),MATCH(E$1,enemy_skills!$1:$1,0)-MATCH("enemy_skill_id",enemy_skills!$1:$1,0)+1,FALSE)</f>
        <v>そっか！ルカねぇが助けてくれたんだね！ありがとうっ！</v>
      </c>
      <c r="F132" s="122">
        <v>39008080</v>
      </c>
      <c r="G132" s="42">
        <f ca="1">VLOOKUP($F132,OFFSET(enemy_skill_triggers!$A$1,0,0,COUNTA(enemy_skill_triggers!$A:$A),MATCH(G$1,enemy_skill_triggers!$1:$1,0)-MATCH($F$1,enemy_skill_triggers!$1:$1,0)+1),MATCH(G$1,enemy_skill_triggers!$1:$1,0)-MATCH($F$1,enemy_skill_triggers!$1:$1,0)+1,FALSE)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2" s="42">
        <f ca="1">VLOOKUP($F132,OFFSET(enemy_skill_triggers!$A$1,0,0,COUNTA(enemy_skill_triggers!$A:$A),MATCH(H$1,enemy_skill_triggers!$1:$1,0)-MATCH($F$1,enemy_skill_triggers!$1:$1,0)+1),MATCH(H$1,enemy_skill_triggers!$1:$1,0)-MATCH($F$1,enemy_skill_triggers!$1:$1,0)+1,FALSE)</f>
        <v>951</v>
      </c>
      <c r="I132" s="42">
        <f ca="1">VLOOKUP($F132,OFFSET(enemy_skill_triggers!$A$1,0,0,COUNTA(enemy_skill_triggers!$A:$A),MATCH(I$1,enemy_skill_triggers!$1:$1,0)-MATCH($F$1,enemy_skill_triggers!$1:$1,0)+1),MATCH(I$1,enemy_skill_triggers!$1:$1,0)-MATCH($F$1,enemy_skill_triggers!$1:$1,0)+1,FALSE)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2" s="42" t="str">
        <f ca="1">VLOOKUP($F132,OFFSET(enemy_skill_triggers!$A$1,0,0,COUNTA(enemy_skill_triggers!$A:$A),MATCH(J$1,enemy_skill_triggers!$1:$1,0)-MATCH($F$1,enemy_skill_triggers!$1:$1,0)+1),MATCH(J$1,enemy_skill_triggers!$1:$1,0)-MATCH($F$1,enemy_skill_triggers!$1:$1,0)+1,FALSE)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2" s="42" t="str">
        <f ca="1">VLOOKUP($F132,OFFSET(enemy_skill_triggers!$A$1,0,0,COUNTA(enemy_skill_triggers!$A:$A),MATCH(K$1,enemy_skill_triggers!$1:$1,0)-MATCH($F$1,enemy_skill_triggers!$1:$1,0)+1),MATCH(K$1,enemy_skill_triggers!$1:$1,0)-MATCH($F$1,enemy_skill_triggers!$1:$1,0)+1,FALSE)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2" s="42">
        <f ca="1">VLOOKUP($F132,OFFSET(enemy_skill_triggers!$A$1,0,0,COUNTA(enemy_skill_triggers!$A:$A),MATCH(L$1,enemy_skill_triggers!$1:$1,0)-MATCH($F$1,enemy_skill_triggers!$1:$1,0)+1),MATCH(L$1,enemy_skill_triggers!$1:$1,0)-MATCH($F$1,enemy_skill_triggers!$1:$1,0)+1,FALSE)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2" s="42" t="str">
        <f ca="1">VLOOKUP($F132,OFFSET(enemy_skill_triggers!$A$1,0,0,COUNTA(enemy_skill_triggers!$A:$A),MATCH(M$1,enemy_skill_triggers!$1:$1,0)-MATCH($F$1,enemy_skill_triggers!$1:$1,0)+1),MATCH(M$1,enemy_skill_triggers!$1:$1,0)-MATCH($F$1,enemy_skill_triggers!$1:$1,0)+1,FALSE)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2" s="42">
        <f ca="1">VLOOKUP($F132,OFFSET(enemy_skill_triggers!$A$1,0,0,COUNTA(enemy_skill_triggers!$A:$A),MATCH(N$1,enemy_skill_triggers!$1:$1,0)-MATCH($F$1,enemy_skill_triggers!$1:$1,0)+1),MATCH(N$1,enemy_skill_triggers!$1:$1,0)-MATCH($F$1,enemy_skill_triggers!$1:$1,0)+1,FALSE)</f>
        <v>1313</v>
      </c>
      <c r="O132" s="42">
        <f ca="1">VLOOKUP($F132,OFFSET(enemy_skill_triggers!$A$1,0,0,COUNTA(enemy_skill_triggers!$A:$A),MATCH(O$1,enemy_skill_triggers!$1:$1,0)-MATCH($F$1,enemy_skill_triggers!$1:$1,0)+1),MATCH(O$1,enemy_skill_triggers!$1:$1,0)-MATCH($F$1,enemy_skill_triggers!$1:$1,0)+1,FALSE)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2" s="41"/>
      <c r="Q132" s="41"/>
      <c r="R132" s="41" t="s">
        <v>332</v>
      </c>
    </row>
    <row r="133" spans="1:18" ht="21" customHeight="1" x14ac:dyDescent="0.15">
      <c r="A133" s="33" t="str">
        <f t="shared" si="12"/>
        <v>39008006_39008038</v>
      </c>
      <c r="B133" s="102">
        <v>39008006</v>
      </c>
      <c r="C133" s="119">
        <v>39008038</v>
      </c>
      <c r="D133" s="40" t="str">
        <f ca="1">VLOOKUP($C133,OFFSET(enemy_skills!$A$1,0,0,COUNTA(enemy_skills!$A:$A),MATCH(D$1,enemy_skills!$1:$1,0)-MATCH("enemy_skill_id",enemy_skills!$1:$1,0)+1),MATCH(D$1,enemy_skills!$1:$1,0)-MATCH("enemy_skill_id",enemy_skills!$1:$1,0)+1,FALSE)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33" s="40" t="str">
        <f ca="1">VLOOKUP($C133,OFFSET(enemy_skills!$A$1,0,0,COUNTA(enemy_skills!$A:$A),MATCH(E$1,enemy_skills!$1:$1,0)-MATCH("enemy_skill_id",enemy_skills!$1:$1,0)+1),MATCH(E$1,enemy_skills!$1:$1,0)-MATCH("enemy_skill_id",enemy_skills!$1:$1,0)+1,FALSE)</f>
        <v>そっか！めーちゃんが助けてくれたんだね！ありがとうっ！</v>
      </c>
      <c r="F133" s="122">
        <v>39008081</v>
      </c>
      <c r="G133" s="42">
        <f ca="1">VLOOKUP($F133,OFFSET(enemy_skill_triggers!$A$1,0,0,COUNTA(enemy_skill_triggers!$A:$A),MATCH(G$1,enemy_skill_triggers!$1:$1,0)-MATCH($F$1,enemy_skill_triggers!$1:$1,0)+1),MATCH(G$1,enemy_skill_triggers!$1:$1,0)-MATCH($F$1,enemy_skill_triggers!$1:$1,0)+1,FALSE)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3" s="42">
        <f ca="1">VLOOKUP($F133,OFFSET(enemy_skill_triggers!$A$1,0,0,COUNTA(enemy_skill_triggers!$A:$A),MATCH(H$1,enemy_skill_triggers!$1:$1,0)-MATCH($F$1,enemy_skill_triggers!$1:$1,0)+1),MATCH(H$1,enemy_skill_triggers!$1:$1,0)-MATCH($F$1,enemy_skill_triggers!$1:$1,0)+1,FALSE)</f>
        <v>950</v>
      </c>
      <c r="I133" s="42">
        <f ca="1">VLOOKUP($F133,OFFSET(enemy_skill_triggers!$A$1,0,0,COUNTA(enemy_skill_triggers!$A:$A),MATCH(I$1,enemy_skill_triggers!$1:$1,0)-MATCH($F$1,enemy_skill_triggers!$1:$1,0)+1),MATCH(I$1,enemy_skill_triggers!$1:$1,0)-MATCH($F$1,enemy_skill_triggers!$1:$1,0)+1,FALSE)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3" s="42" t="str">
        <f ca="1">VLOOKUP($F133,OFFSET(enemy_skill_triggers!$A$1,0,0,COUNTA(enemy_skill_triggers!$A:$A),MATCH(J$1,enemy_skill_triggers!$1:$1,0)-MATCH($F$1,enemy_skill_triggers!$1:$1,0)+1),MATCH(J$1,enemy_skill_triggers!$1:$1,0)-MATCH($F$1,enemy_skill_triggers!$1:$1,0)+1,FALSE)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3" s="42" t="str">
        <f ca="1">VLOOKUP($F133,OFFSET(enemy_skill_triggers!$A$1,0,0,COUNTA(enemy_skill_triggers!$A:$A),MATCH(K$1,enemy_skill_triggers!$1:$1,0)-MATCH($F$1,enemy_skill_triggers!$1:$1,0)+1),MATCH(K$1,enemy_skill_triggers!$1:$1,0)-MATCH($F$1,enemy_skill_triggers!$1:$1,0)+1,FALSE)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3" s="42">
        <f ca="1">VLOOKUP($F133,OFFSET(enemy_skill_triggers!$A$1,0,0,COUNTA(enemy_skill_triggers!$A:$A),MATCH(L$1,enemy_skill_triggers!$1:$1,0)-MATCH($F$1,enemy_skill_triggers!$1:$1,0)+1),MATCH(L$1,enemy_skill_triggers!$1:$1,0)-MATCH($F$1,enemy_skill_triggers!$1:$1,0)+1,FALSE)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3" s="42" t="str">
        <f ca="1">VLOOKUP($F133,OFFSET(enemy_skill_triggers!$A$1,0,0,COUNTA(enemy_skill_triggers!$A:$A),MATCH(M$1,enemy_skill_triggers!$1:$1,0)-MATCH($F$1,enemy_skill_triggers!$1:$1,0)+1),MATCH(M$1,enemy_skill_triggers!$1:$1,0)-MATCH($F$1,enemy_skill_triggers!$1:$1,0)+1,FALSE)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3" s="42">
        <f ca="1">VLOOKUP($F133,OFFSET(enemy_skill_triggers!$A$1,0,0,COUNTA(enemy_skill_triggers!$A:$A),MATCH(N$1,enemy_skill_triggers!$1:$1,0)-MATCH($F$1,enemy_skill_triggers!$1:$1,0)+1),MATCH(N$1,enemy_skill_triggers!$1:$1,0)-MATCH($F$1,enemy_skill_triggers!$1:$1,0)+1,FALSE)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133" s="42">
        <f ca="1">VLOOKUP($F133,OFFSET(enemy_skill_triggers!$A$1,0,0,COUNTA(enemy_skill_triggers!$A:$A),MATCH(O$1,enemy_skill_triggers!$1:$1,0)-MATCH($F$1,enemy_skill_triggers!$1:$1,0)+1),MATCH(O$1,enemy_skill_triggers!$1:$1,0)-MATCH($F$1,enemy_skill_triggers!$1:$1,0)+1,FALSE)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3" s="41"/>
      <c r="Q133" s="41"/>
      <c r="R133" s="41" t="s">
        <v>336</v>
      </c>
    </row>
    <row r="134" spans="1:18" ht="21" customHeight="1" x14ac:dyDescent="0.15">
      <c r="A134" s="33" t="str">
        <f t="shared" si="12"/>
        <v>39008006_39008038</v>
      </c>
      <c r="B134" s="102">
        <v>39008006</v>
      </c>
      <c r="C134" s="119">
        <v>39008038</v>
      </c>
      <c r="D134" s="40" t="str">
        <f ca="1">VLOOKUP($C134,OFFSET(enemy_skills!$A$1,0,0,COUNTA(enemy_skills!$A:$A),MATCH(D$1,enemy_skills!$1:$1,0)-MATCH("enemy_skill_id",enemy_skills!$1:$1,0)+1),MATCH(D$1,enemy_skills!$1:$1,0)-MATCH("enemy_skill_id",enemy_skills!$1:$1,0)+1,FALSE)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34" s="40" t="str">
        <f ca="1">VLOOKUP($C134,OFFSET(enemy_skills!$A$1,0,0,COUNTA(enemy_skills!$A:$A),MATCH(E$1,enemy_skills!$1:$1,0)-MATCH("enemy_skill_id",enemy_skills!$1:$1,0)+1),MATCH(E$1,enemy_skills!$1:$1,0)-MATCH("enemy_skill_id",enemy_skills!$1:$1,0)+1,FALSE)</f>
        <v>そっか！めーちゃんが助けてくれたんだね！ありがとうっ！</v>
      </c>
      <c r="F134" s="122">
        <v>39008082</v>
      </c>
      <c r="G134" s="42">
        <f ca="1">VLOOKUP($F134,OFFSET(enemy_skill_triggers!$A$1,0,0,COUNTA(enemy_skill_triggers!$A:$A),MATCH(G$1,enemy_skill_triggers!$1:$1,0)-MATCH($F$1,enemy_skill_triggers!$1:$1,0)+1),MATCH(G$1,enemy_skill_triggers!$1:$1,0)-MATCH($F$1,enemy_skill_triggers!$1:$1,0)+1,FALSE)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4" s="42">
        <f ca="1">VLOOKUP($F134,OFFSET(enemy_skill_triggers!$A$1,0,0,COUNTA(enemy_skill_triggers!$A:$A),MATCH(H$1,enemy_skill_triggers!$1:$1,0)-MATCH($F$1,enemy_skill_triggers!$1:$1,0)+1),MATCH(H$1,enemy_skill_triggers!$1:$1,0)-MATCH($F$1,enemy_skill_triggers!$1:$1,0)+1,FALSE)</f>
        <v>949</v>
      </c>
      <c r="I134" s="42">
        <f ca="1">VLOOKUP($F134,OFFSET(enemy_skill_triggers!$A$1,0,0,COUNTA(enemy_skill_triggers!$A:$A),MATCH(I$1,enemy_skill_triggers!$1:$1,0)-MATCH($F$1,enemy_skill_triggers!$1:$1,0)+1),MATCH(I$1,enemy_skill_triggers!$1:$1,0)-MATCH($F$1,enemy_skill_triggers!$1:$1,0)+1,FALSE)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4" s="42" t="str">
        <f ca="1">VLOOKUP($F134,OFFSET(enemy_skill_triggers!$A$1,0,0,COUNTA(enemy_skill_triggers!$A:$A),MATCH(J$1,enemy_skill_triggers!$1:$1,0)-MATCH($F$1,enemy_skill_triggers!$1:$1,0)+1),MATCH(J$1,enemy_skill_triggers!$1:$1,0)-MATCH($F$1,enemy_skill_triggers!$1:$1,0)+1,FALSE)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4" s="42" t="str">
        <f ca="1">VLOOKUP($F134,OFFSET(enemy_skill_triggers!$A$1,0,0,COUNTA(enemy_skill_triggers!$A:$A),MATCH(K$1,enemy_skill_triggers!$1:$1,0)-MATCH($F$1,enemy_skill_triggers!$1:$1,0)+1),MATCH(K$1,enemy_skill_triggers!$1:$1,0)-MATCH($F$1,enemy_skill_triggers!$1:$1,0)+1,FALSE)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4" s="42">
        <f ca="1">VLOOKUP($F134,OFFSET(enemy_skill_triggers!$A$1,0,0,COUNTA(enemy_skill_triggers!$A:$A),MATCH(L$1,enemy_skill_triggers!$1:$1,0)-MATCH($F$1,enemy_skill_triggers!$1:$1,0)+1),MATCH(L$1,enemy_skill_triggers!$1:$1,0)-MATCH($F$1,enemy_skill_triggers!$1:$1,0)+1,FALSE)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4" s="42" t="str">
        <f ca="1">VLOOKUP($F134,OFFSET(enemy_skill_triggers!$A$1,0,0,COUNTA(enemy_skill_triggers!$A:$A),MATCH(M$1,enemy_skill_triggers!$1:$1,0)-MATCH($F$1,enemy_skill_triggers!$1:$1,0)+1),MATCH(M$1,enemy_skill_triggers!$1:$1,0)-MATCH($F$1,enemy_skill_triggers!$1:$1,0)+1,FALSE)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4" s="42">
        <f ca="1">VLOOKUP($F134,OFFSET(enemy_skill_triggers!$A$1,0,0,COUNTA(enemy_skill_triggers!$A:$A),MATCH(N$1,enemy_skill_triggers!$1:$1,0)-MATCH($F$1,enemy_skill_triggers!$1:$1,0)+1),MATCH(N$1,enemy_skill_triggers!$1:$1,0)-MATCH($F$1,enemy_skill_triggers!$1:$1,0)+1,FALSE)</f>
        <v>550</v>
      </c>
      <c r="O134" s="42">
        <f ca="1">VLOOKUP($F134,OFFSET(enemy_skill_triggers!$A$1,0,0,COUNTA(enemy_skill_triggers!$A:$A),MATCH(O$1,enemy_skill_triggers!$1:$1,0)-MATCH($F$1,enemy_skill_triggers!$1:$1,0)+1),MATCH(O$1,enemy_skill_triggers!$1:$1,0)-MATCH($F$1,enemy_skill_triggers!$1:$1,0)+1,FALSE)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4" s="41"/>
      <c r="Q134" s="41"/>
      <c r="R134" s="41" t="s">
        <v>337</v>
      </c>
    </row>
    <row r="135" spans="1:18" ht="21" customHeight="1" x14ac:dyDescent="0.15">
      <c r="A135" s="33" t="str">
        <f t="shared" si="12"/>
        <v>39008006_39008038</v>
      </c>
      <c r="B135" s="102">
        <v>39008006</v>
      </c>
      <c r="C135" s="119">
        <v>39008038</v>
      </c>
      <c r="D135" s="40" t="str">
        <f ca="1">VLOOKUP($C135,OFFSET(enemy_skills!$A$1,0,0,COUNTA(enemy_skills!$A:$A),MATCH(D$1,enemy_skills!$1:$1,0)-MATCH("enemy_skill_id",enemy_skills!$1:$1,0)+1),MATCH(D$1,enemy_skills!$1:$1,0)-MATCH("enemy_skill_id",enemy_skills!$1:$1,0)+1,FALSE)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35" s="40" t="str">
        <f ca="1">VLOOKUP($C135,OFFSET(enemy_skills!$A$1,0,0,COUNTA(enemy_skills!$A:$A),MATCH(E$1,enemy_skills!$1:$1,0)-MATCH("enemy_skill_id",enemy_skills!$1:$1,0)+1),MATCH(E$1,enemy_skills!$1:$1,0)-MATCH("enemy_skill_id",enemy_skills!$1:$1,0)+1,FALSE)</f>
        <v>そっか！めーちゃんが助けてくれたんだね！ありがとうっ！</v>
      </c>
      <c r="F135" s="122">
        <v>39008083</v>
      </c>
      <c r="G135" s="42">
        <f ca="1">VLOOKUP($F135,OFFSET(enemy_skill_triggers!$A$1,0,0,COUNTA(enemy_skill_triggers!$A:$A),MATCH(G$1,enemy_skill_triggers!$1:$1,0)-MATCH($F$1,enemy_skill_triggers!$1:$1,0)+1),MATCH(G$1,enemy_skill_triggers!$1:$1,0)-MATCH($F$1,enemy_skill_triggers!$1:$1,0)+1,FALSE)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5" s="42">
        <f ca="1">VLOOKUP($F135,OFFSET(enemy_skill_triggers!$A$1,0,0,COUNTA(enemy_skill_triggers!$A:$A),MATCH(H$1,enemy_skill_triggers!$1:$1,0)-MATCH($F$1,enemy_skill_triggers!$1:$1,0)+1),MATCH(H$1,enemy_skill_triggers!$1:$1,0)-MATCH($F$1,enemy_skill_triggers!$1:$1,0)+1,FALSE)</f>
        <v>948</v>
      </c>
      <c r="I135" s="42">
        <f ca="1">VLOOKUP($F135,OFFSET(enemy_skill_triggers!$A$1,0,0,COUNTA(enemy_skill_triggers!$A:$A),MATCH(I$1,enemy_skill_triggers!$1:$1,0)-MATCH($F$1,enemy_skill_triggers!$1:$1,0)+1),MATCH(I$1,enemy_skill_triggers!$1:$1,0)-MATCH($F$1,enemy_skill_triggers!$1:$1,0)+1,FALSE)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5" s="42" t="str">
        <f ca="1">VLOOKUP($F135,OFFSET(enemy_skill_triggers!$A$1,0,0,COUNTA(enemy_skill_triggers!$A:$A),MATCH(J$1,enemy_skill_triggers!$1:$1,0)-MATCH($F$1,enemy_skill_triggers!$1:$1,0)+1),MATCH(J$1,enemy_skill_triggers!$1:$1,0)-MATCH($F$1,enemy_skill_triggers!$1:$1,0)+1,FALSE)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5" s="42" t="str">
        <f ca="1">VLOOKUP($F135,OFFSET(enemy_skill_triggers!$A$1,0,0,COUNTA(enemy_skill_triggers!$A:$A),MATCH(K$1,enemy_skill_triggers!$1:$1,0)-MATCH($F$1,enemy_skill_triggers!$1:$1,0)+1),MATCH(K$1,enemy_skill_triggers!$1:$1,0)-MATCH($F$1,enemy_skill_triggers!$1:$1,0)+1,FALSE)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5" s="42">
        <f ca="1">VLOOKUP($F135,OFFSET(enemy_skill_triggers!$A$1,0,0,COUNTA(enemy_skill_triggers!$A:$A),MATCH(L$1,enemy_skill_triggers!$1:$1,0)-MATCH($F$1,enemy_skill_triggers!$1:$1,0)+1),MATCH(L$1,enemy_skill_triggers!$1:$1,0)-MATCH($F$1,enemy_skill_triggers!$1:$1,0)+1,FALSE)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5" s="42" t="str">
        <f ca="1">VLOOKUP($F135,OFFSET(enemy_skill_triggers!$A$1,0,0,COUNTA(enemy_skill_triggers!$A:$A),MATCH(M$1,enemy_skill_triggers!$1:$1,0)-MATCH($F$1,enemy_skill_triggers!$1:$1,0)+1),MATCH(M$1,enemy_skill_triggers!$1:$1,0)-MATCH($F$1,enemy_skill_triggers!$1:$1,0)+1,FALSE)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5" s="42">
        <f ca="1">VLOOKUP($F135,OFFSET(enemy_skill_triggers!$A$1,0,0,COUNTA(enemy_skill_triggers!$A:$A),MATCH(N$1,enemy_skill_triggers!$1:$1,0)-MATCH($F$1,enemy_skill_triggers!$1:$1,0)+1),MATCH(N$1,enemy_skill_triggers!$1:$1,0)-MATCH($F$1,enemy_skill_triggers!$1:$1,0)+1,FALSE)</f>
        <v>1314</v>
      </c>
      <c r="O135" s="42">
        <f ca="1">VLOOKUP($F135,OFFSET(enemy_skill_triggers!$A$1,0,0,COUNTA(enemy_skill_triggers!$A:$A),MATCH(O$1,enemy_skill_triggers!$1:$1,0)-MATCH($F$1,enemy_skill_triggers!$1:$1,0)+1),MATCH(O$1,enemy_skill_triggers!$1:$1,0)-MATCH($F$1,enemy_skill_triggers!$1:$1,0)+1,FALSE)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5" s="41"/>
      <c r="Q135" s="41"/>
      <c r="R135" s="41" t="s">
        <v>334</v>
      </c>
    </row>
    <row r="136" spans="1:18" ht="21" customHeight="1" x14ac:dyDescent="0.15">
      <c r="A136" s="33" t="str">
        <f t="shared" si="12"/>
        <v>39008006_39008037</v>
      </c>
      <c r="B136" s="102">
        <v>39008006</v>
      </c>
      <c r="C136" s="119">
        <v>39008037</v>
      </c>
      <c r="D136" s="40" t="str">
        <f ca="1">VLOOKUP($C136,OFFSET(enemy_skills!$A$1,0,0,COUNTA(enemy_skills!$A:$A),MATCH(D$1,enemy_skills!$1:$1,0)-MATCH("enemy_skill_id",enemy_skills!$1:$1,0)+1),MATCH(D$1,enemy_skills!$1:$1,0)-MATCH("enemy_skill_id",enemy_skills!$1:$1,0)+1,FALSE)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36" s="40" t="str">
        <f ca="1">VLOOKUP($C136,OFFSET(enemy_skills!$A$1,0,0,COUNTA(enemy_skills!$A:$A),MATCH(E$1,enemy_skills!$1:$1,0)-MATCH("enemy_skill_id",enemy_skills!$1:$1,0)+1),MATCH(E$1,enemy_skills!$1:$1,0)-MATCH("enemy_skill_id",enemy_skills!$1:$1,0)+1,FALSE)</f>
        <v>そっか！ルカねぇが助けてくれたんだね！ありがとうっ！</v>
      </c>
      <c r="F136" s="122">
        <v>39008084</v>
      </c>
      <c r="G136" s="42">
        <f ca="1">VLOOKUP($F136,OFFSET(enemy_skill_triggers!$A$1,0,0,COUNTA(enemy_skill_triggers!$A:$A),MATCH(G$1,enemy_skill_triggers!$1:$1,0)-MATCH($F$1,enemy_skill_triggers!$1:$1,0)+1),MATCH(G$1,enemy_skill_triggers!$1:$1,0)-MATCH($F$1,enemy_skill_triggers!$1:$1,0)+1,FALSE)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6" s="42">
        <f ca="1">VLOOKUP($F136,OFFSET(enemy_skill_triggers!$A$1,0,0,COUNTA(enemy_skill_triggers!$A:$A),MATCH(H$1,enemy_skill_triggers!$1:$1,0)-MATCH($F$1,enemy_skill_triggers!$1:$1,0)+1),MATCH(H$1,enemy_skill_triggers!$1:$1,0)-MATCH($F$1,enemy_skill_triggers!$1:$1,0)+1,FALSE)</f>
        <v>947</v>
      </c>
      <c r="I136" s="42">
        <f ca="1">VLOOKUP($F136,OFFSET(enemy_skill_triggers!$A$1,0,0,COUNTA(enemy_skill_triggers!$A:$A),MATCH(I$1,enemy_skill_triggers!$1:$1,0)-MATCH($F$1,enemy_skill_triggers!$1:$1,0)+1),MATCH(I$1,enemy_skill_triggers!$1:$1,0)-MATCH($F$1,enemy_skill_triggers!$1:$1,0)+1,FALSE)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6" s="42" t="str">
        <f ca="1">VLOOKUP($F136,OFFSET(enemy_skill_triggers!$A$1,0,0,COUNTA(enemy_skill_triggers!$A:$A),MATCH(J$1,enemy_skill_triggers!$1:$1,0)-MATCH($F$1,enemy_skill_triggers!$1:$1,0)+1),MATCH(J$1,enemy_skill_triggers!$1:$1,0)-MATCH($F$1,enemy_skill_triggers!$1:$1,0)+1,FALSE)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6" s="42" t="str">
        <f ca="1">VLOOKUP($F136,OFFSET(enemy_skill_triggers!$A$1,0,0,COUNTA(enemy_skill_triggers!$A:$A),MATCH(K$1,enemy_skill_triggers!$1:$1,0)-MATCH($F$1,enemy_skill_triggers!$1:$1,0)+1),MATCH(K$1,enemy_skill_triggers!$1:$1,0)-MATCH($F$1,enemy_skill_triggers!$1:$1,0)+1,FALSE)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6" s="42">
        <f ca="1">VLOOKUP($F136,OFFSET(enemy_skill_triggers!$A$1,0,0,COUNTA(enemy_skill_triggers!$A:$A),MATCH(L$1,enemy_skill_triggers!$1:$1,0)-MATCH($F$1,enemy_skill_triggers!$1:$1,0)+1),MATCH(L$1,enemy_skill_triggers!$1:$1,0)-MATCH($F$1,enemy_skill_triggers!$1:$1,0)+1,FALSE)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6" s="42" t="str">
        <f ca="1">VLOOKUP($F136,OFFSET(enemy_skill_triggers!$A$1,0,0,COUNTA(enemy_skill_triggers!$A:$A),MATCH(M$1,enemy_skill_triggers!$1:$1,0)-MATCH($F$1,enemy_skill_triggers!$1:$1,0)+1),MATCH(M$1,enemy_skill_triggers!$1:$1,0)-MATCH($F$1,enemy_skill_triggers!$1:$1,0)+1,FALSE)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6" s="42">
        <f ca="1">VLOOKUP($F136,OFFSET(enemy_skill_triggers!$A$1,0,0,COUNTA(enemy_skill_triggers!$A:$A),MATCH(N$1,enemy_skill_triggers!$1:$1,0)-MATCH($F$1,enemy_skill_triggers!$1:$1,0)+1),MATCH(N$1,enemy_skill_triggers!$1:$1,0)-MATCH($F$1,enemy_skill_triggers!$1:$1,0)+1,FALSE)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136" s="42">
        <f ca="1">VLOOKUP($F136,OFFSET(enemy_skill_triggers!$A$1,0,0,COUNTA(enemy_skill_triggers!$A:$A),MATCH(O$1,enemy_skill_triggers!$1:$1,0)-MATCH($F$1,enemy_skill_triggers!$1:$1,0)+1),MATCH(O$1,enemy_skill_triggers!$1:$1,0)-MATCH($F$1,enemy_skill_triggers!$1:$1,0)+1,FALSE)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6" s="41"/>
      <c r="Q136" s="41"/>
      <c r="R136" s="41" t="s">
        <v>338</v>
      </c>
    </row>
    <row r="137" spans="1:18" ht="21" customHeight="1" x14ac:dyDescent="0.15">
      <c r="A137" s="33" t="str">
        <f t="shared" si="12"/>
        <v>39008006_39008037</v>
      </c>
      <c r="B137" s="102">
        <v>39008006</v>
      </c>
      <c r="C137" s="119">
        <v>39008037</v>
      </c>
      <c r="D137" s="40" t="str">
        <f ca="1">VLOOKUP($C137,OFFSET(enemy_skills!$A$1,0,0,COUNTA(enemy_skills!$A:$A),MATCH(D$1,enemy_skills!$1:$1,0)-MATCH("enemy_skill_id",enemy_skills!$1:$1,0)+1),MATCH(D$1,enemy_skills!$1:$1,0)-MATCH("enemy_skill_id",enemy_skills!$1:$1,0)+1,FALSE)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37" s="40" t="str">
        <f ca="1">VLOOKUP($C137,OFFSET(enemy_skills!$A$1,0,0,COUNTA(enemy_skills!$A:$A),MATCH(E$1,enemy_skills!$1:$1,0)-MATCH("enemy_skill_id",enemy_skills!$1:$1,0)+1),MATCH(E$1,enemy_skills!$1:$1,0)-MATCH("enemy_skill_id",enemy_skills!$1:$1,0)+1,FALSE)</f>
        <v>そっか！ルカねぇが助けてくれたんだね！ありがとうっ！</v>
      </c>
      <c r="F137" s="122">
        <v>39008085</v>
      </c>
      <c r="G137" s="42">
        <f ca="1">VLOOKUP($F137,OFFSET(enemy_skill_triggers!$A$1,0,0,COUNTA(enemy_skill_triggers!$A:$A),MATCH(G$1,enemy_skill_triggers!$1:$1,0)-MATCH($F$1,enemy_skill_triggers!$1:$1,0)+1),MATCH(G$1,enemy_skill_triggers!$1:$1,0)-MATCH($F$1,enemy_skill_triggers!$1:$1,0)+1,FALSE)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7" s="42">
        <f ca="1">VLOOKUP($F137,OFFSET(enemy_skill_triggers!$A$1,0,0,COUNTA(enemy_skill_triggers!$A:$A),MATCH(H$1,enemy_skill_triggers!$1:$1,0)-MATCH($F$1,enemy_skill_triggers!$1:$1,0)+1),MATCH(H$1,enemy_skill_triggers!$1:$1,0)-MATCH($F$1,enemy_skill_triggers!$1:$1,0)+1,FALSE)</f>
        <v>946</v>
      </c>
      <c r="I137" s="42">
        <f ca="1">VLOOKUP($F137,OFFSET(enemy_skill_triggers!$A$1,0,0,COUNTA(enemy_skill_triggers!$A:$A),MATCH(I$1,enemy_skill_triggers!$1:$1,0)-MATCH($F$1,enemy_skill_triggers!$1:$1,0)+1),MATCH(I$1,enemy_skill_triggers!$1:$1,0)-MATCH($F$1,enemy_skill_triggers!$1:$1,0)+1,FALSE)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7" s="42" t="str">
        <f ca="1">VLOOKUP($F137,OFFSET(enemy_skill_triggers!$A$1,0,0,COUNTA(enemy_skill_triggers!$A:$A),MATCH(J$1,enemy_skill_triggers!$1:$1,0)-MATCH($F$1,enemy_skill_triggers!$1:$1,0)+1),MATCH(J$1,enemy_skill_triggers!$1:$1,0)-MATCH($F$1,enemy_skill_triggers!$1:$1,0)+1,FALSE)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7" s="42" t="str">
        <f ca="1">VLOOKUP($F137,OFFSET(enemy_skill_triggers!$A$1,0,0,COUNTA(enemy_skill_triggers!$A:$A),MATCH(K$1,enemy_skill_triggers!$1:$1,0)-MATCH($F$1,enemy_skill_triggers!$1:$1,0)+1),MATCH(K$1,enemy_skill_triggers!$1:$1,0)-MATCH($F$1,enemy_skill_triggers!$1:$1,0)+1,FALSE)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7" s="42">
        <f ca="1">VLOOKUP($F137,OFFSET(enemy_skill_triggers!$A$1,0,0,COUNTA(enemy_skill_triggers!$A:$A),MATCH(L$1,enemy_skill_triggers!$1:$1,0)-MATCH($F$1,enemy_skill_triggers!$1:$1,0)+1),MATCH(L$1,enemy_skill_triggers!$1:$1,0)-MATCH($F$1,enemy_skill_triggers!$1:$1,0)+1,FALSE)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7" s="42" t="str">
        <f ca="1">VLOOKUP($F137,OFFSET(enemy_skill_triggers!$A$1,0,0,COUNTA(enemy_skill_triggers!$A:$A),MATCH(M$1,enemy_skill_triggers!$1:$1,0)-MATCH($F$1,enemy_skill_triggers!$1:$1,0)+1),MATCH(M$1,enemy_skill_triggers!$1:$1,0)-MATCH($F$1,enemy_skill_triggers!$1:$1,0)+1,FALSE)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7" s="42">
        <f ca="1">VLOOKUP($F137,OFFSET(enemy_skill_triggers!$A$1,0,0,COUNTA(enemy_skill_triggers!$A:$A),MATCH(N$1,enemy_skill_triggers!$1:$1,0)-MATCH($F$1,enemy_skill_triggers!$1:$1,0)+1),MATCH(N$1,enemy_skill_triggers!$1:$1,0)-MATCH($F$1,enemy_skill_triggers!$1:$1,0)+1,FALSE)</f>
        <v>1323</v>
      </c>
      <c r="O137" s="42">
        <f ca="1">VLOOKUP($F137,OFFSET(enemy_skill_triggers!$A$1,0,0,COUNTA(enemy_skill_triggers!$A:$A),MATCH(O$1,enemy_skill_triggers!$1:$1,0)-MATCH($F$1,enemy_skill_triggers!$1:$1,0)+1),MATCH(O$1,enemy_skill_triggers!$1:$1,0)-MATCH($F$1,enemy_skill_triggers!$1:$1,0)+1,FALSE)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7" s="41"/>
      <c r="Q137" s="41"/>
      <c r="R137" s="41" t="s">
        <v>339</v>
      </c>
    </row>
    <row r="138" spans="1:18" ht="21" customHeight="1" x14ac:dyDescent="0.15">
      <c r="A138" s="33" t="str">
        <f t="shared" si="12"/>
        <v>39008006_39008033</v>
      </c>
      <c r="B138" s="102">
        <v>39008006</v>
      </c>
      <c r="C138" s="119">
        <v>39008033</v>
      </c>
      <c r="D138" s="40" t="str">
        <f ca="1">VLOOKUP($C138,OFFSET(enemy_skills!$A$1,0,0,COUNTA(enemy_skills!$A:$A),MATCH(D$1,enemy_skills!$1:$1,0)-MATCH("enemy_skill_id",enemy_skills!$1:$1,0)+1),MATCH(D$1,enemy_skills!$1:$1,0)-MATCH("enemy_skill_id",enemy_skills!$1:$1,0)+1,FALSE)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38" s="40" t="str">
        <f ca="1">VLOOKUP($C138,OFFSET(enemy_skills!$A$1,0,0,COUNTA(enemy_skills!$A:$A),MATCH(E$1,enemy_skills!$1:$1,0)-MATCH("enemy_skill_id",enemy_skills!$1:$1,0)+1),MATCH(E$1,enemy_skills!$1:$1,0)-MATCH("enemy_skill_id",enemy_skills!$1:$1,0)+1,FALSE)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38" s="122">
        <v>39008086</v>
      </c>
      <c r="G138" s="42">
        <f ca="1">VLOOKUP($F138,OFFSET(enemy_skill_triggers!$A$1,0,0,COUNTA(enemy_skill_triggers!$A:$A),MATCH(G$1,enemy_skill_triggers!$1:$1,0)-MATCH($F$1,enemy_skill_triggers!$1:$1,0)+1),MATCH(G$1,enemy_skill_triggers!$1:$1,0)-MATCH($F$1,enemy_skill_triggers!$1:$1,0)+1,FALSE)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8" s="42">
        <f ca="1">VLOOKUP($F138,OFFSET(enemy_skill_triggers!$A$1,0,0,COUNTA(enemy_skill_triggers!$A:$A),MATCH(H$1,enemy_skill_triggers!$1:$1,0)-MATCH($F$1,enemy_skill_triggers!$1:$1,0)+1),MATCH(H$1,enemy_skill_triggers!$1:$1,0)-MATCH($F$1,enemy_skill_triggers!$1:$1,0)+1,FALSE)</f>
        <v>945</v>
      </c>
      <c r="I138" s="42">
        <f ca="1">VLOOKUP($F138,OFFSET(enemy_skill_triggers!$A$1,0,0,COUNTA(enemy_skill_triggers!$A:$A),MATCH(I$1,enemy_skill_triggers!$1:$1,0)-MATCH($F$1,enemy_skill_triggers!$1:$1,0)+1),MATCH(I$1,enemy_skill_triggers!$1:$1,0)-MATCH($F$1,enemy_skill_triggers!$1:$1,0)+1,FALSE)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8" s="42" t="str">
        <f ca="1">VLOOKUP($F138,OFFSET(enemy_skill_triggers!$A$1,0,0,COUNTA(enemy_skill_triggers!$A:$A),MATCH(J$1,enemy_skill_triggers!$1:$1,0)-MATCH($F$1,enemy_skill_triggers!$1:$1,0)+1),MATCH(J$1,enemy_skill_triggers!$1:$1,0)-MATCH($F$1,enemy_skill_triggers!$1:$1,0)+1,FALSE)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8" s="42" t="str">
        <f ca="1">VLOOKUP($F138,OFFSET(enemy_skill_triggers!$A$1,0,0,COUNTA(enemy_skill_triggers!$A:$A),MATCH(K$1,enemy_skill_triggers!$1:$1,0)-MATCH($F$1,enemy_skill_triggers!$1:$1,0)+1),MATCH(K$1,enemy_skill_triggers!$1:$1,0)-MATCH($F$1,enemy_skill_triggers!$1:$1,0)+1,FALSE)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8" s="42">
        <f ca="1">VLOOKUP($F138,OFFSET(enemy_skill_triggers!$A$1,0,0,COUNTA(enemy_skill_triggers!$A:$A),MATCH(L$1,enemy_skill_triggers!$1:$1,0)-MATCH($F$1,enemy_skill_triggers!$1:$1,0)+1),MATCH(L$1,enemy_skill_triggers!$1:$1,0)-MATCH($F$1,enemy_skill_triggers!$1:$1,0)+1,FALSE)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8" s="42" t="str">
        <f ca="1">VLOOKUP($F138,OFFSET(enemy_skill_triggers!$A$1,0,0,COUNTA(enemy_skill_triggers!$A:$A),MATCH(M$1,enemy_skill_triggers!$1:$1,0)-MATCH($F$1,enemy_skill_triggers!$1:$1,0)+1),MATCH(M$1,enemy_skill_triggers!$1:$1,0)-MATCH($F$1,enemy_skill_triggers!$1:$1,0)+1,FALSE)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8" s="42">
        <f ca="1">VLOOKUP($F138,OFFSET(enemy_skill_triggers!$A$1,0,0,COUNTA(enemy_skill_triggers!$A:$A),MATCH(N$1,enemy_skill_triggers!$1:$1,0)-MATCH($F$1,enemy_skill_triggers!$1:$1,0)+1),MATCH(N$1,enemy_skill_triggers!$1:$1,0)-MATCH($F$1,enemy_skill_triggers!$1:$1,0)+1,FALSE)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138" s="42">
        <f ca="1">VLOOKUP($F138,OFFSET(enemy_skill_triggers!$A$1,0,0,COUNTA(enemy_skill_triggers!$A:$A),MATCH(O$1,enemy_skill_triggers!$1:$1,0)-MATCH($F$1,enemy_skill_triggers!$1:$1,0)+1),MATCH(O$1,enemy_skill_triggers!$1:$1,0)-MATCH($F$1,enemy_skill_triggers!$1:$1,0)+1,FALSE)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8" s="41"/>
      <c r="Q138" s="41"/>
      <c r="R138" s="41" t="s">
        <v>340</v>
      </c>
    </row>
    <row r="139" spans="1:18" ht="21" customHeight="1" x14ac:dyDescent="0.15">
      <c r="A139" s="33" t="str">
        <f t="shared" si="12"/>
        <v>39008006_39008033</v>
      </c>
      <c r="B139" s="102">
        <v>39008006</v>
      </c>
      <c r="C139" s="119">
        <v>39008033</v>
      </c>
      <c r="D139" s="40" t="str">
        <f ca="1">VLOOKUP($C139,OFFSET(enemy_skills!$A$1,0,0,COUNTA(enemy_skills!$A:$A),MATCH(D$1,enemy_skills!$1:$1,0)-MATCH("enemy_skill_id",enemy_skills!$1:$1,0)+1),MATCH(D$1,enemy_skills!$1:$1,0)-MATCH("enemy_skill_id",enemy_skills!$1:$1,0)+1,FALSE)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39" s="40" t="str">
        <f ca="1">VLOOKUP($C139,OFFSET(enemy_skills!$A$1,0,0,COUNTA(enemy_skills!$A:$A),MATCH(E$1,enemy_skills!$1:$1,0)-MATCH("enemy_skill_id",enemy_skills!$1:$1,0)+1),MATCH(E$1,enemy_skills!$1:$1,0)-MATCH("enemy_skill_id",enemy_skills!$1:$1,0)+1,FALSE)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39" s="122">
        <v>39008087</v>
      </c>
      <c r="G139" s="42">
        <f ca="1">VLOOKUP($F139,OFFSET(enemy_skill_triggers!$A$1,0,0,COUNTA(enemy_skill_triggers!$A:$A),MATCH(G$1,enemy_skill_triggers!$1:$1,0)-MATCH($F$1,enemy_skill_triggers!$1:$1,0)+1),MATCH(G$1,enemy_skill_triggers!$1:$1,0)-MATCH($F$1,enemy_skill_triggers!$1:$1,0)+1,FALSE)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9" s="42">
        <f ca="1">VLOOKUP($F139,OFFSET(enemy_skill_triggers!$A$1,0,0,COUNTA(enemy_skill_triggers!$A:$A),MATCH(H$1,enemy_skill_triggers!$1:$1,0)-MATCH($F$1,enemy_skill_triggers!$1:$1,0)+1),MATCH(H$1,enemy_skill_triggers!$1:$1,0)-MATCH($F$1,enemy_skill_triggers!$1:$1,0)+1,FALSE)</f>
        <v>944</v>
      </c>
      <c r="I139" s="42">
        <f ca="1">VLOOKUP($F139,OFFSET(enemy_skill_triggers!$A$1,0,0,COUNTA(enemy_skill_triggers!$A:$A),MATCH(I$1,enemy_skill_triggers!$1:$1,0)-MATCH($F$1,enemy_skill_triggers!$1:$1,0)+1),MATCH(I$1,enemy_skill_triggers!$1:$1,0)-MATCH($F$1,enemy_skill_triggers!$1:$1,0)+1,FALSE)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9" s="42" t="str">
        <f ca="1">VLOOKUP($F139,OFFSET(enemy_skill_triggers!$A$1,0,0,COUNTA(enemy_skill_triggers!$A:$A),MATCH(J$1,enemy_skill_triggers!$1:$1,0)-MATCH($F$1,enemy_skill_triggers!$1:$1,0)+1),MATCH(J$1,enemy_skill_triggers!$1:$1,0)-MATCH($F$1,enemy_skill_triggers!$1:$1,0)+1,FALSE)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9" s="42" t="str">
        <f ca="1">VLOOKUP($F139,OFFSET(enemy_skill_triggers!$A$1,0,0,COUNTA(enemy_skill_triggers!$A:$A),MATCH(K$1,enemy_skill_triggers!$1:$1,0)-MATCH($F$1,enemy_skill_triggers!$1:$1,0)+1),MATCH(K$1,enemy_skill_triggers!$1:$1,0)-MATCH($F$1,enemy_skill_triggers!$1:$1,0)+1,FALSE)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9" s="42">
        <f ca="1">VLOOKUP($F139,OFFSET(enemy_skill_triggers!$A$1,0,0,COUNTA(enemy_skill_triggers!$A:$A),MATCH(L$1,enemy_skill_triggers!$1:$1,0)-MATCH($F$1,enemy_skill_triggers!$1:$1,0)+1),MATCH(L$1,enemy_skill_triggers!$1:$1,0)-MATCH($F$1,enemy_skill_triggers!$1:$1,0)+1,FALSE)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9" s="42" t="str">
        <f ca="1">VLOOKUP($F139,OFFSET(enemy_skill_triggers!$A$1,0,0,COUNTA(enemy_skill_triggers!$A:$A),MATCH(M$1,enemy_skill_triggers!$1:$1,0)-MATCH($F$1,enemy_skill_triggers!$1:$1,0)+1),MATCH(M$1,enemy_skill_triggers!$1:$1,0)-MATCH($F$1,enemy_skill_triggers!$1:$1,0)+1,FALSE)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9" s="42">
        <f ca="1">VLOOKUP($F139,OFFSET(enemy_skill_triggers!$A$1,0,0,COUNTA(enemy_skill_triggers!$A:$A),MATCH(N$1,enemy_skill_triggers!$1:$1,0)-MATCH($F$1,enemy_skill_triggers!$1:$1,0)+1),MATCH(N$1,enemy_skill_triggers!$1:$1,0)-MATCH($F$1,enemy_skill_triggers!$1:$1,0)+1,FALSE)</f>
        <v>540</v>
      </c>
      <c r="O139" s="42">
        <f ca="1">VLOOKUP($F139,OFFSET(enemy_skill_triggers!$A$1,0,0,COUNTA(enemy_skill_triggers!$A:$A),MATCH(O$1,enemy_skill_triggers!$1:$1,0)-MATCH($F$1,enemy_skill_triggers!$1:$1,0)+1),MATCH(O$1,enemy_skill_triggers!$1:$1,0)-MATCH($F$1,enemy_skill_triggers!$1:$1,0)+1,FALSE)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9" s="41"/>
      <c r="Q139" s="41"/>
      <c r="R139" s="41" t="s">
        <v>340</v>
      </c>
    </row>
    <row r="140" spans="1:18" ht="21" customHeight="1" x14ac:dyDescent="0.15">
      <c r="A140" s="33" t="str">
        <f t="shared" si="12"/>
        <v>39008006_39008033</v>
      </c>
      <c r="B140" s="102">
        <v>39008006</v>
      </c>
      <c r="C140" s="119">
        <v>39008033</v>
      </c>
      <c r="D140" s="40" t="str">
        <f ca="1">VLOOKUP($C140,OFFSET(enemy_skills!$A$1,0,0,COUNTA(enemy_skills!$A:$A),MATCH(D$1,enemy_skills!$1:$1,0)-MATCH("enemy_skill_id",enemy_skills!$1:$1,0)+1),MATCH(D$1,enemy_skills!$1:$1,0)-MATCH("enemy_skill_id",enemy_skills!$1:$1,0)+1,FALSE)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40" s="40" t="str">
        <f ca="1">VLOOKUP($C140,OFFSET(enemy_skills!$A$1,0,0,COUNTA(enemy_skills!$A:$A),MATCH(E$1,enemy_skills!$1:$1,0)-MATCH("enemy_skill_id",enemy_skills!$1:$1,0)+1),MATCH(E$1,enemy_skills!$1:$1,0)-MATCH("enemy_skill_id",enemy_skills!$1:$1,0)+1,FALSE)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40" s="122">
        <v>39008088</v>
      </c>
      <c r="G140" s="42">
        <f ca="1">VLOOKUP($F140,OFFSET(enemy_skill_triggers!$A$1,0,0,COUNTA(enemy_skill_triggers!$A:$A),MATCH(G$1,enemy_skill_triggers!$1:$1,0)-MATCH($F$1,enemy_skill_triggers!$1:$1,0)+1),MATCH(G$1,enemy_skill_triggers!$1:$1,0)-MATCH($F$1,enemy_skill_triggers!$1:$1,0)+1,FALSE)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0" s="42">
        <f ca="1">VLOOKUP($F140,OFFSET(enemy_skill_triggers!$A$1,0,0,COUNTA(enemy_skill_triggers!$A:$A),MATCH(H$1,enemy_skill_triggers!$1:$1,0)-MATCH($F$1,enemy_skill_triggers!$1:$1,0)+1),MATCH(H$1,enemy_skill_triggers!$1:$1,0)-MATCH($F$1,enemy_skill_triggers!$1:$1,0)+1,FALSE)</f>
        <v>943</v>
      </c>
      <c r="I140" s="42">
        <f ca="1">VLOOKUP($F140,OFFSET(enemy_skill_triggers!$A$1,0,0,COUNTA(enemy_skill_triggers!$A:$A),MATCH(I$1,enemy_skill_triggers!$1:$1,0)-MATCH($F$1,enemy_skill_triggers!$1:$1,0)+1),MATCH(I$1,enemy_skill_triggers!$1:$1,0)-MATCH($F$1,enemy_skill_triggers!$1:$1,0)+1,FALSE)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0" s="42" t="str">
        <f ca="1">VLOOKUP($F140,OFFSET(enemy_skill_triggers!$A$1,0,0,COUNTA(enemy_skill_triggers!$A:$A),MATCH(J$1,enemy_skill_triggers!$1:$1,0)-MATCH($F$1,enemy_skill_triggers!$1:$1,0)+1),MATCH(J$1,enemy_skill_triggers!$1:$1,0)-MATCH($F$1,enemy_skill_triggers!$1:$1,0)+1,FALSE)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0" s="42" t="str">
        <f ca="1">VLOOKUP($F140,OFFSET(enemy_skill_triggers!$A$1,0,0,COUNTA(enemy_skill_triggers!$A:$A),MATCH(K$1,enemy_skill_triggers!$1:$1,0)-MATCH($F$1,enemy_skill_triggers!$1:$1,0)+1),MATCH(K$1,enemy_skill_triggers!$1:$1,0)-MATCH($F$1,enemy_skill_triggers!$1:$1,0)+1,FALSE)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0" s="42">
        <f ca="1">VLOOKUP($F140,OFFSET(enemy_skill_triggers!$A$1,0,0,COUNTA(enemy_skill_triggers!$A:$A),MATCH(L$1,enemy_skill_triggers!$1:$1,0)-MATCH($F$1,enemy_skill_triggers!$1:$1,0)+1),MATCH(L$1,enemy_skill_triggers!$1:$1,0)-MATCH($F$1,enemy_skill_triggers!$1:$1,0)+1,FALSE)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0" s="42" t="str">
        <f ca="1">VLOOKUP($F140,OFFSET(enemy_skill_triggers!$A$1,0,0,COUNTA(enemy_skill_triggers!$A:$A),MATCH(M$1,enemy_skill_triggers!$1:$1,0)-MATCH($F$1,enemy_skill_triggers!$1:$1,0)+1),MATCH(M$1,enemy_skill_triggers!$1:$1,0)-MATCH($F$1,enemy_skill_triggers!$1:$1,0)+1,FALSE)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0" s="42">
        <f ca="1">VLOOKUP($F140,OFFSET(enemy_skill_triggers!$A$1,0,0,COUNTA(enemy_skill_triggers!$A:$A),MATCH(N$1,enemy_skill_triggers!$1:$1,0)-MATCH($F$1,enemy_skill_triggers!$1:$1,0)+1),MATCH(N$1,enemy_skill_triggers!$1:$1,0)-MATCH($F$1,enemy_skill_triggers!$1:$1,0)+1,FALSE)</f>
        <v>1309</v>
      </c>
      <c r="O140" s="42">
        <f ca="1">VLOOKUP($F140,OFFSET(enemy_skill_triggers!$A$1,0,0,COUNTA(enemy_skill_triggers!$A:$A),MATCH(O$1,enemy_skill_triggers!$1:$1,0)-MATCH($F$1,enemy_skill_triggers!$1:$1,0)+1),MATCH(O$1,enemy_skill_triggers!$1:$1,0)-MATCH($F$1,enemy_skill_triggers!$1:$1,0)+1,FALSE)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0" s="41"/>
      <c r="Q140" s="41"/>
      <c r="R140" s="41" t="s">
        <v>340</v>
      </c>
    </row>
    <row r="141" spans="1:18" ht="21" customHeight="1" x14ac:dyDescent="0.15">
      <c r="A141" s="33" t="str">
        <f t="shared" si="12"/>
        <v>39008006_39008033</v>
      </c>
      <c r="B141" s="102">
        <v>39008006</v>
      </c>
      <c r="C141" s="119">
        <v>39008033</v>
      </c>
      <c r="D141" s="40" t="str">
        <f ca="1">VLOOKUP($C141,OFFSET(enemy_skills!$A$1,0,0,COUNTA(enemy_skills!$A:$A),MATCH(D$1,enemy_skills!$1:$1,0)-MATCH("enemy_skill_id",enemy_skills!$1:$1,0)+1),MATCH(D$1,enemy_skills!$1:$1,0)-MATCH("enemy_skill_id",enemy_skills!$1:$1,0)+1,FALSE)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41" s="40" t="str">
        <f ca="1">VLOOKUP($C141,OFFSET(enemy_skills!$A$1,0,0,COUNTA(enemy_skills!$A:$A),MATCH(E$1,enemy_skills!$1:$1,0)-MATCH("enemy_skill_id",enemy_skills!$1:$1,0)+1),MATCH(E$1,enemy_skills!$1:$1,0)-MATCH("enemy_skill_id",enemy_skills!$1:$1,0)+1,FALSE)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41" s="122">
        <v>39008089</v>
      </c>
      <c r="G141" s="42">
        <f ca="1">VLOOKUP($F141,OFFSET(enemy_skill_triggers!$A$1,0,0,COUNTA(enemy_skill_triggers!$A:$A),MATCH(G$1,enemy_skill_triggers!$1:$1,0)-MATCH($F$1,enemy_skill_triggers!$1:$1,0)+1),MATCH(G$1,enemy_skill_triggers!$1:$1,0)-MATCH($F$1,enemy_skill_triggers!$1:$1,0)+1,FALSE)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1" s="42">
        <f ca="1">VLOOKUP($F141,OFFSET(enemy_skill_triggers!$A$1,0,0,COUNTA(enemy_skill_triggers!$A:$A),MATCH(H$1,enemy_skill_triggers!$1:$1,0)-MATCH($F$1,enemy_skill_triggers!$1:$1,0)+1),MATCH(H$1,enemy_skill_triggers!$1:$1,0)-MATCH($F$1,enemy_skill_triggers!$1:$1,0)+1,FALSE)</f>
        <v>942</v>
      </c>
      <c r="I141" s="42">
        <f ca="1">VLOOKUP($F141,OFFSET(enemy_skill_triggers!$A$1,0,0,COUNTA(enemy_skill_triggers!$A:$A),MATCH(I$1,enemy_skill_triggers!$1:$1,0)-MATCH($F$1,enemy_skill_triggers!$1:$1,0)+1),MATCH(I$1,enemy_skill_triggers!$1:$1,0)-MATCH($F$1,enemy_skill_triggers!$1:$1,0)+1,FALSE)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1" s="42" t="str">
        <f ca="1">VLOOKUP($F141,OFFSET(enemy_skill_triggers!$A$1,0,0,COUNTA(enemy_skill_triggers!$A:$A),MATCH(J$1,enemy_skill_triggers!$1:$1,0)-MATCH($F$1,enemy_skill_triggers!$1:$1,0)+1),MATCH(J$1,enemy_skill_triggers!$1:$1,0)-MATCH($F$1,enemy_skill_triggers!$1:$1,0)+1,FALSE)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1" s="42" t="str">
        <f ca="1">VLOOKUP($F141,OFFSET(enemy_skill_triggers!$A$1,0,0,COUNTA(enemy_skill_triggers!$A:$A),MATCH(K$1,enemy_skill_triggers!$1:$1,0)-MATCH($F$1,enemy_skill_triggers!$1:$1,0)+1),MATCH(K$1,enemy_skill_triggers!$1:$1,0)-MATCH($F$1,enemy_skill_triggers!$1:$1,0)+1,FALSE)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1" s="42">
        <f ca="1">VLOOKUP($F141,OFFSET(enemy_skill_triggers!$A$1,0,0,COUNTA(enemy_skill_triggers!$A:$A),MATCH(L$1,enemy_skill_triggers!$1:$1,0)-MATCH($F$1,enemy_skill_triggers!$1:$1,0)+1),MATCH(L$1,enemy_skill_triggers!$1:$1,0)-MATCH($F$1,enemy_skill_triggers!$1:$1,0)+1,FALSE)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1" s="42" t="str">
        <f ca="1">VLOOKUP($F141,OFFSET(enemy_skill_triggers!$A$1,0,0,COUNTA(enemy_skill_triggers!$A:$A),MATCH(M$1,enemy_skill_triggers!$1:$1,0)-MATCH($F$1,enemy_skill_triggers!$1:$1,0)+1),MATCH(M$1,enemy_skill_triggers!$1:$1,0)-MATCH($F$1,enemy_skill_triggers!$1:$1,0)+1,FALSE)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1" s="42">
        <f ca="1">VLOOKUP($F141,OFFSET(enemy_skill_triggers!$A$1,0,0,COUNTA(enemy_skill_triggers!$A:$A),MATCH(N$1,enemy_skill_triggers!$1:$1,0)-MATCH($F$1,enemy_skill_triggers!$1:$1,0)+1),MATCH(N$1,enemy_skill_triggers!$1:$1,0)-MATCH($F$1,enemy_skill_triggers!$1:$1,0)+1,FALSE)</f>
        <v>1310</v>
      </c>
      <c r="O141" s="42">
        <f ca="1">VLOOKUP($F141,OFFSET(enemy_skill_triggers!$A$1,0,0,COUNTA(enemy_skill_triggers!$A:$A),MATCH(O$1,enemy_skill_triggers!$1:$1,0)-MATCH($F$1,enemy_skill_triggers!$1:$1,0)+1),MATCH(O$1,enemy_skill_triggers!$1:$1,0)-MATCH($F$1,enemy_skill_triggers!$1:$1,0)+1,FALSE)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1" s="41"/>
      <c r="Q141" s="41"/>
      <c r="R141" s="41" t="s">
        <v>340</v>
      </c>
    </row>
    <row r="142" spans="1:18" ht="21" customHeight="1" x14ac:dyDescent="0.15">
      <c r="A142" s="33" t="str">
        <f t="shared" si="12"/>
        <v>39008006_39008033</v>
      </c>
      <c r="B142" s="102">
        <v>39008006</v>
      </c>
      <c r="C142" s="119">
        <v>39008033</v>
      </c>
      <c r="D142" s="40" t="str">
        <f ca="1">VLOOKUP($C142,OFFSET(enemy_skills!$A$1,0,0,COUNTA(enemy_skills!$A:$A),MATCH(D$1,enemy_skills!$1:$1,0)-MATCH("enemy_skill_id",enemy_skills!$1:$1,0)+1),MATCH(D$1,enemy_skills!$1:$1,0)-MATCH("enemy_skill_id",enemy_skills!$1:$1,0)+1,FALSE)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42" s="40" t="str">
        <f ca="1">VLOOKUP($C142,OFFSET(enemy_skills!$A$1,0,0,COUNTA(enemy_skills!$A:$A),MATCH(E$1,enemy_skills!$1:$1,0)-MATCH("enemy_skill_id",enemy_skills!$1:$1,0)+1),MATCH(E$1,enemy_skills!$1:$1,0)-MATCH("enemy_skill_id",enemy_skills!$1:$1,0)+1,FALSE)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42" s="122">
        <v>39008090</v>
      </c>
      <c r="G142" s="42">
        <f ca="1">VLOOKUP($F142,OFFSET(enemy_skill_triggers!$A$1,0,0,COUNTA(enemy_skill_triggers!$A:$A),MATCH(G$1,enemy_skill_triggers!$1:$1,0)-MATCH($F$1,enemy_skill_triggers!$1:$1,0)+1),MATCH(G$1,enemy_skill_triggers!$1:$1,0)-MATCH($F$1,enemy_skill_triggers!$1:$1,0)+1,FALSE)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2" s="42">
        <f ca="1">VLOOKUP($F142,OFFSET(enemy_skill_triggers!$A$1,0,0,COUNTA(enemy_skill_triggers!$A:$A),MATCH(H$1,enemy_skill_triggers!$1:$1,0)-MATCH($F$1,enemy_skill_triggers!$1:$1,0)+1),MATCH(H$1,enemy_skill_triggers!$1:$1,0)-MATCH($F$1,enemy_skill_triggers!$1:$1,0)+1,FALSE)</f>
        <v>941</v>
      </c>
      <c r="I142" s="42">
        <f ca="1">VLOOKUP($F142,OFFSET(enemy_skill_triggers!$A$1,0,0,COUNTA(enemy_skill_triggers!$A:$A),MATCH(I$1,enemy_skill_triggers!$1:$1,0)-MATCH($F$1,enemy_skill_triggers!$1:$1,0)+1),MATCH(I$1,enemy_skill_triggers!$1:$1,0)-MATCH($F$1,enemy_skill_triggers!$1:$1,0)+1,FALSE)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2" s="42" t="str">
        <f ca="1">VLOOKUP($F142,OFFSET(enemy_skill_triggers!$A$1,0,0,COUNTA(enemy_skill_triggers!$A:$A),MATCH(J$1,enemy_skill_triggers!$1:$1,0)-MATCH($F$1,enemy_skill_triggers!$1:$1,0)+1),MATCH(J$1,enemy_skill_triggers!$1:$1,0)-MATCH($F$1,enemy_skill_triggers!$1:$1,0)+1,FALSE)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2" s="42" t="str">
        <f ca="1">VLOOKUP($F142,OFFSET(enemy_skill_triggers!$A$1,0,0,COUNTA(enemy_skill_triggers!$A:$A),MATCH(K$1,enemy_skill_triggers!$1:$1,0)-MATCH($F$1,enemy_skill_triggers!$1:$1,0)+1),MATCH(K$1,enemy_skill_triggers!$1:$1,0)-MATCH($F$1,enemy_skill_triggers!$1:$1,0)+1,FALSE)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2" s="42">
        <f ca="1">VLOOKUP($F142,OFFSET(enemy_skill_triggers!$A$1,0,0,COUNTA(enemy_skill_triggers!$A:$A),MATCH(L$1,enemy_skill_triggers!$1:$1,0)-MATCH($F$1,enemy_skill_triggers!$1:$1,0)+1),MATCH(L$1,enemy_skill_triggers!$1:$1,0)-MATCH($F$1,enemy_skill_triggers!$1:$1,0)+1,FALSE)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2" s="42" t="str">
        <f ca="1">VLOOKUP($F142,OFFSET(enemy_skill_triggers!$A$1,0,0,COUNTA(enemy_skill_triggers!$A:$A),MATCH(M$1,enemy_skill_triggers!$1:$1,0)-MATCH($F$1,enemy_skill_triggers!$1:$1,0)+1),MATCH(M$1,enemy_skill_triggers!$1:$1,0)-MATCH($F$1,enemy_skill_triggers!$1:$1,0)+1,FALSE)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2" s="42">
        <f ca="1">VLOOKUP($F142,OFFSET(enemy_skill_triggers!$A$1,0,0,COUNTA(enemy_skill_triggers!$A:$A),MATCH(N$1,enemy_skill_triggers!$1:$1,0)-MATCH($F$1,enemy_skill_triggers!$1:$1,0)+1),MATCH(N$1,enemy_skill_triggers!$1:$1,0)-MATCH($F$1,enemy_skill_triggers!$1:$1,0)+1,FALSE)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142" s="42">
        <f ca="1">VLOOKUP($F142,OFFSET(enemy_skill_triggers!$A$1,0,0,COUNTA(enemy_skill_triggers!$A:$A),MATCH(O$1,enemy_skill_triggers!$1:$1,0)-MATCH($F$1,enemy_skill_triggers!$1:$1,0)+1),MATCH(O$1,enemy_skill_triggers!$1:$1,0)-MATCH($F$1,enemy_skill_triggers!$1:$1,0)+1,FALSE)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2" s="41"/>
      <c r="Q142" s="41"/>
      <c r="R142" s="41" t="s">
        <v>340</v>
      </c>
    </row>
    <row r="143" spans="1:18" ht="21" customHeight="1" x14ac:dyDescent="0.15">
      <c r="A143" s="33" t="str">
        <f t="shared" si="12"/>
        <v>39008006_39008033</v>
      </c>
      <c r="B143" s="102">
        <v>39008006</v>
      </c>
      <c r="C143" s="119">
        <v>39008033</v>
      </c>
      <c r="D143" s="40" t="str">
        <f ca="1">VLOOKUP($C143,OFFSET(enemy_skills!$A$1,0,0,COUNTA(enemy_skills!$A:$A),MATCH(D$1,enemy_skills!$1:$1,0)-MATCH("enemy_skill_id",enemy_skills!$1:$1,0)+1),MATCH(D$1,enemy_skills!$1:$1,0)-MATCH("enemy_skill_id",enemy_skills!$1:$1,0)+1,FALSE)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43" s="40" t="str">
        <f ca="1">VLOOKUP($C143,OFFSET(enemy_skills!$A$1,0,0,COUNTA(enemy_skills!$A:$A),MATCH(E$1,enemy_skills!$1:$1,0)-MATCH("enemy_skill_id",enemy_skills!$1:$1,0)+1),MATCH(E$1,enemy_skills!$1:$1,0)-MATCH("enemy_skill_id",enemy_skills!$1:$1,0)+1,FALSE)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43" s="122">
        <v>39008091</v>
      </c>
      <c r="G143" s="42">
        <f ca="1">VLOOKUP($F143,OFFSET(enemy_skill_triggers!$A$1,0,0,COUNTA(enemy_skill_triggers!$A:$A),MATCH(G$1,enemy_skill_triggers!$1:$1,0)-MATCH($F$1,enemy_skill_triggers!$1:$1,0)+1),MATCH(G$1,enemy_skill_triggers!$1:$1,0)-MATCH($F$1,enemy_skill_triggers!$1:$1,0)+1,FALSE)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3" s="42">
        <f ca="1">VLOOKUP($F143,OFFSET(enemy_skill_triggers!$A$1,0,0,COUNTA(enemy_skill_triggers!$A:$A),MATCH(H$1,enemy_skill_triggers!$1:$1,0)-MATCH($F$1,enemy_skill_triggers!$1:$1,0)+1),MATCH(H$1,enemy_skill_triggers!$1:$1,0)-MATCH($F$1,enemy_skill_triggers!$1:$1,0)+1,FALSE)</f>
        <v>940</v>
      </c>
      <c r="I143" s="42">
        <f ca="1">VLOOKUP($F143,OFFSET(enemy_skill_triggers!$A$1,0,0,COUNTA(enemy_skill_triggers!$A:$A),MATCH(I$1,enemy_skill_triggers!$1:$1,0)-MATCH($F$1,enemy_skill_triggers!$1:$1,0)+1),MATCH(I$1,enemy_skill_triggers!$1:$1,0)-MATCH($F$1,enemy_skill_triggers!$1:$1,0)+1,FALSE)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3" s="42" t="str">
        <f ca="1">VLOOKUP($F143,OFFSET(enemy_skill_triggers!$A$1,0,0,COUNTA(enemy_skill_triggers!$A:$A),MATCH(J$1,enemy_skill_triggers!$1:$1,0)-MATCH($F$1,enemy_skill_triggers!$1:$1,0)+1),MATCH(J$1,enemy_skill_triggers!$1:$1,0)-MATCH($F$1,enemy_skill_triggers!$1:$1,0)+1,FALSE)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3" s="42" t="str">
        <f ca="1">VLOOKUP($F143,OFFSET(enemy_skill_triggers!$A$1,0,0,COUNTA(enemy_skill_triggers!$A:$A),MATCH(K$1,enemy_skill_triggers!$1:$1,0)-MATCH($F$1,enemy_skill_triggers!$1:$1,0)+1),MATCH(K$1,enemy_skill_triggers!$1:$1,0)-MATCH($F$1,enemy_skill_triggers!$1:$1,0)+1,FALSE)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3" s="42">
        <f ca="1">VLOOKUP($F143,OFFSET(enemy_skill_triggers!$A$1,0,0,COUNTA(enemy_skill_triggers!$A:$A),MATCH(L$1,enemy_skill_triggers!$1:$1,0)-MATCH($F$1,enemy_skill_triggers!$1:$1,0)+1),MATCH(L$1,enemy_skill_triggers!$1:$1,0)-MATCH($F$1,enemy_skill_triggers!$1:$1,0)+1,FALSE)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3" s="42" t="str">
        <f ca="1">VLOOKUP($F143,OFFSET(enemy_skill_triggers!$A$1,0,0,COUNTA(enemy_skill_triggers!$A:$A),MATCH(M$1,enemy_skill_triggers!$1:$1,0)-MATCH($F$1,enemy_skill_triggers!$1:$1,0)+1),MATCH(M$1,enemy_skill_triggers!$1:$1,0)-MATCH($F$1,enemy_skill_triggers!$1:$1,0)+1,FALSE)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3" s="42">
        <f ca="1">VLOOKUP($F143,OFFSET(enemy_skill_triggers!$A$1,0,0,COUNTA(enemy_skill_triggers!$A:$A),MATCH(N$1,enemy_skill_triggers!$1:$1,0)-MATCH($F$1,enemy_skill_triggers!$1:$1,0)+1),MATCH(N$1,enemy_skill_triggers!$1:$1,0)-MATCH($F$1,enemy_skill_triggers!$1:$1,0)+1,FALSE)</f>
        <v>542</v>
      </c>
      <c r="O143" s="42">
        <f ca="1">VLOOKUP($F143,OFFSET(enemy_skill_triggers!$A$1,0,0,COUNTA(enemy_skill_triggers!$A:$A),MATCH(O$1,enemy_skill_triggers!$1:$1,0)-MATCH($F$1,enemy_skill_triggers!$1:$1,0)+1),MATCH(O$1,enemy_skill_triggers!$1:$1,0)-MATCH($F$1,enemy_skill_triggers!$1:$1,0)+1,FALSE)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3" s="41"/>
      <c r="Q143" s="41"/>
      <c r="R143" s="41" t="s">
        <v>340</v>
      </c>
    </row>
    <row r="144" spans="1:18" ht="21" customHeight="1" x14ac:dyDescent="0.15">
      <c r="A144" s="33" t="str">
        <f t="shared" si="12"/>
        <v>39008006_39008033</v>
      </c>
      <c r="B144" s="102">
        <v>39008006</v>
      </c>
      <c r="C144" s="119">
        <v>39008033</v>
      </c>
      <c r="D144" s="40" t="str">
        <f ca="1">VLOOKUP($C144,OFFSET(enemy_skills!$A$1,0,0,COUNTA(enemy_skills!$A:$A),MATCH(D$1,enemy_skills!$1:$1,0)-MATCH("enemy_skill_id",enemy_skills!$1:$1,0)+1),MATCH(D$1,enemy_skills!$1:$1,0)-MATCH("enemy_skill_id",enemy_skills!$1:$1,0)+1,FALSE)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44" s="40" t="str">
        <f ca="1">VLOOKUP($C144,OFFSET(enemy_skills!$A$1,0,0,COUNTA(enemy_skills!$A:$A),MATCH(E$1,enemy_skills!$1:$1,0)-MATCH("enemy_skill_id",enemy_skills!$1:$1,0)+1),MATCH(E$1,enemy_skills!$1:$1,0)-MATCH("enemy_skill_id",enemy_skills!$1:$1,0)+1,FALSE)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44" s="122">
        <v>39008092</v>
      </c>
      <c r="G144" s="42">
        <f ca="1">VLOOKUP($F144,OFFSET(enemy_skill_triggers!$A$1,0,0,COUNTA(enemy_skill_triggers!$A:$A),MATCH(G$1,enemy_skill_triggers!$1:$1,0)-MATCH($F$1,enemy_skill_triggers!$1:$1,0)+1),MATCH(G$1,enemy_skill_triggers!$1:$1,0)-MATCH($F$1,enemy_skill_triggers!$1:$1,0)+1,FALSE)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4" s="42">
        <f ca="1">VLOOKUP($F144,OFFSET(enemy_skill_triggers!$A$1,0,0,COUNTA(enemy_skill_triggers!$A:$A),MATCH(H$1,enemy_skill_triggers!$1:$1,0)-MATCH($F$1,enemy_skill_triggers!$1:$1,0)+1),MATCH(H$1,enemy_skill_triggers!$1:$1,0)-MATCH($F$1,enemy_skill_triggers!$1:$1,0)+1,FALSE)</f>
        <v>939</v>
      </c>
      <c r="I144" s="42">
        <f ca="1">VLOOKUP($F144,OFFSET(enemy_skill_triggers!$A$1,0,0,COUNTA(enemy_skill_triggers!$A:$A),MATCH(I$1,enemy_skill_triggers!$1:$1,0)-MATCH($F$1,enemy_skill_triggers!$1:$1,0)+1),MATCH(I$1,enemy_skill_triggers!$1:$1,0)-MATCH($F$1,enemy_skill_triggers!$1:$1,0)+1,FALSE)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4" s="42" t="str">
        <f ca="1">VLOOKUP($F144,OFFSET(enemy_skill_triggers!$A$1,0,0,COUNTA(enemy_skill_triggers!$A:$A),MATCH(J$1,enemy_skill_triggers!$1:$1,0)-MATCH($F$1,enemy_skill_triggers!$1:$1,0)+1),MATCH(J$1,enemy_skill_triggers!$1:$1,0)-MATCH($F$1,enemy_skill_triggers!$1:$1,0)+1,FALSE)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4" s="42" t="str">
        <f ca="1">VLOOKUP($F144,OFFSET(enemy_skill_triggers!$A$1,0,0,COUNTA(enemy_skill_triggers!$A:$A),MATCH(K$1,enemy_skill_triggers!$1:$1,0)-MATCH($F$1,enemy_skill_triggers!$1:$1,0)+1),MATCH(K$1,enemy_skill_triggers!$1:$1,0)-MATCH($F$1,enemy_skill_triggers!$1:$1,0)+1,FALSE)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4" s="42">
        <f ca="1">VLOOKUP($F144,OFFSET(enemy_skill_triggers!$A$1,0,0,COUNTA(enemy_skill_triggers!$A:$A),MATCH(L$1,enemy_skill_triggers!$1:$1,0)-MATCH($F$1,enemy_skill_triggers!$1:$1,0)+1),MATCH(L$1,enemy_skill_triggers!$1:$1,0)-MATCH($F$1,enemy_skill_triggers!$1:$1,0)+1,FALSE)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4" s="42" t="str">
        <f ca="1">VLOOKUP($F144,OFFSET(enemy_skill_triggers!$A$1,0,0,COUNTA(enemy_skill_triggers!$A:$A),MATCH(M$1,enemy_skill_triggers!$1:$1,0)-MATCH($F$1,enemy_skill_triggers!$1:$1,0)+1),MATCH(M$1,enemy_skill_triggers!$1:$1,0)-MATCH($F$1,enemy_skill_triggers!$1:$1,0)+1,FALSE)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4" s="42">
        <f ca="1">VLOOKUP($F144,OFFSET(enemy_skill_triggers!$A$1,0,0,COUNTA(enemy_skill_triggers!$A:$A),MATCH(N$1,enemy_skill_triggers!$1:$1,0)-MATCH($F$1,enemy_skill_triggers!$1:$1,0)+1),MATCH(N$1,enemy_skill_triggers!$1:$1,0)-MATCH($F$1,enemy_skill_triggers!$1:$1,0)+1,FALSE)</f>
        <v>1308</v>
      </c>
      <c r="O144" s="42">
        <f ca="1">VLOOKUP($F144,OFFSET(enemy_skill_triggers!$A$1,0,0,COUNTA(enemy_skill_triggers!$A:$A),MATCH(O$1,enemy_skill_triggers!$1:$1,0)-MATCH($F$1,enemy_skill_triggers!$1:$1,0)+1),MATCH(O$1,enemy_skill_triggers!$1:$1,0)-MATCH($F$1,enemy_skill_triggers!$1:$1,0)+1,FALSE)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4" s="41"/>
      <c r="Q144" s="41"/>
      <c r="R144" s="41" t="s">
        <v>340</v>
      </c>
    </row>
    <row r="145" spans="1:18" ht="21" customHeight="1" x14ac:dyDescent="0.15">
      <c r="A145" s="33" t="str">
        <f t="shared" si="12"/>
        <v>39008006_39008033</v>
      </c>
      <c r="B145" s="102">
        <v>39008006</v>
      </c>
      <c r="C145" s="119">
        <v>39008033</v>
      </c>
      <c r="D145" s="40" t="str">
        <f ca="1">VLOOKUP($C145,OFFSET(enemy_skills!$A$1,0,0,COUNTA(enemy_skills!$A:$A),MATCH(D$1,enemy_skills!$1:$1,0)-MATCH("enemy_skill_id",enemy_skills!$1:$1,0)+1),MATCH(D$1,enemy_skills!$1:$1,0)-MATCH("enemy_skill_id",enemy_skills!$1:$1,0)+1,FALSE)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45" s="40" t="str">
        <f ca="1">VLOOKUP($C145,OFFSET(enemy_skills!$A$1,0,0,COUNTA(enemy_skills!$A:$A),MATCH(E$1,enemy_skills!$1:$1,0)-MATCH("enemy_skill_id",enemy_skills!$1:$1,0)+1),MATCH(E$1,enemy_skills!$1:$1,0)-MATCH("enemy_skill_id",enemy_skills!$1:$1,0)+1,FALSE)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45" s="122">
        <v>39008093</v>
      </c>
      <c r="G145" s="42">
        <f ca="1">VLOOKUP($F145,OFFSET(enemy_skill_triggers!$A$1,0,0,COUNTA(enemy_skill_triggers!$A:$A),MATCH(G$1,enemy_skill_triggers!$1:$1,0)-MATCH($F$1,enemy_skill_triggers!$1:$1,0)+1),MATCH(G$1,enemy_skill_triggers!$1:$1,0)-MATCH($F$1,enemy_skill_triggers!$1:$1,0)+1,FALSE)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5" s="42">
        <f ca="1">VLOOKUP($F145,OFFSET(enemy_skill_triggers!$A$1,0,0,COUNTA(enemy_skill_triggers!$A:$A),MATCH(H$1,enemy_skill_triggers!$1:$1,0)-MATCH($F$1,enemy_skill_triggers!$1:$1,0)+1),MATCH(H$1,enemy_skill_triggers!$1:$1,0)-MATCH($F$1,enemy_skill_triggers!$1:$1,0)+1,FALSE)</f>
        <v>938</v>
      </c>
      <c r="I145" s="42">
        <f ca="1">VLOOKUP($F145,OFFSET(enemy_skill_triggers!$A$1,0,0,COUNTA(enemy_skill_triggers!$A:$A),MATCH(I$1,enemy_skill_triggers!$1:$1,0)-MATCH($F$1,enemy_skill_triggers!$1:$1,0)+1),MATCH(I$1,enemy_skill_triggers!$1:$1,0)-MATCH($F$1,enemy_skill_triggers!$1:$1,0)+1,FALSE)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5" s="42" t="str">
        <f ca="1">VLOOKUP($F145,OFFSET(enemy_skill_triggers!$A$1,0,0,COUNTA(enemy_skill_triggers!$A:$A),MATCH(J$1,enemy_skill_triggers!$1:$1,0)-MATCH($F$1,enemy_skill_triggers!$1:$1,0)+1),MATCH(J$1,enemy_skill_triggers!$1:$1,0)-MATCH($F$1,enemy_skill_triggers!$1:$1,0)+1,FALSE)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5" s="42" t="str">
        <f ca="1">VLOOKUP($F145,OFFSET(enemy_skill_triggers!$A$1,0,0,COUNTA(enemy_skill_triggers!$A:$A),MATCH(K$1,enemy_skill_triggers!$1:$1,0)-MATCH($F$1,enemy_skill_triggers!$1:$1,0)+1),MATCH(K$1,enemy_skill_triggers!$1:$1,0)-MATCH($F$1,enemy_skill_triggers!$1:$1,0)+1,FALSE)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5" s="42">
        <f ca="1">VLOOKUP($F145,OFFSET(enemy_skill_triggers!$A$1,0,0,COUNTA(enemy_skill_triggers!$A:$A),MATCH(L$1,enemy_skill_triggers!$1:$1,0)-MATCH($F$1,enemy_skill_triggers!$1:$1,0)+1),MATCH(L$1,enemy_skill_triggers!$1:$1,0)-MATCH($F$1,enemy_skill_triggers!$1:$1,0)+1,FALSE)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5" s="42" t="str">
        <f ca="1">VLOOKUP($F145,OFFSET(enemy_skill_triggers!$A$1,0,0,COUNTA(enemy_skill_triggers!$A:$A),MATCH(M$1,enemy_skill_triggers!$1:$1,0)-MATCH($F$1,enemy_skill_triggers!$1:$1,0)+1),MATCH(M$1,enemy_skill_triggers!$1:$1,0)-MATCH($F$1,enemy_skill_triggers!$1:$1,0)+1,FALSE)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5" s="42">
        <f ca="1">VLOOKUP($F145,OFFSET(enemy_skill_triggers!$A$1,0,0,COUNTA(enemy_skill_triggers!$A:$A),MATCH(N$1,enemy_skill_triggers!$1:$1,0)-MATCH($F$1,enemy_skill_triggers!$1:$1,0)+1),MATCH(N$1,enemy_skill_triggers!$1:$1,0)-MATCH($F$1,enemy_skill_triggers!$1:$1,0)+1,FALSE)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145" s="42">
        <f ca="1">VLOOKUP($F145,OFFSET(enemy_skill_triggers!$A$1,0,0,COUNTA(enemy_skill_triggers!$A:$A),MATCH(O$1,enemy_skill_triggers!$1:$1,0)-MATCH($F$1,enemy_skill_triggers!$1:$1,0)+1),MATCH(O$1,enemy_skill_triggers!$1:$1,0)-MATCH($F$1,enemy_skill_triggers!$1:$1,0)+1,FALSE)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5" s="41"/>
      <c r="Q145" s="41"/>
      <c r="R145" s="41" t="s">
        <v>340</v>
      </c>
    </row>
    <row r="146" spans="1:18" ht="21" customHeight="1" x14ac:dyDescent="0.15">
      <c r="A146" s="33" t="str">
        <f t="shared" si="12"/>
        <v>39008006_39008033</v>
      </c>
      <c r="B146" s="102">
        <v>39008006</v>
      </c>
      <c r="C146" s="119">
        <v>39008033</v>
      </c>
      <c r="D146" s="40" t="str">
        <f ca="1">VLOOKUP($C146,OFFSET(enemy_skills!$A$1,0,0,COUNTA(enemy_skills!$A:$A),MATCH(D$1,enemy_skills!$1:$1,0)-MATCH("enemy_skill_id",enemy_skills!$1:$1,0)+1),MATCH(D$1,enemy_skills!$1:$1,0)-MATCH("enemy_skill_id",enemy_skills!$1:$1,0)+1,FALSE)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46" s="40" t="str">
        <f ca="1">VLOOKUP($C146,OFFSET(enemy_skills!$A$1,0,0,COUNTA(enemy_skills!$A:$A),MATCH(E$1,enemy_skills!$1:$1,0)-MATCH("enemy_skill_id",enemy_skills!$1:$1,0)+1),MATCH(E$1,enemy_skills!$1:$1,0)-MATCH("enemy_skill_id",enemy_skills!$1:$1,0)+1,FALSE)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46" s="122">
        <v>39008094</v>
      </c>
      <c r="G146" s="42">
        <f ca="1">VLOOKUP($F146,OFFSET(enemy_skill_triggers!$A$1,0,0,COUNTA(enemy_skill_triggers!$A:$A),MATCH(G$1,enemy_skill_triggers!$1:$1,0)-MATCH($F$1,enemy_skill_triggers!$1:$1,0)+1),MATCH(G$1,enemy_skill_triggers!$1:$1,0)-MATCH($F$1,enemy_skill_triggers!$1:$1,0)+1,FALSE)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6" s="42">
        <f ca="1">VLOOKUP($F146,OFFSET(enemy_skill_triggers!$A$1,0,0,COUNTA(enemy_skill_triggers!$A:$A),MATCH(H$1,enemy_skill_triggers!$1:$1,0)-MATCH($F$1,enemy_skill_triggers!$1:$1,0)+1),MATCH(H$1,enemy_skill_triggers!$1:$1,0)-MATCH($F$1,enemy_skill_triggers!$1:$1,0)+1,FALSE)</f>
        <v>937</v>
      </c>
      <c r="I146" s="42">
        <f ca="1">VLOOKUP($F146,OFFSET(enemy_skill_triggers!$A$1,0,0,COUNTA(enemy_skill_triggers!$A:$A),MATCH(I$1,enemy_skill_triggers!$1:$1,0)-MATCH($F$1,enemy_skill_triggers!$1:$1,0)+1),MATCH(I$1,enemy_skill_triggers!$1:$1,0)-MATCH($F$1,enemy_skill_triggers!$1:$1,0)+1,FALSE)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6" s="42" t="str">
        <f ca="1">VLOOKUP($F146,OFFSET(enemy_skill_triggers!$A$1,0,0,COUNTA(enemy_skill_triggers!$A:$A),MATCH(J$1,enemy_skill_triggers!$1:$1,0)-MATCH($F$1,enemy_skill_triggers!$1:$1,0)+1),MATCH(J$1,enemy_skill_triggers!$1:$1,0)-MATCH($F$1,enemy_skill_triggers!$1:$1,0)+1,FALSE)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6" s="42" t="str">
        <f ca="1">VLOOKUP($F146,OFFSET(enemy_skill_triggers!$A$1,0,0,COUNTA(enemy_skill_triggers!$A:$A),MATCH(K$1,enemy_skill_triggers!$1:$1,0)-MATCH($F$1,enemy_skill_triggers!$1:$1,0)+1),MATCH(K$1,enemy_skill_triggers!$1:$1,0)-MATCH($F$1,enemy_skill_triggers!$1:$1,0)+1,FALSE)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6" s="42">
        <f ca="1">VLOOKUP($F146,OFFSET(enemy_skill_triggers!$A$1,0,0,COUNTA(enemy_skill_triggers!$A:$A),MATCH(L$1,enemy_skill_triggers!$1:$1,0)-MATCH($F$1,enemy_skill_triggers!$1:$1,0)+1),MATCH(L$1,enemy_skill_triggers!$1:$1,0)-MATCH($F$1,enemy_skill_triggers!$1:$1,0)+1,FALSE)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6" s="42" t="str">
        <f ca="1">VLOOKUP($F146,OFFSET(enemy_skill_triggers!$A$1,0,0,COUNTA(enemy_skill_triggers!$A:$A),MATCH(M$1,enemy_skill_triggers!$1:$1,0)-MATCH($F$1,enemy_skill_triggers!$1:$1,0)+1),MATCH(M$1,enemy_skill_triggers!$1:$1,0)-MATCH($F$1,enemy_skill_triggers!$1:$1,0)+1,FALSE)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6" s="42">
        <f ca="1">VLOOKUP($F146,OFFSET(enemy_skill_triggers!$A$1,0,0,COUNTA(enemy_skill_triggers!$A:$A),MATCH(N$1,enemy_skill_triggers!$1:$1,0)-MATCH($F$1,enemy_skill_triggers!$1:$1,0)+1),MATCH(N$1,enemy_skill_triggers!$1:$1,0)-MATCH($F$1,enemy_skill_triggers!$1:$1,0)+1,FALSE)</f>
        <v>1298</v>
      </c>
      <c r="O146" s="42">
        <f ca="1">VLOOKUP($F146,OFFSET(enemy_skill_triggers!$A$1,0,0,COUNTA(enemy_skill_triggers!$A:$A),MATCH(O$1,enemy_skill_triggers!$1:$1,0)-MATCH($F$1,enemy_skill_triggers!$1:$1,0)+1),MATCH(O$1,enemy_skill_triggers!$1:$1,0)-MATCH($F$1,enemy_skill_triggers!$1:$1,0)+1,FALSE)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6" s="41"/>
      <c r="Q146" s="41"/>
      <c r="R146" s="41" t="s">
        <v>340</v>
      </c>
    </row>
    <row r="147" spans="1:18" ht="21" customHeight="1" x14ac:dyDescent="0.15">
      <c r="A147" s="33" t="str">
        <f t="shared" si="12"/>
        <v>39008006_39008033</v>
      </c>
      <c r="B147" s="102">
        <v>39008006</v>
      </c>
      <c r="C147" s="119">
        <v>39008033</v>
      </c>
      <c r="D147" s="40" t="str">
        <f ca="1">VLOOKUP($C147,OFFSET(enemy_skills!$A$1,0,0,COUNTA(enemy_skills!$A:$A),MATCH(D$1,enemy_skills!$1:$1,0)-MATCH("enemy_skill_id",enemy_skills!$1:$1,0)+1),MATCH(D$1,enemy_skills!$1:$1,0)-MATCH("enemy_skill_id",enemy_skills!$1:$1,0)+1,FALSE)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47" s="40" t="str">
        <f ca="1">VLOOKUP($C147,OFFSET(enemy_skills!$A$1,0,0,COUNTA(enemy_skills!$A:$A),MATCH(E$1,enemy_skills!$1:$1,0)-MATCH("enemy_skill_id",enemy_skills!$1:$1,0)+1),MATCH(E$1,enemy_skills!$1:$1,0)-MATCH("enemy_skill_id",enemy_skills!$1:$1,0)+1,FALSE)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47" s="122">
        <v>39008095</v>
      </c>
      <c r="G147" s="42">
        <f ca="1">VLOOKUP($F147,OFFSET(enemy_skill_triggers!$A$1,0,0,COUNTA(enemy_skill_triggers!$A:$A),MATCH(G$1,enemy_skill_triggers!$1:$1,0)-MATCH($F$1,enemy_skill_triggers!$1:$1,0)+1),MATCH(G$1,enemy_skill_triggers!$1:$1,0)-MATCH($F$1,enemy_skill_triggers!$1:$1,0)+1,FALSE)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7" s="42">
        <f ca="1">VLOOKUP($F147,OFFSET(enemy_skill_triggers!$A$1,0,0,COUNTA(enemy_skill_triggers!$A:$A),MATCH(H$1,enemy_skill_triggers!$1:$1,0)-MATCH($F$1,enemy_skill_triggers!$1:$1,0)+1),MATCH(H$1,enemy_skill_triggers!$1:$1,0)-MATCH($F$1,enemy_skill_triggers!$1:$1,0)+1,FALSE)</f>
        <v>936</v>
      </c>
      <c r="I147" s="42">
        <f ca="1">VLOOKUP($F147,OFFSET(enemy_skill_triggers!$A$1,0,0,COUNTA(enemy_skill_triggers!$A:$A),MATCH(I$1,enemy_skill_triggers!$1:$1,0)-MATCH($F$1,enemy_skill_triggers!$1:$1,0)+1),MATCH(I$1,enemy_skill_triggers!$1:$1,0)-MATCH($F$1,enemy_skill_triggers!$1:$1,0)+1,FALSE)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7" s="42" t="str">
        <f ca="1">VLOOKUP($F147,OFFSET(enemy_skill_triggers!$A$1,0,0,COUNTA(enemy_skill_triggers!$A:$A),MATCH(J$1,enemy_skill_triggers!$1:$1,0)-MATCH($F$1,enemy_skill_triggers!$1:$1,0)+1),MATCH(J$1,enemy_skill_triggers!$1:$1,0)-MATCH($F$1,enemy_skill_triggers!$1:$1,0)+1,FALSE)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7" s="42" t="str">
        <f ca="1">VLOOKUP($F147,OFFSET(enemy_skill_triggers!$A$1,0,0,COUNTA(enemy_skill_triggers!$A:$A),MATCH(K$1,enemy_skill_triggers!$1:$1,0)-MATCH($F$1,enemy_skill_triggers!$1:$1,0)+1),MATCH(K$1,enemy_skill_triggers!$1:$1,0)-MATCH($F$1,enemy_skill_triggers!$1:$1,0)+1,FALSE)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7" s="42">
        <f ca="1">VLOOKUP($F147,OFFSET(enemy_skill_triggers!$A$1,0,0,COUNTA(enemy_skill_triggers!$A:$A),MATCH(L$1,enemy_skill_triggers!$1:$1,0)-MATCH($F$1,enemy_skill_triggers!$1:$1,0)+1),MATCH(L$1,enemy_skill_triggers!$1:$1,0)-MATCH($F$1,enemy_skill_triggers!$1:$1,0)+1,FALSE)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7" s="42" t="str">
        <f ca="1">VLOOKUP($F147,OFFSET(enemy_skill_triggers!$A$1,0,0,COUNTA(enemy_skill_triggers!$A:$A),MATCH(M$1,enemy_skill_triggers!$1:$1,0)-MATCH($F$1,enemy_skill_triggers!$1:$1,0)+1),MATCH(M$1,enemy_skill_triggers!$1:$1,0)-MATCH($F$1,enemy_skill_triggers!$1:$1,0)+1,FALSE)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7" s="42">
        <f ca="1">VLOOKUP($F147,OFFSET(enemy_skill_triggers!$A$1,0,0,COUNTA(enemy_skill_triggers!$A:$A),MATCH(N$1,enemy_skill_triggers!$1:$1,0)-MATCH($F$1,enemy_skill_triggers!$1:$1,0)+1),MATCH(N$1,enemy_skill_triggers!$1:$1,0)-MATCH($F$1,enemy_skill_triggers!$1:$1,0)+1,FALSE)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147" s="42">
        <f ca="1">VLOOKUP($F147,OFFSET(enemy_skill_triggers!$A$1,0,0,COUNTA(enemy_skill_triggers!$A:$A),MATCH(O$1,enemy_skill_triggers!$1:$1,0)-MATCH($F$1,enemy_skill_triggers!$1:$1,0)+1),MATCH(O$1,enemy_skill_triggers!$1:$1,0)-MATCH($F$1,enemy_skill_triggers!$1:$1,0)+1,FALSE)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7" s="41"/>
      <c r="Q147" s="41"/>
      <c r="R147" s="41" t="s">
        <v>340</v>
      </c>
    </row>
    <row r="148" spans="1:18" ht="21" customHeight="1" x14ac:dyDescent="0.15">
      <c r="A148" s="33" t="str">
        <f t="shared" si="12"/>
        <v>39008006_39008033</v>
      </c>
      <c r="B148" s="102">
        <v>39008006</v>
      </c>
      <c r="C148" s="119">
        <v>39008033</v>
      </c>
      <c r="D148" s="40" t="str">
        <f ca="1">VLOOKUP($C148,OFFSET(enemy_skills!$A$1,0,0,COUNTA(enemy_skills!$A:$A),MATCH(D$1,enemy_skills!$1:$1,0)-MATCH("enemy_skill_id",enemy_skills!$1:$1,0)+1),MATCH(D$1,enemy_skills!$1:$1,0)-MATCH("enemy_skill_id",enemy_skills!$1:$1,0)+1,FALSE)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48" s="40" t="str">
        <f ca="1">VLOOKUP($C148,OFFSET(enemy_skills!$A$1,0,0,COUNTA(enemy_skills!$A:$A),MATCH(E$1,enemy_skills!$1:$1,0)-MATCH("enemy_skill_id",enemy_skills!$1:$1,0)+1),MATCH(E$1,enemy_skills!$1:$1,0)-MATCH("enemy_skill_id",enemy_skills!$1:$1,0)+1,FALSE)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48" s="122">
        <v>39008096</v>
      </c>
      <c r="G148" s="42">
        <f ca="1">VLOOKUP($F148,OFFSET(enemy_skill_triggers!$A$1,0,0,COUNTA(enemy_skill_triggers!$A:$A),MATCH(G$1,enemy_skill_triggers!$1:$1,0)-MATCH($F$1,enemy_skill_triggers!$1:$1,0)+1),MATCH(G$1,enemy_skill_triggers!$1:$1,0)-MATCH($F$1,enemy_skill_triggers!$1:$1,0)+1,FALSE)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8" s="42">
        <f ca="1">VLOOKUP($F148,OFFSET(enemy_skill_triggers!$A$1,0,0,COUNTA(enemy_skill_triggers!$A:$A),MATCH(H$1,enemy_skill_triggers!$1:$1,0)-MATCH($F$1,enemy_skill_triggers!$1:$1,0)+1),MATCH(H$1,enemy_skill_triggers!$1:$1,0)-MATCH($F$1,enemy_skill_triggers!$1:$1,0)+1,FALSE)</f>
        <v>935</v>
      </c>
      <c r="I148" s="42">
        <f ca="1">VLOOKUP($F148,OFFSET(enemy_skill_triggers!$A$1,0,0,COUNTA(enemy_skill_triggers!$A:$A),MATCH(I$1,enemy_skill_triggers!$1:$1,0)-MATCH($F$1,enemy_skill_triggers!$1:$1,0)+1),MATCH(I$1,enemy_skill_triggers!$1:$1,0)-MATCH($F$1,enemy_skill_triggers!$1:$1,0)+1,FALSE)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8" s="42" t="str">
        <f ca="1">VLOOKUP($F148,OFFSET(enemy_skill_triggers!$A$1,0,0,COUNTA(enemy_skill_triggers!$A:$A),MATCH(J$1,enemy_skill_triggers!$1:$1,0)-MATCH($F$1,enemy_skill_triggers!$1:$1,0)+1),MATCH(J$1,enemy_skill_triggers!$1:$1,0)-MATCH($F$1,enemy_skill_triggers!$1:$1,0)+1,FALSE)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8" s="42" t="str">
        <f ca="1">VLOOKUP($F148,OFFSET(enemy_skill_triggers!$A$1,0,0,COUNTA(enemy_skill_triggers!$A:$A),MATCH(K$1,enemy_skill_triggers!$1:$1,0)-MATCH($F$1,enemy_skill_triggers!$1:$1,0)+1),MATCH(K$1,enemy_skill_triggers!$1:$1,0)-MATCH($F$1,enemy_skill_triggers!$1:$1,0)+1,FALSE)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8" s="42">
        <f ca="1">VLOOKUP($F148,OFFSET(enemy_skill_triggers!$A$1,0,0,COUNTA(enemy_skill_triggers!$A:$A),MATCH(L$1,enemy_skill_triggers!$1:$1,0)-MATCH($F$1,enemy_skill_triggers!$1:$1,0)+1),MATCH(L$1,enemy_skill_triggers!$1:$1,0)-MATCH($F$1,enemy_skill_triggers!$1:$1,0)+1,FALSE)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8" s="42" t="str">
        <f ca="1">VLOOKUP($F148,OFFSET(enemy_skill_triggers!$A$1,0,0,COUNTA(enemy_skill_triggers!$A:$A),MATCH(M$1,enemy_skill_triggers!$1:$1,0)-MATCH($F$1,enemy_skill_triggers!$1:$1,0)+1),MATCH(M$1,enemy_skill_triggers!$1:$1,0)-MATCH($F$1,enemy_skill_triggers!$1:$1,0)+1,FALSE)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8" s="42">
        <f ca="1">VLOOKUP($F148,OFFSET(enemy_skill_triggers!$A$1,0,0,COUNTA(enemy_skill_triggers!$A:$A),MATCH(N$1,enemy_skill_triggers!$1:$1,0)-MATCH($F$1,enemy_skill_triggers!$1:$1,0)+1),MATCH(N$1,enemy_skill_triggers!$1:$1,0)-MATCH($F$1,enemy_skill_triggers!$1:$1,0)+1,FALSE)</f>
        <v>1317</v>
      </c>
      <c r="O148" s="42">
        <f ca="1">VLOOKUP($F148,OFFSET(enemy_skill_triggers!$A$1,0,0,COUNTA(enemy_skill_triggers!$A:$A),MATCH(O$1,enemy_skill_triggers!$1:$1,0)-MATCH($F$1,enemy_skill_triggers!$1:$1,0)+1),MATCH(O$1,enemy_skill_triggers!$1:$1,0)-MATCH($F$1,enemy_skill_triggers!$1:$1,0)+1,FALSE)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8" s="41"/>
      <c r="Q148" s="41"/>
      <c r="R148" s="41" t="s">
        <v>340</v>
      </c>
    </row>
    <row r="149" spans="1:18" ht="21" customHeight="1" x14ac:dyDescent="0.15">
      <c r="A149" s="33" t="str">
        <f t="shared" si="12"/>
        <v>39008006_39008039</v>
      </c>
      <c r="B149" s="102">
        <v>39008006</v>
      </c>
      <c r="C149" s="119">
        <v>39008039</v>
      </c>
      <c r="D149" s="40" t="str">
        <f ca="1">VLOOKUP($C149,OFFSET(enemy_skills!$A$1,0,0,COUNTA(enemy_skills!$A:$A),MATCH(D$1,enemy_skills!$1:$1,0)-MATCH("enemy_skill_id",enemy_skills!$1:$1,0)+1),MATCH(D$1,enemy_skills!$1:$1,0)-MATCH("enemy_skill_id",enemy_skills!$1:$1,0)+1,FALSE)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49" s="40" t="str">
        <f ca="1">VLOOKUP($C149,OFFSET(enemy_skills!$A$1,0,0,COUNTA(enemy_skills!$A:$A),MATCH(E$1,enemy_skills!$1:$1,0)-MATCH("enemy_skill_id",enemy_skills!$1:$1,0)+1),MATCH(E$1,enemy_skills!$1:$1,0)-MATCH("enemy_skill_id",enemy_skills!$1:$1,0)+1,FALSE)</f>
        <v>そっか！KAITOにぃが助けてくれたんだね！ありがとうっ！</v>
      </c>
      <c r="F149" s="122">
        <v>39008097</v>
      </c>
      <c r="G149" s="42">
        <f ca="1">VLOOKUP($F149,OFFSET(enemy_skill_triggers!$A$1,0,0,COUNTA(enemy_skill_triggers!$A:$A),MATCH(G$1,enemy_skill_triggers!$1:$1,0)-MATCH($F$1,enemy_skill_triggers!$1:$1,0)+1),MATCH(G$1,enemy_skill_triggers!$1:$1,0)-MATCH($F$1,enemy_skill_triggers!$1:$1,0)+1,FALSE)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9" s="42">
        <f ca="1">VLOOKUP($F149,OFFSET(enemy_skill_triggers!$A$1,0,0,COUNTA(enemy_skill_triggers!$A:$A),MATCH(H$1,enemy_skill_triggers!$1:$1,0)-MATCH($F$1,enemy_skill_triggers!$1:$1,0)+1),MATCH(H$1,enemy_skill_triggers!$1:$1,0)-MATCH($F$1,enemy_skill_triggers!$1:$1,0)+1,FALSE)</f>
        <v>934</v>
      </c>
      <c r="I149" s="42">
        <f ca="1">VLOOKUP($F149,OFFSET(enemy_skill_triggers!$A$1,0,0,COUNTA(enemy_skill_triggers!$A:$A),MATCH(I$1,enemy_skill_triggers!$1:$1,0)-MATCH($F$1,enemy_skill_triggers!$1:$1,0)+1),MATCH(I$1,enemy_skill_triggers!$1:$1,0)-MATCH($F$1,enemy_skill_triggers!$1:$1,0)+1,FALSE)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9" s="42" t="str">
        <f ca="1">VLOOKUP($F149,OFFSET(enemy_skill_triggers!$A$1,0,0,COUNTA(enemy_skill_triggers!$A:$A),MATCH(J$1,enemy_skill_triggers!$1:$1,0)-MATCH($F$1,enemy_skill_triggers!$1:$1,0)+1),MATCH(J$1,enemy_skill_triggers!$1:$1,0)-MATCH($F$1,enemy_skill_triggers!$1:$1,0)+1,FALSE)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9" s="42" t="str">
        <f ca="1">VLOOKUP($F149,OFFSET(enemy_skill_triggers!$A$1,0,0,COUNTA(enemy_skill_triggers!$A:$A),MATCH(K$1,enemy_skill_triggers!$1:$1,0)-MATCH($F$1,enemy_skill_triggers!$1:$1,0)+1),MATCH(K$1,enemy_skill_triggers!$1:$1,0)-MATCH($F$1,enemy_skill_triggers!$1:$1,0)+1,FALSE)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9" s="42">
        <f ca="1">VLOOKUP($F149,OFFSET(enemy_skill_triggers!$A$1,0,0,COUNTA(enemy_skill_triggers!$A:$A),MATCH(L$1,enemy_skill_triggers!$1:$1,0)-MATCH($F$1,enemy_skill_triggers!$1:$1,0)+1),MATCH(L$1,enemy_skill_triggers!$1:$1,0)-MATCH($F$1,enemy_skill_triggers!$1:$1,0)+1,FALSE)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9" s="42" t="str">
        <f ca="1">VLOOKUP($F149,OFFSET(enemy_skill_triggers!$A$1,0,0,COUNTA(enemy_skill_triggers!$A:$A),MATCH(M$1,enemy_skill_triggers!$1:$1,0)-MATCH($F$1,enemy_skill_triggers!$1:$1,0)+1),MATCH(M$1,enemy_skill_triggers!$1:$1,0)-MATCH($F$1,enemy_skill_triggers!$1:$1,0)+1,FALSE)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9" s="42">
        <f ca="1">VLOOKUP($F149,OFFSET(enemy_skill_triggers!$A$1,0,0,COUNTA(enemy_skill_triggers!$A:$A),MATCH(N$1,enemy_skill_triggers!$1:$1,0)-MATCH($F$1,enemy_skill_triggers!$1:$1,0)+1),MATCH(N$1,enemy_skill_triggers!$1:$1,0)-MATCH($F$1,enemy_skill_triggers!$1:$1,0)+1,FALSE)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149" s="42">
        <f ca="1">VLOOKUP($F149,OFFSET(enemy_skill_triggers!$A$1,0,0,COUNTA(enemy_skill_triggers!$A:$A),MATCH(O$1,enemy_skill_triggers!$1:$1,0)-MATCH($F$1,enemy_skill_triggers!$1:$1,0)+1),MATCH(O$1,enemy_skill_triggers!$1:$1,0)-MATCH($F$1,enemy_skill_triggers!$1:$1,0)+1,FALSE)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9" s="41"/>
      <c r="Q149" s="41"/>
      <c r="R149" s="41" t="s">
        <v>341</v>
      </c>
    </row>
    <row r="150" spans="1:18" ht="21" customHeight="1" x14ac:dyDescent="0.15">
      <c r="A150" s="33" t="str">
        <f t="shared" si="12"/>
        <v>39008006_39008039</v>
      </c>
      <c r="B150" s="102">
        <v>39008006</v>
      </c>
      <c r="C150" s="119">
        <v>39008039</v>
      </c>
      <c r="D150" s="40" t="str">
        <f ca="1">VLOOKUP($C150,OFFSET(enemy_skills!$A$1,0,0,COUNTA(enemy_skills!$A:$A),MATCH(D$1,enemy_skills!$1:$1,0)-MATCH("enemy_skill_id",enemy_skills!$1:$1,0)+1),MATCH(D$1,enemy_skills!$1:$1,0)-MATCH("enemy_skill_id",enemy_skills!$1:$1,0)+1,FALSE)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50" s="40" t="str">
        <f ca="1">VLOOKUP($C150,OFFSET(enemy_skills!$A$1,0,0,COUNTA(enemy_skills!$A:$A),MATCH(E$1,enemy_skills!$1:$1,0)-MATCH("enemy_skill_id",enemy_skills!$1:$1,0)+1),MATCH(E$1,enemy_skills!$1:$1,0)-MATCH("enemy_skill_id",enemy_skills!$1:$1,0)+1,FALSE)</f>
        <v>そっか！KAITOにぃが助けてくれたんだね！ありがとうっ！</v>
      </c>
      <c r="F150" s="122">
        <v>39008098</v>
      </c>
      <c r="G150" s="42">
        <f ca="1">VLOOKUP($F150,OFFSET(enemy_skill_triggers!$A$1,0,0,COUNTA(enemy_skill_triggers!$A:$A),MATCH(G$1,enemy_skill_triggers!$1:$1,0)-MATCH($F$1,enemy_skill_triggers!$1:$1,0)+1),MATCH(G$1,enemy_skill_triggers!$1:$1,0)-MATCH($F$1,enemy_skill_triggers!$1:$1,0)+1,FALSE)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0" s="42">
        <f ca="1">VLOOKUP($F150,OFFSET(enemy_skill_triggers!$A$1,0,0,COUNTA(enemy_skill_triggers!$A:$A),MATCH(H$1,enemy_skill_triggers!$1:$1,0)-MATCH($F$1,enemy_skill_triggers!$1:$1,0)+1),MATCH(H$1,enemy_skill_triggers!$1:$1,0)-MATCH($F$1,enemy_skill_triggers!$1:$1,0)+1,FALSE)</f>
        <v>933</v>
      </c>
      <c r="I150" s="42">
        <f ca="1">VLOOKUP($F150,OFFSET(enemy_skill_triggers!$A$1,0,0,COUNTA(enemy_skill_triggers!$A:$A),MATCH(I$1,enemy_skill_triggers!$1:$1,0)-MATCH($F$1,enemy_skill_triggers!$1:$1,0)+1),MATCH(I$1,enemy_skill_triggers!$1:$1,0)-MATCH($F$1,enemy_skill_triggers!$1:$1,0)+1,FALSE)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0" s="42" t="str">
        <f ca="1">VLOOKUP($F150,OFFSET(enemy_skill_triggers!$A$1,0,0,COUNTA(enemy_skill_triggers!$A:$A),MATCH(J$1,enemy_skill_triggers!$1:$1,0)-MATCH($F$1,enemy_skill_triggers!$1:$1,0)+1),MATCH(J$1,enemy_skill_triggers!$1:$1,0)-MATCH($F$1,enemy_skill_triggers!$1:$1,0)+1,FALSE)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0" s="42" t="str">
        <f ca="1">VLOOKUP($F150,OFFSET(enemy_skill_triggers!$A$1,0,0,COUNTA(enemy_skill_triggers!$A:$A),MATCH(K$1,enemy_skill_triggers!$1:$1,0)-MATCH($F$1,enemy_skill_triggers!$1:$1,0)+1),MATCH(K$1,enemy_skill_triggers!$1:$1,0)-MATCH($F$1,enemy_skill_triggers!$1:$1,0)+1,FALSE)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0" s="42">
        <f ca="1">VLOOKUP($F150,OFFSET(enemy_skill_triggers!$A$1,0,0,COUNTA(enemy_skill_triggers!$A:$A),MATCH(L$1,enemy_skill_triggers!$1:$1,0)-MATCH($F$1,enemy_skill_triggers!$1:$1,0)+1),MATCH(L$1,enemy_skill_triggers!$1:$1,0)-MATCH($F$1,enemy_skill_triggers!$1:$1,0)+1,FALSE)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0" s="42" t="str">
        <f ca="1">VLOOKUP($F150,OFFSET(enemy_skill_triggers!$A$1,0,0,COUNTA(enemy_skill_triggers!$A:$A),MATCH(M$1,enemy_skill_triggers!$1:$1,0)-MATCH($F$1,enemy_skill_triggers!$1:$1,0)+1),MATCH(M$1,enemy_skill_triggers!$1:$1,0)-MATCH($F$1,enemy_skill_triggers!$1:$1,0)+1,FALSE)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0" s="42">
        <f ca="1">VLOOKUP($F150,OFFSET(enemy_skill_triggers!$A$1,0,0,COUNTA(enemy_skill_triggers!$A:$A),MATCH(N$1,enemy_skill_triggers!$1:$1,0)-MATCH($F$1,enemy_skill_triggers!$1:$1,0)+1),MATCH(N$1,enemy_skill_triggers!$1:$1,0)-MATCH($F$1,enemy_skill_triggers!$1:$1,0)+1,FALSE)</f>
        <v>552</v>
      </c>
      <c r="O150" s="42">
        <f ca="1">VLOOKUP($F150,OFFSET(enemy_skill_triggers!$A$1,0,0,COUNTA(enemy_skill_triggers!$A:$A),MATCH(O$1,enemy_skill_triggers!$1:$1,0)-MATCH($F$1,enemy_skill_triggers!$1:$1,0)+1),MATCH(O$1,enemy_skill_triggers!$1:$1,0)-MATCH($F$1,enemy_skill_triggers!$1:$1,0)+1,FALSE)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0" s="41"/>
      <c r="Q150" s="41"/>
      <c r="R150" s="41" t="s">
        <v>342</v>
      </c>
    </row>
    <row r="151" spans="1:18" ht="21" customHeight="1" x14ac:dyDescent="0.15">
      <c r="A151" s="33" t="str">
        <f t="shared" si="12"/>
        <v>39008006_39008039</v>
      </c>
      <c r="B151" s="102">
        <v>39008006</v>
      </c>
      <c r="C151" s="119">
        <v>39008039</v>
      </c>
      <c r="D151" s="40" t="str">
        <f ca="1">VLOOKUP($C151,OFFSET(enemy_skills!$A$1,0,0,COUNTA(enemy_skills!$A:$A),MATCH(D$1,enemy_skills!$1:$1,0)-MATCH("enemy_skill_id",enemy_skills!$1:$1,0)+1),MATCH(D$1,enemy_skills!$1:$1,0)-MATCH("enemy_skill_id",enemy_skills!$1:$1,0)+1,FALSE)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51" s="40" t="str">
        <f ca="1">VLOOKUP($C151,OFFSET(enemy_skills!$A$1,0,0,COUNTA(enemy_skills!$A:$A),MATCH(E$1,enemy_skills!$1:$1,0)-MATCH("enemy_skill_id",enemy_skills!$1:$1,0)+1),MATCH(E$1,enemy_skills!$1:$1,0)-MATCH("enemy_skill_id",enemy_skills!$1:$1,0)+1,FALSE)</f>
        <v>そっか！KAITOにぃが助けてくれたんだね！ありがとうっ！</v>
      </c>
      <c r="F151" s="122">
        <v>39008099</v>
      </c>
      <c r="G151" s="42">
        <f ca="1">VLOOKUP($F151,OFFSET(enemy_skill_triggers!$A$1,0,0,COUNTA(enemy_skill_triggers!$A:$A),MATCH(G$1,enemy_skill_triggers!$1:$1,0)-MATCH($F$1,enemy_skill_triggers!$1:$1,0)+1),MATCH(G$1,enemy_skill_triggers!$1:$1,0)-MATCH($F$1,enemy_skill_triggers!$1:$1,0)+1,FALSE)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1" s="42">
        <f ca="1">VLOOKUP($F151,OFFSET(enemy_skill_triggers!$A$1,0,0,COUNTA(enemy_skill_triggers!$A:$A),MATCH(H$1,enemy_skill_triggers!$1:$1,0)-MATCH($F$1,enemy_skill_triggers!$1:$1,0)+1),MATCH(H$1,enemy_skill_triggers!$1:$1,0)-MATCH($F$1,enemy_skill_triggers!$1:$1,0)+1,FALSE)</f>
        <v>932</v>
      </c>
      <c r="I151" s="42">
        <f ca="1">VLOOKUP($F151,OFFSET(enemy_skill_triggers!$A$1,0,0,COUNTA(enemy_skill_triggers!$A:$A),MATCH(I$1,enemy_skill_triggers!$1:$1,0)-MATCH($F$1,enemy_skill_triggers!$1:$1,0)+1),MATCH(I$1,enemy_skill_triggers!$1:$1,0)-MATCH($F$1,enemy_skill_triggers!$1:$1,0)+1,FALSE)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1" s="42" t="str">
        <f ca="1">VLOOKUP($F151,OFFSET(enemy_skill_triggers!$A$1,0,0,COUNTA(enemy_skill_triggers!$A:$A),MATCH(J$1,enemy_skill_triggers!$1:$1,0)-MATCH($F$1,enemy_skill_triggers!$1:$1,0)+1),MATCH(J$1,enemy_skill_triggers!$1:$1,0)-MATCH($F$1,enemy_skill_triggers!$1:$1,0)+1,FALSE)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1" s="42" t="str">
        <f ca="1">VLOOKUP($F151,OFFSET(enemy_skill_triggers!$A$1,0,0,COUNTA(enemy_skill_triggers!$A:$A),MATCH(K$1,enemy_skill_triggers!$1:$1,0)-MATCH($F$1,enemy_skill_triggers!$1:$1,0)+1),MATCH(K$1,enemy_skill_triggers!$1:$1,0)-MATCH($F$1,enemy_skill_triggers!$1:$1,0)+1,FALSE)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1" s="42">
        <f ca="1">VLOOKUP($F151,OFFSET(enemy_skill_triggers!$A$1,0,0,COUNTA(enemy_skill_triggers!$A:$A),MATCH(L$1,enemy_skill_triggers!$1:$1,0)-MATCH($F$1,enemy_skill_triggers!$1:$1,0)+1),MATCH(L$1,enemy_skill_triggers!$1:$1,0)-MATCH($F$1,enemy_skill_triggers!$1:$1,0)+1,FALSE)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1" s="42" t="str">
        <f ca="1">VLOOKUP($F151,OFFSET(enemy_skill_triggers!$A$1,0,0,COUNTA(enemy_skill_triggers!$A:$A),MATCH(M$1,enemy_skill_triggers!$1:$1,0)-MATCH($F$1,enemy_skill_triggers!$1:$1,0)+1),MATCH(M$1,enemy_skill_triggers!$1:$1,0)-MATCH($F$1,enemy_skill_triggers!$1:$1,0)+1,FALSE)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1" s="42">
        <f ca="1">VLOOKUP($F151,OFFSET(enemy_skill_triggers!$A$1,0,0,COUNTA(enemy_skill_triggers!$A:$A),MATCH(N$1,enemy_skill_triggers!$1:$1,0)-MATCH($F$1,enemy_skill_triggers!$1:$1,0)+1),MATCH(N$1,enemy_skill_triggers!$1:$1,0)-MATCH($F$1,enemy_skill_triggers!$1:$1,0)+1,FALSE)</f>
        <v>1315</v>
      </c>
      <c r="O151" s="42">
        <f ca="1">VLOOKUP($F151,OFFSET(enemy_skill_triggers!$A$1,0,0,COUNTA(enemy_skill_triggers!$A:$A),MATCH(O$1,enemy_skill_triggers!$1:$1,0)-MATCH($F$1,enemy_skill_triggers!$1:$1,0)+1),MATCH(O$1,enemy_skill_triggers!$1:$1,0)-MATCH($F$1,enemy_skill_triggers!$1:$1,0)+1,FALSE)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1" s="41"/>
      <c r="Q151" s="41"/>
      <c r="R151" s="41" t="s">
        <v>343</v>
      </c>
    </row>
    <row r="152" spans="1:18" ht="21" customHeight="1" x14ac:dyDescent="0.15">
      <c r="A152" s="33" t="str">
        <f t="shared" si="12"/>
        <v>39008006_39008034</v>
      </c>
      <c r="B152" s="102">
        <v>39008006</v>
      </c>
      <c r="C152" s="119">
        <v>39008034</v>
      </c>
      <c r="D152" s="40" t="str">
        <f ca="1">VLOOKUP($C152,OFFSET(enemy_skills!$A$1,0,0,COUNTA(enemy_skills!$A:$A),MATCH(D$1,enemy_skills!$1:$1,0)-MATCH("enemy_skill_id",enemy_skills!$1:$1,0)+1),MATCH(D$1,enemy_skills!$1:$1,0)-MATCH("enemy_skill_id",enemy_skills!$1:$1,0)+1,FALSE)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52" s="40" t="str">
        <f ca="1">VLOOKUP($C152,OFFSET(enemy_skills!$A$1,0,0,COUNTA(enemy_skills!$A:$A),MATCH(E$1,enemy_skills!$1:$1,0)-MATCH("enemy_skill_id",enemy_skills!$1:$1,0)+1),MATCH(E$1,enemy_skills!$1:$1,0)-MATCH("enemy_skill_id",enemy_skills!$1:$1,0)+1,FALSE)</f>
        <v>そっかー！ユキネが助けてくれたんだねー！すっごーい！</v>
      </c>
      <c r="F152" s="122">
        <v>39008100</v>
      </c>
      <c r="G152" s="42">
        <f ca="1">VLOOKUP($F152,OFFSET(enemy_skill_triggers!$A$1,0,0,COUNTA(enemy_skill_triggers!$A:$A),MATCH(G$1,enemy_skill_triggers!$1:$1,0)-MATCH($F$1,enemy_skill_triggers!$1:$1,0)+1),MATCH(G$1,enemy_skill_triggers!$1:$1,0)-MATCH($F$1,enemy_skill_triggers!$1:$1,0)+1,FALSE)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2" s="42">
        <f ca="1">VLOOKUP($F152,OFFSET(enemy_skill_triggers!$A$1,0,0,COUNTA(enemy_skill_triggers!$A:$A),MATCH(H$1,enemy_skill_triggers!$1:$1,0)-MATCH($F$1,enemy_skill_triggers!$1:$1,0)+1),MATCH(H$1,enemy_skill_triggers!$1:$1,0)-MATCH($F$1,enemy_skill_triggers!$1:$1,0)+1,FALSE)</f>
        <v>931</v>
      </c>
      <c r="I152" s="42">
        <f ca="1">VLOOKUP($F152,OFFSET(enemy_skill_triggers!$A$1,0,0,COUNTA(enemy_skill_triggers!$A:$A),MATCH(I$1,enemy_skill_triggers!$1:$1,0)-MATCH($F$1,enemy_skill_triggers!$1:$1,0)+1),MATCH(I$1,enemy_skill_triggers!$1:$1,0)-MATCH($F$1,enemy_skill_triggers!$1:$1,0)+1,FALSE)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2" s="42" t="str">
        <f ca="1">VLOOKUP($F152,OFFSET(enemy_skill_triggers!$A$1,0,0,COUNTA(enemy_skill_triggers!$A:$A),MATCH(J$1,enemy_skill_triggers!$1:$1,0)-MATCH($F$1,enemy_skill_triggers!$1:$1,0)+1),MATCH(J$1,enemy_skill_triggers!$1:$1,0)-MATCH($F$1,enemy_skill_triggers!$1:$1,0)+1,FALSE)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2" s="42" t="str">
        <f ca="1">VLOOKUP($F152,OFFSET(enemy_skill_triggers!$A$1,0,0,COUNTA(enemy_skill_triggers!$A:$A),MATCH(K$1,enemy_skill_triggers!$1:$1,0)-MATCH($F$1,enemy_skill_triggers!$1:$1,0)+1),MATCH(K$1,enemy_skill_triggers!$1:$1,0)-MATCH($F$1,enemy_skill_triggers!$1:$1,0)+1,FALSE)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2" s="42">
        <f ca="1">VLOOKUP($F152,OFFSET(enemy_skill_triggers!$A$1,0,0,COUNTA(enemy_skill_triggers!$A:$A),MATCH(L$1,enemy_skill_triggers!$1:$1,0)-MATCH($F$1,enemy_skill_triggers!$1:$1,0)+1),MATCH(L$1,enemy_skill_triggers!$1:$1,0)-MATCH($F$1,enemy_skill_triggers!$1:$1,0)+1,FALSE)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2" s="42" t="str">
        <f ca="1">VLOOKUP($F152,OFFSET(enemy_skill_triggers!$A$1,0,0,COUNTA(enemy_skill_triggers!$A:$A),MATCH(M$1,enemy_skill_triggers!$1:$1,0)-MATCH($F$1,enemy_skill_triggers!$1:$1,0)+1),MATCH(M$1,enemy_skill_triggers!$1:$1,0)-MATCH($F$1,enemy_skill_triggers!$1:$1,0)+1,FALSE)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2" s="42">
        <f ca="1">VLOOKUP($F152,OFFSET(enemy_skill_triggers!$A$1,0,0,COUNTA(enemy_skill_triggers!$A:$A),MATCH(N$1,enemy_skill_triggers!$1:$1,0)-MATCH($F$1,enemy_skill_triggers!$1:$1,0)+1),MATCH(N$1,enemy_skill_triggers!$1:$1,0)-MATCH($F$1,enemy_skill_triggers!$1:$1,0)+1,FALSE)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152" s="42">
        <f ca="1">VLOOKUP($F152,OFFSET(enemy_skill_triggers!$A$1,0,0,COUNTA(enemy_skill_triggers!$A:$A),MATCH(O$1,enemy_skill_triggers!$1:$1,0)-MATCH($F$1,enemy_skill_triggers!$1:$1,0)+1),MATCH(O$1,enemy_skill_triggers!$1:$1,0)-MATCH($F$1,enemy_skill_triggers!$1:$1,0)+1,FALSE)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2" s="41"/>
      <c r="Q152" s="41"/>
      <c r="R152" s="41" t="s">
        <v>344</v>
      </c>
    </row>
    <row r="153" spans="1:18" ht="21" customHeight="1" x14ac:dyDescent="0.15">
      <c r="A153" s="33" t="str">
        <f t="shared" si="12"/>
        <v>39008006_39008034</v>
      </c>
      <c r="B153" s="102">
        <v>39008006</v>
      </c>
      <c r="C153" s="119">
        <v>39008034</v>
      </c>
      <c r="D153" s="40" t="str">
        <f ca="1">VLOOKUP($C153,OFFSET(enemy_skills!$A$1,0,0,COUNTA(enemy_skills!$A:$A),MATCH(D$1,enemy_skills!$1:$1,0)-MATCH("enemy_skill_id",enemy_skills!$1:$1,0)+1),MATCH(D$1,enemy_skills!$1:$1,0)-MATCH("enemy_skill_id",enemy_skills!$1:$1,0)+1,FALSE)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53" s="40" t="str">
        <f ca="1">VLOOKUP($C153,OFFSET(enemy_skills!$A$1,0,0,COUNTA(enemy_skills!$A:$A),MATCH(E$1,enemy_skills!$1:$1,0)-MATCH("enemy_skill_id",enemy_skills!$1:$1,0)+1),MATCH(E$1,enemy_skills!$1:$1,0)-MATCH("enemy_skill_id",enemy_skills!$1:$1,0)+1,FALSE)</f>
        <v>そっかー！ユキネが助けてくれたんだねー！すっごーい！</v>
      </c>
      <c r="F153" s="122">
        <v>39008101</v>
      </c>
      <c r="G153" s="42">
        <f ca="1">VLOOKUP($F153,OFFSET(enemy_skill_triggers!$A$1,0,0,COUNTA(enemy_skill_triggers!$A:$A),MATCH(G$1,enemy_skill_triggers!$1:$1,0)-MATCH($F$1,enemy_skill_triggers!$1:$1,0)+1),MATCH(G$1,enemy_skill_triggers!$1:$1,0)-MATCH($F$1,enemy_skill_triggers!$1:$1,0)+1,FALSE)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3" s="42">
        <f ca="1">VLOOKUP($F153,OFFSET(enemy_skill_triggers!$A$1,0,0,COUNTA(enemy_skill_triggers!$A:$A),MATCH(H$1,enemy_skill_triggers!$1:$1,0)-MATCH($F$1,enemy_skill_triggers!$1:$1,0)+1),MATCH(H$1,enemy_skill_triggers!$1:$1,0)-MATCH($F$1,enemy_skill_triggers!$1:$1,0)+1,FALSE)</f>
        <v>930</v>
      </c>
      <c r="I153" s="42">
        <f ca="1">VLOOKUP($F153,OFFSET(enemy_skill_triggers!$A$1,0,0,COUNTA(enemy_skill_triggers!$A:$A),MATCH(I$1,enemy_skill_triggers!$1:$1,0)-MATCH($F$1,enemy_skill_triggers!$1:$1,0)+1),MATCH(I$1,enemy_skill_triggers!$1:$1,0)-MATCH($F$1,enemy_skill_triggers!$1:$1,0)+1,FALSE)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3" s="42" t="str">
        <f ca="1">VLOOKUP($F153,OFFSET(enemy_skill_triggers!$A$1,0,0,COUNTA(enemy_skill_triggers!$A:$A),MATCH(J$1,enemy_skill_triggers!$1:$1,0)-MATCH($F$1,enemy_skill_triggers!$1:$1,0)+1),MATCH(J$1,enemy_skill_triggers!$1:$1,0)-MATCH($F$1,enemy_skill_triggers!$1:$1,0)+1,FALSE)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3" s="42" t="str">
        <f ca="1">VLOOKUP($F153,OFFSET(enemy_skill_triggers!$A$1,0,0,COUNTA(enemy_skill_triggers!$A:$A),MATCH(K$1,enemy_skill_triggers!$1:$1,0)-MATCH($F$1,enemy_skill_triggers!$1:$1,0)+1),MATCH(K$1,enemy_skill_triggers!$1:$1,0)-MATCH($F$1,enemy_skill_triggers!$1:$1,0)+1,FALSE)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3" s="42">
        <f ca="1">VLOOKUP($F153,OFFSET(enemy_skill_triggers!$A$1,0,0,COUNTA(enemy_skill_triggers!$A:$A),MATCH(L$1,enemy_skill_triggers!$1:$1,0)-MATCH($F$1,enemy_skill_triggers!$1:$1,0)+1),MATCH(L$1,enemy_skill_triggers!$1:$1,0)-MATCH($F$1,enemy_skill_triggers!$1:$1,0)+1,FALSE)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3" s="42" t="str">
        <f ca="1">VLOOKUP($F153,OFFSET(enemy_skill_triggers!$A$1,0,0,COUNTA(enemy_skill_triggers!$A:$A),MATCH(M$1,enemy_skill_triggers!$1:$1,0)-MATCH($F$1,enemy_skill_triggers!$1:$1,0)+1),MATCH(M$1,enemy_skill_triggers!$1:$1,0)-MATCH($F$1,enemy_skill_triggers!$1:$1,0)+1,FALSE)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3" s="42">
        <f ca="1">VLOOKUP($F153,OFFSET(enemy_skill_triggers!$A$1,0,0,COUNTA(enemy_skill_triggers!$A:$A),MATCH(N$1,enemy_skill_triggers!$1:$1,0)-MATCH($F$1,enemy_skill_triggers!$1:$1,0)+1),MATCH(N$1,enemy_skill_triggers!$1:$1,0)-MATCH($F$1,enemy_skill_triggers!$1:$1,0)+1,FALSE)</f>
        <v>558</v>
      </c>
      <c r="O153" s="42">
        <f ca="1">VLOOKUP($F153,OFFSET(enemy_skill_triggers!$A$1,0,0,COUNTA(enemy_skill_triggers!$A:$A),MATCH(O$1,enemy_skill_triggers!$1:$1,0)-MATCH($F$1,enemy_skill_triggers!$1:$1,0)+1),MATCH(O$1,enemy_skill_triggers!$1:$1,0)-MATCH($F$1,enemy_skill_triggers!$1:$1,0)+1,FALSE)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3" s="41"/>
      <c r="Q153" s="41"/>
      <c r="R153" s="41" t="s">
        <v>344</v>
      </c>
    </row>
    <row r="154" spans="1:18" ht="21" customHeight="1" x14ac:dyDescent="0.15">
      <c r="A154" s="33" t="str">
        <f t="shared" si="12"/>
        <v>39008006_39008034</v>
      </c>
      <c r="B154" s="102">
        <v>39008006</v>
      </c>
      <c r="C154" s="119">
        <v>39008034</v>
      </c>
      <c r="D154" s="40" t="str">
        <f ca="1">VLOOKUP($C154,OFFSET(enemy_skills!$A$1,0,0,COUNTA(enemy_skills!$A:$A),MATCH(D$1,enemy_skills!$1:$1,0)-MATCH("enemy_skill_id",enemy_skills!$1:$1,0)+1),MATCH(D$1,enemy_skills!$1:$1,0)-MATCH("enemy_skill_id",enemy_skills!$1:$1,0)+1,FALSE)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54" s="40" t="str">
        <f ca="1">VLOOKUP($C154,OFFSET(enemy_skills!$A$1,0,0,COUNTA(enemy_skills!$A:$A),MATCH(E$1,enemy_skills!$1:$1,0)-MATCH("enemy_skill_id",enemy_skills!$1:$1,0)+1),MATCH(E$1,enemy_skills!$1:$1,0)-MATCH("enemy_skill_id",enemy_skills!$1:$1,0)+1,FALSE)</f>
        <v>そっかー！ユキネが助けてくれたんだねー！すっごーい！</v>
      </c>
      <c r="F154" s="122">
        <v>39008102</v>
      </c>
      <c r="G154" s="42">
        <f ca="1">VLOOKUP($F154,OFFSET(enemy_skill_triggers!$A$1,0,0,COUNTA(enemy_skill_triggers!$A:$A),MATCH(G$1,enemy_skill_triggers!$1:$1,0)-MATCH($F$1,enemy_skill_triggers!$1:$1,0)+1),MATCH(G$1,enemy_skill_triggers!$1:$1,0)-MATCH($F$1,enemy_skill_triggers!$1:$1,0)+1,FALSE)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4" s="42">
        <f ca="1">VLOOKUP($F154,OFFSET(enemy_skill_triggers!$A$1,0,0,COUNTA(enemy_skill_triggers!$A:$A),MATCH(H$1,enemy_skill_triggers!$1:$1,0)-MATCH($F$1,enemy_skill_triggers!$1:$1,0)+1),MATCH(H$1,enemy_skill_triggers!$1:$1,0)-MATCH($F$1,enemy_skill_triggers!$1:$1,0)+1,FALSE)</f>
        <v>929</v>
      </c>
      <c r="I154" s="42">
        <f ca="1">VLOOKUP($F154,OFFSET(enemy_skill_triggers!$A$1,0,0,COUNTA(enemy_skill_triggers!$A:$A),MATCH(I$1,enemy_skill_triggers!$1:$1,0)-MATCH($F$1,enemy_skill_triggers!$1:$1,0)+1),MATCH(I$1,enemy_skill_triggers!$1:$1,0)-MATCH($F$1,enemy_skill_triggers!$1:$1,0)+1,FALSE)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4" s="42" t="str">
        <f ca="1">VLOOKUP($F154,OFFSET(enemy_skill_triggers!$A$1,0,0,COUNTA(enemy_skill_triggers!$A:$A),MATCH(J$1,enemy_skill_triggers!$1:$1,0)-MATCH($F$1,enemy_skill_triggers!$1:$1,0)+1),MATCH(J$1,enemy_skill_triggers!$1:$1,0)-MATCH($F$1,enemy_skill_triggers!$1:$1,0)+1,FALSE)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4" s="42" t="str">
        <f ca="1">VLOOKUP($F154,OFFSET(enemy_skill_triggers!$A$1,0,0,COUNTA(enemy_skill_triggers!$A:$A),MATCH(K$1,enemy_skill_triggers!$1:$1,0)-MATCH($F$1,enemy_skill_triggers!$1:$1,0)+1),MATCH(K$1,enemy_skill_triggers!$1:$1,0)-MATCH($F$1,enemy_skill_triggers!$1:$1,0)+1,FALSE)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4" s="42">
        <f ca="1">VLOOKUP($F154,OFFSET(enemy_skill_triggers!$A$1,0,0,COUNTA(enemy_skill_triggers!$A:$A),MATCH(L$1,enemy_skill_triggers!$1:$1,0)-MATCH($F$1,enemy_skill_triggers!$1:$1,0)+1),MATCH(L$1,enemy_skill_triggers!$1:$1,0)-MATCH($F$1,enemy_skill_triggers!$1:$1,0)+1,FALSE)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4" s="42" t="str">
        <f ca="1">VLOOKUP($F154,OFFSET(enemy_skill_triggers!$A$1,0,0,COUNTA(enemy_skill_triggers!$A:$A),MATCH(M$1,enemy_skill_triggers!$1:$1,0)-MATCH($F$1,enemy_skill_triggers!$1:$1,0)+1),MATCH(M$1,enemy_skill_triggers!$1:$1,0)-MATCH($F$1,enemy_skill_triggers!$1:$1,0)+1,FALSE)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4" s="42">
        <f ca="1">VLOOKUP($F154,OFFSET(enemy_skill_triggers!$A$1,0,0,COUNTA(enemy_skill_triggers!$A:$A),MATCH(N$1,enemy_skill_triggers!$1:$1,0)-MATCH($F$1,enemy_skill_triggers!$1:$1,0)+1),MATCH(N$1,enemy_skill_triggers!$1:$1,0)-MATCH($F$1,enemy_skill_triggers!$1:$1,0)+1,FALSE)</f>
        <v>559</v>
      </c>
      <c r="O154" s="42">
        <f ca="1">VLOOKUP($F154,OFFSET(enemy_skill_triggers!$A$1,0,0,COUNTA(enemy_skill_triggers!$A:$A),MATCH(O$1,enemy_skill_triggers!$1:$1,0)-MATCH($F$1,enemy_skill_triggers!$1:$1,0)+1),MATCH(O$1,enemy_skill_triggers!$1:$1,0)-MATCH($F$1,enemy_skill_triggers!$1:$1,0)+1,FALSE)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4" s="41"/>
      <c r="Q154" s="41"/>
      <c r="R154" s="41" t="s">
        <v>344</v>
      </c>
    </row>
    <row r="155" spans="1:18" ht="21" customHeight="1" x14ac:dyDescent="0.15">
      <c r="A155" s="33" t="str">
        <f t="shared" si="12"/>
        <v>39008006_39008034</v>
      </c>
      <c r="B155" s="102">
        <v>39008006</v>
      </c>
      <c r="C155" s="119">
        <v>39008034</v>
      </c>
      <c r="D155" s="40" t="str">
        <f ca="1">VLOOKUP($C155,OFFSET(enemy_skills!$A$1,0,0,COUNTA(enemy_skills!$A:$A),MATCH(D$1,enemy_skills!$1:$1,0)-MATCH("enemy_skill_id",enemy_skills!$1:$1,0)+1),MATCH(D$1,enemy_skills!$1:$1,0)-MATCH("enemy_skill_id",enemy_skills!$1:$1,0)+1,FALSE)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55" s="40" t="str">
        <f ca="1">VLOOKUP($C155,OFFSET(enemy_skills!$A$1,0,0,COUNTA(enemy_skills!$A:$A),MATCH(E$1,enemy_skills!$1:$1,0)-MATCH("enemy_skill_id",enemy_skills!$1:$1,0)+1),MATCH(E$1,enemy_skills!$1:$1,0)-MATCH("enemy_skill_id",enemy_skills!$1:$1,0)+1,FALSE)</f>
        <v>そっかー！ユキネが助けてくれたんだねー！すっごーい！</v>
      </c>
      <c r="F155" s="122">
        <v>39008103</v>
      </c>
      <c r="G155" s="42">
        <f ca="1">VLOOKUP($F155,OFFSET(enemy_skill_triggers!$A$1,0,0,COUNTA(enemy_skill_triggers!$A:$A),MATCH(G$1,enemy_skill_triggers!$1:$1,0)-MATCH($F$1,enemy_skill_triggers!$1:$1,0)+1),MATCH(G$1,enemy_skill_triggers!$1:$1,0)-MATCH($F$1,enemy_skill_triggers!$1:$1,0)+1,FALSE)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5" s="42">
        <f ca="1">VLOOKUP($F155,OFFSET(enemy_skill_triggers!$A$1,0,0,COUNTA(enemy_skill_triggers!$A:$A),MATCH(H$1,enemy_skill_triggers!$1:$1,0)-MATCH($F$1,enemy_skill_triggers!$1:$1,0)+1),MATCH(H$1,enemy_skill_triggers!$1:$1,0)-MATCH($F$1,enemy_skill_triggers!$1:$1,0)+1,FALSE)</f>
        <v>928</v>
      </c>
      <c r="I155" s="42">
        <f ca="1">VLOOKUP($F155,OFFSET(enemy_skill_triggers!$A$1,0,0,COUNTA(enemy_skill_triggers!$A:$A),MATCH(I$1,enemy_skill_triggers!$1:$1,0)-MATCH($F$1,enemy_skill_triggers!$1:$1,0)+1),MATCH(I$1,enemy_skill_triggers!$1:$1,0)-MATCH($F$1,enemy_skill_triggers!$1:$1,0)+1,FALSE)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5" s="42" t="str">
        <f ca="1">VLOOKUP($F155,OFFSET(enemy_skill_triggers!$A$1,0,0,COUNTA(enemy_skill_triggers!$A:$A),MATCH(J$1,enemy_skill_triggers!$1:$1,0)-MATCH($F$1,enemy_skill_triggers!$1:$1,0)+1),MATCH(J$1,enemy_skill_triggers!$1:$1,0)-MATCH($F$1,enemy_skill_triggers!$1:$1,0)+1,FALSE)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5" s="42" t="str">
        <f ca="1">VLOOKUP($F155,OFFSET(enemy_skill_triggers!$A$1,0,0,COUNTA(enemy_skill_triggers!$A:$A),MATCH(K$1,enemy_skill_triggers!$1:$1,0)-MATCH($F$1,enemy_skill_triggers!$1:$1,0)+1),MATCH(K$1,enemy_skill_triggers!$1:$1,0)-MATCH($F$1,enemy_skill_triggers!$1:$1,0)+1,FALSE)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5" s="42">
        <f ca="1">VLOOKUP($F155,OFFSET(enemy_skill_triggers!$A$1,0,0,COUNTA(enemy_skill_triggers!$A:$A),MATCH(L$1,enemy_skill_triggers!$1:$1,0)-MATCH($F$1,enemy_skill_triggers!$1:$1,0)+1),MATCH(L$1,enemy_skill_triggers!$1:$1,0)-MATCH($F$1,enemy_skill_triggers!$1:$1,0)+1,FALSE)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5" s="42" t="str">
        <f ca="1">VLOOKUP($F155,OFFSET(enemy_skill_triggers!$A$1,0,0,COUNTA(enemy_skill_triggers!$A:$A),MATCH(M$1,enemy_skill_triggers!$1:$1,0)-MATCH($F$1,enemy_skill_triggers!$1:$1,0)+1),MATCH(M$1,enemy_skill_triggers!$1:$1,0)-MATCH($F$1,enemy_skill_triggers!$1:$1,0)+1,FALSE)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5" s="42">
        <f ca="1">VLOOKUP($F155,OFFSET(enemy_skill_triggers!$A$1,0,0,COUNTA(enemy_skill_triggers!$A:$A),MATCH(N$1,enemy_skill_triggers!$1:$1,0)-MATCH($F$1,enemy_skill_triggers!$1:$1,0)+1),MATCH(N$1,enemy_skill_triggers!$1:$1,0)-MATCH($F$1,enemy_skill_triggers!$1:$1,0)+1,FALSE)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155" s="42">
        <f ca="1">VLOOKUP($F155,OFFSET(enemy_skill_triggers!$A$1,0,0,COUNTA(enemy_skill_triggers!$A:$A),MATCH(O$1,enemy_skill_triggers!$1:$1,0)-MATCH($F$1,enemy_skill_triggers!$1:$1,0)+1),MATCH(O$1,enemy_skill_triggers!$1:$1,0)-MATCH($F$1,enemy_skill_triggers!$1:$1,0)+1,FALSE)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5" s="41"/>
      <c r="Q155" s="41"/>
      <c r="R155" s="41" t="s">
        <v>344</v>
      </c>
    </row>
    <row r="156" spans="1:18" ht="21" customHeight="1" x14ac:dyDescent="0.15">
      <c r="A156" s="33" t="str">
        <f t="shared" si="12"/>
        <v>39008006_39008034</v>
      </c>
      <c r="B156" s="102">
        <v>39008006</v>
      </c>
      <c r="C156" s="119">
        <v>39008034</v>
      </c>
      <c r="D156" s="40" t="str">
        <f ca="1">VLOOKUP($C156,OFFSET(enemy_skills!$A$1,0,0,COUNTA(enemy_skills!$A:$A),MATCH(D$1,enemy_skills!$1:$1,0)-MATCH("enemy_skill_id",enemy_skills!$1:$1,0)+1),MATCH(D$1,enemy_skills!$1:$1,0)-MATCH("enemy_skill_id",enemy_skills!$1:$1,0)+1,FALSE)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56" s="40" t="str">
        <f ca="1">VLOOKUP($C156,OFFSET(enemy_skills!$A$1,0,0,COUNTA(enemy_skills!$A:$A),MATCH(E$1,enemy_skills!$1:$1,0)-MATCH("enemy_skill_id",enemy_skills!$1:$1,0)+1),MATCH(E$1,enemy_skills!$1:$1,0)-MATCH("enemy_skill_id",enemy_skills!$1:$1,0)+1,FALSE)</f>
        <v>そっかー！ユキネが助けてくれたんだねー！すっごーい！</v>
      </c>
      <c r="F156" s="122">
        <v>39008104</v>
      </c>
      <c r="G156" s="42">
        <f ca="1">VLOOKUP($F156,OFFSET(enemy_skill_triggers!$A$1,0,0,COUNTA(enemy_skill_triggers!$A:$A),MATCH(G$1,enemy_skill_triggers!$1:$1,0)-MATCH($F$1,enemy_skill_triggers!$1:$1,0)+1),MATCH(G$1,enemy_skill_triggers!$1:$1,0)-MATCH($F$1,enemy_skill_triggers!$1:$1,0)+1,FALSE)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6" s="42">
        <f ca="1">VLOOKUP($F156,OFFSET(enemy_skill_triggers!$A$1,0,0,COUNTA(enemy_skill_triggers!$A:$A),MATCH(H$1,enemy_skill_triggers!$1:$1,0)-MATCH($F$1,enemy_skill_triggers!$1:$1,0)+1),MATCH(H$1,enemy_skill_triggers!$1:$1,0)-MATCH($F$1,enemy_skill_triggers!$1:$1,0)+1,FALSE)</f>
        <v>927</v>
      </c>
      <c r="I156" s="42">
        <f ca="1">VLOOKUP($F156,OFFSET(enemy_skill_triggers!$A$1,0,0,COUNTA(enemy_skill_triggers!$A:$A),MATCH(I$1,enemy_skill_triggers!$1:$1,0)-MATCH($F$1,enemy_skill_triggers!$1:$1,0)+1),MATCH(I$1,enemy_skill_triggers!$1:$1,0)-MATCH($F$1,enemy_skill_triggers!$1:$1,0)+1,FALSE)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6" s="42" t="str">
        <f ca="1">VLOOKUP($F156,OFFSET(enemy_skill_triggers!$A$1,0,0,COUNTA(enemy_skill_triggers!$A:$A),MATCH(J$1,enemy_skill_triggers!$1:$1,0)-MATCH($F$1,enemy_skill_triggers!$1:$1,0)+1),MATCH(J$1,enemy_skill_triggers!$1:$1,0)-MATCH($F$1,enemy_skill_triggers!$1:$1,0)+1,FALSE)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6" s="42" t="str">
        <f ca="1">VLOOKUP($F156,OFFSET(enemy_skill_triggers!$A$1,0,0,COUNTA(enemy_skill_triggers!$A:$A),MATCH(K$1,enemy_skill_triggers!$1:$1,0)-MATCH($F$1,enemy_skill_triggers!$1:$1,0)+1),MATCH(K$1,enemy_skill_triggers!$1:$1,0)-MATCH($F$1,enemy_skill_triggers!$1:$1,0)+1,FALSE)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6" s="42">
        <f ca="1">VLOOKUP($F156,OFFSET(enemy_skill_triggers!$A$1,0,0,COUNTA(enemy_skill_triggers!$A:$A),MATCH(L$1,enemy_skill_triggers!$1:$1,0)-MATCH($F$1,enemy_skill_triggers!$1:$1,0)+1),MATCH(L$1,enemy_skill_triggers!$1:$1,0)-MATCH($F$1,enemy_skill_triggers!$1:$1,0)+1,FALSE)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6" s="42" t="str">
        <f ca="1">VLOOKUP($F156,OFFSET(enemy_skill_triggers!$A$1,0,0,COUNTA(enemy_skill_triggers!$A:$A),MATCH(M$1,enemy_skill_triggers!$1:$1,0)-MATCH($F$1,enemy_skill_triggers!$1:$1,0)+1),MATCH(M$1,enemy_skill_triggers!$1:$1,0)-MATCH($F$1,enemy_skill_triggers!$1:$1,0)+1,FALSE)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6" s="42">
        <f ca="1">VLOOKUP($F156,OFFSET(enemy_skill_triggers!$A$1,0,0,COUNTA(enemy_skill_triggers!$A:$A),MATCH(N$1,enemy_skill_triggers!$1:$1,0)-MATCH($F$1,enemy_skill_triggers!$1:$1,0)+1),MATCH(N$1,enemy_skill_triggers!$1:$1,0)-MATCH($F$1,enemy_skill_triggers!$1:$1,0)+1,FALSE)</f>
        <v>1296</v>
      </c>
      <c r="O156" s="42">
        <f ca="1">VLOOKUP($F156,OFFSET(enemy_skill_triggers!$A$1,0,0,COUNTA(enemy_skill_triggers!$A:$A),MATCH(O$1,enemy_skill_triggers!$1:$1,0)-MATCH($F$1,enemy_skill_triggers!$1:$1,0)+1),MATCH(O$1,enemy_skill_triggers!$1:$1,0)-MATCH($F$1,enemy_skill_triggers!$1:$1,0)+1,FALSE)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6" s="41"/>
      <c r="Q156" s="41"/>
      <c r="R156" s="41" t="s">
        <v>344</v>
      </c>
    </row>
    <row r="157" spans="1:18" ht="21" customHeight="1" x14ac:dyDescent="0.15">
      <c r="A157" s="33" t="str">
        <f t="shared" si="12"/>
        <v>39008006_39008033</v>
      </c>
      <c r="B157" s="102">
        <v>39008006</v>
      </c>
      <c r="C157" s="119">
        <v>39008033</v>
      </c>
      <c r="D157" s="40" t="str">
        <f ca="1">VLOOKUP($C157,OFFSET(enemy_skills!$A$1,0,0,COUNTA(enemy_skills!$A:$A),MATCH(D$1,enemy_skills!$1:$1,0)-MATCH("enemy_skill_id",enemy_skills!$1:$1,0)+1),MATCH(D$1,enemy_skills!$1:$1,0)-MATCH("enemy_skill_id",enemy_skills!$1:$1,0)+1,FALSE)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57" s="40" t="str">
        <f ca="1">VLOOKUP($C157,OFFSET(enemy_skills!$A$1,0,0,COUNTA(enemy_skills!$A:$A),MATCH(E$1,enemy_skills!$1:$1,0)-MATCH("enemy_skill_id",enemy_skills!$1:$1,0)+1),MATCH(E$1,enemy_skills!$1:$1,0)-MATCH("enemy_skill_id",enemy_skills!$1:$1,0)+1,FALSE)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57" s="122">
        <v>39008105</v>
      </c>
      <c r="G157" s="42">
        <f ca="1">VLOOKUP($F157,OFFSET(enemy_skill_triggers!$A$1,0,0,COUNTA(enemy_skill_triggers!$A:$A),MATCH(G$1,enemy_skill_triggers!$1:$1,0)-MATCH($F$1,enemy_skill_triggers!$1:$1,0)+1),MATCH(G$1,enemy_skill_triggers!$1:$1,0)-MATCH($F$1,enemy_skill_triggers!$1:$1,0)+1,FALSE)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7" s="42">
        <f ca="1">VLOOKUP($F157,OFFSET(enemy_skill_triggers!$A$1,0,0,COUNTA(enemy_skill_triggers!$A:$A),MATCH(H$1,enemy_skill_triggers!$1:$1,0)-MATCH($F$1,enemy_skill_triggers!$1:$1,0)+1),MATCH(H$1,enemy_skill_triggers!$1:$1,0)-MATCH($F$1,enemy_skill_triggers!$1:$1,0)+1,FALSE)</f>
        <v>926</v>
      </c>
      <c r="I157" s="42">
        <f ca="1">VLOOKUP($F157,OFFSET(enemy_skill_triggers!$A$1,0,0,COUNTA(enemy_skill_triggers!$A:$A),MATCH(I$1,enemy_skill_triggers!$1:$1,0)-MATCH($F$1,enemy_skill_triggers!$1:$1,0)+1),MATCH(I$1,enemy_skill_triggers!$1:$1,0)-MATCH($F$1,enemy_skill_triggers!$1:$1,0)+1,FALSE)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7" s="42" t="str">
        <f ca="1">VLOOKUP($F157,OFFSET(enemy_skill_triggers!$A$1,0,0,COUNTA(enemy_skill_triggers!$A:$A),MATCH(J$1,enemy_skill_triggers!$1:$1,0)-MATCH($F$1,enemy_skill_triggers!$1:$1,0)+1),MATCH(J$1,enemy_skill_triggers!$1:$1,0)-MATCH($F$1,enemy_skill_triggers!$1:$1,0)+1,FALSE)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7" s="42" t="str">
        <f ca="1">VLOOKUP($F157,OFFSET(enemy_skill_triggers!$A$1,0,0,COUNTA(enemy_skill_triggers!$A:$A),MATCH(K$1,enemy_skill_triggers!$1:$1,0)-MATCH($F$1,enemy_skill_triggers!$1:$1,0)+1),MATCH(K$1,enemy_skill_triggers!$1:$1,0)-MATCH($F$1,enemy_skill_triggers!$1:$1,0)+1,FALSE)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7" s="42">
        <f ca="1">VLOOKUP($F157,OFFSET(enemy_skill_triggers!$A$1,0,0,COUNTA(enemy_skill_triggers!$A:$A),MATCH(L$1,enemy_skill_triggers!$1:$1,0)-MATCH($F$1,enemy_skill_triggers!$1:$1,0)+1),MATCH(L$1,enemy_skill_triggers!$1:$1,0)-MATCH($F$1,enemy_skill_triggers!$1:$1,0)+1,FALSE)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7" s="42" t="str">
        <f ca="1">VLOOKUP($F157,OFFSET(enemy_skill_triggers!$A$1,0,0,COUNTA(enemy_skill_triggers!$A:$A),MATCH(M$1,enemy_skill_triggers!$1:$1,0)-MATCH($F$1,enemy_skill_triggers!$1:$1,0)+1),MATCH(M$1,enemy_skill_triggers!$1:$1,0)-MATCH($F$1,enemy_skill_triggers!$1:$1,0)+1,FALSE)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7" s="42">
        <f ca="1">VLOOKUP($F157,OFFSET(enemy_skill_triggers!$A$1,0,0,COUNTA(enemy_skill_triggers!$A:$A),MATCH(N$1,enemy_skill_triggers!$1:$1,0)-MATCH($F$1,enemy_skill_triggers!$1:$1,0)+1),MATCH(N$1,enemy_skill_triggers!$1:$1,0)-MATCH($F$1,enemy_skill_triggers!$1:$1,0)+1,FALSE)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157" s="42">
        <f ca="1">VLOOKUP($F157,OFFSET(enemy_skill_triggers!$A$1,0,0,COUNTA(enemy_skill_triggers!$A:$A),MATCH(O$1,enemy_skill_triggers!$1:$1,0)-MATCH($F$1,enemy_skill_triggers!$1:$1,0)+1),MATCH(O$1,enemy_skill_triggers!$1:$1,0)-MATCH($F$1,enemy_skill_triggers!$1:$1,0)+1,FALSE)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7" s="41"/>
      <c r="Q157" s="41"/>
      <c r="R157" s="41" t="s">
        <v>349</v>
      </c>
    </row>
    <row r="158" spans="1:18" ht="21" customHeight="1" x14ac:dyDescent="0.15">
      <c r="A158" s="33" t="str">
        <f t="shared" si="12"/>
        <v>39008006_39008033</v>
      </c>
      <c r="B158" s="102">
        <v>39008006</v>
      </c>
      <c r="C158" s="119">
        <v>39008033</v>
      </c>
      <c r="D158" s="40" t="str">
        <f ca="1">VLOOKUP($C158,OFFSET(enemy_skills!$A$1,0,0,COUNTA(enemy_skills!$A:$A),MATCH(D$1,enemy_skills!$1:$1,0)-MATCH("enemy_skill_id",enemy_skills!$1:$1,0)+1),MATCH(D$1,enemy_skills!$1:$1,0)-MATCH("enemy_skill_id",enemy_skills!$1:$1,0)+1,FALSE)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58" s="40" t="str">
        <f ca="1">VLOOKUP($C158,OFFSET(enemy_skills!$A$1,0,0,COUNTA(enemy_skills!$A:$A),MATCH(E$1,enemy_skills!$1:$1,0)-MATCH("enemy_skill_id",enemy_skills!$1:$1,0)+1),MATCH(E$1,enemy_skills!$1:$1,0)-MATCH("enemy_skill_id",enemy_skills!$1:$1,0)+1,FALSE)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58" s="122">
        <v>39008106</v>
      </c>
      <c r="G158" s="42">
        <f ca="1">VLOOKUP($F158,OFFSET(enemy_skill_triggers!$A$1,0,0,COUNTA(enemy_skill_triggers!$A:$A),MATCH(G$1,enemy_skill_triggers!$1:$1,0)-MATCH($F$1,enemy_skill_triggers!$1:$1,0)+1),MATCH(G$1,enemy_skill_triggers!$1:$1,0)-MATCH($F$1,enemy_skill_triggers!$1:$1,0)+1,FALSE)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8" s="42">
        <f ca="1">VLOOKUP($F158,OFFSET(enemy_skill_triggers!$A$1,0,0,COUNTA(enemy_skill_triggers!$A:$A),MATCH(H$1,enemy_skill_triggers!$1:$1,0)-MATCH($F$1,enemy_skill_triggers!$1:$1,0)+1),MATCH(H$1,enemy_skill_triggers!$1:$1,0)-MATCH($F$1,enemy_skill_triggers!$1:$1,0)+1,FALSE)</f>
        <v>925</v>
      </c>
      <c r="I158" s="42">
        <f ca="1">VLOOKUP($F158,OFFSET(enemy_skill_triggers!$A$1,0,0,COUNTA(enemy_skill_triggers!$A:$A),MATCH(I$1,enemy_skill_triggers!$1:$1,0)-MATCH($F$1,enemy_skill_triggers!$1:$1,0)+1),MATCH(I$1,enemy_skill_triggers!$1:$1,0)-MATCH($F$1,enemy_skill_triggers!$1:$1,0)+1,FALSE)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8" s="42" t="str">
        <f ca="1">VLOOKUP($F158,OFFSET(enemy_skill_triggers!$A$1,0,0,COUNTA(enemy_skill_triggers!$A:$A),MATCH(J$1,enemy_skill_triggers!$1:$1,0)-MATCH($F$1,enemy_skill_triggers!$1:$1,0)+1),MATCH(J$1,enemy_skill_triggers!$1:$1,0)-MATCH($F$1,enemy_skill_triggers!$1:$1,0)+1,FALSE)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8" s="42" t="str">
        <f ca="1">VLOOKUP($F158,OFFSET(enemy_skill_triggers!$A$1,0,0,COUNTA(enemy_skill_triggers!$A:$A),MATCH(K$1,enemy_skill_triggers!$1:$1,0)-MATCH($F$1,enemy_skill_triggers!$1:$1,0)+1),MATCH(K$1,enemy_skill_triggers!$1:$1,0)-MATCH($F$1,enemy_skill_triggers!$1:$1,0)+1,FALSE)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8" s="42">
        <f ca="1">VLOOKUP($F158,OFFSET(enemy_skill_triggers!$A$1,0,0,COUNTA(enemy_skill_triggers!$A:$A),MATCH(L$1,enemy_skill_triggers!$1:$1,0)-MATCH($F$1,enemy_skill_triggers!$1:$1,0)+1),MATCH(L$1,enemy_skill_triggers!$1:$1,0)-MATCH($F$1,enemy_skill_triggers!$1:$1,0)+1,FALSE)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8" s="42" t="str">
        <f ca="1">VLOOKUP($F158,OFFSET(enemy_skill_triggers!$A$1,0,0,COUNTA(enemy_skill_triggers!$A:$A),MATCH(M$1,enemy_skill_triggers!$1:$1,0)-MATCH($F$1,enemy_skill_triggers!$1:$1,0)+1),MATCH(M$1,enemy_skill_triggers!$1:$1,0)-MATCH($F$1,enemy_skill_triggers!$1:$1,0)+1,FALSE)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8" s="42">
        <f ca="1">VLOOKUP($F158,OFFSET(enemy_skill_triggers!$A$1,0,0,COUNTA(enemy_skill_triggers!$A:$A),MATCH(N$1,enemy_skill_triggers!$1:$1,0)-MATCH($F$1,enemy_skill_triggers!$1:$1,0)+1),MATCH(N$1,enemy_skill_triggers!$1:$1,0)-MATCH($F$1,enemy_skill_triggers!$1:$1,0)+1,FALSE)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158" s="42">
        <f ca="1">VLOOKUP($F158,OFFSET(enemy_skill_triggers!$A$1,0,0,COUNTA(enemy_skill_triggers!$A:$A),MATCH(O$1,enemy_skill_triggers!$1:$1,0)-MATCH($F$1,enemy_skill_triggers!$1:$1,0)+1),MATCH(O$1,enemy_skill_triggers!$1:$1,0)-MATCH($F$1,enemy_skill_triggers!$1:$1,0)+1,FALSE)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8" s="41"/>
      <c r="Q158" s="41"/>
      <c r="R158" s="41" t="s">
        <v>349</v>
      </c>
    </row>
    <row r="159" spans="1:18" ht="21" customHeight="1" x14ac:dyDescent="0.15">
      <c r="A159" s="33" t="str">
        <f t="shared" si="12"/>
        <v>39008006_39008033</v>
      </c>
      <c r="B159" s="102">
        <v>39008006</v>
      </c>
      <c r="C159" s="119">
        <v>39008033</v>
      </c>
      <c r="D159" s="40" t="str">
        <f ca="1">VLOOKUP($C159,OFFSET(enemy_skills!$A$1,0,0,COUNTA(enemy_skills!$A:$A),MATCH(D$1,enemy_skills!$1:$1,0)-MATCH("enemy_skill_id",enemy_skills!$1:$1,0)+1),MATCH(D$1,enemy_skills!$1:$1,0)-MATCH("enemy_skill_id",enemy_skills!$1:$1,0)+1,FALSE)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59" s="40" t="str">
        <f ca="1">VLOOKUP($C159,OFFSET(enemy_skills!$A$1,0,0,COUNTA(enemy_skills!$A:$A),MATCH(E$1,enemy_skills!$1:$1,0)-MATCH("enemy_skill_id",enemy_skills!$1:$1,0)+1),MATCH(E$1,enemy_skills!$1:$1,0)-MATCH("enemy_skill_id",enemy_skills!$1:$1,0)+1,FALSE)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59" s="122">
        <v>39008107</v>
      </c>
      <c r="G159" s="42">
        <f ca="1">VLOOKUP($F159,OFFSET(enemy_skill_triggers!$A$1,0,0,COUNTA(enemy_skill_triggers!$A:$A),MATCH(G$1,enemy_skill_triggers!$1:$1,0)-MATCH($F$1,enemy_skill_triggers!$1:$1,0)+1),MATCH(G$1,enemy_skill_triggers!$1:$1,0)-MATCH($F$1,enemy_skill_triggers!$1:$1,0)+1,FALSE)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9" s="42">
        <f ca="1">VLOOKUP($F159,OFFSET(enemy_skill_triggers!$A$1,0,0,COUNTA(enemy_skill_triggers!$A:$A),MATCH(H$1,enemy_skill_triggers!$1:$1,0)-MATCH($F$1,enemy_skill_triggers!$1:$1,0)+1),MATCH(H$1,enemy_skill_triggers!$1:$1,0)-MATCH($F$1,enemy_skill_triggers!$1:$1,0)+1,FALSE)</f>
        <v>924</v>
      </c>
      <c r="I159" s="42">
        <f ca="1">VLOOKUP($F159,OFFSET(enemy_skill_triggers!$A$1,0,0,COUNTA(enemy_skill_triggers!$A:$A),MATCH(I$1,enemy_skill_triggers!$1:$1,0)-MATCH($F$1,enemy_skill_triggers!$1:$1,0)+1),MATCH(I$1,enemy_skill_triggers!$1:$1,0)-MATCH($F$1,enemy_skill_triggers!$1:$1,0)+1,FALSE)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9" s="42" t="str">
        <f ca="1">VLOOKUP($F159,OFFSET(enemy_skill_triggers!$A$1,0,0,COUNTA(enemy_skill_triggers!$A:$A),MATCH(J$1,enemy_skill_triggers!$1:$1,0)-MATCH($F$1,enemy_skill_triggers!$1:$1,0)+1),MATCH(J$1,enemy_skill_triggers!$1:$1,0)-MATCH($F$1,enemy_skill_triggers!$1:$1,0)+1,FALSE)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9" s="42" t="str">
        <f ca="1">VLOOKUP($F159,OFFSET(enemy_skill_triggers!$A$1,0,0,COUNTA(enemy_skill_triggers!$A:$A),MATCH(K$1,enemy_skill_triggers!$1:$1,0)-MATCH($F$1,enemy_skill_triggers!$1:$1,0)+1),MATCH(K$1,enemy_skill_triggers!$1:$1,0)-MATCH($F$1,enemy_skill_triggers!$1:$1,0)+1,FALSE)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9" s="42">
        <f ca="1">VLOOKUP($F159,OFFSET(enemy_skill_triggers!$A$1,0,0,COUNTA(enemy_skill_triggers!$A:$A),MATCH(L$1,enemy_skill_triggers!$1:$1,0)-MATCH($F$1,enemy_skill_triggers!$1:$1,0)+1),MATCH(L$1,enemy_skill_triggers!$1:$1,0)-MATCH($F$1,enemy_skill_triggers!$1:$1,0)+1,FALSE)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9" s="42" t="str">
        <f ca="1">VLOOKUP($F159,OFFSET(enemy_skill_triggers!$A$1,0,0,COUNTA(enemy_skill_triggers!$A:$A),MATCH(M$1,enemy_skill_triggers!$1:$1,0)-MATCH($F$1,enemy_skill_triggers!$1:$1,0)+1),MATCH(M$1,enemy_skill_triggers!$1:$1,0)-MATCH($F$1,enemy_skill_triggers!$1:$1,0)+1,FALSE)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9" s="42">
        <f ca="1">VLOOKUP($F159,OFFSET(enemy_skill_triggers!$A$1,0,0,COUNTA(enemy_skill_triggers!$A:$A),MATCH(N$1,enemy_skill_triggers!$1:$1,0)-MATCH($F$1,enemy_skill_triggers!$1:$1,0)+1),MATCH(N$1,enemy_skill_triggers!$1:$1,0)-MATCH($F$1,enemy_skill_triggers!$1:$1,0)+1,FALSE)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159" s="42">
        <f ca="1">VLOOKUP($F159,OFFSET(enemy_skill_triggers!$A$1,0,0,COUNTA(enemy_skill_triggers!$A:$A),MATCH(O$1,enemy_skill_triggers!$1:$1,0)-MATCH($F$1,enemy_skill_triggers!$1:$1,0)+1),MATCH(O$1,enemy_skill_triggers!$1:$1,0)-MATCH($F$1,enemy_skill_triggers!$1:$1,0)+1,FALSE)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9" s="41"/>
      <c r="Q159" s="41"/>
      <c r="R159" s="41" t="s">
        <v>351</v>
      </c>
    </row>
    <row r="160" spans="1:18" ht="21" customHeight="1" x14ac:dyDescent="0.15">
      <c r="A160" s="33" t="str">
        <f t="shared" si="12"/>
        <v>39008006_39008033</v>
      </c>
      <c r="B160" s="102">
        <v>39008006</v>
      </c>
      <c r="C160" s="119">
        <v>39008033</v>
      </c>
      <c r="D160" s="40" t="str">
        <f ca="1">VLOOKUP($C160,OFFSET(enemy_skills!$A$1,0,0,COUNTA(enemy_skills!$A:$A),MATCH(D$1,enemy_skills!$1:$1,0)-MATCH("enemy_skill_id",enemy_skills!$1:$1,0)+1),MATCH(D$1,enemy_skills!$1:$1,0)-MATCH("enemy_skill_id",enemy_skills!$1:$1,0)+1,FALSE)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60" s="40" t="str">
        <f ca="1">VLOOKUP($C160,OFFSET(enemy_skills!$A$1,0,0,COUNTA(enemy_skills!$A:$A),MATCH(E$1,enemy_skills!$1:$1,0)-MATCH("enemy_skill_id",enemy_skills!$1:$1,0)+1),MATCH(E$1,enemy_skills!$1:$1,0)-MATCH("enemy_skill_id",enemy_skills!$1:$1,0)+1,FALSE)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60" s="122">
        <v>39008108</v>
      </c>
      <c r="G160" s="42">
        <f ca="1">VLOOKUP($F160,OFFSET(enemy_skill_triggers!$A$1,0,0,COUNTA(enemy_skill_triggers!$A:$A),MATCH(G$1,enemy_skill_triggers!$1:$1,0)-MATCH($F$1,enemy_skill_triggers!$1:$1,0)+1),MATCH(G$1,enemy_skill_triggers!$1:$1,0)-MATCH($F$1,enemy_skill_triggers!$1:$1,0)+1,FALSE)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0" s="42">
        <f ca="1">VLOOKUP($F160,OFFSET(enemy_skill_triggers!$A$1,0,0,COUNTA(enemy_skill_triggers!$A:$A),MATCH(H$1,enemy_skill_triggers!$1:$1,0)-MATCH($F$1,enemy_skill_triggers!$1:$1,0)+1),MATCH(H$1,enemy_skill_triggers!$1:$1,0)-MATCH($F$1,enemy_skill_triggers!$1:$1,0)+1,FALSE)</f>
        <v>923</v>
      </c>
      <c r="I160" s="42">
        <f ca="1">VLOOKUP($F160,OFFSET(enemy_skill_triggers!$A$1,0,0,COUNTA(enemy_skill_triggers!$A:$A),MATCH(I$1,enemy_skill_triggers!$1:$1,0)-MATCH($F$1,enemy_skill_triggers!$1:$1,0)+1),MATCH(I$1,enemy_skill_triggers!$1:$1,0)-MATCH($F$1,enemy_skill_triggers!$1:$1,0)+1,FALSE)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0" s="42" t="str">
        <f ca="1">VLOOKUP($F160,OFFSET(enemy_skill_triggers!$A$1,0,0,COUNTA(enemy_skill_triggers!$A:$A),MATCH(J$1,enemy_skill_triggers!$1:$1,0)-MATCH($F$1,enemy_skill_triggers!$1:$1,0)+1),MATCH(J$1,enemy_skill_triggers!$1:$1,0)-MATCH($F$1,enemy_skill_triggers!$1:$1,0)+1,FALSE)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0" s="42" t="str">
        <f ca="1">VLOOKUP($F160,OFFSET(enemy_skill_triggers!$A$1,0,0,COUNTA(enemy_skill_triggers!$A:$A),MATCH(K$1,enemy_skill_triggers!$1:$1,0)-MATCH($F$1,enemy_skill_triggers!$1:$1,0)+1),MATCH(K$1,enemy_skill_triggers!$1:$1,0)-MATCH($F$1,enemy_skill_triggers!$1:$1,0)+1,FALSE)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0" s="42">
        <f ca="1">VLOOKUP($F160,OFFSET(enemy_skill_triggers!$A$1,0,0,COUNTA(enemy_skill_triggers!$A:$A),MATCH(L$1,enemy_skill_triggers!$1:$1,0)-MATCH($F$1,enemy_skill_triggers!$1:$1,0)+1),MATCH(L$1,enemy_skill_triggers!$1:$1,0)-MATCH($F$1,enemy_skill_triggers!$1:$1,0)+1,FALSE)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0" s="42" t="str">
        <f ca="1">VLOOKUP($F160,OFFSET(enemy_skill_triggers!$A$1,0,0,COUNTA(enemy_skill_triggers!$A:$A),MATCH(M$1,enemy_skill_triggers!$1:$1,0)-MATCH($F$1,enemy_skill_triggers!$1:$1,0)+1),MATCH(M$1,enemy_skill_triggers!$1:$1,0)-MATCH($F$1,enemy_skill_triggers!$1:$1,0)+1,FALSE)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0" s="42">
        <f ca="1">VLOOKUP($F160,OFFSET(enemy_skill_triggers!$A$1,0,0,COUNTA(enemy_skill_triggers!$A:$A),MATCH(N$1,enemy_skill_triggers!$1:$1,0)-MATCH($F$1,enemy_skill_triggers!$1:$1,0)+1),MATCH(N$1,enemy_skill_triggers!$1:$1,0)-MATCH($F$1,enemy_skill_triggers!$1:$1,0)+1,FALSE)</f>
        <v>554</v>
      </c>
      <c r="O160" s="42">
        <f ca="1">VLOOKUP($F160,OFFSET(enemy_skill_triggers!$A$1,0,0,COUNTA(enemy_skill_triggers!$A:$A),MATCH(O$1,enemy_skill_triggers!$1:$1,0)-MATCH($F$1,enemy_skill_triggers!$1:$1,0)+1),MATCH(O$1,enemy_skill_triggers!$1:$1,0)-MATCH($F$1,enemy_skill_triggers!$1:$1,0)+1,FALSE)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0" s="41"/>
      <c r="Q160" s="41"/>
      <c r="R160" s="41" t="s">
        <v>352</v>
      </c>
    </row>
    <row r="161" spans="1:18" ht="21" customHeight="1" x14ac:dyDescent="0.15">
      <c r="A161" s="33" t="str">
        <f t="shared" si="12"/>
        <v>39008006_39008033</v>
      </c>
      <c r="B161" s="102">
        <v>39008006</v>
      </c>
      <c r="C161" s="119">
        <v>39008033</v>
      </c>
      <c r="D161" s="40" t="str">
        <f ca="1">VLOOKUP($C161,OFFSET(enemy_skills!$A$1,0,0,COUNTA(enemy_skills!$A:$A),MATCH(D$1,enemy_skills!$1:$1,0)-MATCH("enemy_skill_id",enemy_skills!$1:$1,0)+1),MATCH(D$1,enemy_skills!$1:$1,0)-MATCH("enemy_skill_id",enemy_skills!$1:$1,0)+1,FALSE)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61" s="40" t="str">
        <f ca="1">VLOOKUP($C161,OFFSET(enemy_skills!$A$1,0,0,COUNTA(enemy_skills!$A:$A),MATCH(E$1,enemy_skills!$1:$1,0)-MATCH("enemy_skill_id",enemy_skills!$1:$1,0)+1),MATCH(E$1,enemy_skills!$1:$1,0)-MATCH("enemy_skill_id",enemy_skills!$1:$1,0)+1,FALSE)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61" s="122">
        <v>39008109</v>
      </c>
      <c r="G161" s="42">
        <f ca="1">VLOOKUP($F161,OFFSET(enemy_skill_triggers!$A$1,0,0,COUNTA(enemy_skill_triggers!$A:$A),MATCH(G$1,enemy_skill_triggers!$1:$1,0)-MATCH($F$1,enemy_skill_triggers!$1:$1,0)+1),MATCH(G$1,enemy_skill_triggers!$1:$1,0)-MATCH($F$1,enemy_skill_triggers!$1:$1,0)+1,FALSE)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1" s="42">
        <f ca="1">VLOOKUP($F161,OFFSET(enemy_skill_triggers!$A$1,0,0,COUNTA(enemy_skill_triggers!$A:$A),MATCH(H$1,enemy_skill_triggers!$1:$1,0)-MATCH($F$1,enemy_skill_triggers!$1:$1,0)+1),MATCH(H$1,enemy_skill_triggers!$1:$1,0)-MATCH($F$1,enemy_skill_triggers!$1:$1,0)+1,FALSE)</f>
        <v>922</v>
      </c>
      <c r="I161" s="42">
        <f ca="1">VLOOKUP($F161,OFFSET(enemy_skill_triggers!$A$1,0,0,COUNTA(enemy_skill_triggers!$A:$A),MATCH(I$1,enemy_skill_triggers!$1:$1,0)-MATCH($F$1,enemy_skill_triggers!$1:$1,0)+1),MATCH(I$1,enemy_skill_triggers!$1:$1,0)-MATCH($F$1,enemy_skill_triggers!$1:$1,0)+1,FALSE)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1" s="42" t="str">
        <f ca="1">VLOOKUP($F161,OFFSET(enemy_skill_triggers!$A$1,0,0,COUNTA(enemy_skill_triggers!$A:$A),MATCH(J$1,enemy_skill_triggers!$1:$1,0)-MATCH($F$1,enemy_skill_triggers!$1:$1,0)+1),MATCH(J$1,enemy_skill_triggers!$1:$1,0)-MATCH($F$1,enemy_skill_triggers!$1:$1,0)+1,FALSE)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1" s="42" t="str">
        <f ca="1">VLOOKUP($F161,OFFSET(enemy_skill_triggers!$A$1,0,0,COUNTA(enemy_skill_triggers!$A:$A),MATCH(K$1,enemy_skill_triggers!$1:$1,0)-MATCH($F$1,enemy_skill_triggers!$1:$1,0)+1),MATCH(K$1,enemy_skill_triggers!$1:$1,0)-MATCH($F$1,enemy_skill_triggers!$1:$1,0)+1,FALSE)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1" s="42">
        <f ca="1">VLOOKUP($F161,OFFSET(enemy_skill_triggers!$A$1,0,0,COUNTA(enemy_skill_triggers!$A:$A),MATCH(L$1,enemy_skill_triggers!$1:$1,0)-MATCH($F$1,enemy_skill_triggers!$1:$1,0)+1),MATCH(L$1,enemy_skill_triggers!$1:$1,0)-MATCH($F$1,enemy_skill_triggers!$1:$1,0)+1,FALSE)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1" s="42" t="str">
        <f ca="1">VLOOKUP($F161,OFFSET(enemy_skill_triggers!$A$1,0,0,COUNTA(enemy_skill_triggers!$A:$A),MATCH(M$1,enemy_skill_triggers!$1:$1,0)-MATCH($F$1,enemy_skill_triggers!$1:$1,0)+1),MATCH(M$1,enemy_skill_triggers!$1:$1,0)-MATCH($F$1,enemy_skill_triggers!$1:$1,0)+1,FALSE)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1" s="42">
        <f ca="1">VLOOKUP($F161,OFFSET(enemy_skill_triggers!$A$1,0,0,COUNTA(enemy_skill_triggers!$A:$A),MATCH(N$1,enemy_skill_triggers!$1:$1,0)-MATCH($F$1,enemy_skill_triggers!$1:$1,0)+1),MATCH(N$1,enemy_skill_triggers!$1:$1,0)-MATCH($F$1,enemy_skill_triggers!$1:$1,0)+1,FALSE)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161" s="42">
        <f ca="1">VLOOKUP($F161,OFFSET(enemy_skill_triggers!$A$1,0,0,COUNTA(enemy_skill_triggers!$A:$A),MATCH(O$1,enemy_skill_triggers!$1:$1,0)-MATCH($F$1,enemy_skill_triggers!$1:$1,0)+1),MATCH(O$1,enemy_skill_triggers!$1:$1,0)-MATCH($F$1,enemy_skill_triggers!$1:$1,0)+1,FALSE)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1" s="41"/>
      <c r="Q161" s="41"/>
      <c r="R161" s="41" t="s">
        <v>353</v>
      </c>
    </row>
    <row r="162" spans="1:18" ht="21" customHeight="1" x14ac:dyDescent="0.15">
      <c r="A162" s="33" t="str">
        <f t="shared" si="12"/>
        <v>39008006_39008033</v>
      </c>
      <c r="B162" s="102">
        <v>39008006</v>
      </c>
      <c r="C162" s="119">
        <v>39008033</v>
      </c>
      <c r="D162" s="40" t="str">
        <f ca="1">VLOOKUP($C162,OFFSET(enemy_skills!$A$1,0,0,COUNTA(enemy_skills!$A:$A),MATCH(D$1,enemy_skills!$1:$1,0)-MATCH("enemy_skill_id",enemy_skills!$1:$1,0)+1),MATCH(D$1,enemy_skills!$1:$1,0)-MATCH("enemy_skill_id",enemy_skills!$1:$1,0)+1,FALSE)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62" s="40" t="str">
        <f ca="1">VLOOKUP($C162,OFFSET(enemy_skills!$A$1,0,0,COUNTA(enemy_skills!$A:$A),MATCH(E$1,enemy_skills!$1:$1,0)-MATCH("enemy_skill_id",enemy_skills!$1:$1,0)+1),MATCH(E$1,enemy_skills!$1:$1,0)-MATCH("enemy_skill_id",enemy_skills!$1:$1,0)+1,FALSE)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62" s="122">
        <v>39008110</v>
      </c>
      <c r="G162" s="42">
        <f ca="1">VLOOKUP($F162,OFFSET(enemy_skill_triggers!$A$1,0,0,COUNTA(enemy_skill_triggers!$A:$A),MATCH(G$1,enemy_skill_triggers!$1:$1,0)-MATCH($F$1,enemy_skill_triggers!$1:$1,0)+1),MATCH(G$1,enemy_skill_triggers!$1:$1,0)-MATCH($F$1,enemy_skill_triggers!$1:$1,0)+1,FALSE)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2" s="42">
        <f ca="1">VLOOKUP($F162,OFFSET(enemy_skill_triggers!$A$1,0,0,COUNTA(enemy_skill_triggers!$A:$A),MATCH(H$1,enemy_skill_triggers!$1:$1,0)-MATCH($F$1,enemy_skill_triggers!$1:$1,0)+1),MATCH(H$1,enemy_skill_triggers!$1:$1,0)-MATCH($F$1,enemy_skill_triggers!$1:$1,0)+1,FALSE)</f>
        <v>921</v>
      </c>
      <c r="I162" s="42">
        <f ca="1">VLOOKUP($F162,OFFSET(enemy_skill_triggers!$A$1,0,0,COUNTA(enemy_skill_triggers!$A:$A),MATCH(I$1,enemy_skill_triggers!$1:$1,0)-MATCH($F$1,enemy_skill_triggers!$1:$1,0)+1),MATCH(I$1,enemy_skill_triggers!$1:$1,0)-MATCH($F$1,enemy_skill_triggers!$1:$1,0)+1,FALSE)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2" s="42" t="str">
        <f ca="1">VLOOKUP($F162,OFFSET(enemy_skill_triggers!$A$1,0,0,COUNTA(enemy_skill_triggers!$A:$A),MATCH(J$1,enemy_skill_triggers!$1:$1,0)-MATCH($F$1,enemy_skill_triggers!$1:$1,0)+1),MATCH(J$1,enemy_skill_triggers!$1:$1,0)-MATCH($F$1,enemy_skill_triggers!$1:$1,0)+1,FALSE)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2" s="42" t="str">
        <f ca="1">VLOOKUP($F162,OFFSET(enemy_skill_triggers!$A$1,0,0,COUNTA(enemy_skill_triggers!$A:$A),MATCH(K$1,enemy_skill_triggers!$1:$1,0)-MATCH($F$1,enemy_skill_triggers!$1:$1,0)+1),MATCH(K$1,enemy_skill_triggers!$1:$1,0)-MATCH($F$1,enemy_skill_triggers!$1:$1,0)+1,FALSE)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2" s="42">
        <f ca="1">VLOOKUP($F162,OFFSET(enemy_skill_triggers!$A$1,0,0,COUNTA(enemy_skill_triggers!$A:$A),MATCH(L$1,enemy_skill_triggers!$1:$1,0)-MATCH($F$1,enemy_skill_triggers!$1:$1,0)+1),MATCH(L$1,enemy_skill_triggers!$1:$1,0)-MATCH($F$1,enemy_skill_triggers!$1:$1,0)+1,FALSE)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2" s="42" t="str">
        <f ca="1">VLOOKUP($F162,OFFSET(enemy_skill_triggers!$A$1,0,0,COUNTA(enemy_skill_triggers!$A:$A),MATCH(M$1,enemy_skill_triggers!$1:$1,0)-MATCH($F$1,enemy_skill_triggers!$1:$1,0)+1),MATCH(M$1,enemy_skill_triggers!$1:$1,0)-MATCH($F$1,enemy_skill_triggers!$1:$1,0)+1,FALSE)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2" s="42">
        <f ca="1">VLOOKUP($F162,OFFSET(enemy_skill_triggers!$A$1,0,0,COUNTA(enemy_skill_triggers!$A:$A),MATCH(N$1,enemy_skill_triggers!$1:$1,0)-MATCH($F$1,enemy_skill_triggers!$1:$1,0)+1),MATCH(N$1,enemy_skill_triggers!$1:$1,0)-MATCH($F$1,enemy_skill_triggers!$1:$1,0)+1,FALSE)</f>
        <v>556</v>
      </c>
      <c r="O162" s="42">
        <f ca="1">VLOOKUP($F162,OFFSET(enemy_skill_triggers!$A$1,0,0,COUNTA(enemy_skill_triggers!$A:$A),MATCH(O$1,enemy_skill_triggers!$1:$1,0)-MATCH($F$1,enemy_skill_triggers!$1:$1,0)+1),MATCH(O$1,enemy_skill_triggers!$1:$1,0)-MATCH($F$1,enemy_skill_triggers!$1:$1,0)+1,FALSE)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2" s="41"/>
      <c r="Q162" s="41"/>
      <c r="R162" s="41" t="s">
        <v>354</v>
      </c>
    </row>
    <row r="163" spans="1:18" ht="21" customHeight="1" x14ac:dyDescent="0.15">
      <c r="A163" s="33" t="str">
        <f t="shared" si="12"/>
        <v>39008006_39008035</v>
      </c>
      <c r="B163" s="102">
        <v>39008006</v>
      </c>
      <c r="C163" s="119">
        <v>39008035</v>
      </c>
      <c r="D163" s="40" t="str">
        <f ca="1">VLOOKUP($C163,OFFSET(enemy_skills!$A$1,0,0,COUNTA(enemy_skills!$A:$A),MATCH(D$1,enemy_skills!$1:$1,0)-MATCH("enemy_skill_id",enemy_skills!$1:$1,0)+1),MATCH(D$1,enemy_skills!$1:$1,0)-MATCH("enemy_skill_id",enemy_skills!$1:$1,0)+1,FALSE)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63" s="40" t="str">
        <f ca="1">VLOOKUP($C163,OFFSET(enemy_skills!$A$1,0,0,COUNTA(enemy_skills!$A:$A),MATCH(E$1,enemy_skills!$1:$1,0)-MATCH("enemy_skill_id",enemy_skills!$1:$1,0)+1),MATCH(E$1,enemy_skills!$1:$1,0)-MATCH("enemy_skill_id",enemy_skills!$1:$1,0)+1,FALSE)</f>
        <v>そっか！リンちゃんが助けてくれたんだね！ありがとうっ！</v>
      </c>
      <c r="F163" s="122">
        <v>39008111</v>
      </c>
      <c r="G163" s="42">
        <f ca="1">VLOOKUP($F163,OFFSET(enemy_skill_triggers!$A$1,0,0,COUNTA(enemy_skill_triggers!$A:$A),MATCH(G$1,enemy_skill_triggers!$1:$1,0)-MATCH($F$1,enemy_skill_triggers!$1:$1,0)+1),MATCH(G$1,enemy_skill_triggers!$1:$1,0)-MATCH($F$1,enemy_skill_triggers!$1:$1,0)+1,FALSE)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3" s="42">
        <f ca="1">VLOOKUP($F163,OFFSET(enemy_skill_triggers!$A$1,0,0,COUNTA(enemy_skill_triggers!$A:$A),MATCH(H$1,enemy_skill_triggers!$1:$1,0)-MATCH($F$1,enemy_skill_triggers!$1:$1,0)+1),MATCH(H$1,enemy_skill_triggers!$1:$1,0)-MATCH($F$1,enemy_skill_triggers!$1:$1,0)+1,FALSE)</f>
        <v>920</v>
      </c>
      <c r="I163" s="42">
        <f ca="1">VLOOKUP($F163,OFFSET(enemy_skill_triggers!$A$1,0,0,COUNTA(enemy_skill_triggers!$A:$A),MATCH(I$1,enemy_skill_triggers!$1:$1,0)-MATCH($F$1,enemy_skill_triggers!$1:$1,0)+1),MATCH(I$1,enemy_skill_triggers!$1:$1,0)-MATCH($F$1,enemy_skill_triggers!$1:$1,0)+1,FALSE)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3" s="42" t="str">
        <f ca="1">VLOOKUP($F163,OFFSET(enemy_skill_triggers!$A$1,0,0,COUNTA(enemy_skill_triggers!$A:$A),MATCH(J$1,enemy_skill_triggers!$1:$1,0)-MATCH($F$1,enemy_skill_triggers!$1:$1,0)+1),MATCH(J$1,enemy_skill_triggers!$1:$1,0)-MATCH($F$1,enemy_skill_triggers!$1:$1,0)+1,FALSE)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3" s="42" t="str">
        <f ca="1">VLOOKUP($F163,OFFSET(enemy_skill_triggers!$A$1,0,0,COUNTA(enemy_skill_triggers!$A:$A),MATCH(K$1,enemy_skill_triggers!$1:$1,0)-MATCH($F$1,enemy_skill_triggers!$1:$1,0)+1),MATCH(K$1,enemy_skill_triggers!$1:$1,0)-MATCH($F$1,enemy_skill_triggers!$1:$1,0)+1,FALSE)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3" s="42">
        <f ca="1">VLOOKUP($F163,OFFSET(enemy_skill_triggers!$A$1,0,0,COUNTA(enemy_skill_triggers!$A:$A),MATCH(L$1,enemy_skill_triggers!$1:$1,0)-MATCH($F$1,enemy_skill_triggers!$1:$1,0)+1),MATCH(L$1,enemy_skill_triggers!$1:$1,0)-MATCH($F$1,enemy_skill_triggers!$1:$1,0)+1,FALSE)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3" s="42" t="str">
        <f ca="1">VLOOKUP($F163,OFFSET(enemy_skill_triggers!$A$1,0,0,COUNTA(enemy_skill_triggers!$A:$A),MATCH(M$1,enemy_skill_triggers!$1:$1,0)-MATCH($F$1,enemy_skill_triggers!$1:$1,0)+1),MATCH(M$1,enemy_skill_triggers!$1:$1,0)-MATCH($F$1,enemy_skill_triggers!$1:$1,0)+1,FALSE)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3" s="42">
        <f ca="1">VLOOKUP($F163,OFFSET(enemy_skill_triggers!$A$1,0,0,COUNTA(enemy_skill_triggers!$A:$A),MATCH(N$1,enemy_skill_triggers!$1:$1,0)-MATCH($F$1,enemy_skill_triggers!$1:$1,0)+1),MATCH(N$1,enemy_skill_triggers!$1:$1,0)-MATCH($F$1,enemy_skill_triggers!$1:$1,0)+1,FALSE)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163" s="42">
        <f ca="1">VLOOKUP($F163,OFFSET(enemy_skill_triggers!$A$1,0,0,COUNTA(enemy_skill_triggers!$A:$A),MATCH(O$1,enemy_skill_triggers!$1:$1,0)-MATCH($F$1,enemy_skill_triggers!$1:$1,0)+1),MATCH(O$1,enemy_skill_triggers!$1:$1,0)-MATCH($F$1,enemy_skill_triggers!$1:$1,0)+1,FALSE)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3" s="41"/>
      <c r="Q163" s="41"/>
      <c r="R163" s="41" t="s">
        <v>355</v>
      </c>
    </row>
    <row r="164" spans="1:18" ht="21" customHeight="1" x14ac:dyDescent="0.15">
      <c r="A164" s="33" t="str">
        <f t="shared" si="12"/>
        <v>39008006_39008035</v>
      </c>
      <c r="B164" s="102">
        <v>39008006</v>
      </c>
      <c r="C164" s="119">
        <v>39008035</v>
      </c>
      <c r="D164" s="40" t="str">
        <f ca="1">VLOOKUP($C164,OFFSET(enemy_skills!$A$1,0,0,COUNTA(enemy_skills!$A:$A),MATCH(D$1,enemy_skills!$1:$1,0)-MATCH("enemy_skill_id",enemy_skills!$1:$1,0)+1),MATCH(D$1,enemy_skills!$1:$1,0)-MATCH("enemy_skill_id",enemy_skills!$1:$1,0)+1,FALSE)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64" s="40" t="str">
        <f ca="1">VLOOKUP($C164,OFFSET(enemy_skills!$A$1,0,0,COUNTA(enemy_skills!$A:$A),MATCH(E$1,enemy_skills!$1:$1,0)-MATCH("enemy_skill_id",enemy_skills!$1:$1,0)+1),MATCH(E$1,enemy_skills!$1:$1,0)-MATCH("enemy_skill_id",enemy_skills!$1:$1,0)+1,FALSE)</f>
        <v>そっか！リンちゃんが助けてくれたんだね！ありがとうっ！</v>
      </c>
      <c r="F164" s="122">
        <v>39008112</v>
      </c>
      <c r="G164" s="42">
        <f ca="1">VLOOKUP($F164,OFFSET(enemy_skill_triggers!$A$1,0,0,COUNTA(enemy_skill_triggers!$A:$A),MATCH(G$1,enemy_skill_triggers!$1:$1,0)-MATCH($F$1,enemy_skill_triggers!$1:$1,0)+1),MATCH(G$1,enemy_skill_triggers!$1:$1,0)-MATCH($F$1,enemy_skill_triggers!$1:$1,0)+1,FALSE)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4" s="42">
        <f ca="1">VLOOKUP($F164,OFFSET(enemy_skill_triggers!$A$1,0,0,COUNTA(enemy_skill_triggers!$A:$A),MATCH(H$1,enemy_skill_triggers!$1:$1,0)-MATCH($F$1,enemy_skill_triggers!$1:$1,0)+1),MATCH(H$1,enemy_skill_triggers!$1:$1,0)-MATCH($F$1,enemy_skill_triggers!$1:$1,0)+1,FALSE)</f>
        <v>919</v>
      </c>
      <c r="I164" s="42">
        <f ca="1">VLOOKUP($F164,OFFSET(enemy_skill_triggers!$A$1,0,0,COUNTA(enemy_skill_triggers!$A:$A),MATCH(I$1,enemy_skill_triggers!$1:$1,0)-MATCH($F$1,enemy_skill_triggers!$1:$1,0)+1),MATCH(I$1,enemy_skill_triggers!$1:$1,0)-MATCH($F$1,enemy_skill_triggers!$1:$1,0)+1,FALSE)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4" s="42" t="str">
        <f ca="1">VLOOKUP($F164,OFFSET(enemy_skill_triggers!$A$1,0,0,COUNTA(enemy_skill_triggers!$A:$A),MATCH(J$1,enemy_skill_triggers!$1:$1,0)-MATCH($F$1,enemy_skill_triggers!$1:$1,0)+1),MATCH(J$1,enemy_skill_triggers!$1:$1,0)-MATCH($F$1,enemy_skill_triggers!$1:$1,0)+1,FALSE)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4" s="42" t="str">
        <f ca="1">VLOOKUP($F164,OFFSET(enemy_skill_triggers!$A$1,0,0,COUNTA(enemy_skill_triggers!$A:$A),MATCH(K$1,enemy_skill_triggers!$1:$1,0)-MATCH($F$1,enemy_skill_triggers!$1:$1,0)+1),MATCH(K$1,enemy_skill_triggers!$1:$1,0)-MATCH($F$1,enemy_skill_triggers!$1:$1,0)+1,FALSE)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4" s="42">
        <f ca="1">VLOOKUP($F164,OFFSET(enemy_skill_triggers!$A$1,0,0,COUNTA(enemy_skill_triggers!$A:$A),MATCH(L$1,enemy_skill_triggers!$1:$1,0)-MATCH($F$1,enemy_skill_triggers!$1:$1,0)+1),MATCH(L$1,enemy_skill_triggers!$1:$1,0)-MATCH($F$1,enemy_skill_triggers!$1:$1,0)+1,FALSE)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4" s="42" t="str">
        <f ca="1">VLOOKUP($F164,OFFSET(enemy_skill_triggers!$A$1,0,0,COUNTA(enemy_skill_triggers!$A:$A),MATCH(M$1,enemy_skill_triggers!$1:$1,0)-MATCH($F$1,enemy_skill_triggers!$1:$1,0)+1),MATCH(M$1,enemy_skill_triggers!$1:$1,0)-MATCH($F$1,enemy_skill_triggers!$1:$1,0)+1,FALSE)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4" s="42">
        <f ca="1">VLOOKUP($F164,OFFSET(enemy_skill_triggers!$A$1,0,0,COUNTA(enemy_skill_triggers!$A:$A),MATCH(N$1,enemy_skill_triggers!$1:$1,0)-MATCH($F$1,enemy_skill_triggers!$1:$1,0)+1),MATCH(N$1,enemy_skill_triggers!$1:$1,0)-MATCH($F$1,enemy_skill_triggers!$1:$1,0)+1,FALSE)</f>
        <v>544</v>
      </c>
      <c r="O164" s="42">
        <f ca="1">VLOOKUP($F164,OFFSET(enemy_skill_triggers!$A$1,0,0,COUNTA(enemy_skill_triggers!$A:$A),MATCH(O$1,enemy_skill_triggers!$1:$1,0)-MATCH($F$1,enemy_skill_triggers!$1:$1,0)+1),MATCH(O$1,enemy_skill_triggers!$1:$1,0)-MATCH($F$1,enemy_skill_triggers!$1:$1,0)+1,FALSE)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4" s="41"/>
      <c r="Q164" s="41"/>
      <c r="R164" s="41" t="s">
        <v>355</v>
      </c>
    </row>
    <row r="165" spans="1:18" ht="21" customHeight="1" x14ac:dyDescent="0.15">
      <c r="A165" s="33" t="str">
        <f t="shared" si="12"/>
        <v>39008006_39008035</v>
      </c>
      <c r="B165" s="102">
        <v>39008006</v>
      </c>
      <c r="C165" s="119">
        <v>39008035</v>
      </c>
      <c r="D165" s="40" t="str">
        <f ca="1">VLOOKUP($C165,OFFSET(enemy_skills!$A$1,0,0,COUNTA(enemy_skills!$A:$A),MATCH(D$1,enemy_skills!$1:$1,0)-MATCH("enemy_skill_id",enemy_skills!$1:$1,0)+1),MATCH(D$1,enemy_skills!$1:$1,0)-MATCH("enemy_skill_id",enemy_skills!$1:$1,0)+1,FALSE)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65" s="40" t="str">
        <f ca="1">VLOOKUP($C165,OFFSET(enemy_skills!$A$1,0,0,COUNTA(enemy_skills!$A:$A),MATCH(E$1,enemy_skills!$1:$1,0)-MATCH("enemy_skill_id",enemy_skills!$1:$1,0)+1),MATCH(E$1,enemy_skills!$1:$1,0)-MATCH("enemy_skill_id",enemy_skills!$1:$1,0)+1,FALSE)</f>
        <v>そっか！リンちゃんが助けてくれたんだね！ありがとうっ！</v>
      </c>
      <c r="F165" s="122">
        <v>39008113</v>
      </c>
      <c r="G165" s="42">
        <f ca="1">VLOOKUP($F165,OFFSET(enemy_skill_triggers!$A$1,0,0,COUNTA(enemy_skill_triggers!$A:$A),MATCH(G$1,enemy_skill_triggers!$1:$1,0)-MATCH($F$1,enemy_skill_triggers!$1:$1,0)+1),MATCH(G$1,enemy_skill_triggers!$1:$1,0)-MATCH($F$1,enemy_skill_triggers!$1:$1,0)+1,FALSE)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5" s="42">
        <f ca="1">VLOOKUP($F165,OFFSET(enemy_skill_triggers!$A$1,0,0,COUNTA(enemy_skill_triggers!$A:$A),MATCH(H$1,enemy_skill_triggers!$1:$1,0)-MATCH($F$1,enemy_skill_triggers!$1:$1,0)+1),MATCH(H$1,enemy_skill_triggers!$1:$1,0)-MATCH($F$1,enemy_skill_triggers!$1:$1,0)+1,FALSE)</f>
        <v>918</v>
      </c>
      <c r="I165" s="42">
        <f ca="1">VLOOKUP($F165,OFFSET(enemy_skill_triggers!$A$1,0,0,COUNTA(enemy_skill_triggers!$A:$A),MATCH(I$1,enemy_skill_triggers!$1:$1,0)-MATCH($F$1,enemy_skill_triggers!$1:$1,0)+1),MATCH(I$1,enemy_skill_triggers!$1:$1,0)-MATCH($F$1,enemy_skill_triggers!$1:$1,0)+1,FALSE)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5" s="42" t="str">
        <f ca="1">VLOOKUP($F165,OFFSET(enemy_skill_triggers!$A$1,0,0,COUNTA(enemy_skill_triggers!$A:$A),MATCH(J$1,enemy_skill_triggers!$1:$1,0)-MATCH($F$1,enemy_skill_triggers!$1:$1,0)+1),MATCH(J$1,enemy_skill_triggers!$1:$1,0)-MATCH($F$1,enemy_skill_triggers!$1:$1,0)+1,FALSE)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5" s="42" t="str">
        <f ca="1">VLOOKUP($F165,OFFSET(enemy_skill_triggers!$A$1,0,0,COUNTA(enemy_skill_triggers!$A:$A),MATCH(K$1,enemy_skill_triggers!$1:$1,0)-MATCH($F$1,enemy_skill_triggers!$1:$1,0)+1),MATCH(K$1,enemy_skill_triggers!$1:$1,0)-MATCH($F$1,enemy_skill_triggers!$1:$1,0)+1,FALSE)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5" s="42">
        <f ca="1">VLOOKUP($F165,OFFSET(enemy_skill_triggers!$A$1,0,0,COUNTA(enemy_skill_triggers!$A:$A),MATCH(L$1,enemy_skill_triggers!$1:$1,0)-MATCH($F$1,enemy_skill_triggers!$1:$1,0)+1),MATCH(L$1,enemy_skill_triggers!$1:$1,0)-MATCH($F$1,enemy_skill_triggers!$1:$1,0)+1,FALSE)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5" s="42" t="str">
        <f ca="1">VLOOKUP($F165,OFFSET(enemy_skill_triggers!$A$1,0,0,COUNTA(enemy_skill_triggers!$A:$A),MATCH(M$1,enemy_skill_triggers!$1:$1,0)-MATCH($F$1,enemy_skill_triggers!$1:$1,0)+1),MATCH(M$1,enemy_skill_triggers!$1:$1,0)-MATCH($F$1,enemy_skill_triggers!$1:$1,0)+1,FALSE)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5" s="42">
        <f ca="1">VLOOKUP($F165,OFFSET(enemy_skill_triggers!$A$1,0,0,COUNTA(enemy_skill_triggers!$A:$A),MATCH(N$1,enemy_skill_triggers!$1:$1,0)-MATCH($F$1,enemy_skill_triggers!$1:$1,0)+1),MATCH(N$1,enemy_skill_triggers!$1:$1,0)-MATCH($F$1,enemy_skill_triggers!$1:$1,0)+1,FALSE)</f>
        <v>1311</v>
      </c>
      <c r="O165" s="42">
        <f ca="1">VLOOKUP($F165,OFFSET(enemy_skill_triggers!$A$1,0,0,COUNTA(enemy_skill_triggers!$A:$A),MATCH(O$1,enemy_skill_triggers!$1:$1,0)-MATCH($F$1,enemy_skill_triggers!$1:$1,0)+1),MATCH(O$1,enemy_skill_triggers!$1:$1,0)-MATCH($F$1,enemy_skill_triggers!$1:$1,0)+1,FALSE)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5" s="41"/>
      <c r="Q165" s="41"/>
      <c r="R165" s="41" t="s">
        <v>355</v>
      </c>
    </row>
    <row r="166" spans="1:18" ht="21" customHeight="1" x14ac:dyDescent="0.15">
      <c r="A166" s="33" t="str">
        <f t="shared" si="12"/>
        <v>39008006_39008036</v>
      </c>
      <c r="B166" s="102">
        <v>39008006</v>
      </c>
      <c r="C166" s="119">
        <v>39008036</v>
      </c>
      <c r="D166" s="40" t="str">
        <f ca="1">VLOOKUP($C166,OFFSET(enemy_skills!$A$1,0,0,COUNTA(enemy_skills!$A:$A),MATCH(D$1,enemy_skills!$1:$1,0)-MATCH("enemy_skill_id",enemy_skills!$1:$1,0)+1),MATCH(D$1,enemy_skills!$1:$1,0)-MATCH("enemy_skill_id",enemy_skills!$1:$1,0)+1,FALSE)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66" s="40" t="str">
        <f ca="1">VLOOKUP($C166,OFFSET(enemy_skills!$A$1,0,0,COUNTA(enemy_skills!$A:$A),MATCH(E$1,enemy_skills!$1:$1,0)-MATCH("enemy_skill_id",enemy_skills!$1:$1,0)+1),MATCH(E$1,enemy_skills!$1:$1,0)-MATCH("enemy_skill_id",enemy_skills!$1:$1,0)+1,FALSE)</f>
        <v>そっか！レンきゅんが助けてくれたんだね！ありがとうっ！</v>
      </c>
      <c r="F166" s="122">
        <v>39008114</v>
      </c>
      <c r="G166" s="42">
        <f ca="1">VLOOKUP($F166,OFFSET(enemy_skill_triggers!$A$1,0,0,COUNTA(enemy_skill_triggers!$A:$A),MATCH(G$1,enemy_skill_triggers!$1:$1,0)-MATCH($F$1,enemy_skill_triggers!$1:$1,0)+1),MATCH(G$1,enemy_skill_triggers!$1:$1,0)-MATCH($F$1,enemy_skill_triggers!$1:$1,0)+1,FALSE)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6" s="42">
        <f ca="1">VLOOKUP($F166,OFFSET(enemy_skill_triggers!$A$1,0,0,COUNTA(enemy_skill_triggers!$A:$A),MATCH(H$1,enemy_skill_triggers!$1:$1,0)-MATCH($F$1,enemy_skill_triggers!$1:$1,0)+1),MATCH(H$1,enemy_skill_triggers!$1:$1,0)-MATCH($F$1,enemy_skill_triggers!$1:$1,0)+1,FALSE)</f>
        <v>917</v>
      </c>
      <c r="I166" s="42">
        <f ca="1">VLOOKUP($F166,OFFSET(enemy_skill_triggers!$A$1,0,0,COUNTA(enemy_skill_triggers!$A:$A),MATCH(I$1,enemy_skill_triggers!$1:$1,0)-MATCH($F$1,enemy_skill_triggers!$1:$1,0)+1),MATCH(I$1,enemy_skill_triggers!$1:$1,0)-MATCH($F$1,enemy_skill_triggers!$1:$1,0)+1,FALSE)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6" s="42" t="str">
        <f ca="1">VLOOKUP($F166,OFFSET(enemy_skill_triggers!$A$1,0,0,COUNTA(enemy_skill_triggers!$A:$A),MATCH(J$1,enemy_skill_triggers!$1:$1,0)-MATCH($F$1,enemy_skill_triggers!$1:$1,0)+1),MATCH(J$1,enemy_skill_triggers!$1:$1,0)-MATCH($F$1,enemy_skill_triggers!$1:$1,0)+1,FALSE)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6" s="42" t="str">
        <f ca="1">VLOOKUP($F166,OFFSET(enemy_skill_triggers!$A$1,0,0,COUNTA(enemy_skill_triggers!$A:$A),MATCH(K$1,enemy_skill_triggers!$1:$1,0)-MATCH($F$1,enemy_skill_triggers!$1:$1,0)+1),MATCH(K$1,enemy_skill_triggers!$1:$1,0)-MATCH($F$1,enemy_skill_triggers!$1:$1,0)+1,FALSE)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6" s="42">
        <f ca="1">VLOOKUP($F166,OFFSET(enemy_skill_triggers!$A$1,0,0,COUNTA(enemy_skill_triggers!$A:$A),MATCH(L$1,enemy_skill_triggers!$1:$1,0)-MATCH($F$1,enemy_skill_triggers!$1:$1,0)+1),MATCH(L$1,enemy_skill_triggers!$1:$1,0)-MATCH($F$1,enemy_skill_triggers!$1:$1,0)+1,FALSE)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6" s="42" t="str">
        <f ca="1">VLOOKUP($F166,OFFSET(enemy_skill_triggers!$A$1,0,0,COUNTA(enemy_skill_triggers!$A:$A),MATCH(M$1,enemy_skill_triggers!$1:$1,0)-MATCH($F$1,enemy_skill_triggers!$1:$1,0)+1),MATCH(M$1,enemy_skill_triggers!$1:$1,0)-MATCH($F$1,enemy_skill_triggers!$1:$1,0)+1,FALSE)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6" s="42">
        <f ca="1">VLOOKUP($F166,OFFSET(enemy_skill_triggers!$A$1,0,0,COUNTA(enemy_skill_triggers!$A:$A),MATCH(N$1,enemy_skill_triggers!$1:$1,0)-MATCH($F$1,enemy_skill_triggers!$1:$1,0)+1),MATCH(N$1,enemy_skill_triggers!$1:$1,0)-MATCH($F$1,enemy_skill_triggers!$1:$1,0)+1,FALSE)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166" s="42">
        <f ca="1">VLOOKUP($F166,OFFSET(enemy_skill_triggers!$A$1,0,0,COUNTA(enemy_skill_triggers!$A:$A),MATCH(O$1,enemy_skill_triggers!$1:$1,0)-MATCH($F$1,enemy_skill_triggers!$1:$1,0)+1),MATCH(O$1,enemy_skill_triggers!$1:$1,0)-MATCH($F$1,enemy_skill_triggers!$1:$1,0)+1,FALSE)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6" s="41"/>
      <c r="Q166" s="41"/>
      <c r="R166" s="41" t="s">
        <v>358</v>
      </c>
    </row>
    <row r="167" spans="1:18" ht="21" customHeight="1" x14ac:dyDescent="0.15">
      <c r="A167" s="33" t="str">
        <f t="shared" si="12"/>
        <v>39008006_39008036</v>
      </c>
      <c r="B167" s="102">
        <v>39008006</v>
      </c>
      <c r="C167" s="119">
        <v>39008036</v>
      </c>
      <c r="D167" s="40" t="str">
        <f ca="1">VLOOKUP($C167,OFFSET(enemy_skills!$A$1,0,0,COUNTA(enemy_skills!$A:$A),MATCH(D$1,enemy_skills!$1:$1,0)-MATCH("enemy_skill_id",enemy_skills!$1:$1,0)+1),MATCH(D$1,enemy_skills!$1:$1,0)-MATCH("enemy_skill_id",enemy_skills!$1:$1,0)+1,FALSE)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67" s="40" t="str">
        <f ca="1">VLOOKUP($C167,OFFSET(enemy_skills!$A$1,0,0,COUNTA(enemy_skills!$A:$A),MATCH(E$1,enemy_skills!$1:$1,0)-MATCH("enemy_skill_id",enemy_skills!$1:$1,0)+1),MATCH(E$1,enemy_skills!$1:$1,0)-MATCH("enemy_skill_id",enemy_skills!$1:$1,0)+1,FALSE)</f>
        <v>そっか！レンきゅんが助けてくれたんだね！ありがとうっ！</v>
      </c>
      <c r="F167" s="122">
        <v>39008115</v>
      </c>
      <c r="G167" s="42">
        <f ca="1">VLOOKUP($F167,OFFSET(enemy_skill_triggers!$A$1,0,0,COUNTA(enemy_skill_triggers!$A:$A),MATCH(G$1,enemy_skill_triggers!$1:$1,0)-MATCH($F$1,enemy_skill_triggers!$1:$1,0)+1),MATCH(G$1,enemy_skill_triggers!$1:$1,0)-MATCH($F$1,enemy_skill_triggers!$1:$1,0)+1,FALSE)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7" s="42">
        <f ca="1">VLOOKUP($F167,OFFSET(enemy_skill_triggers!$A$1,0,0,COUNTA(enemy_skill_triggers!$A:$A),MATCH(H$1,enemy_skill_triggers!$1:$1,0)-MATCH($F$1,enemy_skill_triggers!$1:$1,0)+1),MATCH(H$1,enemy_skill_triggers!$1:$1,0)-MATCH($F$1,enemy_skill_triggers!$1:$1,0)+1,FALSE)</f>
        <v>916</v>
      </c>
      <c r="I167" s="42">
        <f ca="1">VLOOKUP($F167,OFFSET(enemy_skill_triggers!$A$1,0,0,COUNTA(enemy_skill_triggers!$A:$A),MATCH(I$1,enemy_skill_triggers!$1:$1,0)-MATCH($F$1,enemy_skill_triggers!$1:$1,0)+1),MATCH(I$1,enemy_skill_triggers!$1:$1,0)-MATCH($F$1,enemy_skill_triggers!$1:$1,0)+1,FALSE)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7" s="42" t="str">
        <f ca="1">VLOOKUP($F167,OFFSET(enemy_skill_triggers!$A$1,0,0,COUNTA(enemy_skill_triggers!$A:$A),MATCH(J$1,enemy_skill_triggers!$1:$1,0)-MATCH($F$1,enemy_skill_triggers!$1:$1,0)+1),MATCH(J$1,enemy_skill_triggers!$1:$1,0)-MATCH($F$1,enemy_skill_triggers!$1:$1,0)+1,FALSE)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7" s="42" t="str">
        <f ca="1">VLOOKUP($F167,OFFSET(enemy_skill_triggers!$A$1,0,0,COUNTA(enemy_skill_triggers!$A:$A),MATCH(K$1,enemy_skill_triggers!$1:$1,0)-MATCH($F$1,enemy_skill_triggers!$1:$1,0)+1),MATCH(K$1,enemy_skill_triggers!$1:$1,0)-MATCH($F$1,enemy_skill_triggers!$1:$1,0)+1,FALSE)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7" s="42">
        <f ca="1">VLOOKUP($F167,OFFSET(enemy_skill_triggers!$A$1,0,0,COUNTA(enemy_skill_triggers!$A:$A),MATCH(L$1,enemy_skill_triggers!$1:$1,0)-MATCH($F$1,enemy_skill_triggers!$1:$1,0)+1),MATCH(L$1,enemy_skill_triggers!$1:$1,0)-MATCH($F$1,enemy_skill_triggers!$1:$1,0)+1,FALSE)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7" s="42" t="str">
        <f ca="1">VLOOKUP($F167,OFFSET(enemy_skill_triggers!$A$1,0,0,COUNTA(enemy_skill_triggers!$A:$A),MATCH(M$1,enemy_skill_triggers!$1:$1,0)-MATCH($F$1,enemy_skill_triggers!$1:$1,0)+1),MATCH(M$1,enemy_skill_triggers!$1:$1,0)-MATCH($F$1,enemy_skill_triggers!$1:$1,0)+1,FALSE)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7" s="42">
        <f ca="1">VLOOKUP($F167,OFFSET(enemy_skill_triggers!$A$1,0,0,COUNTA(enemy_skill_triggers!$A:$A),MATCH(N$1,enemy_skill_triggers!$1:$1,0)-MATCH($F$1,enemy_skill_triggers!$1:$1,0)+1),MATCH(N$1,enemy_skill_triggers!$1:$1,0)-MATCH($F$1,enemy_skill_triggers!$1:$1,0)+1,FALSE)</f>
        <v>546</v>
      </c>
      <c r="O167" s="42">
        <f ca="1">VLOOKUP($F167,OFFSET(enemy_skill_triggers!$A$1,0,0,COUNTA(enemy_skill_triggers!$A:$A),MATCH(O$1,enemy_skill_triggers!$1:$1,0)-MATCH($F$1,enemy_skill_triggers!$1:$1,0)+1),MATCH(O$1,enemy_skill_triggers!$1:$1,0)-MATCH($F$1,enemy_skill_triggers!$1:$1,0)+1,FALSE)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7" s="41"/>
      <c r="Q167" s="41"/>
      <c r="R167" s="41" t="s">
        <v>358</v>
      </c>
    </row>
    <row r="168" spans="1:18" ht="21" customHeight="1" x14ac:dyDescent="0.15">
      <c r="A168" s="33" t="str">
        <f t="shared" si="12"/>
        <v>39008006_39008036</v>
      </c>
      <c r="B168" s="102">
        <v>39008006</v>
      </c>
      <c r="C168" s="119">
        <v>39008036</v>
      </c>
      <c r="D168" s="40" t="str">
        <f ca="1">VLOOKUP($C168,OFFSET(enemy_skills!$A$1,0,0,COUNTA(enemy_skills!$A:$A),MATCH(D$1,enemy_skills!$1:$1,0)-MATCH("enemy_skill_id",enemy_skills!$1:$1,0)+1),MATCH(D$1,enemy_skills!$1:$1,0)-MATCH("enemy_skill_id",enemy_skills!$1:$1,0)+1,FALSE)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68" s="40" t="str">
        <f ca="1">VLOOKUP($C168,OFFSET(enemy_skills!$A$1,0,0,COUNTA(enemy_skills!$A:$A),MATCH(E$1,enemy_skills!$1:$1,0)-MATCH("enemy_skill_id",enemy_skills!$1:$1,0)+1),MATCH(E$1,enemy_skills!$1:$1,0)-MATCH("enemy_skill_id",enemy_skills!$1:$1,0)+1,FALSE)</f>
        <v>そっか！レンきゅんが助けてくれたんだね！ありがとうっ！</v>
      </c>
      <c r="F168" s="122">
        <v>39008116</v>
      </c>
      <c r="G168" s="42">
        <f ca="1">VLOOKUP($F168,OFFSET(enemy_skill_triggers!$A$1,0,0,COUNTA(enemy_skill_triggers!$A:$A),MATCH(G$1,enemy_skill_triggers!$1:$1,0)-MATCH($F$1,enemy_skill_triggers!$1:$1,0)+1),MATCH(G$1,enemy_skill_triggers!$1:$1,0)-MATCH($F$1,enemy_skill_triggers!$1:$1,0)+1,FALSE)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8" s="42">
        <f ca="1">VLOOKUP($F168,OFFSET(enemy_skill_triggers!$A$1,0,0,COUNTA(enemy_skill_triggers!$A:$A),MATCH(H$1,enemy_skill_triggers!$1:$1,0)-MATCH($F$1,enemy_skill_triggers!$1:$1,0)+1),MATCH(H$1,enemy_skill_triggers!$1:$1,0)-MATCH($F$1,enemy_skill_triggers!$1:$1,0)+1,FALSE)</f>
        <v>915</v>
      </c>
      <c r="I168" s="42">
        <f ca="1">VLOOKUP($F168,OFFSET(enemy_skill_triggers!$A$1,0,0,COUNTA(enemy_skill_triggers!$A:$A),MATCH(I$1,enemy_skill_triggers!$1:$1,0)-MATCH($F$1,enemy_skill_triggers!$1:$1,0)+1),MATCH(I$1,enemy_skill_triggers!$1:$1,0)-MATCH($F$1,enemy_skill_triggers!$1:$1,0)+1,FALSE)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8" s="42" t="str">
        <f ca="1">VLOOKUP($F168,OFFSET(enemy_skill_triggers!$A$1,0,0,COUNTA(enemy_skill_triggers!$A:$A),MATCH(J$1,enemy_skill_triggers!$1:$1,0)-MATCH($F$1,enemy_skill_triggers!$1:$1,0)+1),MATCH(J$1,enemy_skill_triggers!$1:$1,0)-MATCH($F$1,enemy_skill_triggers!$1:$1,0)+1,FALSE)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8" s="42" t="str">
        <f ca="1">VLOOKUP($F168,OFFSET(enemy_skill_triggers!$A$1,0,0,COUNTA(enemy_skill_triggers!$A:$A),MATCH(K$1,enemy_skill_triggers!$1:$1,0)-MATCH($F$1,enemy_skill_triggers!$1:$1,0)+1),MATCH(K$1,enemy_skill_triggers!$1:$1,0)-MATCH($F$1,enemy_skill_triggers!$1:$1,0)+1,FALSE)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8" s="42">
        <f ca="1">VLOOKUP($F168,OFFSET(enemy_skill_triggers!$A$1,0,0,COUNTA(enemy_skill_triggers!$A:$A),MATCH(L$1,enemy_skill_triggers!$1:$1,0)-MATCH($F$1,enemy_skill_triggers!$1:$1,0)+1),MATCH(L$1,enemy_skill_triggers!$1:$1,0)-MATCH($F$1,enemy_skill_triggers!$1:$1,0)+1,FALSE)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8" s="42" t="str">
        <f ca="1">VLOOKUP($F168,OFFSET(enemy_skill_triggers!$A$1,0,0,COUNTA(enemy_skill_triggers!$A:$A),MATCH(M$1,enemy_skill_triggers!$1:$1,0)-MATCH($F$1,enemy_skill_triggers!$1:$1,0)+1),MATCH(M$1,enemy_skill_triggers!$1:$1,0)-MATCH($F$1,enemy_skill_triggers!$1:$1,0)+1,FALSE)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8" s="42">
        <f ca="1">VLOOKUP($F168,OFFSET(enemy_skill_triggers!$A$1,0,0,COUNTA(enemy_skill_triggers!$A:$A),MATCH(N$1,enemy_skill_triggers!$1:$1,0)-MATCH($F$1,enemy_skill_triggers!$1:$1,0)+1),MATCH(N$1,enemy_skill_triggers!$1:$1,0)-MATCH($F$1,enemy_skill_triggers!$1:$1,0)+1,FALSE)</f>
        <v>1312</v>
      </c>
      <c r="O168" s="42">
        <f ca="1">VLOOKUP($F168,OFFSET(enemy_skill_triggers!$A$1,0,0,COUNTA(enemy_skill_triggers!$A:$A),MATCH(O$1,enemy_skill_triggers!$1:$1,0)-MATCH($F$1,enemy_skill_triggers!$1:$1,0)+1),MATCH(O$1,enemy_skill_triggers!$1:$1,0)-MATCH($F$1,enemy_skill_triggers!$1:$1,0)+1,FALSE)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8" s="41"/>
      <c r="Q168" s="41"/>
      <c r="R168" s="41" t="s">
        <v>360</v>
      </c>
    </row>
    <row r="169" spans="1:18" ht="21" customHeight="1" x14ac:dyDescent="0.15">
      <c r="A169" s="33" t="str">
        <f t="shared" si="12"/>
        <v>39008006_39008033</v>
      </c>
      <c r="B169" s="102">
        <v>39008006</v>
      </c>
      <c r="C169" s="119">
        <v>39008033</v>
      </c>
      <c r="D169" s="40" t="str">
        <f ca="1">VLOOKUP($C169,OFFSET(enemy_skills!$A$1,0,0,COUNTA(enemy_skills!$A:$A),MATCH(D$1,enemy_skills!$1:$1,0)-MATCH("enemy_skill_id",enemy_skills!$1:$1,0)+1),MATCH(D$1,enemy_skills!$1:$1,0)-MATCH("enemy_skill_id",enemy_skills!$1:$1,0)+1,FALSE)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69" s="40" t="str">
        <f ca="1">VLOOKUP($C169,OFFSET(enemy_skills!$A$1,0,0,COUNTA(enemy_skills!$A:$A),MATCH(E$1,enemy_skills!$1:$1,0)-MATCH("enemy_skill_id",enemy_skills!$1:$1,0)+1),MATCH(E$1,enemy_skills!$1:$1,0)-MATCH("enemy_skill_id",enemy_skills!$1:$1,0)+1,FALSE)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69" s="122">
        <v>39008117</v>
      </c>
      <c r="G169" s="42">
        <f ca="1">VLOOKUP($F169,OFFSET(enemy_skill_triggers!$A$1,0,0,COUNTA(enemy_skill_triggers!$A:$A),MATCH(G$1,enemy_skill_triggers!$1:$1,0)-MATCH($F$1,enemy_skill_triggers!$1:$1,0)+1),MATCH(G$1,enemy_skill_triggers!$1:$1,0)-MATCH($F$1,enemy_skill_triggers!$1:$1,0)+1,FALSE)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9" s="42">
        <f ca="1">VLOOKUP($F169,OFFSET(enemy_skill_triggers!$A$1,0,0,COUNTA(enemy_skill_triggers!$A:$A),MATCH(H$1,enemy_skill_triggers!$1:$1,0)-MATCH($F$1,enemy_skill_triggers!$1:$1,0)+1),MATCH(H$1,enemy_skill_triggers!$1:$1,0)-MATCH($F$1,enemy_skill_triggers!$1:$1,0)+1,FALSE)</f>
        <v>914</v>
      </c>
      <c r="I169" s="42">
        <f ca="1">VLOOKUP($F169,OFFSET(enemy_skill_triggers!$A$1,0,0,COUNTA(enemy_skill_triggers!$A:$A),MATCH(I$1,enemy_skill_triggers!$1:$1,0)-MATCH($F$1,enemy_skill_triggers!$1:$1,0)+1),MATCH(I$1,enemy_skill_triggers!$1:$1,0)-MATCH($F$1,enemy_skill_triggers!$1:$1,0)+1,FALSE)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9" s="42" t="str">
        <f ca="1">VLOOKUP($F169,OFFSET(enemy_skill_triggers!$A$1,0,0,COUNTA(enemy_skill_triggers!$A:$A),MATCH(J$1,enemy_skill_triggers!$1:$1,0)-MATCH($F$1,enemy_skill_triggers!$1:$1,0)+1),MATCH(J$1,enemy_skill_triggers!$1:$1,0)-MATCH($F$1,enemy_skill_triggers!$1:$1,0)+1,FALSE)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9" s="42" t="str">
        <f ca="1">VLOOKUP($F169,OFFSET(enemy_skill_triggers!$A$1,0,0,COUNTA(enemy_skill_triggers!$A:$A),MATCH(K$1,enemy_skill_triggers!$1:$1,0)-MATCH($F$1,enemy_skill_triggers!$1:$1,0)+1),MATCH(K$1,enemy_skill_triggers!$1:$1,0)-MATCH($F$1,enemy_skill_triggers!$1:$1,0)+1,FALSE)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9" s="42">
        <f ca="1">VLOOKUP($F169,OFFSET(enemy_skill_triggers!$A$1,0,0,COUNTA(enemy_skill_triggers!$A:$A),MATCH(L$1,enemy_skill_triggers!$1:$1,0)-MATCH($F$1,enemy_skill_triggers!$1:$1,0)+1),MATCH(L$1,enemy_skill_triggers!$1:$1,0)-MATCH($F$1,enemy_skill_triggers!$1:$1,0)+1,FALSE)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9" s="42" t="str">
        <f ca="1">VLOOKUP($F169,OFFSET(enemy_skill_triggers!$A$1,0,0,COUNTA(enemy_skill_triggers!$A:$A),MATCH(M$1,enemy_skill_triggers!$1:$1,0)-MATCH($F$1,enemy_skill_triggers!$1:$1,0)+1),MATCH(M$1,enemy_skill_triggers!$1:$1,0)-MATCH($F$1,enemy_skill_triggers!$1:$1,0)+1,FALSE)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9" s="42">
        <f ca="1">VLOOKUP($F169,OFFSET(enemy_skill_triggers!$A$1,0,0,COUNTA(enemy_skill_triggers!$A:$A),MATCH(N$1,enemy_skill_triggers!$1:$1,0)-MATCH($F$1,enemy_skill_triggers!$1:$1,0)+1),MATCH(N$1,enemy_skill_triggers!$1:$1,0)-MATCH($F$1,enemy_skill_triggers!$1:$1,0)+1,FALSE)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169" s="42">
        <f ca="1">VLOOKUP($F169,OFFSET(enemy_skill_triggers!$A$1,0,0,COUNTA(enemy_skill_triggers!$A:$A),MATCH(O$1,enemy_skill_triggers!$1:$1,0)-MATCH($F$1,enemy_skill_triggers!$1:$1,0)+1),MATCH(O$1,enemy_skill_triggers!$1:$1,0)-MATCH($F$1,enemy_skill_triggers!$1:$1,0)+1,FALSE)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9" s="41"/>
      <c r="Q169" s="41"/>
      <c r="R169" s="41" t="s">
        <v>340</v>
      </c>
    </row>
    <row r="170" spans="1:18" ht="21" customHeight="1" x14ac:dyDescent="0.15">
      <c r="A170" s="33" t="str">
        <f t="shared" si="12"/>
        <v>39008006_39008033</v>
      </c>
      <c r="B170" s="102">
        <v>39008006</v>
      </c>
      <c r="C170" s="119">
        <v>39008033</v>
      </c>
      <c r="D170" s="40" t="str">
        <f ca="1">VLOOKUP($C170,OFFSET(enemy_skills!$A$1,0,0,COUNTA(enemy_skills!$A:$A),MATCH(D$1,enemy_skills!$1:$1,0)-MATCH("enemy_skill_id",enemy_skills!$1:$1,0)+1),MATCH(D$1,enemy_skills!$1:$1,0)-MATCH("enemy_skill_id",enemy_skills!$1:$1,0)+1,FALSE)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70" s="40" t="str">
        <f ca="1">VLOOKUP($C170,OFFSET(enemy_skills!$A$1,0,0,COUNTA(enemy_skills!$A:$A),MATCH(E$1,enemy_skills!$1:$1,0)-MATCH("enemy_skill_id",enemy_skills!$1:$1,0)+1),MATCH(E$1,enemy_skills!$1:$1,0)-MATCH("enemy_skill_id",enemy_skills!$1:$1,0)+1,FALSE)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70" s="122">
        <v>39008118</v>
      </c>
      <c r="G170" s="42">
        <f ca="1">VLOOKUP($F170,OFFSET(enemy_skill_triggers!$A$1,0,0,COUNTA(enemy_skill_triggers!$A:$A),MATCH(G$1,enemy_skill_triggers!$1:$1,0)-MATCH($F$1,enemy_skill_triggers!$1:$1,0)+1),MATCH(G$1,enemy_skill_triggers!$1:$1,0)-MATCH($F$1,enemy_skill_triggers!$1:$1,0)+1,FALSE)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0" s="42">
        <f ca="1">VLOOKUP($F170,OFFSET(enemy_skill_triggers!$A$1,0,0,COUNTA(enemy_skill_triggers!$A:$A),MATCH(H$1,enemy_skill_triggers!$1:$1,0)-MATCH($F$1,enemy_skill_triggers!$1:$1,0)+1),MATCH(H$1,enemy_skill_triggers!$1:$1,0)-MATCH($F$1,enemy_skill_triggers!$1:$1,0)+1,FALSE)</f>
        <v>913</v>
      </c>
      <c r="I170" s="42">
        <f ca="1">VLOOKUP($F170,OFFSET(enemy_skill_triggers!$A$1,0,0,COUNTA(enemy_skill_triggers!$A:$A),MATCH(I$1,enemy_skill_triggers!$1:$1,0)-MATCH($F$1,enemy_skill_triggers!$1:$1,0)+1),MATCH(I$1,enemy_skill_triggers!$1:$1,0)-MATCH($F$1,enemy_skill_triggers!$1:$1,0)+1,FALSE)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0" s="42" t="str">
        <f ca="1">VLOOKUP($F170,OFFSET(enemy_skill_triggers!$A$1,0,0,COUNTA(enemy_skill_triggers!$A:$A),MATCH(J$1,enemy_skill_triggers!$1:$1,0)-MATCH($F$1,enemy_skill_triggers!$1:$1,0)+1),MATCH(J$1,enemy_skill_triggers!$1:$1,0)-MATCH($F$1,enemy_skill_triggers!$1:$1,0)+1,FALSE)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0" s="42" t="str">
        <f ca="1">VLOOKUP($F170,OFFSET(enemy_skill_triggers!$A$1,0,0,COUNTA(enemy_skill_triggers!$A:$A),MATCH(K$1,enemy_skill_triggers!$1:$1,0)-MATCH($F$1,enemy_skill_triggers!$1:$1,0)+1),MATCH(K$1,enemy_skill_triggers!$1:$1,0)-MATCH($F$1,enemy_skill_triggers!$1:$1,0)+1,FALSE)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0" s="42">
        <f ca="1">VLOOKUP($F170,OFFSET(enemy_skill_triggers!$A$1,0,0,COUNTA(enemy_skill_triggers!$A:$A),MATCH(L$1,enemy_skill_triggers!$1:$1,0)-MATCH($F$1,enemy_skill_triggers!$1:$1,0)+1),MATCH(L$1,enemy_skill_triggers!$1:$1,0)-MATCH($F$1,enemy_skill_triggers!$1:$1,0)+1,FALSE)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0" s="42" t="str">
        <f ca="1">VLOOKUP($F170,OFFSET(enemy_skill_triggers!$A$1,0,0,COUNTA(enemy_skill_triggers!$A:$A),MATCH(M$1,enemy_skill_triggers!$1:$1,0)-MATCH($F$1,enemy_skill_triggers!$1:$1,0)+1),MATCH(M$1,enemy_skill_triggers!$1:$1,0)-MATCH($F$1,enemy_skill_triggers!$1:$1,0)+1,FALSE)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0" s="42">
        <f ca="1">VLOOKUP($F170,OFFSET(enemy_skill_triggers!$A$1,0,0,COUNTA(enemy_skill_triggers!$A:$A),MATCH(N$1,enemy_skill_triggers!$1:$1,0)-MATCH($F$1,enemy_skill_triggers!$1:$1,0)+1),MATCH(N$1,enemy_skill_triggers!$1:$1,0)-MATCH($F$1,enemy_skill_triggers!$1:$1,0)+1,FALSE)</f>
        <v>528</v>
      </c>
      <c r="O170" s="42">
        <f ca="1">VLOOKUP($F170,OFFSET(enemy_skill_triggers!$A$1,0,0,COUNTA(enemy_skill_triggers!$A:$A),MATCH(O$1,enemy_skill_triggers!$1:$1,0)-MATCH($F$1,enemy_skill_triggers!$1:$1,0)+1),MATCH(O$1,enemy_skill_triggers!$1:$1,0)-MATCH($F$1,enemy_skill_triggers!$1:$1,0)+1,FALSE)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0" s="41"/>
      <c r="Q170" s="41"/>
      <c r="R170" s="41" t="s">
        <v>354</v>
      </c>
    </row>
    <row r="171" spans="1:18" ht="21" customHeight="1" x14ac:dyDescent="0.15">
      <c r="A171" s="33" t="str">
        <f t="shared" si="12"/>
        <v>39008006_39008033</v>
      </c>
      <c r="B171" s="102">
        <v>39008006</v>
      </c>
      <c r="C171" s="119">
        <v>39008033</v>
      </c>
      <c r="D171" s="40" t="str">
        <f ca="1">VLOOKUP($C171,OFFSET(enemy_skills!$A$1,0,0,COUNTA(enemy_skills!$A:$A),MATCH(D$1,enemy_skills!$1:$1,0)-MATCH("enemy_skill_id",enemy_skills!$1:$1,0)+1),MATCH(D$1,enemy_skills!$1:$1,0)-MATCH("enemy_skill_id",enemy_skills!$1:$1,0)+1,FALSE)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71" s="40" t="str">
        <f ca="1">VLOOKUP($C171,OFFSET(enemy_skills!$A$1,0,0,COUNTA(enemy_skills!$A:$A),MATCH(E$1,enemy_skills!$1:$1,0)-MATCH("enemy_skill_id",enemy_skills!$1:$1,0)+1),MATCH(E$1,enemy_skills!$1:$1,0)-MATCH("enemy_skill_id",enemy_skills!$1:$1,0)+1,FALSE)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71" s="122">
        <v>39008119</v>
      </c>
      <c r="G171" s="42">
        <f ca="1">VLOOKUP($F171,OFFSET(enemy_skill_triggers!$A$1,0,0,COUNTA(enemy_skill_triggers!$A:$A),MATCH(G$1,enemy_skill_triggers!$1:$1,0)-MATCH($F$1,enemy_skill_triggers!$1:$1,0)+1),MATCH(G$1,enemy_skill_triggers!$1:$1,0)-MATCH($F$1,enemy_skill_triggers!$1:$1,0)+1,FALSE)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1" s="42">
        <f ca="1">VLOOKUP($F171,OFFSET(enemy_skill_triggers!$A$1,0,0,COUNTA(enemy_skill_triggers!$A:$A),MATCH(H$1,enemy_skill_triggers!$1:$1,0)-MATCH($F$1,enemy_skill_triggers!$1:$1,0)+1),MATCH(H$1,enemy_skill_triggers!$1:$1,0)-MATCH($F$1,enemy_skill_triggers!$1:$1,0)+1,FALSE)</f>
        <v>912</v>
      </c>
      <c r="I171" s="42">
        <f ca="1">VLOOKUP($F171,OFFSET(enemy_skill_triggers!$A$1,0,0,COUNTA(enemy_skill_triggers!$A:$A),MATCH(I$1,enemy_skill_triggers!$1:$1,0)-MATCH($F$1,enemy_skill_triggers!$1:$1,0)+1),MATCH(I$1,enemy_skill_triggers!$1:$1,0)-MATCH($F$1,enemy_skill_triggers!$1:$1,0)+1,FALSE)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1" s="42" t="str">
        <f ca="1">VLOOKUP($F171,OFFSET(enemy_skill_triggers!$A$1,0,0,COUNTA(enemy_skill_triggers!$A:$A),MATCH(J$1,enemy_skill_triggers!$1:$1,0)-MATCH($F$1,enemy_skill_triggers!$1:$1,0)+1),MATCH(J$1,enemy_skill_triggers!$1:$1,0)-MATCH($F$1,enemy_skill_triggers!$1:$1,0)+1,FALSE)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1" s="42" t="str">
        <f ca="1">VLOOKUP($F171,OFFSET(enemy_skill_triggers!$A$1,0,0,COUNTA(enemy_skill_triggers!$A:$A),MATCH(K$1,enemy_skill_triggers!$1:$1,0)-MATCH($F$1,enemy_skill_triggers!$1:$1,0)+1),MATCH(K$1,enemy_skill_triggers!$1:$1,0)-MATCH($F$1,enemy_skill_triggers!$1:$1,0)+1,FALSE)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1" s="42">
        <f ca="1">VLOOKUP($F171,OFFSET(enemy_skill_triggers!$A$1,0,0,COUNTA(enemy_skill_triggers!$A:$A),MATCH(L$1,enemy_skill_triggers!$1:$1,0)-MATCH($F$1,enemy_skill_triggers!$1:$1,0)+1),MATCH(L$1,enemy_skill_triggers!$1:$1,0)-MATCH($F$1,enemy_skill_triggers!$1:$1,0)+1,FALSE)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1" s="42" t="str">
        <f ca="1">VLOOKUP($F171,OFFSET(enemy_skill_triggers!$A$1,0,0,COUNTA(enemy_skill_triggers!$A:$A),MATCH(M$1,enemy_skill_triggers!$1:$1,0)-MATCH($F$1,enemy_skill_triggers!$1:$1,0)+1),MATCH(M$1,enemy_skill_triggers!$1:$1,0)-MATCH($F$1,enemy_skill_triggers!$1:$1,0)+1,FALSE)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1" s="42">
        <f ca="1">VLOOKUP($F171,OFFSET(enemy_skill_triggers!$A$1,0,0,COUNTA(enemy_skill_triggers!$A:$A),MATCH(N$1,enemy_skill_triggers!$1:$1,0)-MATCH($F$1,enemy_skill_triggers!$1:$1,0)+1),MATCH(N$1,enemy_skill_triggers!$1:$1,0)-MATCH($F$1,enemy_skill_triggers!$1:$1,0)+1,FALSE)</f>
        <v>1299</v>
      </c>
      <c r="O171" s="42">
        <f ca="1">VLOOKUP($F171,OFFSET(enemy_skill_triggers!$A$1,0,0,COUNTA(enemy_skill_triggers!$A:$A),MATCH(O$1,enemy_skill_triggers!$1:$1,0)-MATCH($F$1,enemy_skill_triggers!$1:$1,0)+1),MATCH(O$1,enemy_skill_triggers!$1:$1,0)-MATCH($F$1,enemy_skill_triggers!$1:$1,0)+1,FALSE)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1" s="41"/>
      <c r="Q171" s="41"/>
      <c r="R171" s="41" t="s">
        <v>353</v>
      </c>
    </row>
    <row r="172" spans="1:18" ht="21" customHeight="1" x14ac:dyDescent="0.15">
      <c r="A172" s="33" t="str">
        <f t="shared" si="12"/>
        <v>39008006_39008035</v>
      </c>
      <c r="B172" s="102">
        <v>39008006</v>
      </c>
      <c r="C172" s="119">
        <v>39008035</v>
      </c>
      <c r="D172" s="40" t="str">
        <f ca="1">VLOOKUP($C172,OFFSET(enemy_skills!$A$1,0,0,COUNTA(enemy_skills!$A:$A),MATCH(D$1,enemy_skills!$1:$1,0)-MATCH("enemy_skill_id",enemy_skills!$1:$1,0)+1),MATCH(D$1,enemy_skills!$1:$1,0)-MATCH("enemy_skill_id",enemy_skills!$1:$1,0)+1,FALSE)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72" s="40" t="str">
        <f ca="1">VLOOKUP($C172,OFFSET(enemy_skills!$A$1,0,0,COUNTA(enemy_skills!$A:$A),MATCH(E$1,enemy_skills!$1:$1,0)-MATCH("enemy_skill_id",enemy_skills!$1:$1,0)+1),MATCH(E$1,enemy_skills!$1:$1,0)-MATCH("enemy_skill_id",enemy_skills!$1:$1,0)+1,FALSE)</f>
        <v>そっか！リンちゃんが助けてくれたんだね！ありがとうっ！</v>
      </c>
      <c r="F172" s="122">
        <v>39008120</v>
      </c>
      <c r="G172" s="42">
        <f ca="1">VLOOKUP($F172,OFFSET(enemy_skill_triggers!$A$1,0,0,COUNTA(enemy_skill_triggers!$A:$A),MATCH(G$1,enemy_skill_triggers!$1:$1,0)-MATCH($F$1,enemy_skill_triggers!$1:$1,0)+1),MATCH(G$1,enemy_skill_triggers!$1:$1,0)-MATCH($F$1,enemy_skill_triggers!$1:$1,0)+1,FALSE)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2" s="42">
        <f ca="1">VLOOKUP($F172,OFFSET(enemy_skill_triggers!$A$1,0,0,COUNTA(enemy_skill_triggers!$A:$A),MATCH(H$1,enemy_skill_triggers!$1:$1,0)-MATCH($F$1,enemy_skill_triggers!$1:$1,0)+1),MATCH(H$1,enemy_skill_triggers!$1:$1,0)-MATCH($F$1,enemy_skill_triggers!$1:$1,0)+1,FALSE)</f>
        <v>911</v>
      </c>
      <c r="I172" s="42">
        <f ca="1">VLOOKUP($F172,OFFSET(enemy_skill_triggers!$A$1,0,0,COUNTA(enemy_skill_triggers!$A:$A),MATCH(I$1,enemy_skill_triggers!$1:$1,0)-MATCH($F$1,enemy_skill_triggers!$1:$1,0)+1),MATCH(I$1,enemy_skill_triggers!$1:$1,0)-MATCH($F$1,enemy_skill_triggers!$1:$1,0)+1,FALSE)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2" s="42" t="str">
        <f ca="1">VLOOKUP($F172,OFFSET(enemy_skill_triggers!$A$1,0,0,COUNTA(enemy_skill_triggers!$A:$A),MATCH(J$1,enemy_skill_triggers!$1:$1,0)-MATCH($F$1,enemy_skill_triggers!$1:$1,0)+1),MATCH(J$1,enemy_skill_triggers!$1:$1,0)-MATCH($F$1,enemy_skill_triggers!$1:$1,0)+1,FALSE)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2" s="42" t="str">
        <f ca="1">VLOOKUP($F172,OFFSET(enemy_skill_triggers!$A$1,0,0,COUNTA(enemy_skill_triggers!$A:$A),MATCH(K$1,enemy_skill_triggers!$1:$1,0)-MATCH($F$1,enemy_skill_triggers!$1:$1,0)+1),MATCH(K$1,enemy_skill_triggers!$1:$1,0)-MATCH($F$1,enemy_skill_triggers!$1:$1,0)+1,FALSE)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2" s="42">
        <f ca="1">VLOOKUP($F172,OFFSET(enemy_skill_triggers!$A$1,0,0,COUNTA(enemy_skill_triggers!$A:$A),MATCH(L$1,enemy_skill_triggers!$1:$1,0)-MATCH($F$1,enemy_skill_triggers!$1:$1,0)+1),MATCH(L$1,enemy_skill_triggers!$1:$1,0)-MATCH($F$1,enemy_skill_triggers!$1:$1,0)+1,FALSE)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2" s="42" t="str">
        <f ca="1">VLOOKUP($F172,OFFSET(enemy_skill_triggers!$A$1,0,0,COUNTA(enemy_skill_triggers!$A:$A),MATCH(M$1,enemy_skill_triggers!$1:$1,0)-MATCH($F$1,enemy_skill_triggers!$1:$1,0)+1),MATCH(M$1,enemy_skill_triggers!$1:$1,0)-MATCH($F$1,enemy_skill_triggers!$1:$1,0)+1,FALSE)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2" s="42">
        <f ca="1">VLOOKUP($F172,OFFSET(enemy_skill_triggers!$A$1,0,0,COUNTA(enemy_skill_triggers!$A:$A),MATCH(N$1,enemy_skill_triggers!$1:$1,0)-MATCH($F$1,enemy_skill_triggers!$1:$1,0)+1),MATCH(N$1,enemy_skill_triggers!$1:$1,0)-MATCH($F$1,enemy_skill_triggers!$1:$1,0)+1,FALSE)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172" s="42">
        <f ca="1">VLOOKUP($F172,OFFSET(enemy_skill_triggers!$A$1,0,0,COUNTA(enemy_skill_triggers!$A:$A),MATCH(O$1,enemy_skill_triggers!$1:$1,0)-MATCH($F$1,enemy_skill_triggers!$1:$1,0)+1),MATCH(O$1,enemy_skill_triggers!$1:$1,0)-MATCH($F$1,enemy_skill_triggers!$1:$1,0)+1,FALSE)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2" s="41"/>
      <c r="Q172" s="41"/>
      <c r="R172" s="41" t="s">
        <v>355</v>
      </c>
    </row>
    <row r="173" spans="1:18" ht="21" customHeight="1" x14ac:dyDescent="0.15">
      <c r="A173" s="33" t="str">
        <f t="shared" si="12"/>
        <v>39008006_39008035</v>
      </c>
      <c r="B173" s="102">
        <v>39008006</v>
      </c>
      <c r="C173" s="119">
        <v>39008035</v>
      </c>
      <c r="D173" s="40" t="str">
        <f ca="1">VLOOKUP($C173,OFFSET(enemy_skills!$A$1,0,0,COUNTA(enemy_skills!$A:$A),MATCH(D$1,enemy_skills!$1:$1,0)-MATCH("enemy_skill_id",enemy_skills!$1:$1,0)+1),MATCH(D$1,enemy_skills!$1:$1,0)-MATCH("enemy_skill_id",enemy_skills!$1:$1,0)+1,FALSE)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73" s="40" t="str">
        <f ca="1">VLOOKUP($C173,OFFSET(enemy_skills!$A$1,0,0,COUNTA(enemy_skills!$A:$A),MATCH(E$1,enemy_skills!$1:$1,0)-MATCH("enemy_skill_id",enemy_skills!$1:$1,0)+1),MATCH(E$1,enemy_skills!$1:$1,0)-MATCH("enemy_skill_id",enemy_skills!$1:$1,0)+1,FALSE)</f>
        <v>そっか！リンちゃんが助けてくれたんだね！ありがとうっ！</v>
      </c>
      <c r="F173" s="122">
        <v>39008121</v>
      </c>
      <c r="G173" s="42">
        <f ca="1">VLOOKUP($F173,OFFSET(enemy_skill_triggers!$A$1,0,0,COUNTA(enemy_skill_triggers!$A:$A),MATCH(G$1,enemy_skill_triggers!$1:$1,0)-MATCH($F$1,enemy_skill_triggers!$1:$1,0)+1),MATCH(G$1,enemy_skill_triggers!$1:$1,0)-MATCH($F$1,enemy_skill_triggers!$1:$1,0)+1,FALSE)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3" s="42">
        <f ca="1">VLOOKUP($F173,OFFSET(enemy_skill_triggers!$A$1,0,0,COUNTA(enemy_skill_triggers!$A:$A),MATCH(H$1,enemy_skill_triggers!$1:$1,0)-MATCH($F$1,enemy_skill_triggers!$1:$1,0)+1),MATCH(H$1,enemy_skill_triggers!$1:$1,0)-MATCH($F$1,enemy_skill_triggers!$1:$1,0)+1,FALSE)</f>
        <v>910</v>
      </c>
      <c r="I173" s="42">
        <f ca="1">VLOOKUP($F173,OFFSET(enemy_skill_triggers!$A$1,0,0,COUNTA(enemy_skill_triggers!$A:$A),MATCH(I$1,enemy_skill_triggers!$1:$1,0)-MATCH($F$1,enemy_skill_triggers!$1:$1,0)+1),MATCH(I$1,enemy_skill_triggers!$1:$1,0)-MATCH($F$1,enemy_skill_triggers!$1:$1,0)+1,FALSE)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3" s="42" t="str">
        <f ca="1">VLOOKUP($F173,OFFSET(enemy_skill_triggers!$A$1,0,0,COUNTA(enemy_skill_triggers!$A:$A),MATCH(J$1,enemy_skill_triggers!$1:$1,0)-MATCH($F$1,enemy_skill_triggers!$1:$1,0)+1),MATCH(J$1,enemy_skill_triggers!$1:$1,0)-MATCH($F$1,enemy_skill_triggers!$1:$1,0)+1,FALSE)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3" s="42" t="str">
        <f ca="1">VLOOKUP($F173,OFFSET(enemy_skill_triggers!$A$1,0,0,COUNTA(enemy_skill_triggers!$A:$A),MATCH(K$1,enemy_skill_triggers!$1:$1,0)-MATCH($F$1,enemy_skill_triggers!$1:$1,0)+1),MATCH(K$1,enemy_skill_triggers!$1:$1,0)-MATCH($F$1,enemy_skill_triggers!$1:$1,0)+1,FALSE)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3" s="42">
        <f ca="1">VLOOKUP($F173,OFFSET(enemy_skill_triggers!$A$1,0,0,COUNTA(enemy_skill_triggers!$A:$A),MATCH(L$1,enemy_skill_triggers!$1:$1,0)-MATCH($F$1,enemy_skill_triggers!$1:$1,0)+1),MATCH(L$1,enemy_skill_triggers!$1:$1,0)-MATCH($F$1,enemy_skill_triggers!$1:$1,0)+1,FALSE)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3" s="42" t="str">
        <f ca="1">VLOOKUP($F173,OFFSET(enemy_skill_triggers!$A$1,0,0,COUNTA(enemy_skill_triggers!$A:$A),MATCH(M$1,enemy_skill_triggers!$1:$1,0)-MATCH($F$1,enemy_skill_triggers!$1:$1,0)+1),MATCH(M$1,enemy_skill_triggers!$1:$1,0)-MATCH($F$1,enemy_skill_triggers!$1:$1,0)+1,FALSE)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3" s="42">
        <f ca="1">VLOOKUP($F173,OFFSET(enemy_skill_triggers!$A$1,0,0,COUNTA(enemy_skill_triggers!$A:$A),MATCH(N$1,enemy_skill_triggers!$1:$1,0)-MATCH($F$1,enemy_skill_triggers!$1:$1,0)+1),MATCH(N$1,enemy_skill_triggers!$1:$1,0)-MATCH($F$1,enemy_skill_triggers!$1:$1,0)+1,FALSE)</f>
        <v>1319</v>
      </c>
      <c r="O173" s="42">
        <f ca="1">VLOOKUP($F173,OFFSET(enemy_skill_triggers!$A$1,0,0,COUNTA(enemy_skill_triggers!$A:$A),MATCH(O$1,enemy_skill_triggers!$1:$1,0)-MATCH($F$1,enemy_skill_triggers!$1:$1,0)+1),MATCH(O$1,enemy_skill_triggers!$1:$1,0)-MATCH($F$1,enemy_skill_triggers!$1:$1,0)+1,FALSE)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3" s="41"/>
      <c r="Q173" s="41"/>
      <c r="R173" s="41" t="s">
        <v>364</v>
      </c>
    </row>
    <row r="174" spans="1:18" ht="21" customHeight="1" x14ac:dyDescent="0.15">
      <c r="A174" s="33" t="str">
        <f t="shared" si="12"/>
        <v>39008006_39008036</v>
      </c>
      <c r="B174" s="102">
        <v>39008006</v>
      </c>
      <c r="C174" s="119">
        <v>39008036</v>
      </c>
      <c r="D174" s="40" t="str">
        <f ca="1">VLOOKUP($C174,OFFSET(enemy_skills!$A$1,0,0,COUNTA(enemy_skills!$A:$A),MATCH(D$1,enemy_skills!$1:$1,0)-MATCH("enemy_skill_id",enemy_skills!$1:$1,0)+1),MATCH(D$1,enemy_skills!$1:$1,0)-MATCH("enemy_skill_id",enemy_skills!$1:$1,0)+1,FALSE)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74" s="40" t="str">
        <f ca="1">VLOOKUP($C174,OFFSET(enemy_skills!$A$1,0,0,COUNTA(enemy_skills!$A:$A),MATCH(E$1,enemy_skills!$1:$1,0)-MATCH("enemy_skill_id",enemy_skills!$1:$1,0)+1),MATCH(E$1,enemy_skills!$1:$1,0)-MATCH("enemy_skill_id",enemy_skills!$1:$1,0)+1,FALSE)</f>
        <v>そっか！レンきゅんが助けてくれたんだね！ありがとうっ！</v>
      </c>
      <c r="F174" s="122">
        <v>39008122</v>
      </c>
      <c r="G174" s="42">
        <f ca="1">VLOOKUP($F174,OFFSET(enemy_skill_triggers!$A$1,0,0,COUNTA(enemy_skill_triggers!$A:$A),MATCH(G$1,enemy_skill_triggers!$1:$1,0)-MATCH($F$1,enemy_skill_triggers!$1:$1,0)+1),MATCH(G$1,enemy_skill_triggers!$1:$1,0)-MATCH($F$1,enemy_skill_triggers!$1:$1,0)+1,FALSE)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4" s="42">
        <f ca="1">VLOOKUP($F174,OFFSET(enemy_skill_triggers!$A$1,0,0,COUNTA(enemy_skill_triggers!$A:$A),MATCH(H$1,enemy_skill_triggers!$1:$1,0)-MATCH($F$1,enemy_skill_triggers!$1:$1,0)+1),MATCH(H$1,enemy_skill_triggers!$1:$1,0)-MATCH($F$1,enemy_skill_triggers!$1:$1,0)+1,FALSE)</f>
        <v>909</v>
      </c>
      <c r="I174" s="42">
        <f ca="1">VLOOKUP($F174,OFFSET(enemy_skill_triggers!$A$1,0,0,COUNTA(enemy_skill_triggers!$A:$A),MATCH(I$1,enemy_skill_triggers!$1:$1,0)-MATCH($F$1,enemy_skill_triggers!$1:$1,0)+1),MATCH(I$1,enemy_skill_triggers!$1:$1,0)-MATCH($F$1,enemy_skill_triggers!$1:$1,0)+1,FALSE)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4" s="42" t="str">
        <f ca="1">VLOOKUP($F174,OFFSET(enemy_skill_triggers!$A$1,0,0,COUNTA(enemy_skill_triggers!$A:$A),MATCH(J$1,enemy_skill_triggers!$1:$1,0)-MATCH($F$1,enemy_skill_triggers!$1:$1,0)+1),MATCH(J$1,enemy_skill_triggers!$1:$1,0)-MATCH($F$1,enemy_skill_triggers!$1:$1,0)+1,FALSE)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4" s="42" t="str">
        <f ca="1">VLOOKUP($F174,OFFSET(enemy_skill_triggers!$A$1,0,0,COUNTA(enemy_skill_triggers!$A:$A),MATCH(K$1,enemy_skill_triggers!$1:$1,0)-MATCH($F$1,enemy_skill_triggers!$1:$1,0)+1),MATCH(K$1,enemy_skill_triggers!$1:$1,0)-MATCH($F$1,enemy_skill_triggers!$1:$1,0)+1,FALSE)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4" s="42">
        <f ca="1">VLOOKUP($F174,OFFSET(enemy_skill_triggers!$A$1,0,0,COUNTA(enemy_skill_triggers!$A:$A),MATCH(L$1,enemy_skill_triggers!$1:$1,0)-MATCH($F$1,enemy_skill_triggers!$1:$1,0)+1),MATCH(L$1,enemy_skill_triggers!$1:$1,0)-MATCH($F$1,enemy_skill_triggers!$1:$1,0)+1,FALSE)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4" s="42" t="str">
        <f ca="1">VLOOKUP($F174,OFFSET(enemy_skill_triggers!$A$1,0,0,COUNTA(enemy_skill_triggers!$A:$A),MATCH(M$1,enemy_skill_triggers!$1:$1,0)-MATCH($F$1,enemy_skill_triggers!$1:$1,0)+1),MATCH(M$1,enemy_skill_triggers!$1:$1,0)-MATCH($F$1,enemy_skill_triggers!$1:$1,0)+1,FALSE)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4" s="42">
        <f ca="1">VLOOKUP($F174,OFFSET(enemy_skill_triggers!$A$1,0,0,COUNTA(enemy_skill_triggers!$A:$A),MATCH(N$1,enemy_skill_triggers!$1:$1,0)-MATCH($F$1,enemy_skill_triggers!$1:$1,0)+1),MATCH(N$1,enemy_skill_triggers!$1:$1,0)-MATCH($F$1,enemy_skill_triggers!$1:$1,0)+1,FALSE)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174" s="42">
        <f ca="1">VLOOKUP($F174,OFFSET(enemy_skill_triggers!$A$1,0,0,COUNTA(enemy_skill_triggers!$A:$A),MATCH(O$1,enemy_skill_triggers!$1:$1,0)-MATCH($F$1,enemy_skill_triggers!$1:$1,0)+1),MATCH(O$1,enemy_skill_triggers!$1:$1,0)-MATCH($F$1,enemy_skill_triggers!$1:$1,0)+1,FALSE)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4" s="41"/>
      <c r="Q174" s="41"/>
      <c r="R174" s="41" t="s">
        <v>358</v>
      </c>
    </row>
    <row r="175" spans="1:18" ht="21" customHeight="1" x14ac:dyDescent="0.15">
      <c r="A175" s="33" t="str">
        <f t="shared" si="12"/>
        <v>39008006_39008036</v>
      </c>
      <c r="B175" s="202">
        <v>39008006</v>
      </c>
      <c r="C175" s="203">
        <v>39008036</v>
      </c>
      <c r="D175" s="204" t="str">
        <f ca="1">VLOOKUP($C175,OFFSET(enemy_skills!$A$1,0,0,COUNTA(enemy_skills!$A:$A),MATCH(D$1,enemy_skills!$1:$1,0)-MATCH("enemy_skill_id",enemy_skills!$1:$1,0)+1),MATCH(D$1,enemy_skills!$1:$1,0)-MATCH("enemy_skill_id",enemy_skills!$1:$1,0)+1,FALSE)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75" s="204" t="str">
        <f ca="1">VLOOKUP($C175,OFFSET(enemy_skills!$A$1,0,0,COUNTA(enemy_skills!$A:$A),MATCH(E$1,enemy_skills!$1:$1,0)-MATCH("enemy_skill_id",enemy_skills!$1:$1,0)+1),MATCH(E$1,enemy_skills!$1:$1,0)-MATCH("enemy_skill_id",enemy_skills!$1:$1,0)+1,FALSE)</f>
        <v>そっか！レンきゅんが助けてくれたんだね！ありがとうっ！</v>
      </c>
      <c r="F175" s="205">
        <v>39008123</v>
      </c>
      <c r="G175" s="206">
        <f ca="1">VLOOKUP($F175,OFFSET(enemy_skill_triggers!$A$1,0,0,COUNTA(enemy_skill_triggers!$A:$A),MATCH(G$1,enemy_skill_triggers!$1:$1,0)-MATCH($F$1,enemy_skill_triggers!$1:$1,0)+1),MATCH(G$1,enemy_skill_triggers!$1:$1,0)-MATCH($F$1,enemy_skill_triggers!$1:$1,0)+1,FALSE)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5" s="206">
        <f ca="1">VLOOKUP($F175,OFFSET(enemy_skill_triggers!$A$1,0,0,COUNTA(enemy_skill_triggers!$A:$A),MATCH(H$1,enemy_skill_triggers!$1:$1,0)-MATCH($F$1,enemy_skill_triggers!$1:$1,0)+1),MATCH(H$1,enemy_skill_triggers!$1:$1,0)-MATCH($F$1,enemy_skill_triggers!$1:$1,0)+1,FALSE)</f>
        <v>908</v>
      </c>
      <c r="I175" s="206">
        <f ca="1">VLOOKUP($F175,OFFSET(enemy_skill_triggers!$A$1,0,0,COUNTA(enemy_skill_triggers!$A:$A),MATCH(I$1,enemy_skill_triggers!$1:$1,0)-MATCH($F$1,enemy_skill_triggers!$1:$1,0)+1),MATCH(I$1,enemy_skill_triggers!$1:$1,0)-MATCH($F$1,enemy_skill_triggers!$1:$1,0)+1,FALSE)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5" s="206" t="str">
        <f ca="1">VLOOKUP($F175,OFFSET(enemy_skill_triggers!$A$1,0,0,COUNTA(enemy_skill_triggers!$A:$A),MATCH(J$1,enemy_skill_triggers!$1:$1,0)-MATCH($F$1,enemy_skill_triggers!$1:$1,0)+1),MATCH(J$1,enemy_skill_triggers!$1:$1,0)-MATCH($F$1,enemy_skill_triggers!$1:$1,0)+1,FALSE)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5" s="206" t="str">
        <f ca="1">VLOOKUP($F175,OFFSET(enemy_skill_triggers!$A$1,0,0,COUNTA(enemy_skill_triggers!$A:$A),MATCH(K$1,enemy_skill_triggers!$1:$1,0)-MATCH($F$1,enemy_skill_triggers!$1:$1,0)+1),MATCH(K$1,enemy_skill_triggers!$1:$1,0)-MATCH($F$1,enemy_skill_triggers!$1:$1,0)+1,FALSE)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5" s="206">
        <f ca="1">VLOOKUP($F175,OFFSET(enemy_skill_triggers!$A$1,0,0,COUNTA(enemy_skill_triggers!$A:$A),MATCH(L$1,enemy_skill_triggers!$1:$1,0)-MATCH($F$1,enemy_skill_triggers!$1:$1,0)+1),MATCH(L$1,enemy_skill_triggers!$1:$1,0)-MATCH($F$1,enemy_skill_triggers!$1:$1,0)+1,FALSE)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5" s="206" t="str">
        <f ca="1">VLOOKUP($F175,OFFSET(enemy_skill_triggers!$A$1,0,0,COUNTA(enemy_skill_triggers!$A:$A),MATCH(M$1,enemy_skill_triggers!$1:$1,0)-MATCH($F$1,enemy_skill_triggers!$1:$1,0)+1),MATCH(M$1,enemy_skill_triggers!$1:$1,0)-MATCH($F$1,enemy_skill_triggers!$1:$1,0)+1,FALSE)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5" s="206">
        <f ca="1">VLOOKUP($F175,OFFSET(enemy_skill_triggers!$A$1,0,0,COUNTA(enemy_skill_triggers!$A:$A),MATCH(N$1,enemy_skill_triggers!$1:$1,0)-MATCH($F$1,enemy_skill_triggers!$1:$1,0)+1),MATCH(N$1,enemy_skill_triggers!$1:$1,0)-MATCH($F$1,enemy_skill_triggers!$1:$1,0)+1,FALSE)</f>
        <v>1321</v>
      </c>
      <c r="O175" s="206">
        <f ca="1">VLOOKUP($F175,OFFSET(enemy_skill_triggers!$A$1,0,0,COUNTA(enemy_skill_triggers!$A:$A),MATCH(O$1,enemy_skill_triggers!$1:$1,0)-MATCH($F$1,enemy_skill_triggers!$1:$1,0)+1),MATCH(O$1,enemy_skill_triggers!$1:$1,0)-MATCH($F$1,enemy_skill_triggers!$1:$1,0)+1,FALSE)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5" s="207"/>
      <c r="Q175" s="207"/>
      <c r="R175" s="207" t="s">
        <v>358</v>
      </c>
    </row>
    <row r="176" spans="1:18" s="219" customFormat="1" ht="21" customHeight="1" thickBot="1" x14ac:dyDescent="0.2">
      <c r="A176" s="213" t="str">
        <f t="shared" si="12"/>
        <v>39008006_39008032</v>
      </c>
      <c r="B176" s="214">
        <v>39008006</v>
      </c>
      <c r="C176" s="215">
        <v>39008032</v>
      </c>
      <c r="D176" s="216" t="str">
        <f ca="1">VLOOKUP($C176,OFFSET(enemy_skills!$A$1,0,0,COUNTA(enemy_skills!$A:$A),MATCH(D$1,enemy_skills!$1:$1,0)-MATCH("enemy_skill_id",enemy_skills!$1:$1,0)+1),MATCH(D$1,enemy_skills!$1:$1,0)-MATCH("enemy_skill_id",enemy_skills!$1:$1,0)+1,FALSE)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76" s="216" t="str">
        <f ca="1">VLOOKUP($C176,OFFSET(enemy_skills!$A$1,0,0,COUNTA(enemy_skills!$A:$A),MATCH(E$1,enemy_skills!$1:$1,0)-MATCH("enemy_skill_id",enemy_skills!$1:$1,0)+1),MATCH(E$1,enemy_skills!$1:$1,0)-MATCH("enemy_skill_id",enemy_skills!$1:$1,0)+1,FALSE)</f>
        <v>そっか！アナタが助けてくれたんだね！ありがとうっ！</v>
      </c>
      <c r="F176" s="217">
        <v>39008132</v>
      </c>
      <c r="G176" s="218">
        <f ca="1">VLOOKUP($F176,OFFSET(enemy_skill_triggers!$A$1,0,0,COUNTA(enemy_skill_triggers!$A:$A),MATCH(G$1,enemy_skill_triggers!$1:$1,0)-MATCH($F$1,enemy_skill_triggers!$1:$1,0)+1),MATCH(G$1,enemy_skill_triggers!$1:$1,0)-MATCH($F$1,enemy_skill_triggers!$1:$1,0)+1,FALSE)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6" s="218">
        <f ca="1">VLOOKUP($F176,OFFSET(enemy_skill_triggers!$A$1,0,0,COUNTA(enemy_skill_triggers!$A:$A),MATCH(H$1,enemy_skill_triggers!$1:$1,0)-MATCH($F$1,enemy_skill_triggers!$1:$1,0)+1),MATCH(H$1,enemy_skill_triggers!$1:$1,0)-MATCH($F$1,enemy_skill_triggers!$1:$1,0)+1,FALSE)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6" s="218">
        <f ca="1">VLOOKUP($F176,OFFSET(enemy_skill_triggers!$A$1,0,0,COUNTA(enemy_skill_triggers!$A:$A),MATCH(I$1,enemy_skill_triggers!$1:$1,0)-MATCH($F$1,enemy_skill_triggers!$1:$1,0)+1),MATCH(I$1,enemy_skill_triggers!$1:$1,0)-MATCH($F$1,enemy_skill_triggers!$1:$1,0)+1,FALSE)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6" s="218" t="str">
        <f ca="1">VLOOKUP($F176,OFFSET(enemy_skill_triggers!$A$1,0,0,COUNTA(enemy_skill_triggers!$A:$A),MATCH(J$1,enemy_skill_triggers!$1:$1,0)-MATCH($F$1,enemy_skill_triggers!$1:$1,0)+1),MATCH(J$1,enemy_skill_triggers!$1:$1,0)-MATCH($F$1,enemy_skill_triggers!$1:$1,0)+1,FALSE)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6" s="218" t="str">
        <f ca="1">VLOOKUP($F176,OFFSET(enemy_skill_triggers!$A$1,0,0,COUNTA(enemy_skill_triggers!$A:$A),MATCH(K$1,enemy_skill_triggers!$1:$1,0)-MATCH($F$1,enemy_skill_triggers!$1:$1,0)+1),MATCH(K$1,enemy_skill_triggers!$1:$1,0)-MATCH($F$1,enemy_skill_triggers!$1:$1,0)+1,FALSE)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6" s="218">
        <f ca="1">VLOOKUP($F176,OFFSET(enemy_skill_triggers!$A$1,0,0,COUNTA(enemy_skill_triggers!$A:$A),MATCH(L$1,enemy_skill_triggers!$1:$1,0)-MATCH($F$1,enemy_skill_triggers!$1:$1,0)+1),MATCH(L$1,enemy_skill_triggers!$1:$1,0)-MATCH($F$1,enemy_skill_triggers!$1:$1,0)+1,FALSE)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6" s="218" t="str">
        <f ca="1">VLOOKUP($F176,OFFSET(enemy_skill_triggers!$A$1,0,0,COUNTA(enemy_skill_triggers!$A:$A),MATCH(M$1,enemy_skill_triggers!$1:$1,0)-MATCH($F$1,enemy_skill_triggers!$1:$1,0)+1),MATCH(M$1,enemy_skill_triggers!$1:$1,0)-MATCH($F$1,enemy_skill_triggers!$1:$1,0)+1,FALSE)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6" s="218">
        <f ca="1">VLOOKUP($F176,OFFSET(enemy_skill_triggers!$A$1,0,0,COUNTA(enemy_skill_triggers!$A:$A),MATCH(N$1,enemy_skill_triggers!$1:$1,0)-MATCH($F$1,enemy_skill_triggers!$1:$1,0)+1),MATCH(N$1,enemy_skill_triggers!$1:$1,0)-MATCH($F$1,enemy_skill_triggers!$1:$1,0)+1,FALSE)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76" s="218">
        <f ca="1">VLOOKUP($F176,OFFSET(enemy_skill_triggers!$A$1,0,0,COUNTA(enemy_skill_triggers!$A:$A),MATCH(O$1,enemy_skill_triggers!$1:$1,0)-MATCH($F$1,enemy_skill_triggers!$1:$1,0)+1),MATCH(O$1,enemy_skill_triggers!$1:$1,0)-MATCH($F$1,enemy_skill_triggers!$1:$1,0)+1,FALSE)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6" s="215"/>
      <c r="Q176" s="215"/>
      <c r="R176" s="215"/>
    </row>
    <row r="177" spans="1:18" ht="21" customHeight="1" thickTop="1" x14ac:dyDescent="0.15">
      <c r="A177" s="33" t="str">
        <f>B177&amp;"_"&amp;C177</f>
        <v>39008007_39008031</v>
      </c>
      <c r="B177" s="208">
        <v>39008007</v>
      </c>
      <c r="C177" s="209">
        <v>39008031</v>
      </c>
      <c r="D177" s="210" t="str">
        <f ca="1">VLOOKUP($C177,OFFSET(enemy_skills!$A$1,0,0,COUNTA(enemy_skills!$A:$A),MATCH(D$1,enemy_skills!$1:$1,0)-MATCH("enemy_skill_id",enemy_skills!$1:$1,0)+1),MATCH(D$1,enemy_skills!$1:$1,0)-MATCH("enemy_skill_id",enemy_skills!$1:$1,0)+1,FALSE)</f>
        <v>よ〜し！_x000D_雪まつり盛り上げちゃうぞッ！</v>
      </c>
      <c r="E177" s="210" t="str">
        <f ca="1">VLOOKUP($C177,OFFSET(enemy_skills!$A$1,0,0,COUNTA(enemy_skills!$A:$A),MATCH(E$1,enemy_skills!$1:$1,0)-MATCH("enemy_skill_id",enemy_skills!$1:$1,0)+1),MATCH(E$1,enemy_skills!$1:$1,0)-MATCH("enemy_skill_id",enemy_skills!$1:$1,0)+1,FALSE)</f>
        <v>1ターン自身の防御力UP</v>
      </c>
      <c r="F177" s="209">
        <v>39008137</v>
      </c>
      <c r="G177" s="211">
        <f ca="1">VLOOKUP($F177,OFFSET(enemy_skill_triggers!$A$1,0,0,COUNTA(enemy_skill_triggers!$A:$A),MATCH(G$1,enemy_skill_triggers!$1:$1,0)-MATCH($F$1,enemy_skill_triggers!$1:$1,0)+1),MATCH(G$1,enemy_skill_triggers!$1:$1,0)-MATCH($F$1,enemy_skill_triggers!$1:$1,0)+1,FALSE)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7" s="211" t="str">
        <f ca="1">VLOOKUP($F177,OFFSET(enemy_skill_triggers!$A$1,0,0,COUNTA(enemy_skill_triggers!$A:$A),MATCH(H$1,enemy_skill_triggers!$1:$1,0)-MATCH($F$1,enemy_skill_triggers!$1:$1,0)+1),MATCH(H$1,enemy_skill_triggers!$1:$1,0)-MATCH($F$1,enemy_skill_triggers!$1:$1,0)+1,FALSE)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7" s="211">
        <f ca="1">VLOOKUP($F177,OFFSET(enemy_skill_triggers!$A$1,0,0,COUNTA(enemy_skill_triggers!$A:$A),MATCH(I$1,enemy_skill_triggers!$1:$1,0)-MATCH($F$1,enemy_skill_triggers!$1:$1,0)+1),MATCH(I$1,enemy_skill_triggers!$1:$1,0)-MATCH($F$1,enemy_skill_triggers!$1:$1,0)+1,FALSE)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7" s="211" t="str">
        <f ca="1">VLOOKUP($F177,OFFSET(enemy_skill_triggers!$A$1,0,0,COUNTA(enemy_skill_triggers!$A:$A),MATCH(J$1,enemy_skill_triggers!$1:$1,0)-MATCH($F$1,enemy_skill_triggers!$1:$1,0)+1),MATCH(J$1,enemy_skill_triggers!$1:$1,0)-MATCH($F$1,enemy_skill_triggers!$1:$1,0)+1,FALSE)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7" s="211" t="str">
        <f ca="1">VLOOKUP($F177,OFFSET(enemy_skill_triggers!$A$1,0,0,COUNTA(enemy_skill_triggers!$A:$A),MATCH(K$1,enemy_skill_triggers!$1:$1,0)-MATCH($F$1,enemy_skill_triggers!$1:$1,0)+1),MATCH(K$1,enemy_skill_triggers!$1:$1,0)-MATCH($F$1,enemy_skill_triggers!$1:$1,0)+1,FALSE)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7" s="211">
        <f ca="1">VLOOKUP($F177,OFFSET(enemy_skill_triggers!$A$1,0,0,COUNTA(enemy_skill_triggers!$A:$A),MATCH(L$1,enemy_skill_triggers!$1:$1,0)-MATCH($F$1,enemy_skill_triggers!$1:$1,0)+1),MATCH(L$1,enemy_skill_triggers!$1:$1,0)-MATCH($F$1,enemy_skill_triggers!$1:$1,0)+1,FALSE)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7" s="211" t="str">
        <f ca="1">VLOOKUP($F177,OFFSET(enemy_skill_triggers!$A$1,0,0,COUNTA(enemy_skill_triggers!$A:$A),MATCH(M$1,enemy_skill_triggers!$1:$1,0)-MATCH($F$1,enemy_skill_triggers!$1:$1,0)+1),MATCH(M$1,enemy_skill_triggers!$1:$1,0)-MATCH($F$1,enemy_skill_triggers!$1:$1,0)+1,FALSE)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7" s="211" t="str">
        <f ca="1">VLOOKUP($F177,OFFSET(enemy_skill_triggers!$A$1,0,0,COUNTA(enemy_skill_triggers!$A:$A),MATCH(N$1,enemy_skill_triggers!$1:$1,0)-MATCH($F$1,enemy_skill_triggers!$1:$1,0)+1),MATCH(N$1,enemy_skill_triggers!$1:$1,0)-MATCH($F$1,enemy_skill_triggers!$1:$1,0)+1,FALSE)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7" s="211">
        <f ca="1">VLOOKUP($F177,OFFSET(enemy_skill_triggers!$A$1,0,0,COUNTA(enemy_skill_triggers!$A:$A),MATCH(O$1,enemy_skill_triggers!$1:$1,0)-MATCH($F$1,enemy_skill_triggers!$1:$1,0)+1),MATCH(O$1,enemy_skill_triggers!$1:$1,0)-MATCH($F$1,enemy_skill_triggers!$1:$1,0)+1,FALSE)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7" s="212"/>
      <c r="Q177" s="212"/>
      <c r="R177" s="212"/>
    </row>
    <row r="178" spans="1:18" ht="21" customHeight="1" x14ac:dyDescent="0.15">
      <c r="A178" s="33" t="str">
        <f>B178&amp;"_"&amp;C178</f>
        <v>39008007_39008002</v>
      </c>
      <c r="B178" s="126">
        <v>39008007</v>
      </c>
      <c r="C178" s="41">
        <v>39008002</v>
      </c>
      <c r="D178" s="40" t="str">
        <f ca="1">VLOOKUP($C178,OFFSET(enemy_skills!$A$1,0,0,COUNTA(enemy_skills!$A:$A),MATCH(D$1,enemy_skills!$1:$1,0)-MATCH("enemy_skill_id",enemy_skills!$1:$1,0)+1),MATCH(D$1,enemy_skills!$1:$1,0)-MATCH("enemy_skill_id",enemy_skills!$1:$1,0)+1,FALSE)</f>
        <v>ラピッドエッジ</v>
      </c>
      <c r="E178" s="40" t="str">
        <f ca="1">VLOOKUP($C178,OFFSET(enemy_skills!$A$1,0,0,COUNTA(enemy_skills!$A:$A),MATCH(E$1,enemy_skills!$1:$1,0)-MATCH("enemy_skill_id",enemy_skills!$1:$1,0)+1),MATCH(E$1,enemy_skills!$1:$1,0)-MATCH("enemy_skill_id",enemy_skills!$1:$1,0)+1,FALSE)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78" s="122">
        <v>39008138</v>
      </c>
      <c r="G178" s="42">
        <f ca="1">VLOOKUP($F178,OFFSET(enemy_skill_triggers!$A$1,0,0,COUNTA(enemy_skill_triggers!$A:$A),MATCH(G$1,enemy_skill_triggers!$1:$1,0)-MATCH($F$1,enemy_skill_triggers!$1:$1,0)+1),MATCH(G$1,enemy_skill_triggers!$1:$1,0)-MATCH($F$1,enemy_skill_triggers!$1:$1,0)+1,FALSE)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8" s="42">
        <f ca="1">VLOOKUP($F178,OFFSET(enemy_skill_triggers!$A$1,0,0,COUNTA(enemy_skill_triggers!$A:$A),MATCH(H$1,enemy_skill_triggers!$1:$1,0)-MATCH($F$1,enemy_skill_triggers!$1:$1,0)+1),MATCH(H$1,enemy_skill_triggers!$1:$1,0)-MATCH($F$1,enemy_skill_triggers!$1:$1,0)+1,FALSE)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78" s="42">
        <f ca="1">VLOOKUP($F178,OFFSET(enemy_skill_triggers!$A$1,0,0,COUNTA(enemy_skill_triggers!$A:$A),MATCH(I$1,enemy_skill_triggers!$1:$1,0)-MATCH($F$1,enemy_skill_triggers!$1:$1,0)+1),MATCH(I$1,enemy_skill_triggers!$1:$1,0)-MATCH($F$1,enemy_skill_triggers!$1:$1,0)+1,FALSE)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78" s="42" t="str">
        <f ca="1">VLOOKUP($F178,OFFSET(enemy_skill_triggers!$A$1,0,0,COUNTA(enemy_skill_triggers!$A:$A),MATCH(J$1,enemy_skill_triggers!$1:$1,0)-MATCH($F$1,enemy_skill_triggers!$1:$1,0)+1),MATCH(J$1,enemy_skill_triggers!$1:$1,0)-MATCH($F$1,enemy_skill_triggers!$1:$1,0)+1,FALSE)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8" s="42" t="str">
        <f ca="1">VLOOKUP($F178,OFFSET(enemy_skill_triggers!$A$1,0,0,COUNTA(enemy_skill_triggers!$A:$A),MATCH(K$1,enemy_skill_triggers!$1:$1,0)-MATCH($F$1,enemy_skill_triggers!$1:$1,0)+1),MATCH(K$1,enemy_skill_triggers!$1:$1,0)-MATCH($F$1,enemy_skill_triggers!$1:$1,0)+1,FALSE)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8" s="42" t="str">
        <f ca="1">VLOOKUP($F178,OFFSET(enemy_skill_triggers!$A$1,0,0,COUNTA(enemy_skill_triggers!$A:$A),MATCH(L$1,enemy_skill_triggers!$1:$1,0)-MATCH($F$1,enemy_skill_triggers!$1:$1,0)+1),MATCH(L$1,enemy_skill_triggers!$1:$1,0)-MATCH($F$1,enemy_skill_triggers!$1:$1,0)+1,FALSE)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8" s="42" t="str">
        <f ca="1">VLOOKUP($F178,OFFSET(enemy_skill_triggers!$A$1,0,0,COUNTA(enemy_skill_triggers!$A:$A),MATCH(M$1,enemy_skill_triggers!$1:$1,0)-MATCH($F$1,enemy_skill_triggers!$1:$1,0)+1),MATCH(M$1,enemy_skill_triggers!$1:$1,0)-MATCH($F$1,enemy_skill_triggers!$1:$1,0)+1,FALSE)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8" s="42" t="str">
        <f ca="1">VLOOKUP($F178,OFFSET(enemy_skill_triggers!$A$1,0,0,COUNTA(enemy_skill_triggers!$A:$A),MATCH(N$1,enemy_skill_triggers!$1:$1,0)-MATCH($F$1,enemy_skill_triggers!$1:$1,0)+1),MATCH(N$1,enemy_skill_triggers!$1:$1,0)-MATCH($F$1,enemy_skill_triggers!$1:$1,0)+1,FALSE)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8" s="42">
        <f ca="1">VLOOKUP($F178,OFFSET(enemy_skill_triggers!$A$1,0,0,COUNTA(enemy_skill_triggers!$A:$A),MATCH(O$1,enemy_skill_triggers!$1:$1,0)-MATCH($F$1,enemy_skill_triggers!$1:$1,0)+1),MATCH(O$1,enemy_skill_triggers!$1:$1,0)-MATCH($F$1,enemy_skill_triggers!$1:$1,0)+1,FALSE)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78" s="41"/>
      <c r="Q178" s="41"/>
      <c r="R178" s="41"/>
    </row>
    <row r="179" spans="1:18" ht="21" customHeight="1" x14ac:dyDescent="0.15">
      <c r="A179" s="33" t="str">
        <f t="shared" ref="A179:A225" si="13">B179&amp;"_"&amp;C179</f>
        <v>39008007_39008037</v>
      </c>
      <c r="B179" s="126">
        <v>39008007</v>
      </c>
      <c r="C179" s="119">
        <v>39008037</v>
      </c>
      <c r="D179" s="40" t="str">
        <f ca="1">VLOOKUP($C179,OFFSET(enemy_skills!$A$1,0,0,COUNTA(enemy_skills!$A:$A),MATCH(D$1,enemy_skills!$1:$1,0)-MATCH("enemy_skill_id",enemy_skills!$1:$1,0)+1),MATCH(D$1,enemy_skills!$1:$1,0)-MATCH("enemy_skill_id",enemy_skills!$1:$1,0)+1,FALSE)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79" s="40" t="str">
        <f ca="1">VLOOKUP($C179,OFFSET(enemy_skills!$A$1,0,0,COUNTA(enemy_skills!$A:$A),MATCH(E$1,enemy_skills!$1:$1,0)-MATCH("enemy_skill_id",enemy_skills!$1:$1,0)+1),MATCH(E$1,enemy_skills!$1:$1,0)-MATCH("enemy_skill_id",enemy_skills!$1:$1,0)+1,FALSE)</f>
        <v>そっか！ルカねぇが助けてくれたんだね！ありがとうっ！</v>
      </c>
      <c r="F179" s="122">
        <v>39008078</v>
      </c>
      <c r="G179" s="42">
        <f ca="1">VLOOKUP($F179,OFFSET(enemy_skill_triggers!$A$1,0,0,COUNTA(enemy_skill_triggers!$A:$A),MATCH(G$1,enemy_skill_triggers!$1:$1,0)-MATCH($F$1,enemy_skill_triggers!$1:$1,0)+1),MATCH(G$1,enemy_skill_triggers!$1:$1,0)-MATCH($F$1,enemy_skill_triggers!$1:$1,0)+1,FALSE)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9" s="42">
        <f ca="1">VLOOKUP($F179,OFFSET(enemy_skill_triggers!$A$1,0,0,COUNTA(enemy_skill_triggers!$A:$A),MATCH(H$1,enemy_skill_triggers!$1:$1,0)-MATCH($F$1,enemy_skill_triggers!$1:$1,0)+1),MATCH(H$1,enemy_skill_triggers!$1:$1,0)-MATCH($F$1,enemy_skill_triggers!$1:$1,0)+1,FALSE)</f>
        <v>953</v>
      </c>
      <c r="I179" s="42">
        <f ca="1">VLOOKUP($F179,OFFSET(enemy_skill_triggers!$A$1,0,0,COUNTA(enemy_skill_triggers!$A:$A),MATCH(I$1,enemy_skill_triggers!$1:$1,0)-MATCH($F$1,enemy_skill_triggers!$1:$1,0)+1),MATCH(I$1,enemy_skill_triggers!$1:$1,0)-MATCH($F$1,enemy_skill_triggers!$1:$1,0)+1,FALSE)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9" s="42" t="str">
        <f ca="1">VLOOKUP($F179,OFFSET(enemy_skill_triggers!$A$1,0,0,COUNTA(enemy_skill_triggers!$A:$A),MATCH(J$1,enemy_skill_triggers!$1:$1,0)-MATCH($F$1,enemy_skill_triggers!$1:$1,0)+1),MATCH(J$1,enemy_skill_triggers!$1:$1,0)-MATCH($F$1,enemy_skill_triggers!$1:$1,0)+1,FALSE)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9" s="42" t="str">
        <f ca="1">VLOOKUP($F179,OFFSET(enemy_skill_triggers!$A$1,0,0,COUNTA(enemy_skill_triggers!$A:$A),MATCH(K$1,enemy_skill_triggers!$1:$1,0)-MATCH($F$1,enemy_skill_triggers!$1:$1,0)+1),MATCH(K$1,enemy_skill_triggers!$1:$1,0)-MATCH($F$1,enemy_skill_triggers!$1:$1,0)+1,FALSE)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9" s="42">
        <f ca="1">VLOOKUP($F179,OFFSET(enemy_skill_triggers!$A$1,0,0,COUNTA(enemy_skill_triggers!$A:$A),MATCH(L$1,enemy_skill_triggers!$1:$1,0)-MATCH($F$1,enemy_skill_triggers!$1:$1,0)+1),MATCH(L$1,enemy_skill_triggers!$1:$1,0)-MATCH($F$1,enemy_skill_triggers!$1:$1,0)+1,FALSE)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9" s="42" t="str">
        <f ca="1">VLOOKUP($F179,OFFSET(enemy_skill_triggers!$A$1,0,0,COUNTA(enemy_skill_triggers!$A:$A),MATCH(M$1,enemy_skill_triggers!$1:$1,0)-MATCH($F$1,enemy_skill_triggers!$1:$1,0)+1),MATCH(M$1,enemy_skill_triggers!$1:$1,0)-MATCH($F$1,enemy_skill_triggers!$1:$1,0)+1,FALSE)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9" s="42">
        <f ca="1">VLOOKUP($F179,OFFSET(enemy_skill_triggers!$A$1,0,0,COUNTA(enemy_skill_triggers!$A:$A),MATCH(N$1,enemy_skill_triggers!$1:$1,0)-MATCH($F$1,enemy_skill_triggers!$1:$1,0)+1),MATCH(N$1,enemy_skill_triggers!$1:$1,0)-MATCH($F$1,enemy_skill_triggers!$1:$1,0)+1,FALSE)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179" s="42">
        <f ca="1">VLOOKUP($F179,OFFSET(enemy_skill_triggers!$A$1,0,0,COUNTA(enemy_skill_triggers!$A:$A),MATCH(O$1,enemy_skill_triggers!$1:$1,0)-MATCH($F$1,enemy_skill_triggers!$1:$1,0)+1),MATCH(O$1,enemy_skill_triggers!$1:$1,0)-MATCH($F$1,enemy_skill_triggers!$1:$1,0)+1,FALSE)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9" s="41"/>
      <c r="Q179" s="41"/>
      <c r="R179" s="41" t="s">
        <v>332</v>
      </c>
    </row>
    <row r="180" spans="1:18" ht="21" customHeight="1" x14ac:dyDescent="0.15">
      <c r="A180" s="33" t="str">
        <f t="shared" si="13"/>
        <v>39008007_39008037</v>
      </c>
      <c r="B180" s="126">
        <v>39008007</v>
      </c>
      <c r="C180" s="119">
        <v>39008037</v>
      </c>
      <c r="D180" s="40" t="str">
        <f ca="1">VLOOKUP($C180,OFFSET(enemy_skills!$A$1,0,0,COUNTA(enemy_skills!$A:$A),MATCH(D$1,enemy_skills!$1:$1,0)-MATCH("enemy_skill_id",enemy_skills!$1:$1,0)+1),MATCH(D$1,enemy_skills!$1:$1,0)-MATCH("enemy_skill_id",enemy_skills!$1:$1,0)+1,FALSE)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80" s="40" t="str">
        <f ca="1">VLOOKUP($C180,OFFSET(enemy_skills!$A$1,0,0,COUNTA(enemy_skills!$A:$A),MATCH(E$1,enemy_skills!$1:$1,0)-MATCH("enemy_skill_id",enemy_skills!$1:$1,0)+1),MATCH(E$1,enemy_skills!$1:$1,0)-MATCH("enemy_skill_id",enemy_skills!$1:$1,0)+1,FALSE)</f>
        <v>そっか！ルカねぇが助けてくれたんだね！ありがとうっ！</v>
      </c>
      <c r="F180" s="122">
        <v>39008079</v>
      </c>
      <c r="G180" s="42">
        <f ca="1">VLOOKUP($F180,OFFSET(enemy_skill_triggers!$A$1,0,0,COUNTA(enemy_skill_triggers!$A:$A),MATCH(G$1,enemy_skill_triggers!$1:$1,0)-MATCH($F$1,enemy_skill_triggers!$1:$1,0)+1),MATCH(G$1,enemy_skill_triggers!$1:$1,0)-MATCH($F$1,enemy_skill_triggers!$1:$1,0)+1,FALSE)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0" s="42">
        <f ca="1">VLOOKUP($F180,OFFSET(enemy_skill_triggers!$A$1,0,0,COUNTA(enemy_skill_triggers!$A:$A),MATCH(H$1,enemy_skill_triggers!$1:$1,0)-MATCH($F$1,enemy_skill_triggers!$1:$1,0)+1),MATCH(H$1,enemy_skill_triggers!$1:$1,0)-MATCH($F$1,enemy_skill_triggers!$1:$1,0)+1,FALSE)</f>
        <v>952</v>
      </c>
      <c r="I180" s="42">
        <f ca="1">VLOOKUP($F180,OFFSET(enemy_skill_triggers!$A$1,0,0,COUNTA(enemy_skill_triggers!$A:$A),MATCH(I$1,enemy_skill_triggers!$1:$1,0)-MATCH($F$1,enemy_skill_triggers!$1:$1,0)+1),MATCH(I$1,enemy_skill_triggers!$1:$1,0)-MATCH($F$1,enemy_skill_triggers!$1:$1,0)+1,FALSE)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0" s="42" t="str">
        <f ca="1">VLOOKUP($F180,OFFSET(enemy_skill_triggers!$A$1,0,0,COUNTA(enemy_skill_triggers!$A:$A),MATCH(J$1,enemy_skill_triggers!$1:$1,0)-MATCH($F$1,enemy_skill_triggers!$1:$1,0)+1),MATCH(J$1,enemy_skill_triggers!$1:$1,0)-MATCH($F$1,enemy_skill_triggers!$1:$1,0)+1,FALSE)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0" s="42" t="str">
        <f ca="1">VLOOKUP($F180,OFFSET(enemy_skill_triggers!$A$1,0,0,COUNTA(enemy_skill_triggers!$A:$A),MATCH(K$1,enemy_skill_triggers!$1:$1,0)-MATCH($F$1,enemy_skill_triggers!$1:$1,0)+1),MATCH(K$1,enemy_skill_triggers!$1:$1,0)-MATCH($F$1,enemy_skill_triggers!$1:$1,0)+1,FALSE)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0" s="42">
        <f ca="1">VLOOKUP($F180,OFFSET(enemy_skill_triggers!$A$1,0,0,COUNTA(enemy_skill_triggers!$A:$A),MATCH(L$1,enemy_skill_triggers!$1:$1,0)-MATCH($F$1,enemy_skill_triggers!$1:$1,0)+1),MATCH(L$1,enemy_skill_triggers!$1:$1,0)-MATCH($F$1,enemy_skill_triggers!$1:$1,0)+1,FALSE)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0" s="42" t="str">
        <f ca="1">VLOOKUP($F180,OFFSET(enemy_skill_triggers!$A$1,0,0,COUNTA(enemy_skill_triggers!$A:$A),MATCH(M$1,enemy_skill_triggers!$1:$1,0)-MATCH($F$1,enemy_skill_triggers!$1:$1,0)+1),MATCH(M$1,enemy_skill_triggers!$1:$1,0)-MATCH($F$1,enemy_skill_triggers!$1:$1,0)+1,FALSE)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0" s="42">
        <f ca="1">VLOOKUP($F180,OFFSET(enemy_skill_triggers!$A$1,0,0,COUNTA(enemy_skill_triggers!$A:$A),MATCH(N$1,enemy_skill_triggers!$1:$1,0)-MATCH($F$1,enemy_skill_triggers!$1:$1,0)+1),MATCH(N$1,enemy_skill_triggers!$1:$1,0)-MATCH($F$1,enemy_skill_triggers!$1:$1,0)+1,FALSE)</f>
        <v>548</v>
      </c>
      <c r="O180" s="42">
        <f ca="1">VLOOKUP($F180,OFFSET(enemy_skill_triggers!$A$1,0,0,COUNTA(enemy_skill_triggers!$A:$A),MATCH(O$1,enemy_skill_triggers!$1:$1,0)-MATCH($F$1,enemy_skill_triggers!$1:$1,0)+1),MATCH(O$1,enemy_skill_triggers!$1:$1,0)-MATCH($F$1,enemy_skill_triggers!$1:$1,0)+1,FALSE)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0" s="41"/>
      <c r="Q180" s="41"/>
      <c r="R180" s="41" t="s">
        <v>333</v>
      </c>
    </row>
    <row r="181" spans="1:18" ht="21" customHeight="1" x14ac:dyDescent="0.15">
      <c r="A181" s="33" t="str">
        <f t="shared" si="13"/>
        <v>39008007_39008037</v>
      </c>
      <c r="B181" s="126">
        <v>39008007</v>
      </c>
      <c r="C181" s="119">
        <v>39008037</v>
      </c>
      <c r="D181" s="40" t="str">
        <f ca="1">VLOOKUP($C181,OFFSET(enemy_skills!$A$1,0,0,COUNTA(enemy_skills!$A:$A),MATCH(D$1,enemy_skills!$1:$1,0)-MATCH("enemy_skill_id",enemy_skills!$1:$1,0)+1),MATCH(D$1,enemy_skills!$1:$1,0)-MATCH("enemy_skill_id",enemy_skills!$1:$1,0)+1,FALSE)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81" s="40" t="str">
        <f ca="1">VLOOKUP($C181,OFFSET(enemy_skills!$A$1,0,0,COUNTA(enemy_skills!$A:$A),MATCH(E$1,enemy_skills!$1:$1,0)-MATCH("enemy_skill_id",enemy_skills!$1:$1,0)+1),MATCH(E$1,enemy_skills!$1:$1,0)-MATCH("enemy_skill_id",enemy_skills!$1:$1,0)+1,FALSE)</f>
        <v>そっか！ルカねぇが助けてくれたんだね！ありがとうっ！</v>
      </c>
      <c r="F181" s="122">
        <v>39008080</v>
      </c>
      <c r="G181" s="42">
        <f ca="1">VLOOKUP($F181,OFFSET(enemy_skill_triggers!$A$1,0,0,COUNTA(enemy_skill_triggers!$A:$A),MATCH(G$1,enemy_skill_triggers!$1:$1,0)-MATCH($F$1,enemy_skill_triggers!$1:$1,0)+1),MATCH(G$1,enemy_skill_triggers!$1:$1,0)-MATCH($F$1,enemy_skill_triggers!$1:$1,0)+1,FALSE)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1" s="42">
        <f ca="1">VLOOKUP($F181,OFFSET(enemy_skill_triggers!$A$1,0,0,COUNTA(enemy_skill_triggers!$A:$A),MATCH(H$1,enemy_skill_triggers!$1:$1,0)-MATCH($F$1,enemy_skill_triggers!$1:$1,0)+1),MATCH(H$1,enemy_skill_triggers!$1:$1,0)-MATCH($F$1,enemy_skill_triggers!$1:$1,0)+1,FALSE)</f>
        <v>951</v>
      </c>
      <c r="I181" s="42">
        <f ca="1">VLOOKUP($F181,OFFSET(enemy_skill_triggers!$A$1,0,0,COUNTA(enemy_skill_triggers!$A:$A),MATCH(I$1,enemy_skill_triggers!$1:$1,0)-MATCH($F$1,enemy_skill_triggers!$1:$1,0)+1),MATCH(I$1,enemy_skill_triggers!$1:$1,0)-MATCH($F$1,enemy_skill_triggers!$1:$1,0)+1,FALSE)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1" s="42" t="str">
        <f ca="1">VLOOKUP($F181,OFFSET(enemy_skill_triggers!$A$1,0,0,COUNTA(enemy_skill_triggers!$A:$A),MATCH(J$1,enemy_skill_triggers!$1:$1,0)-MATCH($F$1,enemy_skill_triggers!$1:$1,0)+1),MATCH(J$1,enemy_skill_triggers!$1:$1,0)-MATCH($F$1,enemy_skill_triggers!$1:$1,0)+1,FALSE)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1" s="42" t="str">
        <f ca="1">VLOOKUP($F181,OFFSET(enemy_skill_triggers!$A$1,0,0,COUNTA(enemy_skill_triggers!$A:$A),MATCH(K$1,enemy_skill_triggers!$1:$1,0)-MATCH($F$1,enemy_skill_triggers!$1:$1,0)+1),MATCH(K$1,enemy_skill_triggers!$1:$1,0)-MATCH($F$1,enemy_skill_triggers!$1:$1,0)+1,FALSE)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1" s="42">
        <f ca="1">VLOOKUP($F181,OFFSET(enemy_skill_triggers!$A$1,0,0,COUNTA(enemy_skill_triggers!$A:$A),MATCH(L$1,enemy_skill_triggers!$1:$1,0)-MATCH($F$1,enemy_skill_triggers!$1:$1,0)+1),MATCH(L$1,enemy_skill_triggers!$1:$1,0)-MATCH($F$1,enemy_skill_triggers!$1:$1,0)+1,FALSE)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1" s="42" t="str">
        <f ca="1">VLOOKUP($F181,OFFSET(enemy_skill_triggers!$A$1,0,0,COUNTA(enemy_skill_triggers!$A:$A),MATCH(M$1,enemy_skill_triggers!$1:$1,0)-MATCH($F$1,enemy_skill_triggers!$1:$1,0)+1),MATCH(M$1,enemy_skill_triggers!$1:$1,0)-MATCH($F$1,enemy_skill_triggers!$1:$1,0)+1,FALSE)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1" s="42">
        <f ca="1">VLOOKUP($F181,OFFSET(enemy_skill_triggers!$A$1,0,0,COUNTA(enemy_skill_triggers!$A:$A),MATCH(N$1,enemy_skill_triggers!$1:$1,0)-MATCH($F$1,enemy_skill_triggers!$1:$1,0)+1),MATCH(N$1,enemy_skill_triggers!$1:$1,0)-MATCH($F$1,enemy_skill_triggers!$1:$1,0)+1,FALSE)</f>
        <v>1313</v>
      </c>
      <c r="O181" s="42">
        <f ca="1">VLOOKUP($F181,OFFSET(enemy_skill_triggers!$A$1,0,0,COUNTA(enemy_skill_triggers!$A:$A),MATCH(O$1,enemy_skill_triggers!$1:$1,0)-MATCH($F$1,enemy_skill_triggers!$1:$1,0)+1),MATCH(O$1,enemy_skill_triggers!$1:$1,0)-MATCH($F$1,enemy_skill_triggers!$1:$1,0)+1,FALSE)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1" s="41"/>
      <c r="Q181" s="41"/>
      <c r="R181" s="41" t="s">
        <v>332</v>
      </c>
    </row>
    <row r="182" spans="1:18" ht="21" customHeight="1" x14ac:dyDescent="0.15">
      <c r="A182" s="33" t="str">
        <f t="shared" si="13"/>
        <v>39008007_39008038</v>
      </c>
      <c r="B182" s="126">
        <v>39008007</v>
      </c>
      <c r="C182" s="119">
        <v>39008038</v>
      </c>
      <c r="D182" s="40" t="str">
        <f ca="1">VLOOKUP($C182,OFFSET(enemy_skills!$A$1,0,0,COUNTA(enemy_skills!$A:$A),MATCH(D$1,enemy_skills!$1:$1,0)-MATCH("enemy_skill_id",enemy_skills!$1:$1,0)+1),MATCH(D$1,enemy_skills!$1:$1,0)-MATCH("enemy_skill_id",enemy_skills!$1:$1,0)+1,FALSE)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82" s="40" t="str">
        <f ca="1">VLOOKUP($C182,OFFSET(enemy_skills!$A$1,0,0,COUNTA(enemy_skills!$A:$A),MATCH(E$1,enemy_skills!$1:$1,0)-MATCH("enemy_skill_id",enemy_skills!$1:$1,0)+1),MATCH(E$1,enemy_skills!$1:$1,0)-MATCH("enemy_skill_id",enemy_skills!$1:$1,0)+1,FALSE)</f>
        <v>そっか！めーちゃんが助けてくれたんだね！ありがとうっ！</v>
      </c>
      <c r="F182" s="122">
        <v>39008081</v>
      </c>
      <c r="G182" s="42">
        <f ca="1">VLOOKUP($F182,OFFSET(enemy_skill_triggers!$A$1,0,0,COUNTA(enemy_skill_triggers!$A:$A),MATCH(G$1,enemy_skill_triggers!$1:$1,0)-MATCH($F$1,enemy_skill_triggers!$1:$1,0)+1),MATCH(G$1,enemy_skill_triggers!$1:$1,0)-MATCH($F$1,enemy_skill_triggers!$1:$1,0)+1,FALSE)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2" s="42">
        <f ca="1">VLOOKUP($F182,OFFSET(enemy_skill_triggers!$A$1,0,0,COUNTA(enemy_skill_triggers!$A:$A),MATCH(H$1,enemy_skill_triggers!$1:$1,0)-MATCH($F$1,enemy_skill_triggers!$1:$1,0)+1),MATCH(H$1,enemy_skill_triggers!$1:$1,0)-MATCH($F$1,enemy_skill_triggers!$1:$1,0)+1,FALSE)</f>
        <v>950</v>
      </c>
      <c r="I182" s="42">
        <f ca="1">VLOOKUP($F182,OFFSET(enemy_skill_triggers!$A$1,0,0,COUNTA(enemy_skill_triggers!$A:$A),MATCH(I$1,enemy_skill_triggers!$1:$1,0)-MATCH($F$1,enemy_skill_triggers!$1:$1,0)+1),MATCH(I$1,enemy_skill_triggers!$1:$1,0)-MATCH($F$1,enemy_skill_triggers!$1:$1,0)+1,FALSE)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2" s="42" t="str">
        <f ca="1">VLOOKUP($F182,OFFSET(enemy_skill_triggers!$A$1,0,0,COUNTA(enemy_skill_triggers!$A:$A),MATCH(J$1,enemy_skill_triggers!$1:$1,0)-MATCH($F$1,enemy_skill_triggers!$1:$1,0)+1),MATCH(J$1,enemy_skill_triggers!$1:$1,0)-MATCH($F$1,enemy_skill_triggers!$1:$1,0)+1,FALSE)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2" s="42" t="str">
        <f ca="1">VLOOKUP($F182,OFFSET(enemy_skill_triggers!$A$1,0,0,COUNTA(enemy_skill_triggers!$A:$A),MATCH(K$1,enemy_skill_triggers!$1:$1,0)-MATCH($F$1,enemy_skill_triggers!$1:$1,0)+1),MATCH(K$1,enemy_skill_triggers!$1:$1,0)-MATCH($F$1,enemy_skill_triggers!$1:$1,0)+1,FALSE)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2" s="42">
        <f ca="1">VLOOKUP($F182,OFFSET(enemy_skill_triggers!$A$1,0,0,COUNTA(enemy_skill_triggers!$A:$A),MATCH(L$1,enemy_skill_triggers!$1:$1,0)-MATCH($F$1,enemy_skill_triggers!$1:$1,0)+1),MATCH(L$1,enemy_skill_triggers!$1:$1,0)-MATCH($F$1,enemy_skill_triggers!$1:$1,0)+1,FALSE)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2" s="42" t="str">
        <f ca="1">VLOOKUP($F182,OFFSET(enemy_skill_triggers!$A$1,0,0,COUNTA(enemy_skill_triggers!$A:$A),MATCH(M$1,enemy_skill_triggers!$1:$1,0)-MATCH($F$1,enemy_skill_triggers!$1:$1,0)+1),MATCH(M$1,enemy_skill_triggers!$1:$1,0)-MATCH($F$1,enemy_skill_triggers!$1:$1,0)+1,FALSE)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2" s="42">
        <f ca="1">VLOOKUP($F182,OFFSET(enemy_skill_triggers!$A$1,0,0,COUNTA(enemy_skill_triggers!$A:$A),MATCH(N$1,enemy_skill_triggers!$1:$1,0)-MATCH($F$1,enemy_skill_triggers!$1:$1,0)+1),MATCH(N$1,enemy_skill_triggers!$1:$1,0)-MATCH($F$1,enemy_skill_triggers!$1:$1,0)+1,FALSE)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182" s="42">
        <f ca="1">VLOOKUP($F182,OFFSET(enemy_skill_triggers!$A$1,0,0,COUNTA(enemy_skill_triggers!$A:$A),MATCH(O$1,enemy_skill_triggers!$1:$1,0)-MATCH($F$1,enemy_skill_triggers!$1:$1,0)+1),MATCH(O$1,enemy_skill_triggers!$1:$1,0)-MATCH($F$1,enemy_skill_triggers!$1:$1,0)+1,FALSE)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2" s="41"/>
      <c r="Q182" s="41"/>
      <c r="R182" s="41" t="s">
        <v>336</v>
      </c>
    </row>
    <row r="183" spans="1:18" ht="21" customHeight="1" x14ac:dyDescent="0.15">
      <c r="A183" s="33" t="str">
        <f t="shared" si="13"/>
        <v>39008007_39008038</v>
      </c>
      <c r="B183" s="126">
        <v>39008007</v>
      </c>
      <c r="C183" s="119">
        <v>39008038</v>
      </c>
      <c r="D183" s="40" t="str">
        <f ca="1">VLOOKUP($C183,OFFSET(enemy_skills!$A$1,0,0,COUNTA(enemy_skills!$A:$A),MATCH(D$1,enemy_skills!$1:$1,0)-MATCH("enemy_skill_id",enemy_skills!$1:$1,0)+1),MATCH(D$1,enemy_skills!$1:$1,0)-MATCH("enemy_skill_id",enemy_skills!$1:$1,0)+1,FALSE)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83" s="40" t="str">
        <f ca="1">VLOOKUP($C183,OFFSET(enemy_skills!$A$1,0,0,COUNTA(enemy_skills!$A:$A),MATCH(E$1,enemy_skills!$1:$1,0)-MATCH("enemy_skill_id",enemy_skills!$1:$1,0)+1),MATCH(E$1,enemy_skills!$1:$1,0)-MATCH("enemy_skill_id",enemy_skills!$1:$1,0)+1,FALSE)</f>
        <v>そっか！めーちゃんが助けてくれたんだね！ありがとうっ！</v>
      </c>
      <c r="F183" s="122">
        <v>39008082</v>
      </c>
      <c r="G183" s="42">
        <f ca="1">VLOOKUP($F183,OFFSET(enemy_skill_triggers!$A$1,0,0,COUNTA(enemy_skill_triggers!$A:$A),MATCH(G$1,enemy_skill_triggers!$1:$1,0)-MATCH($F$1,enemy_skill_triggers!$1:$1,0)+1),MATCH(G$1,enemy_skill_triggers!$1:$1,0)-MATCH($F$1,enemy_skill_triggers!$1:$1,0)+1,FALSE)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3" s="42">
        <f ca="1">VLOOKUP($F183,OFFSET(enemy_skill_triggers!$A$1,0,0,COUNTA(enemy_skill_triggers!$A:$A),MATCH(H$1,enemy_skill_triggers!$1:$1,0)-MATCH($F$1,enemy_skill_triggers!$1:$1,0)+1),MATCH(H$1,enemy_skill_triggers!$1:$1,0)-MATCH($F$1,enemy_skill_triggers!$1:$1,0)+1,FALSE)</f>
        <v>949</v>
      </c>
      <c r="I183" s="42">
        <f ca="1">VLOOKUP($F183,OFFSET(enemy_skill_triggers!$A$1,0,0,COUNTA(enemy_skill_triggers!$A:$A),MATCH(I$1,enemy_skill_triggers!$1:$1,0)-MATCH($F$1,enemy_skill_triggers!$1:$1,0)+1),MATCH(I$1,enemy_skill_triggers!$1:$1,0)-MATCH($F$1,enemy_skill_triggers!$1:$1,0)+1,FALSE)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3" s="42" t="str">
        <f ca="1">VLOOKUP($F183,OFFSET(enemy_skill_triggers!$A$1,0,0,COUNTA(enemy_skill_triggers!$A:$A),MATCH(J$1,enemy_skill_triggers!$1:$1,0)-MATCH($F$1,enemy_skill_triggers!$1:$1,0)+1),MATCH(J$1,enemy_skill_triggers!$1:$1,0)-MATCH($F$1,enemy_skill_triggers!$1:$1,0)+1,FALSE)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3" s="42" t="str">
        <f ca="1">VLOOKUP($F183,OFFSET(enemy_skill_triggers!$A$1,0,0,COUNTA(enemy_skill_triggers!$A:$A),MATCH(K$1,enemy_skill_triggers!$1:$1,0)-MATCH($F$1,enemy_skill_triggers!$1:$1,0)+1),MATCH(K$1,enemy_skill_triggers!$1:$1,0)-MATCH($F$1,enemy_skill_triggers!$1:$1,0)+1,FALSE)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3" s="42">
        <f ca="1">VLOOKUP($F183,OFFSET(enemy_skill_triggers!$A$1,0,0,COUNTA(enemy_skill_triggers!$A:$A),MATCH(L$1,enemy_skill_triggers!$1:$1,0)-MATCH($F$1,enemy_skill_triggers!$1:$1,0)+1),MATCH(L$1,enemy_skill_triggers!$1:$1,0)-MATCH($F$1,enemy_skill_triggers!$1:$1,0)+1,FALSE)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3" s="42" t="str">
        <f ca="1">VLOOKUP($F183,OFFSET(enemy_skill_triggers!$A$1,0,0,COUNTA(enemy_skill_triggers!$A:$A),MATCH(M$1,enemy_skill_triggers!$1:$1,0)-MATCH($F$1,enemy_skill_triggers!$1:$1,0)+1),MATCH(M$1,enemy_skill_triggers!$1:$1,0)-MATCH($F$1,enemy_skill_triggers!$1:$1,0)+1,FALSE)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3" s="42">
        <f ca="1">VLOOKUP($F183,OFFSET(enemy_skill_triggers!$A$1,0,0,COUNTA(enemy_skill_triggers!$A:$A),MATCH(N$1,enemy_skill_triggers!$1:$1,0)-MATCH($F$1,enemy_skill_triggers!$1:$1,0)+1),MATCH(N$1,enemy_skill_triggers!$1:$1,0)-MATCH($F$1,enemy_skill_triggers!$1:$1,0)+1,FALSE)</f>
        <v>550</v>
      </c>
      <c r="O183" s="42">
        <f ca="1">VLOOKUP($F183,OFFSET(enemy_skill_triggers!$A$1,0,0,COUNTA(enemy_skill_triggers!$A:$A),MATCH(O$1,enemy_skill_triggers!$1:$1,0)-MATCH($F$1,enemy_skill_triggers!$1:$1,0)+1),MATCH(O$1,enemy_skill_triggers!$1:$1,0)-MATCH($F$1,enemy_skill_triggers!$1:$1,0)+1,FALSE)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3" s="41"/>
      <c r="Q183" s="41"/>
      <c r="R183" s="41" t="s">
        <v>337</v>
      </c>
    </row>
    <row r="184" spans="1:18" ht="21" customHeight="1" x14ac:dyDescent="0.15">
      <c r="A184" s="33" t="str">
        <f t="shared" si="13"/>
        <v>39008007_39008038</v>
      </c>
      <c r="B184" s="126">
        <v>39008007</v>
      </c>
      <c r="C184" s="119">
        <v>39008038</v>
      </c>
      <c r="D184" s="40" t="str">
        <f ca="1">VLOOKUP($C184,OFFSET(enemy_skills!$A$1,0,0,COUNTA(enemy_skills!$A:$A),MATCH(D$1,enemy_skills!$1:$1,0)-MATCH("enemy_skill_id",enemy_skills!$1:$1,0)+1),MATCH(D$1,enemy_skills!$1:$1,0)-MATCH("enemy_skill_id",enemy_skills!$1:$1,0)+1,FALSE)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84" s="40" t="str">
        <f ca="1">VLOOKUP($C184,OFFSET(enemy_skills!$A$1,0,0,COUNTA(enemy_skills!$A:$A),MATCH(E$1,enemy_skills!$1:$1,0)-MATCH("enemy_skill_id",enemy_skills!$1:$1,0)+1),MATCH(E$1,enemy_skills!$1:$1,0)-MATCH("enemy_skill_id",enemy_skills!$1:$1,0)+1,FALSE)</f>
        <v>そっか！めーちゃんが助けてくれたんだね！ありがとうっ！</v>
      </c>
      <c r="F184" s="122">
        <v>39008083</v>
      </c>
      <c r="G184" s="42">
        <f ca="1">VLOOKUP($F184,OFFSET(enemy_skill_triggers!$A$1,0,0,COUNTA(enemy_skill_triggers!$A:$A),MATCH(G$1,enemy_skill_triggers!$1:$1,0)-MATCH($F$1,enemy_skill_triggers!$1:$1,0)+1),MATCH(G$1,enemy_skill_triggers!$1:$1,0)-MATCH($F$1,enemy_skill_triggers!$1:$1,0)+1,FALSE)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4" s="42">
        <f ca="1">VLOOKUP($F184,OFFSET(enemy_skill_triggers!$A$1,0,0,COUNTA(enemy_skill_triggers!$A:$A),MATCH(H$1,enemy_skill_triggers!$1:$1,0)-MATCH($F$1,enemy_skill_triggers!$1:$1,0)+1),MATCH(H$1,enemy_skill_triggers!$1:$1,0)-MATCH($F$1,enemy_skill_triggers!$1:$1,0)+1,FALSE)</f>
        <v>948</v>
      </c>
      <c r="I184" s="42">
        <f ca="1">VLOOKUP($F184,OFFSET(enemy_skill_triggers!$A$1,0,0,COUNTA(enemy_skill_triggers!$A:$A),MATCH(I$1,enemy_skill_triggers!$1:$1,0)-MATCH($F$1,enemy_skill_triggers!$1:$1,0)+1),MATCH(I$1,enemy_skill_triggers!$1:$1,0)-MATCH($F$1,enemy_skill_triggers!$1:$1,0)+1,FALSE)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4" s="42" t="str">
        <f ca="1">VLOOKUP($F184,OFFSET(enemy_skill_triggers!$A$1,0,0,COUNTA(enemy_skill_triggers!$A:$A),MATCH(J$1,enemy_skill_triggers!$1:$1,0)-MATCH($F$1,enemy_skill_triggers!$1:$1,0)+1),MATCH(J$1,enemy_skill_triggers!$1:$1,0)-MATCH($F$1,enemy_skill_triggers!$1:$1,0)+1,FALSE)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4" s="42" t="str">
        <f ca="1">VLOOKUP($F184,OFFSET(enemy_skill_triggers!$A$1,0,0,COUNTA(enemy_skill_triggers!$A:$A),MATCH(K$1,enemy_skill_triggers!$1:$1,0)-MATCH($F$1,enemy_skill_triggers!$1:$1,0)+1),MATCH(K$1,enemy_skill_triggers!$1:$1,0)-MATCH($F$1,enemy_skill_triggers!$1:$1,0)+1,FALSE)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4" s="42">
        <f ca="1">VLOOKUP($F184,OFFSET(enemy_skill_triggers!$A$1,0,0,COUNTA(enemy_skill_triggers!$A:$A),MATCH(L$1,enemy_skill_triggers!$1:$1,0)-MATCH($F$1,enemy_skill_triggers!$1:$1,0)+1),MATCH(L$1,enemy_skill_triggers!$1:$1,0)-MATCH($F$1,enemy_skill_triggers!$1:$1,0)+1,FALSE)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4" s="42" t="str">
        <f ca="1">VLOOKUP($F184,OFFSET(enemy_skill_triggers!$A$1,0,0,COUNTA(enemy_skill_triggers!$A:$A),MATCH(M$1,enemy_skill_triggers!$1:$1,0)-MATCH($F$1,enemy_skill_triggers!$1:$1,0)+1),MATCH(M$1,enemy_skill_triggers!$1:$1,0)-MATCH($F$1,enemy_skill_triggers!$1:$1,0)+1,FALSE)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4" s="42">
        <f ca="1">VLOOKUP($F184,OFFSET(enemy_skill_triggers!$A$1,0,0,COUNTA(enemy_skill_triggers!$A:$A),MATCH(N$1,enemy_skill_triggers!$1:$1,0)-MATCH($F$1,enemy_skill_triggers!$1:$1,0)+1),MATCH(N$1,enemy_skill_triggers!$1:$1,0)-MATCH($F$1,enemy_skill_triggers!$1:$1,0)+1,FALSE)</f>
        <v>1314</v>
      </c>
      <c r="O184" s="42">
        <f ca="1">VLOOKUP($F184,OFFSET(enemy_skill_triggers!$A$1,0,0,COUNTA(enemy_skill_triggers!$A:$A),MATCH(O$1,enemy_skill_triggers!$1:$1,0)-MATCH($F$1,enemy_skill_triggers!$1:$1,0)+1),MATCH(O$1,enemy_skill_triggers!$1:$1,0)-MATCH($F$1,enemy_skill_triggers!$1:$1,0)+1,FALSE)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4" s="41"/>
      <c r="Q184" s="41"/>
      <c r="R184" s="41" t="s">
        <v>334</v>
      </c>
    </row>
    <row r="185" spans="1:18" ht="21" customHeight="1" x14ac:dyDescent="0.15">
      <c r="A185" s="33" t="str">
        <f t="shared" si="13"/>
        <v>39008007_39008037</v>
      </c>
      <c r="B185" s="126">
        <v>39008007</v>
      </c>
      <c r="C185" s="119">
        <v>39008037</v>
      </c>
      <c r="D185" s="40" t="str">
        <f ca="1">VLOOKUP($C185,OFFSET(enemy_skills!$A$1,0,0,COUNTA(enemy_skills!$A:$A),MATCH(D$1,enemy_skills!$1:$1,0)-MATCH("enemy_skill_id",enemy_skills!$1:$1,0)+1),MATCH(D$1,enemy_skills!$1:$1,0)-MATCH("enemy_skill_id",enemy_skills!$1:$1,0)+1,FALSE)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85" s="40" t="str">
        <f ca="1">VLOOKUP($C185,OFFSET(enemy_skills!$A$1,0,0,COUNTA(enemy_skills!$A:$A),MATCH(E$1,enemy_skills!$1:$1,0)-MATCH("enemy_skill_id",enemy_skills!$1:$1,0)+1),MATCH(E$1,enemy_skills!$1:$1,0)-MATCH("enemy_skill_id",enemy_skills!$1:$1,0)+1,FALSE)</f>
        <v>そっか！ルカねぇが助けてくれたんだね！ありがとうっ！</v>
      </c>
      <c r="F185" s="122">
        <v>39008084</v>
      </c>
      <c r="G185" s="42">
        <f ca="1">VLOOKUP($F185,OFFSET(enemy_skill_triggers!$A$1,0,0,COUNTA(enemy_skill_triggers!$A:$A),MATCH(G$1,enemy_skill_triggers!$1:$1,0)-MATCH($F$1,enemy_skill_triggers!$1:$1,0)+1),MATCH(G$1,enemy_skill_triggers!$1:$1,0)-MATCH($F$1,enemy_skill_triggers!$1:$1,0)+1,FALSE)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5" s="42">
        <f ca="1">VLOOKUP($F185,OFFSET(enemy_skill_triggers!$A$1,0,0,COUNTA(enemy_skill_triggers!$A:$A),MATCH(H$1,enemy_skill_triggers!$1:$1,0)-MATCH($F$1,enemy_skill_triggers!$1:$1,0)+1),MATCH(H$1,enemy_skill_triggers!$1:$1,0)-MATCH($F$1,enemy_skill_triggers!$1:$1,0)+1,FALSE)</f>
        <v>947</v>
      </c>
      <c r="I185" s="42">
        <f ca="1">VLOOKUP($F185,OFFSET(enemy_skill_triggers!$A$1,0,0,COUNTA(enemy_skill_triggers!$A:$A),MATCH(I$1,enemy_skill_triggers!$1:$1,0)-MATCH($F$1,enemy_skill_triggers!$1:$1,0)+1),MATCH(I$1,enemy_skill_triggers!$1:$1,0)-MATCH($F$1,enemy_skill_triggers!$1:$1,0)+1,FALSE)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5" s="42" t="str">
        <f ca="1">VLOOKUP($F185,OFFSET(enemy_skill_triggers!$A$1,0,0,COUNTA(enemy_skill_triggers!$A:$A),MATCH(J$1,enemy_skill_triggers!$1:$1,0)-MATCH($F$1,enemy_skill_triggers!$1:$1,0)+1),MATCH(J$1,enemy_skill_triggers!$1:$1,0)-MATCH($F$1,enemy_skill_triggers!$1:$1,0)+1,FALSE)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5" s="42" t="str">
        <f ca="1">VLOOKUP($F185,OFFSET(enemy_skill_triggers!$A$1,0,0,COUNTA(enemy_skill_triggers!$A:$A),MATCH(K$1,enemy_skill_triggers!$1:$1,0)-MATCH($F$1,enemy_skill_triggers!$1:$1,0)+1),MATCH(K$1,enemy_skill_triggers!$1:$1,0)-MATCH($F$1,enemy_skill_triggers!$1:$1,0)+1,FALSE)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5" s="42">
        <f ca="1">VLOOKUP($F185,OFFSET(enemy_skill_triggers!$A$1,0,0,COUNTA(enemy_skill_triggers!$A:$A),MATCH(L$1,enemy_skill_triggers!$1:$1,0)-MATCH($F$1,enemy_skill_triggers!$1:$1,0)+1),MATCH(L$1,enemy_skill_triggers!$1:$1,0)-MATCH($F$1,enemy_skill_triggers!$1:$1,0)+1,FALSE)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5" s="42" t="str">
        <f ca="1">VLOOKUP($F185,OFFSET(enemy_skill_triggers!$A$1,0,0,COUNTA(enemy_skill_triggers!$A:$A),MATCH(M$1,enemy_skill_triggers!$1:$1,0)-MATCH($F$1,enemy_skill_triggers!$1:$1,0)+1),MATCH(M$1,enemy_skill_triggers!$1:$1,0)-MATCH($F$1,enemy_skill_triggers!$1:$1,0)+1,FALSE)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5" s="42">
        <f ca="1">VLOOKUP($F185,OFFSET(enemy_skill_triggers!$A$1,0,0,COUNTA(enemy_skill_triggers!$A:$A),MATCH(N$1,enemy_skill_triggers!$1:$1,0)-MATCH($F$1,enemy_skill_triggers!$1:$1,0)+1),MATCH(N$1,enemy_skill_triggers!$1:$1,0)-MATCH($F$1,enemy_skill_triggers!$1:$1,0)+1,FALSE)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185" s="42">
        <f ca="1">VLOOKUP($F185,OFFSET(enemy_skill_triggers!$A$1,0,0,COUNTA(enemy_skill_triggers!$A:$A),MATCH(O$1,enemy_skill_triggers!$1:$1,0)-MATCH($F$1,enemy_skill_triggers!$1:$1,0)+1),MATCH(O$1,enemy_skill_triggers!$1:$1,0)-MATCH($F$1,enemy_skill_triggers!$1:$1,0)+1,FALSE)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5" s="41"/>
      <c r="Q185" s="41"/>
      <c r="R185" s="41" t="s">
        <v>338</v>
      </c>
    </row>
    <row r="186" spans="1:18" ht="21" customHeight="1" x14ac:dyDescent="0.15">
      <c r="A186" s="33" t="str">
        <f t="shared" si="13"/>
        <v>39008007_39008037</v>
      </c>
      <c r="B186" s="126">
        <v>39008007</v>
      </c>
      <c r="C186" s="119">
        <v>39008037</v>
      </c>
      <c r="D186" s="40" t="str">
        <f ca="1">VLOOKUP($C186,OFFSET(enemy_skills!$A$1,0,0,COUNTA(enemy_skills!$A:$A),MATCH(D$1,enemy_skills!$1:$1,0)-MATCH("enemy_skill_id",enemy_skills!$1:$1,0)+1),MATCH(D$1,enemy_skills!$1:$1,0)-MATCH("enemy_skill_id",enemy_skills!$1:$1,0)+1,FALSE)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86" s="40" t="str">
        <f ca="1">VLOOKUP($C186,OFFSET(enemy_skills!$A$1,0,0,COUNTA(enemy_skills!$A:$A),MATCH(E$1,enemy_skills!$1:$1,0)-MATCH("enemy_skill_id",enemy_skills!$1:$1,0)+1),MATCH(E$1,enemy_skills!$1:$1,0)-MATCH("enemy_skill_id",enemy_skills!$1:$1,0)+1,FALSE)</f>
        <v>そっか！ルカねぇが助けてくれたんだね！ありがとうっ！</v>
      </c>
      <c r="F186" s="122">
        <v>39008085</v>
      </c>
      <c r="G186" s="42">
        <f ca="1">VLOOKUP($F186,OFFSET(enemy_skill_triggers!$A$1,0,0,COUNTA(enemy_skill_triggers!$A:$A),MATCH(G$1,enemy_skill_triggers!$1:$1,0)-MATCH($F$1,enemy_skill_triggers!$1:$1,0)+1),MATCH(G$1,enemy_skill_triggers!$1:$1,0)-MATCH($F$1,enemy_skill_triggers!$1:$1,0)+1,FALSE)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6" s="42">
        <f ca="1">VLOOKUP($F186,OFFSET(enemy_skill_triggers!$A$1,0,0,COUNTA(enemy_skill_triggers!$A:$A),MATCH(H$1,enemy_skill_triggers!$1:$1,0)-MATCH($F$1,enemy_skill_triggers!$1:$1,0)+1),MATCH(H$1,enemy_skill_triggers!$1:$1,0)-MATCH($F$1,enemy_skill_triggers!$1:$1,0)+1,FALSE)</f>
        <v>946</v>
      </c>
      <c r="I186" s="42">
        <f ca="1">VLOOKUP($F186,OFFSET(enemy_skill_triggers!$A$1,0,0,COUNTA(enemy_skill_triggers!$A:$A),MATCH(I$1,enemy_skill_triggers!$1:$1,0)-MATCH($F$1,enemy_skill_triggers!$1:$1,0)+1),MATCH(I$1,enemy_skill_triggers!$1:$1,0)-MATCH($F$1,enemy_skill_triggers!$1:$1,0)+1,FALSE)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6" s="42" t="str">
        <f ca="1">VLOOKUP($F186,OFFSET(enemy_skill_triggers!$A$1,0,0,COUNTA(enemy_skill_triggers!$A:$A),MATCH(J$1,enemy_skill_triggers!$1:$1,0)-MATCH($F$1,enemy_skill_triggers!$1:$1,0)+1),MATCH(J$1,enemy_skill_triggers!$1:$1,0)-MATCH($F$1,enemy_skill_triggers!$1:$1,0)+1,FALSE)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6" s="42" t="str">
        <f ca="1">VLOOKUP($F186,OFFSET(enemy_skill_triggers!$A$1,0,0,COUNTA(enemy_skill_triggers!$A:$A),MATCH(K$1,enemy_skill_triggers!$1:$1,0)-MATCH($F$1,enemy_skill_triggers!$1:$1,0)+1),MATCH(K$1,enemy_skill_triggers!$1:$1,0)-MATCH($F$1,enemy_skill_triggers!$1:$1,0)+1,FALSE)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6" s="42">
        <f ca="1">VLOOKUP($F186,OFFSET(enemy_skill_triggers!$A$1,0,0,COUNTA(enemy_skill_triggers!$A:$A),MATCH(L$1,enemy_skill_triggers!$1:$1,0)-MATCH($F$1,enemy_skill_triggers!$1:$1,0)+1),MATCH(L$1,enemy_skill_triggers!$1:$1,0)-MATCH($F$1,enemy_skill_triggers!$1:$1,0)+1,FALSE)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6" s="42" t="str">
        <f ca="1">VLOOKUP($F186,OFFSET(enemy_skill_triggers!$A$1,0,0,COUNTA(enemy_skill_triggers!$A:$A),MATCH(M$1,enemy_skill_triggers!$1:$1,0)-MATCH($F$1,enemy_skill_triggers!$1:$1,0)+1),MATCH(M$1,enemy_skill_triggers!$1:$1,0)-MATCH($F$1,enemy_skill_triggers!$1:$1,0)+1,FALSE)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6" s="42">
        <f ca="1">VLOOKUP($F186,OFFSET(enemy_skill_triggers!$A$1,0,0,COUNTA(enemy_skill_triggers!$A:$A),MATCH(N$1,enemy_skill_triggers!$1:$1,0)-MATCH($F$1,enemy_skill_triggers!$1:$1,0)+1),MATCH(N$1,enemy_skill_triggers!$1:$1,0)-MATCH($F$1,enemy_skill_triggers!$1:$1,0)+1,FALSE)</f>
        <v>1323</v>
      </c>
      <c r="O186" s="42">
        <f ca="1">VLOOKUP($F186,OFFSET(enemy_skill_triggers!$A$1,0,0,COUNTA(enemy_skill_triggers!$A:$A),MATCH(O$1,enemy_skill_triggers!$1:$1,0)-MATCH($F$1,enemy_skill_triggers!$1:$1,0)+1),MATCH(O$1,enemy_skill_triggers!$1:$1,0)-MATCH($F$1,enemy_skill_triggers!$1:$1,0)+1,FALSE)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6" s="41"/>
      <c r="Q186" s="41"/>
      <c r="R186" s="41" t="s">
        <v>339</v>
      </c>
    </row>
    <row r="187" spans="1:18" ht="21" customHeight="1" x14ac:dyDescent="0.15">
      <c r="A187" s="33" t="str">
        <f t="shared" si="13"/>
        <v>39008007_39008033</v>
      </c>
      <c r="B187" s="126">
        <v>39008007</v>
      </c>
      <c r="C187" s="119">
        <v>39008033</v>
      </c>
      <c r="D187" s="40" t="str">
        <f ca="1">VLOOKUP($C187,OFFSET(enemy_skills!$A$1,0,0,COUNTA(enemy_skills!$A:$A),MATCH(D$1,enemy_skills!$1:$1,0)-MATCH("enemy_skill_id",enemy_skills!$1:$1,0)+1),MATCH(D$1,enemy_skills!$1:$1,0)-MATCH("enemy_skill_id",enemy_skills!$1:$1,0)+1,FALSE)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87" s="40" t="str">
        <f ca="1">VLOOKUP($C187,OFFSET(enemy_skills!$A$1,0,0,COUNTA(enemy_skills!$A:$A),MATCH(E$1,enemy_skills!$1:$1,0)-MATCH("enemy_skill_id",enemy_skills!$1:$1,0)+1),MATCH(E$1,enemy_skills!$1:$1,0)-MATCH("enemy_skill_id",enemy_skills!$1:$1,0)+1,FALSE)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87" s="122">
        <v>39008086</v>
      </c>
      <c r="G187" s="42">
        <f ca="1">VLOOKUP($F187,OFFSET(enemy_skill_triggers!$A$1,0,0,COUNTA(enemy_skill_triggers!$A:$A),MATCH(G$1,enemy_skill_triggers!$1:$1,0)-MATCH($F$1,enemy_skill_triggers!$1:$1,0)+1),MATCH(G$1,enemy_skill_triggers!$1:$1,0)-MATCH($F$1,enemy_skill_triggers!$1:$1,0)+1,FALSE)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7" s="42">
        <f ca="1">VLOOKUP($F187,OFFSET(enemy_skill_triggers!$A$1,0,0,COUNTA(enemy_skill_triggers!$A:$A),MATCH(H$1,enemy_skill_triggers!$1:$1,0)-MATCH($F$1,enemy_skill_triggers!$1:$1,0)+1),MATCH(H$1,enemy_skill_triggers!$1:$1,0)-MATCH($F$1,enemy_skill_triggers!$1:$1,0)+1,FALSE)</f>
        <v>945</v>
      </c>
      <c r="I187" s="42">
        <f ca="1">VLOOKUP($F187,OFFSET(enemy_skill_triggers!$A$1,0,0,COUNTA(enemy_skill_triggers!$A:$A),MATCH(I$1,enemy_skill_triggers!$1:$1,0)-MATCH($F$1,enemy_skill_triggers!$1:$1,0)+1),MATCH(I$1,enemy_skill_triggers!$1:$1,0)-MATCH($F$1,enemy_skill_triggers!$1:$1,0)+1,FALSE)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7" s="42" t="str">
        <f ca="1">VLOOKUP($F187,OFFSET(enemy_skill_triggers!$A$1,0,0,COUNTA(enemy_skill_triggers!$A:$A),MATCH(J$1,enemy_skill_triggers!$1:$1,0)-MATCH($F$1,enemy_skill_triggers!$1:$1,0)+1),MATCH(J$1,enemy_skill_triggers!$1:$1,0)-MATCH($F$1,enemy_skill_triggers!$1:$1,0)+1,FALSE)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7" s="42" t="str">
        <f ca="1">VLOOKUP($F187,OFFSET(enemy_skill_triggers!$A$1,0,0,COUNTA(enemy_skill_triggers!$A:$A),MATCH(K$1,enemy_skill_triggers!$1:$1,0)-MATCH($F$1,enemy_skill_triggers!$1:$1,0)+1),MATCH(K$1,enemy_skill_triggers!$1:$1,0)-MATCH($F$1,enemy_skill_triggers!$1:$1,0)+1,FALSE)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7" s="42">
        <f ca="1">VLOOKUP($F187,OFFSET(enemy_skill_triggers!$A$1,0,0,COUNTA(enemy_skill_triggers!$A:$A),MATCH(L$1,enemy_skill_triggers!$1:$1,0)-MATCH($F$1,enemy_skill_triggers!$1:$1,0)+1),MATCH(L$1,enemy_skill_triggers!$1:$1,0)-MATCH($F$1,enemy_skill_triggers!$1:$1,0)+1,FALSE)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7" s="42" t="str">
        <f ca="1">VLOOKUP($F187,OFFSET(enemy_skill_triggers!$A$1,0,0,COUNTA(enemy_skill_triggers!$A:$A),MATCH(M$1,enemy_skill_triggers!$1:$1,0)-MATCH($F$1,enemy_skill_triggers!$1:$1,0)+1),MATCH(M$1,enemy_skill_triggers!$1:$1,0)-MATCH($F$1,enemy_skill_triggers!$1:$1,0)+1,FALSE)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7" s="42">
        <f ca="1">VLOOKUP($F187,OFFSET(enemy_skill_triggers!$A$1,0,0,COUNTA(enemy_skill_triggers!$A:$A),MATCH(N$1,enemy_skill_triggers!$1:$1,0)-MATCH($F$1,enemy_skill_triggers!$1:$1,0)+1),MATCH(N$1,enemy_skill_triggers!$1:$1,0)-MATCH($F$1,enemy_skill_triggers!$1:$1,0)+1,FALSE)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187" s="42">
        <f ca="1">VLOOKUP($F187,OFFSET(enemy_skill_triggers!$A$1,0,0,COUNTA(enemy_skill_triggers!$A:$A),MATCH(O$1,enemy_skill_triggers!$1:$1,0)-MATCH($F$1,enemy_skill_triggers!$1:$1,0)+1),MATCH(O$1,enemy_skill_triggers!$1:$1,0)-MATCH($F$1,enemy_skill_triggers!$1:$1,0)+1,FALSE)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7" s="41"/>
      <c r="Q187" s="41"/>
      <c r="R187" s="41" t="s">
        <v>340</v>
      </c>
    </row>
    <row r="188" spans="1:18" ht="21" customHeight="1" x14ac:dyDescent="0.15">
      <c r="A188" s="33" t="str">
        <f t="shared" si="13"/>
        <v>39008007_39008033</v>
      </c>
      <c r="B188" s="126">
        <v>39008007</v>
      </c>
      <c r="C188" s="119">
        <v>39008033</v>
      </c>
      <c r="D188" s="40" t="str">
        <f ca="1">VLOOKUP($C188,OFFSET(enemy_skills!$A$1,0,0,COUNTA(enemy_skills!$A:$A),MATCH(D$1,enemy_skills!$1:$1,0)-MATCH("enemy_skill_id",enemy_skills!$1:$1,0)+1),MATCH(D$1,enemy_skills!$1:$1,0)-MATCH("enemy_skill_id",enemy_skills!$1:$1,0)+1,FALSE)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88" s="40" t="str">
        <f ca="1">VLOOKUP($C188,OFFSET(enemy_skills!$A$1,0,0,COUNTA(enemy_skills!$A:$A),MATCH(E$1,enemy_skills!$1:$1,0)-MATCH("enemy_skill_id",enemy_skills!$1:$1,0)+1),MATCH(E$1,enemy_skills!$1:$1,0)-MATCH("enemy_skill_id",enemy_skills!$1:$1,0)+1,FALSE)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88" s="122">
        <v>39008087</v>
      </c>
      <c r="G188" s="42">
        <f ca="1">VLOOKUP($F188,OFFSET(enemy_skill_triggers!$A$1,0,0,COUNTA(enemy_skill_triggers!$A:$A),MATCH(G$1,enemy_skill_triggers!$1:$1,0)-MATCH($F$1,enemy_skill_triggers!$1:$1,0)+1),MATCH(G$1,enemy_skill_triggers!$1:$1,0)-MATCH($F$1,enemy_skill_triggers!$1:$1,0)+1,FALSE)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8" s="42">
        <f ca="1">VLOOKUP($F188,OFFSET(enemy_skill_triggers!$A$1,0,0,COUNTA(enemy_skill_triggers!$A:$A),MATCH(H$1,enemy_skill_triggers!$1:$1,0)-MATCH($F$1,enemy_skill_triggers!$1:$1,0)+1),MATCH(H$1,enemy_skill_triggers!$1:$1,0)-MATCH($F$1,enemy_skill_triggers!$1:$1,0)+1,FALSE)</f>
        <v>944</v>
      </c>
      <c r="I188" s="42">
        <f ca="1">VLOOKUP($F188,OFFSET(enemy_skill_triggers!$A$1,0,0,COUNTA(enemy_skill_triggers!$A:$A),MATCH(I$1,enemy_skill_triggers!$1:$1,0)-MATCH($F$1,enemy_skill_triggers!$1:$1,0)+1),MATCH(I$1,enemy_skill_triggers!$1:$1,0)-MATCH($F$1,enemy_skill_triggers!$1:$1,0)+1,FALSE)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8" s="42" t="str">
        <f ca="1">VLOOKUP($F188,OFFSET(enemy_skill_triggers!$A$1,0,0,COUNTA(enemy_skill_triggers!$A:$A),MATCH(J$1,enemy_skill_triggers!$1:$1,0)-MATCH($F$1,enemy_skill_triggers!$1:$1,0)+1),MATCH(J$1,enemy_skill_triggers!$1:$1,0)-MATCH($F$1,enemy_skill_triggers!$1:$1,0)+1,FALSE)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8" s="42" t="str">
        <f ca="1">VLOOKUP($F188,OFFSET(enemy_skill_triggers!$A$1,0,0,COUNTA(enemy_skill_triggers!$A:$A),MATCH(K$1,enemy_skill_triggers!$1:$1,0)-MATCH($F$1,enemy_skill_triggers!$1:$1,0)+1),MATCH(K$1,enemy_skill_triggers!$1:$1,0)-MATCH($F$1,enemy_skill_triggers!$1:$1,0)+1,FALSE)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8" s="42">
        <f ca="1">VLOOKUP($F188,OFFSET(enemy_skill_triggers!$A$1,0,0,COUNTA(enemy_skill_triggers!$A:$A),MATCH(L$1,enemy_skill_triggers!$1:$1,0)-MATCH($F$1,enemy_skill_triggers!$1:$1,0)+1),MATCH(L$1,enemy_skill_triggers!$1:$1,0)-MATCH($F$1,enemy_skill_triggers!$1:$1,0)+1,FALSE)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8" s="42" t="str">
        <f ca="1">VLOOKUP($F188,OFFSET(enemy_skill_triggers!$A$1,0,0,COUNTA(enemy_skill_triggers!$A:$A),MATCH(M$1,enemy_skill_triggers!$1:$1,0)-MATCH($F$1,enemy_skill_triggers!$1:$1,0)+1),MATCH(M$1,enemy_skill_triggers!$1:$1,0)-MATCH($F$1,enemy_skill_triggers!$1:$1,0)+1,FALSE)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8" s="42">
        <f ca="1">VLOOKUP($F188,OFFSET(enemy_skill_triggers!$A$1,0,0,COUNTA(enemy_skill_triggers!$A:$A),MATCH(N$1,enemy_skill_triggers!$1:$1,0)-MATCH($F$1,enemy_skill_triggers!$1:$1,0)+1),MATCH(N$1,enemy_skill_triggers!$1:$1,0)-MATCH($F$1,enemy_skill_triggers!$1:$1,0)+1,FALSE)</f>
        <v>540</v>
      </c>
      <c r="O188" s="42">
        <f ca="1">VLOOKUP($F188,OFFSET(enemy_skill_triggers!$A$1,0,0,COUNTA(enemy_skill_triggers!$A:$A),MATCH(O$1,enemy_skill_triggers!$1:$1,0)-MATCH($F$1,enemy_skill_triggers!$1:$1,0)+1),MATCH(O$1,enemy_skill_triggers!$1:$1,0)-MATCH($F$1,enemy_skill_triggers!$1:$1,0)+1,FALSE)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8" s="41"/>
      <c r="Q188" s="41"/>
      <c r="R188" s="41" t="s">
        <v>340</v>
      </c>
    </row>
    <row r="189" spans="1:18" ht="21" customHeight="1" x14ac:dyDescent="0.15">
      <c r="A189" s="33" t="str">
        <f t="shared" si="13"/>
        <v>39008007_39008033</v>
      </c>
      <c r="B189" s="126">
        <v>39008007</v>
      </c>
      <c r="C189" s="119">
        <v>39008033</v>
      </c>
      <c r="D189" s="40" t="str">
        <f ca="1">VLOOKUP($C189,OFFSET(enemy_skills!$A$1,0,0,COUNTA(enemy_skills!$A:$A),MATCH(D$1,enemy_skills!$1:$1,0)-MATCH("enemy_skill_id",enemy_skills!$1:$1,0)+1),MATCH(D$1,enemy_skills!$1:$1,0)-MATCH("enemy_skill_id",enemy_skills!$1:$1,0)+1,FALSE)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89" s="40" t="str">
        <f ca="1">VLOOKUP($C189,OFFSET(enemy_skills!$A$1,0,0,COUNTA(enemy_skills!$A:$A),MATCH(E$1,enemy_skills!$1:$1,0)-MATCH("enemy_skill_id",enemy_skills!$1:$1,0)+1),MATCH(E$1,enemy_skills!$1:$1,0)-MATCH("enemy_skill_id",enemy_skills!$1:$1,0)+1,FALSE)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89" s="122">
        <v>39008088</v>
      </c>
      <c r="G189" s="42">
        <f ca="1">VLOOKUP($F189,OFFSET(enemy_skill_triggers!$A$1,0,0,COUNTA(enemy_skill_triggers!$A:$A),MATCH(G$1,enemy_skill_triggers!$1:$1,0)-MATCH($F$1,enemy_skill_triggers!$1:$1,0)+1),MATCH(G$1,enemy_skill_triggers!$1:$1,0)-MATCH($F$1,enemy_skill_triggers!$1:$1,0)+1,FALSE)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9" s="42">
        <f ca="1">VLOOKUP($F189,OFFSET(enemy_skill_triggers!$A$1,0,0,COUNTA(enemy_skill_triggers!$A:$A),MATCH(H$1,enemy_skill_triggers!$1:$1,0)-MATCH($F$1,enemy_skill_triggers!$1:$1,0)+1),MATCH(H$1,enemy_skill_triggers!$1:$1,0)-MATCH($F$1,enemy_skill_triggers!$1:$1,0)+1,FALSE)</f>
        <v>943</v>
      </c>
      <c r="I189" s="42">
        <f ca="1">VLOOKUP($F189,OFFSET(enemy_skill_triggers!$A$1,0,0,COUNTA(enemy_skill_triggers!$A:$A),MATCH(I$1,enemy_skill_triggers!$1:$1,0)-MATCH($F$1,enemy_skill_triggers!$1:$1,0)+1),MATCH(I$1,enemy_skill_triggers!$1:$1,0)-MATCH($F$1,enemy_skill_triggers!$1:$1,0)+1,FALSE)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9" s="42" t="str">
        <f ca="1">VLOOKUP($F189,OFFSET(enemy_skill_triggers!$A$1,0,0,COUNTA(enemy_skill_triggers!$A:$A),MATCH(J$1,enemy_skill_triggers!$1:$1,0)-MATCH($F$1,enemy_skill_triggers!$1:$1,0)+1),MATCH(J$1,enemy_skill_triggers!$1:$1,0)-MATCH($F$1,enemy_skill_triggers!$1:$1,0)+1,FALSE)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9" s="42" t="str">
        <f ca="1">VLOOKUP($F189,OFFSET(enemy_skill_triggers!$A$1,0,0,COUNTA(enemy_skill_triggers!$A:$A),MATCH(K$1,enemy_skill_triggers!$1:$1,0)-MATCH($F$1,enemy_skill_triggers!$1:$1,0)+1),MATCH(K$1,enemy_skill_triggers!$1:$1,0)-MATCH($F$1,enemy_skill_triggers!$1:$1,0)+1,FALSE)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9" s="42">
        <f ca="1">VLOOKUP($F189,OFFSET(enemy_skill_triggers!$A$1,0,0,COUNTA(enemy_skill_triggers!$A:$A),MATCH(L$1,enemy_skill_triggers!$1:$1,0)-MATCH($F$1,enemy_skill_triggers!$1:$1,0)+1),MATCH(L$1,enemy_skill_triggers!$1:$1,0)-MATCH($F$1,enemy_skill_triggers!$1:$1,0)+1,FALSE)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9" s="42" t="str">
        <f ca="1">VLOOKUP($F189,OFFSET(enemy_skill_triggers!$A$1,0,0,COUNTA(enemy_skill_triggers!$A:$A),MATCH(M$1,enemy_skill_triggers!$1:$1,0)-MATCH($F$1,enemy_skill_triggers!$1:$1,0)+1),MATCH(M$1,enemy_skill_triggers!$1:$1,0)-MATCH($F$1,enemy_skill_triggers!$1:$1,0)+1,FALSE)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9" s="42">
        <f ca="1">VLOOKUP($F189,OFFSET(enemy_skill_triggers!$A$1,0,0,COUNTA(enemy_skill_triggers!$A:$A),MATCH(N$1,enemy_skill_triggers!$1:$1,0)-MATCH($F$1,enemy_skill_triggers!$1:$1,0)+1),MATCH(N$1,enemy_skill_triggers!$1:$1,0)-MATCH($F$1,enemy_skill_triggers!$1:$1,0)+1,FALSE)</f>
        <v>1309</v>
      </c>
      <c r="O189" s="42">
        <f ca="1">VLOOKUP($F189,OFFSET(enemy_skill_triggers!$A$1,0,0,COUNTA(enemy_skill_triggers!$A:$A),MATCH(O$1,enemy_skill_triggers!$1:$1,0)-MATCH($F$1,enemy_skill_triggers!$1:$1,0)+1),MATCH(O$1,enemy_skill_triggers!$1:$1,0)-MATCH($F$1,enemy_skill_triggers!$1:$1,0)+1,FALSE)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9" s="41"/>
      <c r="Q189" s="41"/>
      <c r="R189" s="41" t="s">
        <v>340</v>
      </c>
    </row>
    <row r="190" spans="1:18" ht="21" customHeight="1" x14ac:dyDescent="0.15">
      <c r="A190" s="33" t="str">
        <f t="shared" si="13"/>
        <v>39008007_39008033</v>
      </c>
      <c r="B190" s="126">
        <v>39008007</v>
      </c>
      <c r="C190" s="119">
        <v>39008033</v>
      </c>
      <c r="D190" s="40" t="str">
        <f ca="1">VLOOKUP($C190,OFFSET(enemy_skills!$A$1,0,0,COUNTA(enemy_skills!$A:$A),MATCH(D$1,enemy_skills!$1:$1,0)-MATCH("enemy_skill_id",enemy_skills!$1:$1,0)+1),MATCH(D$1,enemy_skills!$1:$1,0)-MATCH("enemy_skill_id",enemy_skills!$1:$1,0)+1,FALSE)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90" s="40" t="str">
        <f ca="1">VLOOKUP($C190,OFFSET(enemy_skills!$A$1,0,0,COUNTA(enemy_skills!$A:$A),MATCH(E$1,enemy_skills!$1:$1,0)-MATCH("enemy_skill_id",enemy_skills!$1:$1,0)+1),MATCH(E$1,enemy_skills!$1:$1,0)-MATCH("enemy_skill_id",enemy_skills!$1:$1,0)+1,FALSE)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90" s="122">
        <v>39008089</v>
      </c>
      <c r="G190" s="42">
        <f ca="1">VLOOKUP($F190,OFFSET(enemy_skill_triggers!$A$1,0,0,COUNTA(enemy_skill_triggers!$A:$A),MATCH(G$1,enemy_skill_triggers!$1:$1,0)-MATCH($F$1,enemy_skill_triggers!$1:$1,0)+1),MATCH(G$1,enemy_skill_triggers!$1:$1,0)-MATCH($F$1,enemy_skill_triggers!$1:$1,0)+1,FALSE)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0" s="42">
        <f ca="1">VLOOKUP($F190,OFFSET(enemy_skill_triggers!$A$1,0,0,COUNTA(enemy_skill_triggers!$A:$A),MATCH(H$1,enemy_skill_triggers!$1:$1,0)-MATCH($F$1,enemy_skill_triggers!$1:$1,0)+1),MATCH(H$1,enemy_skill_triggers!$1:$1,0)-MATCH($F$1,enemy_skill_triggers!$1:$1,0)+1,FALSE)</f>
        <v>942</v>
      </c>
      <c r="I190" s="42">
        <f ca="1">VLOOKUP($F190,OFFSET(enemy_skill_triggers!$A$1,0,0,COUNTA(enemy_skill_triggers!$A:$A),MATCH(I$1,enemy_skill_triggers!$1:$1,0)-MATCH($F$1,enemy_skill_triggers!$1:$1,0)+1),MATCH(I$1,enemy_skill_triggers!$1:$1,0)-MATCH($F$1,enemy_skill_triggers!$1:$1,0)+1,FALSE)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0" s="42" t="str">
        <f ca="1">VLOOKUP($F190,OFFSET(enemy_skill_triggers!$A$1,0,0,COUNTA(enemy_skill_triggers!$A:$A),MATCH(J$1,enemy_skill_triggers!$1:$1,0)-MATCH($F$1,enemy_skill_triggers!$1:$1,0)+1),MATCH(J$1,enemy_skill_triggers!$1:$1,0)-MATCH($F$1,enemy_skill_triggers!$1:$1,0)+1,FALSE)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0" s="42" t="str">
        <f ca="1">VLOOKUP($F190,OFFSET(enemy_skill_triggers!$A$1,0,0,COUNTA(enemy_skill_triggers!$A:$A),MATCH(K$1,enemy_skill_triggers!$1:$1,0)-MATCH($F$1,enemy_skill_triggers!$1:$1,0)+1),MATCH(K$1,enemy_skill_triggers!$1:$1,0)-MATCH($F$1,enemy_skill_triggers!$1:$1,0)+1,FALSE)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0" s="42">
        <f ca="1">VLOOKUP($F190,OFFSET(enemy_skill_triggers!$A$1,0,0,COUNTA(enemy_skill_triggers!$A:$A),MATCH(L$1,enemy_skill_triggers!$1:$1,0)-MATCH($F$1,enemy_skill_triggers!$1:$1,0)+1),MATCH(L$1,enemy_skill_triggers!$1:$1,0)-MATCH($F$1,enemy_skill_triggers!$1:$1,0)+1,FALSE)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0" s="42" t="str">
        <f ca="1">VLOOKUP($F190,OFFSET(enemy_skill_triggers!$A$1,0,0,COUNTA(enemy_skill_triggers!$A:$A),MATCH(M$1,enemy_skill_triggers!$1:$1,0)-MATCH($F$1,enemy_skill_triggers!$1:$1,0)+1),MATCH(M$1,enemy_skill_triggers!$1:$1,0)-MATCH($F$1,enemy_skill_triggers!$1:$1,0)+1,FALSE)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0" s="42">
        <f ca="1">VLOOKUP($F190,OFFSET(enemy_skill_triggers!$A$1,0,0,COUNTA(enemy_skill_triggers!$A:$A),MATCH(N$1,enemy_skill_triggers!$1:$1,0)-MATCH($F$1,enemy_skill_triggers!$1:$1,0)+1),MATCH(N$1,enemy_skill_triggers!$1:$1,0)-MATCH($F$1,enemy_skill_triggers!$1:$1,0)+1,FALSE)</f>
        <v>1310</v>
      </c>
      <c r="O190" s="42">
        <f ca="1">VLOOKUP($F190,OFFSET(enemy_skill_triggers!$A$1,0,0,COUNTA(enemy_skill_triggers!$A:$A),MATCH(O$1,enemy_skill_triggers!$1:$1,0)-MATCH($F$1,enemy_skill_triggers!$1:$1,0)+1),MATCH(O$1,enemy_skill_triggers!$1:$1,0)-MATCH($F$1,enemy_skill_triggers!$1:$1,0)+1,FALSE)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0" s="41"/>
      <c r="Q190" s="41"/>
      <c r="R190" s="41" t="s">
        <v>340</v>
      </c>
    </row>
    <row r="191" spans="1:18" ht="21" customHeight="1" x14ac:dyDescent="0.15">
      <c r="A191" s="33" t="str">
        <f t="shared" si="13"/>
        <v>39008007_39008033</v>
      </c>
      <c r="B191" s="126">
        <v>39008007</v>
      </c>
      <c r="C191" s="119">
        <v>39008033</v>
      </c>
      <c r="D191" s="40" t="str">
        <f ca="1">VLOOKUP($C191,OFFSET(enemy_skills!$A$1,0,0,COUNTA(enemy_skills!$A:$A),MATCH(D$1,enemy_skills!$1:$1,0)-MATCH("enemy_skill_id",enemy_skills!$1:$1,0)+1),MATCH(D$1,enemy_skills!$1:$1,0)-MATCH("enemy_skill_id",enemy_skills!$1:$1,0)+1,FALSE)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91" s="40" t="str">
        <f ca="1">VLOOKUP($C191,OFFSET(enemy_skills!$A$1,0,0,COUNTA(enemy_skills!$A:$A),MATCH(E$1,enemy_skills!$1:$1,0)-MATCH("enemy_skill_id",enemy_skills!$1:$1,0)+1),MATCH(E$1,enemy_skills!$1:$1,0)-MATCH("enemy_skill_id",enemy_skills!$1:$1,0)+1,FALSE)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91" s="122">
        <v>39008090</v>
      </c>
      <c r="G191" s="42">
        <f ca="1">VLOOKUP($F191,OFFSET(enemy_skill_triggers!$A$1,0,0,COUNTA(enemy_skill_triggers!$A:$A),MATCH(G$1,enemy_skill_triggers!$1:$1,0)-MATCH($F$1,enemy_skill_triggers!$1:$1,0)+1),MATCH(G$1,enemy_skill_triggers!$1:$1,0)-MATCH($F$1,enemy_skill_triggers!$1:$1,0)+1,FALSE)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1" s="42">
        <f ca="1">VLOOKUP($F191,OFFSET(enemy_skill_triggers!$A$1,0,0,COUNTA(enemy_skill_triggers!$A:$A),MATCH(H$1,enemy_skill_triggers!$1:$1,0)-MATCH($F$1,enemy_skill_triggers!$1:$1,0)+1),MATCH(H$1,enemy_skill_triggers!$1:$1,0)-MATCH($F$1,enemy_skill_triggers!$1:$1,0)+1,FALSE)</f>
        <v>941</v>
      </c>
      <c r="I191" s="42">
        <f ca="1">VLOOKUP($F191,OFFSET(enemy_skill_triggers!$A$1,0,0,COUNTA(enemy_skill_triggers!$A:$A),MATCH(I$1,enemy_skill_triggers!$1:$1,0)-MATCH($F$1,enemy_skill_triggers!$1:$1,0)+1),MATCH(I$1,enemy_skill_triggers!$1:$1,0)-MATCH($F$1,enemy_skill_triggers!$1:$1,0)+1,FALSE)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1" s="42" t="str">
        <f ca="1">VLOOKUP($F191,OFFSET(enemy_skill_triggers!$A$1,0,0,COUNTA(enemy_skill_triggers!$A:$A),MATCH(J$1,enemy_skill_triggers!$1:$1,0)-MATCH($F$1,enemy_skill_triggers!$1:$1,0)+1),MATCH(J$1,enemy_skill_triggers!$1:$1,0)-MATCH($F$1,enemy_skill_triggers!$1:$1,0)+1,FALSE)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1" s="42" t="str">
        <f ca="1">VLOOKUP($F191,OFFSET(enemy_skill_triggers!$A$1,0,0,COUNTA(enemy_skill_triggers!$A:$A),MATCH(K$1,enemy_skill_triggers!$1:$1,0)-MATCH($F$1,enemy_skill_triggers!$1:$1,0)+1),MATCH(K$1,enemy_skill_triggers!$1:$1,0)-MATCH($F$1,enemy_skill_triggers!$1:$1,0)+1,FALSE)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1" s="42">
        <f ca="1">VLOOKUP($F191,OFFSET(enemy_skill_triggers!$A$1,0,0,COUNTA(enemy_skill_triggers!$A:$A),MATCH(L$1,enemy_skill_triggers!$1:$1,0)-MATCH($F$1,enemy_skill_triggers!$1:$1,0)+1),MATCH(L$1,enemy_skill_triggers!$1:$1,0)-MATCH($F$1,enemy_skill_triggers!$1:$1,0)+1,FALSE)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1" s="42" t="str">
        <f ca="1">VLOOKUP($F191,OFFSET(enemy_skill_triggers!$A$1,0,0,COUNTA(enemy_skill_triggers!$A:$A),MATCH(M$1,enemy_skill_triggers!$1:$1,0)-MATCH($F$1,enemy_skill_triggers!$1:$1,0)+1),MATCH(M$1,enemy_skill_triggers!$1:$1,0)-MATCH($F$1,enemy_skill_triggers!$1:$1,0)+1,FALSE)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1" s="42">
        <f ca="1">VLOOKUP($F191,OFFSET(enemy_skill_triggers!$A$1,0,0,COUNTA(enemy_skill_triggers!$A:$A),MATCH(N$1,enemy_skill_triggers!$1:$1,0)-MATCH($F$1,enemy_skill_triggers!$1:$1,0)+1),MATCH(N$1,enemy_skill_triggers!$1:$1,0)-MATCH($F$1,enemy_skill_triggers!$1:$1,0)+1,FALSE)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191" s="42">
        <f ca="1">VLOOKUP($F191,OFFSET(enemy_skill_triggers!$A$1,0,0,COUNTA(enemy_skill_triggers!$A:$A),MATCH(O$1,enemy_skill_triggers!$1:$1,0)-MATCH($F$1,enemy_skill_triggers!$1:$1,0)+1),MATCH(O$1,enemy_skill_triggers!$1:$1,0)-MATCH($F$1,enemy_skill_triggers!$1:$1,0)+1,FALSE)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1" s="41"/>
      <c r="Q191" s="41"/>
      <c r="R191" s="41" t="s">
        <v>340</v>
      </c>
    </row>
    <row r="192" spans="1:18" ht="21" customHeight="1" x14ac:dyDescent="0.15">
      <c r="A192" s="33" t="str">
        <f t="shared" si="13"/>
        <v>39008007_39008033</v>
      </c>
      <c r="B192" s="126">
        <v>39008007</v>
      </c>
      <c r="C192" s="119">
        <v>39008033</v>
      </c>
      <c r="D192" s="40" t="str">
        <f ca="1">VLOOKUP($C192,OFFSET(enemy_skills!$A$1,0,0,COUNTA(enemy_skills!$A:$A),MATCH(D$1,enemy_skills!$1:$1,0)-MATCH("enemy_skill_id",enemy_skills!$1:$1,0)+1),MATCH(D$1,enemy_skills!$1:$1,0)-MATCH("enemy_skill_id",enemy_skills!$1:$1,0)+1,FALSE)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92" s="40" t="str">
        <f ca="1">VLOOKUP($C192,OFFSET(enemy_skills!$A$1,0,0,COUNTA(enemy_skills!$A:$A),MATCH(E$1,enemy_skills!$1:$1,0)-MATCH("enemy_skill_id",enemy_skills!$1:$1,0)+1),MATCH(E$1,enemy_skills!$1:$1,0)-MATCH("enemy_skill_id",enemy_skills!$1:$1,0)+1,FALSE)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92" s="122">
        <v>39008091</v>
      </c>
      <c r="G192" s="42">
        <f ca="1">VLOOKUP($F192,OFFSET(enemy_skill_triggers!$A$1,0,0,COUNTA(enemy_skill_triggers!$A:$A),MATCH(G$1,enemy_skill_triggers!$1:$1,0)-MATCH($F$1,enemy_skill_triggers!$1:$1,0)+1),MATCH(G$1,enemy_skill_triggers!$1:$1,0)-MATCH($F$1,enemy_skill_triggers!$1:$1,0)+1,FALSE)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2" s="42">
        <f ca="1">VLOOKUP($F192,OFFSET(enemy_skill_triggers!$A$1,0,0,COUNTA(enemy_skill_triggers!$A:$A),MATCH(H$1,enemy_skill_triggers!$1:$1,0)-MATCH($F$1,enemy_skill_triggers!$1:$1,0)+1),MATCH(H$1,enemy_skill_triggers!$1:$1,0)-MATCH($F$1,enemy_skill_triggers!$1:$1,0)+1,FALSE)</f>
        <v>940</v>
      </c>
      <c r="I192" s="42">
        <f ca="1">VLOOKUP($F192,OFFSET(enemy_skill_triggers!$A$1,0,0,COUNTA(enemy_skill_triggers!$A:$A),MATCH(I$1,enemy_skill_triggers!$1:$1,0)-MATCH($F$1,enemy_skill_triggers!$1:$1,0)+1),MATCH(I$1,enemy_skill_triggers!$1:$1,0)-MATCH($F$1,enemy_skill_triggers!$1:$1,0)+1,FALSE)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2" s="42" t="str">
        <f ca="1">VLOOKUP($F192,OFFSET(enemy_skill_triggers!$A$1,0,0,COUNTA(enemy_skill_triggers!$A:$A),MATCH(J$1,enemy_skill_triggers!$1:$1,0)-MATCH($F$1,enemy_skill_triggers!$1:$1,0)+1),MATCH(J$1,enemy_skill_triggers!$1:$1,0)-MATCH($F$1,enemy_skill_triggers!$1:$1,0)+1,FALSE)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2" s="42" t="str">
        <f ca="1">VLOOKUP($F192,OFFSET(enemy_skill_triggers!$A$1,0,0,COUNTA(enemy_skill_triggers!$A:$A),MATCH(K$1,enemy_skill_triggers!$1:$1,0)-MATCH($F$1,enemy_skill_triggers!$1:$1,0)+1),MATCH(K$1,enemy_skill_triggers!$1:$1,0)-MATCH($F$1,enemy_skill_triggers!$1:$1,0)+1,FALSE)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2" s="42">
        <f ca="1">VLOOKUP($F192,OFFSET(enemy_skill_triggers!$A$1,0,0,COUNTA(enemy_skill_triggers!$A:$A),MATCH(L$1,enemy_skill_triggers!$1:$1,0)-MATCH($F$1,enemy_skill_triggers!$1:$1,0)+1),MATCH(L$1,enemy_skill_triggers!$1:$1,0)-MATCH($F$1,enemy_skill_triggers!$1:$1,0)+1,FALSE)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2" s="42" t="str">
        <f ca="1">VLOOKUP($F192,OFFSET(enemy_skill_triggers!$A$1,0,0,COUNTA(enemy_skill_triggers!$A:$A),MATCH(M$1,enemy_skill_triggers!$1:$1,0)-MATCH($F$1,enemy_skill_triggers!$1:$1,0)+1),MATCH(M$1,enemy_skill_triggers!$1:$1,0)-MATCH($F$1,enemy_skill_triggers!$1:$1,0)+1,FALSE)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2" s="42">
        <f ca="1">VLOOKUP($F192,OFFSET(enemy_skill_triggers!$A$1,0,0,COUNTA(enemy_skill_triggers!$A:$A),MATCH(N$1,enemy_skill_triggers!$1:$1,0)-MATCH($F$1,enemy_skill_triggers!$1:$1,0)+1),MATCH(N$1,enemy_skill_triggers!$1:$1,0)-MATCH($F$1,enemy_skill_triggers!$1:$1,0)+1,FALSE)</f>
        <v>542</v>
      </c>
      <c r="O192" s="42">
        <f ca="1">VLOOKUP($F192,OFFSET(enemy_skill_triggers!$A$1,0,0,COUNTA(enemy_skill_triggers!$A:$A),MATCH(O$1,enemy_skill_triggers!$1:$1,0)-MATCH($F$1,enemy_skill_triggers!$1:$1,0)+1),MATCH(O$1,enemy_skill_triggers!$1:$1,0)-MATCH($F$1,enemy_skill_triggers!$1:$1,0)+1,FALSE)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2" s="41"/>
      <c r="Q192" s="41"/>
      <c r="R192" s="41" t="s">
        <v>340</v>
      </c>
    </row>
    <row r="193" spans="1:18" ht="21" customHeight="1" x14ac:dyDescent="0.15">
      <c r="A193" s="33" t="str">
        <f t="shared" si="13"/>
        <v>39008007_39008033</v>
      </c>
      <c r="B193" s="126">
        <v>39008007</v>
      </c>
      <c r="C193" s="119">
        <v>39008033</v>
      </c>
      <c r="D193" s="40" t="str">
        <f ca="1">VLOOKUP($C193,OFFSET(enemy_skills!$A$1,0,0,COUNTA(enemy_skills!$A:$A),MATCH(D$1,enemy_skills!$1:$1,0)-MATCH("enemy_skill_id",enemy_skills!$1:$1,0)+1),MATCH(D$1,enemy_skills!$1:$1,0)-MATCH("enemy_skill_id",enemy_skills!$1:$1,0)+1,FALSE)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93" s="40" t="str">
        <f ca="1">VLOOKUP($C193,OFFSET(enemy_skills!$A$1,0,0,COUNTA(enemy_skills!$A:$A),MATCH(E$1,enemy_skills!$1:$1,0)-MATCH("enemy_skill_id",enemy_skills!$1:$1,0)+1),MATCH(E$1,enemy_skills!$1:$1,0)-MATCH("enemy_skill_id",enemy_skills!$1:$1,0)+1,FALSE)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93" s="122">
        <v>39008092</v>
      </c>
      <c r="G193" s="42">
        <f ca="1">VLOOKUP($F193,OFFSET(enemy_skill_triggers!$A$1,0,0,COUNTA(enemy_skill_triggers!$A:$A),MATCH(G$1,enemy_skill_triggers!$1:$1,0)-MATCH($F$1,enemy_skill_triggers!$1:$1,0)+1),MATCH(G$1,enemy_skill_triggers!$1:$1,0)-MATCH($F$1,enemy_skill_triggers!$1:$1,0)+1,FALSE)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3" s="42">
        <f ca="1">VLOOKUP($F193,OFFSET(enemy_skill_triggers!$A$1,0,0,COUNTA(enemy_skill_triggers!$A:$A),MATCH(H$1,enemy_skill_triggers!$1:$1,0)-MATCH($F$1,enemy_skill_triggers!$1:$1,0)+1),MATCH(H$1,enemy_skill_triggers!$1:$1,0)-MATCH($F$1,enemy_skill_triggers!$1:$1,0)+1,FALSE)</f>
        <v>939</v>
      </c>
      <c r="I193" s="42">
        <f ca="1">VLOOKUP($F193,OFFSET(enemy_skill_triggers!$A$1,0,0,COUNTA(enemy_skill_triggers!$A:$A),MATCH(I$1,enemy_skill_triggers!$1:$1,0)-MATCH($F$1,enemy_skill_triggers!$1:$1,0)+1),MATCH(I$1,enemy_skill_triggers!$1:$1,0)-MATCH($F$1,enemy_skill_triggers!$1:$1,0)+1,FALSE)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3" s="42" t="str">
        <f ca="1">VLOOKUP($F193,OFFSET(enemy_skill_triggers!$A$1,0,0,COUNTA(enemy_skill_triggers!$A:$A),MATCH(J$1,enemy_skill_triggers!$1:$1,0)-MATCH($F$1,enemy_skill_triggers!$1:$1,0)+1),MATCH(J$1,enemy_skill_triggers!$1:$1,0)-MATCH($F$1,enemy_skill_triggers!$1:$1,0)+1,FALSE)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3" s="42" t="str">
        <f ca="1">VLOOKUP($F193,OFFSET(enemy_skill_triggers!$A$1,0,0,COUNTA(enemy_skill_triggers!$A:$A),MATCH(K$1,enemy_skill_triggers!$1:$1,0)-MATCH($F$1,enemy_skill_triggers!$1:$1,0)+1),MATCH(K$1,enemy_skill_triggers!$1:$1,0)-MATCH($F$1,enemy_skill_triggers!$1:$1,0)+1,FALSE)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3" s="42">
        <f ca="1">VLOOKUP($F193,OFFSET(enemy_skill_triggers!$A$1,0,0,COUNTA(enemy_skill_triggers!$A:$A),MATCH(L$1,enemy_skill_triggers!$1:$1,0)-MATCH($F$1,enemy_skill_triggers!$1:$1,0)+1),MATCH(L$1,enemy_skill_triggers!$1:$1,0)-MATCH($F$1,enemy_skill_triggers!$1:$1,0)+1,FALSE)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3" s="42" t="str">
        <f ca="1">VLOOKUP($F193,OFFSET(enemy_skill_triggers!$A$1,0,0,COUNTA(enemy_skill_triggers!$A:$A),MATCH(M$1,enemy_skill_triggers!$1:$1,0)-MATCH($F$1,enemy_skill_triggers!$1:$1,0)+1),MATCH(M$1,enemy_skill_triggers!$1:$1,0)-MATCH($F$1,enemy_skill_triggers!$1:$1,0)+1,FALSE)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3" s="42">
        <f ca="1">VLOOKUP($F193,OFFSET(enemy_skill_triggers!$A$1,0,0,COUNTA(enemy_skill_triggers!$A:$A),MATCH(N$1,enemy_skill_triggers!$1:$1,0)-MATCH($F$1,enemy_skill_triggers!$1:$1,0)+1),MATCH(N$1,enemy_skill_triggers!$1:$1,0)-MATCH($F$1,enemy_skill_triggers!$1:$1,0)+1,FALSE)</f>
        <v>1308</v>
      </c>
      <c r="O193" s="42">
        <f ca="1">VLOOKUP($F193,OFFSET(enemy_skill_triggers!$A$1,0,0,COUNTA(enemy_skill_triggers!$A:$A),MATCH(O$1,enemy_skill_triggers!$1:$1,0)-MATCH($F$1,enemy_skill_triggers!$1:$1,0)+1),MATCH(O$1,enemy_skill_triggers!$1:$1,0)-MATCH($F$1,enemy_skill_triggers!$1:$1,0)+1,FALSE)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3" s="41"/>
      <c r="Q193" s="41"/>
      <c r="R193" s="41" t="s">
        <v>340</v>
      </c>
    </row>
    <row r="194" spans="1:18" ht="21" customHeight="1" x14ac:dyDescent="0.15">
      <c r="A194" s="33" t="str">
        <f t="shared" si="13"/>
        <v>39008007_39008033</v>
      </c>
      <c r="B194" s="126">
        <v>39008007</v>
      </c>
      <c r="C194" s="119">
        <v>39008033</v>
      </c>
      <c r="D194" s="40" t="str">
        <f ca="1">VLOOKUP($C194,OFFSET(enemy_skills!$A$1,0,0,COUNTA(enemy_skills!$A:$A),MATCH(D$1,enemy_skills!$1:$1,0)-MATCH("enemy_skill_id",enemy_skills!$1:$1,0)+1),MATCH(D$1,enemy_skills!$1:$1,0)-MATCH("enemy_skill_id",enemy_skills!$1:$1,0)+1,FALSE)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94" s="40" t="str">
        <f ca="1">VLOOKUP($C194,OFFSET(enemy_skills!$A$1,0,0,COUNTA(enemy_skills!$A:$A),MATCH(E$1,enemy_skills!$1:$1,0)-MATCH("enemy_skill_id",enemy_skills!$1:$1,0)+1),MATCH(E$1,enemy_skills!$1:$1,0)-MATCH("enemy_skill_id",enemy_skills!$1:$1,0)+1,FALSE)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94" s="122">
        <v>39008093</v>
      </c>
      <c r="G194" s="42">
        <f ca="1">VLOOKUP($F194,OFFSET(enemy_skill_triggers!$A$1,0,0,COUNTA(enemy_skill_triggers!$A:$A),MATCH(G$1,enemy_skill_triggers!$1:$1,0)-MATCH($F$1,enemy_skill_triggers!$1:$1,0)+1),MATCH(G$1,enemy_skill_triggers!$1:$1,0)-MATCH($F$1,enemy_skill_triggers!$1:$1,0)+1,FALSE)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4" s="42">
        <f ca="1">VLOOKUP($F194,OFFSET(enemy_skill_triggers!$A$1,0,0,COUNTA(enemy_skill_triggers!$A:$A),MATCH(H$1,enemy_skill_triggers!$1:$1,0)-MATCH($F$1,enemy_skill_triggers!$1:$1,0)+1),MATCH(H$1,enemy_skill_triggers!$1:$1,0)-MATCH($F$1,enemy_skill_triggers!$1:$1,0)+1,FALSE)</f>
        <v>938</v>
      </c>
      <c r="I194" s="42">
        <f ca="1">VLOOKUP($F194,OFFSET(enemy_skill_triggers!$A$1,0,0,COUNTA(enemy_skill_triggers!$A:$A),MATCH(I$1,enemy_skill_triggers!$1:$1,0)-MATCH($F$1,enemy_skill_triggers!$1:$1,0)+1),MATCH(I$1,enemy_skill_triggers!$1:$1,0)-MATCH($F$1,enemy_skill_triggers!$1:$1,0)+1,FALSE)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4" s="42" t="str">
        <f ca="1">VLOOKUP($F194,OFFSET(enemy_skill_triggers!$A$1,0,0,COUNTA(enemy_skill_triggers!$A:$A),MATCH(J$1,enemy_skill_triggers!$1:$1,0)-MATCH($F$1,enemy_skill_triggers!$1:$1,0)+1),MATCH(J$1,enemy_skill_triggers!$1:$1,0)-MATCH($F$1,enemy_skill_triggers!$1:$1,0)+1,FALSE)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4" s="42" t="str">
        <f ca="1">VLOOKUP($F194,OFFSET(enemy_skill_triggers!$A$1,0,0,COUNTA(enemy_skill_triggers!$A:$A),MATCH(K$1,enemy_skill_triggers!$1:$1,0)-MATCH($F$1,enemy_skill_triggers!$1:$1,0)+1),MATCH(K$1,enemy_skill_triggers!$1:$1,0)-MATCH($F$1,enemy_skill_triggers!$1:$1,0)+1,FALSE)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4" s="42">
        <f ca="1">VLOOKUP($F194,OFFSET(enemy_skill_triggers!$A$1,0,0,COUNTA(enemy_skill_triggers!$A:$A),MATCH(L$1,enemy_skill_triggers!$1:$1,0)-MATCH($F$1,enemy_skill_triggers!$1:$1,0)+1),MATCH(L$1,enemy_skill_triggers!$1:$1,0)-MATCH($F$1,enemy_skill_triggers!$1:$1,0)+1,FALSE)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4" s="42" t="str">
        <f ca="1">VLOOKUP($F194,OFFSET(enemy_skill_triggers!$A$1,0,0,COUNTA(enemy_skill_triggers!$A:$A),MATCH(M$1,enemy_skill_triggers!$1:$1,0)-MATCH($F$1,enemy_skill_triggers!$1:$1,0)+1),MATCH(M$1,enemy_skill_triggers!$1:$1,0)-MATCH($F$1,enemy_skill_triggers!$1:$1,0)+1,FALSE)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4" s="42">
        <f ca="1">VLOOKUP($F194,OFFSET(enemy_skill_triggers!$A$1,0,0,COUNTA(enemy_skill_triggers!$A:$A),MATCH(N$1,enemy_skill_triggers!$1:$1,0)-MATCH($F$1,enemy_skill_triggers!$1:$1,0)+1),MATCH(N$1,enemy_skill_triggers!$1:$1,0)-MATCH($F$1,enemy_skill_triggers!$1:$1,0)+1,FALSE)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194" s="42">
        <f ca="1">VLOOKUP($F194,OFFSET(enemy_skill_triggers!$A$1,0,0,COUNTA(enemy_skill_triggers!$A:$A),MATCH(O$1,enemy_skill_triggers!$1:$1,0)-MATCH($F$1,enemy_skill_triggers!$1:$1,0)+1),MATCH(O$1,enemy_skill_triggers!$1:$1,0)-MATCH($F$1,enemy_skill_triggers!$1:$1,0)+1,FALSE)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4" s="41"/>
      <c r="Q194" s="41"/>
      <c r="R194" s="41" t="s">
        <v>340</v>
      </c>
    </row>
    <row r="195" spans="1:18" ht="21" customHeight="1" x14ac:dyDescent="0.15">
      <c r="A195" s="33" t="str">
        <f t="shared" si="13"/>
        <v>39008007_39008033</v>
      </c>
      <c r="B195" s="126">
        <v>39008007</v>
      </c>
      <c r="C195" s="119">
        <v>39008033</v>
      </c>
      <c r="D195" s="40" t="str">
        <f ca="1">VLOOKUP($C195,OFFSET(enemy_skills!$A$1,0,0,COUNTA(enemy_skills!$A:$A),MATCH(D$1,enemy_skills!$1:$1,0)-MATCH("enemy_skill_id",enemy_skills!$1:$1,0)+1),MATCH(D$1,enemy_skills!$1:$1,0)-MATCH("enemy_skill_id",enemy_skills!$1:$1,0)+1,FALSE)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95" s="40" t="str">
        <f ca="1">VLOOKUP($C195,OFFSET(enemy_skills!$A$1,0,0,COUNTA(enemy_skills!$A:$A),MATCH(E$1,enemy_skills!$1:$1,0)-MATCH("enemy_skill_id",enemy_skills!$1:$1,0)+1),MATCH(E$1,enemy_skills!$1:$1,0)-MATCH("enemy_skill_id",enemy_skills!$1:$1,0)+1,FALSE)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95" s="122">
        <v>39008094</v>
      </c>
      <c r="G195" s="42">
        <f ca="1">VLOOKUP($F195,OFFSET(enemy_skill_triggers!$A$1,0,0,COUNTA(enemy_skill_triggers!$A:$A),MATCH(G$1,enemy_skill_triggers!$1:$1,0)-MATCH($F$1,enemy_skill_triggers!$1:$1,0)+1),MATCH(G$1,enemy_skill_triggers!$1:$1,0)-MATCH($F$1,enemy_skill_triggers!$1:$1,0)+1,FALSE)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5" s="42">
        <f ca="1">VLOOKUP($F195,OFFSET(enemy_skill_triggers!$A$1,0,0,COUNTA(enemy_skill_triggers!$A:$A),MATCH(H$1,enemy_skill_triggers!$1:$1,0)-MATCH($F$1,enemy_skill_triggers!$1:$1,0)+1),MATCH(H$1,enemy_skill_triggers!$1:$1,0)-MATCH($F$1,enemy_skill_triggers!$1:$1,0)+1,FALSE)</f>
        <v>937</v>
      </c>
      <c r="I195" s="42">
        <f ca="1">VLOOKUP($F195,OFFSET(enemy_skill_triggers!$A$1,0,0,COUNTA(enemy_skill_triggers!$A:$A),MATCH(I$1,enemy_skill_triggers!$1:$1,0)-MATCH($F$1,enemy_skill_triggers!$1:$1,0)+1),MATCH(I$1,enemy_skill_triggers!$1:$1,0)-MATCH($F$1,enemy_skill_triggers!$1:$1,0)+1,FALSE)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5" s="42" t="str">
        <f ca="1">VLOOKUP($F195,OFFSET(enemy_skill_triggers!$A$1,0,0,COUNTA(enemy_skill_triggers!$A:$A),MATCH(J$1,enemy_skill_triggers!$1:$1,0)-MATCH($F$1,enemy_skill_triggers!$1:$1,0)+1),MATCH(J$1,enemy_skill_triggers!$1:$1,0)-MATCH($F$1,enemy_skill_triggers!$1:$1,0)+1,FALSE)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5" s="42" t="str">
        <f ca="1">VLOOKUP($F195,OFFSET(enemy_skill_triggers!$A$1,0,0,COUNTA(enemy_skill_triggers!$A:$A),MATCH(K$1,enemy_skill_triggers!$1:$1,0)-MATCH($F$1,enemy_skill_triggers!$1:$1,0)+1),MATCH(K$1,enemy_skill_triggers!$1:$1,0)-MATCH($F$1,enemy_skill_triggers!$1:$1,0)+1,FALSE)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5" s="42">
        <f ca="1">VLOOKUP($F195,OFFSET(enemy_skill_triggers!$A$1,0,0,COUNTA(enemy_skill_triggers!$A:$A),MATCH(L$1,enemy_skill_triggers!$1:$1,0)-MATCH($F$1,enemy_skill_triggers!$1:$1,0)+1),MATCH(L$1,enemy_skill_triggers!$1:$1,0)-MATCH($F$1,enemy_skill_triggers!$1:$1,0)+1,FALSE)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5" s="42" t="str">
        <f ca="1">VLOOKUP($F195,OFFSET(enemy_skill_triggers!$A$1,0,0,COUNTA(enemy_skill_triggers!$A:$A),MATCH(M$1,enemy_skill_triggers!$1:$1,0)-MATCH($F$1,enemy_skill_triggers!$1:$1,0)+1),MATCH(M$1,enemy_skill_triggers!$1:$1,0)-MATCH($F$1,enemy_skill_triggers!$1:$1,0)+1,FALSE)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5" s="42">
        <f ca="1">VLOOKUP($F195,OFFSET(enemy_skill_triggers!$A$1,0,0,COUNTA(enemy_skill_triggers!$A:$A),MATCH(N$1,enemy_skill_triggers!$1:$1,0)-MATCH($F$1,enemy_skill_triggers!$1:$1,0)+1),MATCH(N$1,enemy_skill_triggers!$1:$1,0)-MATCH($F$1,enemy_skill_triggers!$1:$1,0)+1,FALSE)</f>
        <v>1298</v>
      </c>
      <c r="O195" s="42">
        <f ca="1">VLOOKUP($F195,OFFSET(enemy_skill_triggers!$A$1,0,0,COUNTA(enemy_skill_triggers!$A:$A),MATCH(O$1,enemy_skill_triggers!$1:$1,0)-MATCH($F$1,enemy_skill_triggers!$1:$1,0)+1),MATCH(O$1,enemy_skill_triggers!$1:$1,0)-MATCH($F$1,enemy_skill_triggers!$1:$1,0)+1,FALSE)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5" s="41"/>
      <c r="Q195" s="41"/>
      <c r="R195" s="41" t="s">
        <v>340</v>
      </c>
    </row>
    <row r="196" spans="1:18" ht="21" customHeight="1" x14ac:dyDescent="0.15">
      <c r="A196" s="33" t="str">
        <f t="shared" si="13"/>
        <v>39008007_39008033</v>
      </c>
      <c r="B196" s="126">
        <v>39008007</v>
      </c>
      <c r="C196" s="119">
        <v>39008033</v>
      </c>
      <c r="D196" s="40" t="str">
        <f ca="1">VLOOKUP($C196,OFFSET(enemy_skills!$A$1,0,0,COUNTA(enemy_skills!$A:$A),MATCH(D$1,enemy_skills!$1:$1,0)-MATCH("enemy_skill_id",enemy_skills!$1:$1,0)+1),MATCH(D$1,enemy_skills!$1:$1,0)-MATCH("enemy_skill_id",enemy_skills!$1:$1,0)+1,FALSE)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96" s="40" t="str">
        <f ca="1">VLOOKUP($C196,OFFSET(enemy_skills!$A$1,0,0,COUNTA(enemy_skills!$A:$A),MATCH(E$1,enemy_skills!$1:$1,0)-MATCH("enemy_skill_id",enemy_skills!$1:$1,0)+1),MATCH(E$1,enemy_skills!$1:$1,0)-MATCH("enemy_skill_id",enemy_skills!$1:$1,0)+1,FALSE)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96" s="122">
        <v>39008095</v>
      </c>
      <c r="G196" s="42">
        <f ca="1">VLOOKUP($F196,OFFSET(enemy_skill_triggers!$A$1,0,0,COUNTA(enemy_skill_triggers!$A:$A),MATCH(G$1,enemy_skill_triggers!$1:$1,0)-MATCH($F$1,enemy_skill_triggers!$1:$1,0)+1),MATCH(G$1,enemy_skill_triggers!$1:$1,0)-MATCH($F$1,enemy_skill_triggers!$1:$1,0)+1,FALSE)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6" s="42">
        <f ca="1">VLOOKUP($F196,OFFSET(enemy_skill_triggers!$A$1,0,0,COUNTA(enemy_skill_triggers!$A:$A),MATCH(H$1,enemy_skill_triggers!$1:$1,0)-MATCH($F$1,enemy_skill_triggers!$1:$1,0)+1),MATCH(H$1,enemy_skill_triggers!$1:$1,0)-MATCH($F$1,enemy_skill_triggers!$1:$1,0)+1,FALSE)</f>
        <v>936</v>
      </c>
      <c r="I196" s="42">
        <f ca="1">VLOOKUP($F196,OFFSET(enemy_skill_triggers!$A$1,0,0,COUNTA(enemy_skill_triggers!$A:$A),MATCH(I$1,enemy_skill_triggers!$1:$1,0)-MATCH($F$1,enemy_skill_triggers!$1:$1,0)+1),MATCH(I$1,enemy_skill_triggers!$1:$1,0)-MATCH($F$1,enemy_skill_triggers!$1:$1,0)+1,FALSE)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6" s="42" t="str">
        <f ca="1">VLOOKUP($F196,OFFSET(enemy_skill_triggers!$A$1,0,0,COUNTA(enemy_skill_triggers!$A:$A),MATCH(J$1,enemy_skill_triggers!$1:$1,0)-MATCH($F$1,enemy_skill_triggers!$1:$1,0)+1),MATCH(J$1,enemy_skill_triggers!$1:$1,0)-MATCH($F$1,enemy_skill_triggers!$1:$1,0)+1,FALSE)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6" s="42" t="str">
        <f ca="1">VLOOKUP($F196,OFFSET(enemy_skill_triggers!$A$1,0,0,COUNTA(enemy_skill_triggers!$A:$A),MATCH(K$1,enemy_skill_triggers!$1:$1,0)-MATCH($F$1,enemy_skill_triggers!$1:$1,0)+1),MATCH(K$1,enemy_skill_triggers!$1:$1,0)-MATCH($F$1,enemy_skill_triggers!$1:$1,0)+1,FALSE)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6" s="42">
        <f ca="1">VLOOKUP($F196,OFFSET(enemy_skill_triggers!$A$1,0,0,COUNTA(enemy_skill_triggers!$A:$A),MATCH(L$1,enemy_skill_triggers!$1:$1,0)-MATCH($F$1,enemy_skill_triggers!$1:$1,0)+1),MATCH(L$1,enemy_skill_triggers!$1:$1,0)-MATCH($F$1,enemy_skill_triggers!$1:$1,0)+1,FALSE)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6" s="42" t="str">
        <f ca="1">VLOOKUP($F196,OFFSET(enemy_skill_triggers!$A$1,0,0,COUNTA(enemy_skill_triggers!$A:$A),MATCH(M$1,enemy_skill_triggers!$1:$1,0)-MATCH($F$1,enemy_skill_triggers!$1:$1,0)+1),MATCH(M$1,enemy_skill_triggers!$1:$1,0)-MATCH($F$1,enemy_skill_triggers!$1:$1,0)+1,FALSE)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6" s="42">
        <f ca="1">VLOOKUP($F196,OFFSET(enemy_skill_triggers!$A$1,0,0,COUNTA(enemy_skill_triggers!$A:$A),MATCH(N$1,enemy_skill_triggers!$1:$1,0)-MATCH($F$1,enemy_skill_triggers!$1:$1,0)+1),MATCH(N$1,enemy_skill_triggers!$1:$1,0)-MATCH($F$1,enemy_skill_triggers!$1:$1,0)+1,FALSE)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196" s="42">
        <f ca="1">VLOOKUP($F196,OFFSET(enemy_skill_triggers!$A$1,0,0,COUNTA(enemy_skill_triggers!$A:$A),MATCH(O$1,enemy_skill_triggers!$1:$1,0)-MATCH($F$1,enemy_skill_triggers!$1:$1,0)+1),MATCH(O$1,enemy_skill_triggers!$1:$1,0)-MATCH($F$1,enemy_skill_triggers!$1:$1,0)+1,FALSE)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6" s="41"/>
      <c r="Q196" s="41"/>
      <c r="R196" s="41" t="s">
        <v>340</v>
      </c>
    </row>
    <row r="197" spans="1:18" ht="21" customHeight="1" x14ac:dyDescent="0.15">
      <c r="A197" s="33" t="str">
        <f t="shared" si="13"/>
        <v>39008007_39008033</v>
      </c>
      <c r="B197" s="126">
        <v>39008007</v>
      </c>
      <c r="C197" s="119">
        <v>39008033</v>
      </c>
      <c r="D197" s="40" t="str">
        <f ca="1">VLOOKUP($C197,OFFSET(enemy_skills!$A$1,0,0,COUNTA(enemy_skills!$A:$A),MATCH(D$1,enemy_skills!$1:$1,0)-MATCH("enemy_skill_id",enemy_skills!$1:$1,0)+1),MATCH(D$1,enemy_skills!$1:$1,0)-MATCH("enemy_skill_id",enemy_skills!$1:$1,0)+1,FALSE)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97" s="40" t="str">
        <f ca="1">VLOOKUP($C197,OFFSET(enemy_skills!$A$1,0,0,COUNTA(enemy_skills!$A:$A),MATCH(E$1,enemy_skills!$1:$1,0)-MATCH("enemy_skill_id",enemy_skills!$1:$1,0)+1),MATCH(E$1,enemy_skills!$1:$1,0)-MATCH("enemy_skill_id",enemy_skills!$1:$1,0)+1,FALSE)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197" s="122">
        <v>39008096</v>
      </c>
      <c r="G197" s="42">
        <f ca="1">VLOOKUP($F197,OFFSET(enemy_skill_triggers!$A$1,0,0,COUNTA(enemy_skill_triggers!$A:$A),MATCH(G$1,enemy_skill_triggers!$1:$1,0)-MATCH($F$1,enemy_skill_triggers!$1:$1,0)+1),MATCH(G$1,enemy_skill_triggers!$1:$1,0)-MATCH($F$1,enemy_skill_triggers!$1:$1,0)+1,FALSE)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7" s="42">
        <f ca="1">VLOOKUP($F197,OFFSET(enemy_skill_triggers!$A$1,0,0,COUNTA(enemy_skill_triggers!$A:$A),MATCH(H$1,enemy_skill_triggers!$1:$1,0)-MATCH($F$1,enemy_skill_triggers!$1:$1,0)+1),MATCH(H$1,enemy_skill_triggers!$1:$1,0)-MATCH($F$1,enemy_skill_triggers!$1:$1,0)+1,FALSE)</f>
        <v>935</v>
      </c>
      <c r="I197" s="42">
        <f ca="1">VLOOKUP($F197,OFFSET(enemy_skill_triggers!$A$1,0,0,COUNTA(enemy_skill_triggers!$A:$A),MATCH(I$1,enemy_skill_triggers!$1:$1,0)-MATCH($F$1,enemy_skill_triggers!$1:$1,0)+1),MATCH(I$1,enemy_skill_triggers!$1:$1,0)-MATCH($F$1,enemy_skill_triggers!$1:$1,0)+1,FALSE)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7" s="42" t="str">
        <f ca="1">VLOOKUP($F197,OFFSET(enemy_skill_triggers!$A$1,0,0,COUNTA(enemy_skill_triggers!$A:$A),MATCH(J$1,enemy_skill_triggers!$1:$1,0)-MATCH($F$1,enemy_skill_triggers!$1:$1,0)+1),MATCH(J$1,enemy_skill_triggers!$1:$1,0)-MATCH($F$1,enemy_skill_triggers!$1:$1,0)+1,FALSE)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7" s="42" t="str">
        <f ca="1">VLOOKUP($F197,OFFSET(enemy_skill_triggers!$A$1,0,0,COUNTA(enemy_skill_triggers!$A:$A),MATCH(K$1,enemy_skill_triggers!$1:$1,0)-MATCH($F$1,enemy_skill_triggers!$1:$1,0)+1),MATCH(K$1,enemy_skill_triggers!$1:$1,0)-MATCH($F$1,enemy_skill_triggers!$1:$1,0)+1,FALSE)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7" s="42">
        <f ca="1">VLOOKUP($F197,OFFSET(enemy_skill_triggers!$A$1,0,0,COUNTA(enemy_skill_triggers!$A:$A),MATCH(L$1,enemy_skill_triggers!$1:$1,0)-MATCH($F$1,enemy_skill_triggers!$1:$1,0)+1),MATCH(L$1,enemy_skill_triggers!$1:$1,0)-MATCH($F$1,enemy_skill_triggers!$1:$1,0)+1,FALSE)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7" s="42" t="str">
        <f ca="1">VLOOKUP($F197,OFFSET(enemy_skill_triggers!$A$1,0,0,COUNTA(enemy_skill_triggers!$A:$A),MATCH(M$1,enemy_skill_triggers!$1:$1,0)-MATCH($F$1,enemy_skill_triggers!$1:$1,0)+1),MATCH(M$1,enemy_skill_triggers!$1:$1,0)-MATCH($F$1,enemy_skill_triggers!$1:$1,0)+1,FALSE)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7" s="42">
        <f ca="1">VLOOKUP($F197,OFFSET(enemy_skill_triggers!$A$1,0,0,COUNTA(enemy_skill_triggers!$A:$A),MATCH(N$1,enemy_skill_triggers!$1:$1,0)-MATCH($F$1,enemy_skill_triggers!$1:$1,0)+1),MATCH(N$1,enemy_skill_triggers!$1:$1,0)-MATCH($F$1,enemy_skill_triggers!$1:$1,0)+1,FALSE)</f>
        <v>1317</v>
      </c>
      <c r="O197" s="42">
        <f ca="1">VLOOKUP($F197,OFFSET(enemy_skill_triggers!$A$1,0,0,COUNTA(enemy_skill_triggers!$A:$A),MATCH(O$1,enemy_skill_triggers!$1:$1,0)-MATCH($F$1,enemy_skill_triggers!$1:$1,0)+1),MATCH(O$1,enemy_skill_triggers!$1:$1,0)-MATCH($F$1,enemy_skill_triggers!$1:$1,0)+1,FALSE)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7" s="41"/>
      <c r="Q197" s="41"/>
      <c r="R197" s="41" t="s">
        <v>340</v>
      </c>
    </row>
    <row r="198" spans="1:18" ht="21" customHeight="1" x14ac:dyDescent="0.15">
      <c r="A198" s="33" t="str">
        <f t="shared" si="13"/>
        <v>39008007_39008039</v>
      </c>
      <c r="B198" s="126">
        <v>39008007</v>
      </c>
      <c r="C198" s="119">
        <v>39008039</v>
      </c>
      <c r="D198" s="40" t="str">
        <f ca="1">VLOOKUP($C198,OFFSET(enemy_skills!$A$1,0,0,COUNTA(enemy_skills!$A:$A),MATCH(D$1,enemy_skills!$1:$1,0)-MATCH("enemy_skill_id",enemy_skills!$1:$1,0)+1),MATCH(D$1,enemy_skills!$1:$1,0)-MATCH("enemy_skill_id",enemy_skills!$1:$1,0)+1,FALSE)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98" s="40" t="str">
        <f ca="1">VLOOKUP($C198,OFFSET(enemy_skills!$A$1,0,0,COUNTA(enemy_skills!$A:$A),MATCH(E$1,enemy_skills!$1:$1,0)-MATCH("enemy_skill_id",enemy_skills!$1:$1,0)+1),MATCH(E$1,enemy_skills!$1:$1,0)-MATCH("enemy_skill_id",enemy_skills!$1:$1,0)+1,FALSE)</f>
        <v>そっか！KAITOにぃが助けてくれたんだね！ありがとうっ！</v>
      </c>
      <c r="F198" s="122">
        <v>39008097</v>
      </c>
      <c r="G198" s="42">
        <f ca="1">VLOOKUP($F198,OFFSET(enemy_skill_triggers!$A$1,0,0,COUNTA(enemy_skill_triggers!$A:$A),MATCH(G$1,enemy_skill_triggers!$1:$1,0)-MATCH($F$1,enemy_skill_triggers!$1:$1,0)+1),MATCH(G$1,enemy_skill_triggers!$1:$1,0)-MATCH($F$1,enemy_skill_triggers!$1:$1,0)+1,FALSE)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8" s="42">
        <f ca="1">VLOOKUP($F198,OFFSET(enemy_skill_triggers!$A$1,0,0,COUNTA(enemy_skill_triggers!$A:$A),MATCH(H$1,enemy_skill_triggers!$1:$1,0)-MATCH($F$1,enemy_skill_triggers!$1:$1,0)+1),MATCH(H$1,enemy_skill_triggers!$1:$1,0)-MATCH($F$1,enemy_skill_triggers!$1:$1,0)+1,FALSE)</f>
        <v>934</v>
      </c>
      <c r="I198" s="42">
        <f ca="1">VLOOKUP($F198,OFFSET(enemy_skill_triggers!$A$1,0,0,COUNTA(enemy_skill_triggers!$A:$A),MATCH(I$1,enemy_skill_triggers!$1:$1,0)-MATCH($F$1,enemy_skill_triggers!$1:$1,0)+1),MATCH(I$1,enemy_skill_triggers!$1:$1,0)-MATCH($F$1,enemy_skill_triggers!$1:$1,0)+1,FALSE)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8" s="42" t="str">
        <f ca="1">VLOOKUP($F198,OFFSET(enemy_skill_triggers!$A$1,0,0,COUNTA(enemy_skill_triggers!$A:$A),MATCH(J$1,enemy_skill_triggers!$1:$1,0)-MATCH($F$1,enemy_skill_triggers!$1:$1,0)+1),MATCH(J$1,enemy_skill_triggers!$1:$1,0)-MATCH($F$1,enemy_skill_triggers!$1:$1,0)+1,FALSE)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8" s="42" t="str">
        <f ca="1">VLOOKUP($F198,OFFSET(enemy_skill_triggers!$A$1,0,0,COUNTA(enemy_skill_triggers!$A:$A),MATCH(K$1,enemy_skill_triggers!$1:$1,0)-MATCH($F$1,enemy_skill_triggers!$1:$1,0)+1),MATCH(K$1,enemy_skill_triggers!$1:$1,0)-MATCH($F$1,enemy_skill_triggers!$1:$1,0)+1,FALSE)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8" s="42">
        <f ca="1">VLOOKUP($F198,OFFSET(enemy_skill_triggers!$A$1,0,0,COUNTA(enemy_skill_triggers!$A:$A),MATCH(L$1,enemy_skill_triggers!$1:$1,0)-MATCH($F$1,enemy_skill_triggers!$1:$1,0)+1),MATCH(L$1,enemy_skill_triggers!$1:$1,0)-MATCH($F$1,enemy_skill_triggers!$1:$1,0)+1,FALSE)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8" s="42" t="str">
        <f ca="1">VLOOKUP($F198,OFFSET(enemy_skill_triggers!$A$1,0,0,COUNTA(enemy_skill_triggers!$A:$A),MATCH(M$1,enemy_skill_triggers!$1:$1,0)-MATCH($F$1,enemy_skill_triggers!$1:$1,0)+1),MATCH(M$1,enemy_skill_triggers!$1:$1,0)-MATCH($F$1,enemy_skill_triggers!$1:$1,0)+1,FALSE)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8" s="42">
        <f ca="1">VLOOKUP($F198,OFFSET(enemy_skill_triggers!$A$1,0,0,COUNTA(enemy_skill_triggers!$A:$A),MATCH(N$1,enemy_skill_triggers!$1:$1,0)-MATCH($F$1,enemy_skill_triggers!$1:$1,0)+1),MATCH(N$1,enemy_skill_triggers!$1:$1,0)-MATCH($F$1,enemy_skill_triggers!$1:$1,0)+1,FALSE)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198" s="42">
        <f ca="1">VLOOKUP($F198,OFFSET(enemy_skill_triggers!$A$1,0,0,COUNTA(enemy_skill_triggers!$A:$A),MATCH(O$1,enemy_skill_triggers!$1:$1,0)-MATCH($F$1,enemy_skill_triggers!$1:$1,0)+1),MATCH(O$1,enemy_skill_triggers!$1:$1,0)-MATCH($F$1,enemy_skill_triggers!$1:$1,0)+1,FALSE)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8" s="41"/>
      <c r="Q198" s="41"/>
      <c r="R198" s="41" t="s">
        <v>341</v>
      </c>
    </row>
    <row r="199" spans="1:18" ht="21" customHeight="1" x14ac:dyDescent="0.15">
      <c r="A199" s="33" t="str">
        <f t="shared" si="13"/>
        <v>39008007_39008039</v>
      </c>
      <c r="B199" s="126">
        <v>39008007</v>
      </c>
      <c r="C199" s="119">
        <v>39008039</v>
      </c>
      <c r="D199" s="40" t="str">
        <f ca="1">VLOOKUP($C199,OFFSET(enemy_skills!$A$1,0,0,COUNTA(enemy_skills!$A:$A),MATCH(D$1,enemy_skills!$1:$1,0)-MATCH("enemy_skill_id",enemy_skills!$1:$1,0)+1),MATCH(D$1,enemy_skills!$1:$1,0)-MATCH("enemy_skill_id",enemy_skills!$1:$1,0)+1,FALSE)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199" s="40" t="str">
        <f ca="1">VLOOKUP($C199,OFFSET(enemy_skills!$A$1,0,0,COUNTA(enemy_skills!$A:$A),MATCH(E$1,enemy_skills!$1:$1,0)-MATCH("enemy_skill_id",enemy_skills!$1:$1,0)+1),MATCH(E$1,enemy_skills!$1:$1,0)-MATCH("enemy_skill_id",enemy_skills!$1:$1,0)+1,FALSE)</f>
        <v>そっか！KAITOにぃが助けてくれたんだね！ありがとうっ！</v>
      </c>
      <c r="F199" s="122">
        <v>39008098</v>
      </c>
      <c r="G199" s="42">
        <f ca="1">VLOOKUP($F199,OFFSET(enemy_skill_triggers!$A$1,0,0,COUNTA(enemy_skill_triggers!$A:$A),MATCH(G$1,enemy_skill_triggers!$1:$1,0)-MATCH($F$1,enemy_skill_triggers!$1:$1,0)+1),MATCH(G$1,enemy_skill_triggers!$1:$1,0)-MATCH($F$1,enemy_skill_triggers!$1:$1,0)+1,FALSE)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9" s="42">
        <f ca="1">VLOOKUP($F199,OFFSET(enemy_skill_triggers!$A$1,0,0,COUNTA(enemy_skill_triggers!$A:$A),MATCH(H$1,enemy_skill_triggers!$1:$1,0)-MATCH($F$1,enemy_skill_triggers!$1:$1,0)+1),MATCH(H$1,enemy_skill_triggers!$1:$1,0)-MATCH($F$1,enemy_skill_triggers!$1:$1,0)+1,FALSE)</f>
        <v>933</v>
      </c>
      <c r="I199" s="42">
        <f ca="1">VLOOKUP($F199,OFFSET(enemy_skill_triggers!$A$1,0,0,COUNTA(enemy_skill_triggers!$A:$A),MATCH(I$1,enemy_skill_triggers!$1:$1,0)-MATCH($F$1,enemy_skill_triggers!$1:$1,0)+1),MATCH(I$1,enemy_skill_triggers!$1:$1,0)-MATCH($F$1,enemy_skill_triggers!$1:$1,0)+1,FALSE)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9" s="42" t="str">
        <f ca="1">VLOOKUP($F199,OFFSET(enemy_skill_triggers!$A$1,0,0,COUNTA(enemy_skill_triggers!$A:$A),MATCH(J$1,enemy_skill_triggers!$1:$1,0)-MATCH($F$1,enemy_skill_triggers!$1:$1,0)+1),MATCH(J$1,enemy_skill_triggers!$1:$1,0)-MATCH($F$1,enemy_skill_triggers!$1:$1,0)+1,FALSE)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9" s="42" t="str">
        <f ca="1">VLOOKUP($F199,OFFSET(enemy_skill_triggers!$A$1,0,0,COUNTA(enemy_skill_triggers!$A:$A),MATCH(K$1,enemy_skill_triggers!$1:$1,0)-MATCH($F$1,enemy_skill_triggers!$1:$1,0)+1),MATCH(K$1,enemy_skill_triggers!$1:$1,0)-MATCH($F$1,enemy_skill_triggers!$1:$1,0)+1,FALSE)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9" s="42">
        <f ca="1">VLOOKUP($F199,OFFSET(enemy_skill_triggers!$A$1,0,0,COUNTA(enemy_skill_triggers!$A:$A),MATCH(L$1,enemy_skill_triggers!$1:$1,0)-MATCH($F$1,enemy_skill_triggers!$1:$1,0)+1),MATCH(L$1,enemy_skill_triggers!$1:$1,0)-MATCH($F$1,enemy_skill_triggers!$1:$1,0)+1,FALSE)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9" s="42" t="str">
        <f ca="1">VLOOKUP($F199,OFFSET(enemy_skill_triggers!$A$1,0,0,COUNTA(enemy_skill_triggers!$A:$A),MATCH(M$1,enemy_skill_triggers!$1:$1,0)-MATCH($F$1,enemy_skill_triggers!$1:$1,0)+1),MATCH(M$1,enemy_skill_triggers!$1:$1,0)-MATCH($F$1,enemy_skill_triggers!$1:$1,0)+1,FALSE)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9" s="42">
        <f ca="1">VLOOKUP($F199,OFFSET(enemy_skill_triggers!$A$1,0,0,COUNTA(enemy_skill_triggers!$A:$A),MATCH(N$1,enemy_skill_triggers!$1:$1,0)-MATCH($F$1,enemy_skill_triggers!$1:$1,0)+1),MATCH(N$1,enemy_skill_triggers!$1:$1,0)-MATCH($F$1,enemy_skill_triggers!$1:$1,0)+1,FALSE)</f>
        <v>552</v>
      </c>
      <c r="O199" s="42">
        <f ca="1">VLOOKUP($F199,OFFSET(enemy_skill_triggers!$A$1,0,0,COUNTA(enemy_skill_triggers!$A:$A),MATCH(O$1,enemy_skill_triggers!$1:$1,0)-MATCH($F$1,enemy_skill_triggers!$1:$1,0)+1),MATCH(O$1,enemy_skill_triggers!$1:$1,0)-MATCH($F$1,enemy_skill_triggers!$1:$1,0)+1,FALSE)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9" s="41"/>
      <c r="Q199" s="41"/>
      <c r="R199" s="41" t="s">
        <v>342</v>
      </c>
    </row>
    <row r="200" spans="1:18" ht="21" customHeight="1" x14ac:dyDescent="0.15">
      <c r="A200" s="33" t="str">
        <f t="shared" si="13"/>
        <v>39008007_39008039</v>
      </c>
      <c r="B200" s="126">
        <v>39008007</v>
      </c>
      <c r="C200" s="119">
        <v>39008039</v>
      </c>
      <c r="D200" s="40" t="str">
        <f ca="1">VLOOKUP($C200,OFFSET(enemy_skills!$A$1,0,0,COUNTA(enemy_skills!$A:$A),MATCH(D$1,enemy_skills!$1:$1,0)-MATCH("enemy_skill_id",enemy_skills!$1:$1,0)+1),MATCH(D$1,enemy_skills!$1:$1,0)-MATCH("enemy_skill_id",enemy_skills!$1:$1,0)+1,FALSE)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00" s="40" t="str">
        <f ca="1">VLOOKUP($C200,OFFSET(enemy_skills!$A$1,0,0,COUNTA(enemy_skills!$A:$A),MATCH(E$1,enemy_skills!$1:$1,0)-MATCH("enemy_skill_id",enemy_skills!$1:$1,0)+1),MATCH(E$1,enemy_skills!$1:$1,0)-MATCH("enemy_skill_id",enemy_skills!$1:$1,0)+1,FALSE)</f>
        <v>そっか！KAITOにぃが助けてくれたんだね！ありがとうっ！</v>
      </c>
      <c r="F200" s="122">
        <v>39008099</v>
      </c>
      <c r="G200" s="42">
        <f ca="1">VLOOKUP($F200,OFFSET(enemy_skill_triggers!$A$1,0,0,COUNTA(enemy_skill_triggers!$A:$A),MATCH(G$1,enemy_skill_triggers!$1:$1,0)-MATCH($F$1,enemy_skill_triggers!$1:$1,0)+1),MATCH(G$1,enemy_skill_triggers!$1:$1,0)-MATCH($F$1,enemy_skill_triggers!$1:$1,0)+1,FALSE)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0" s="42">
        <f ca="1">VLOOKUP($F200,OFFSET(enemy_skill_triggers!$A$1,0,0,COUNTA(enemy_skill_triggers!$A:$A),MATCH(H$1,enemy_skill_triggers!$1:$1,0)-MATCH($F$1,enemy_skill_triggers!$1:$1,0)+1),MATCH(H$1,enemy_skill_triggers!$1:$1,0)-MATCH($F$1,enemy_skill_triggers!$1:$1,0)+1,FALSE)</f>
        <v>932</v>
      </c>
      <c r="I200" s="42">
        <f ca="1">VLOOKUP($F200,OFFSET(enemy_skill_triggers!$A$1,0,0,COUNTA(enemy_skill_triggers!$A:$A),MATCH(I$1,enemy_skill_triggers!$1:$1,0)-MATCH($F$1,enemy_skill_triggers!$1:$1,0)+1),MATCH(I$1,enemy_skill_triggers!$1:$1,0)-MATCH($F$1,enemy_skill_triggers!$1:$1,0)+1,FALSE)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0" s="42" t="str">
        <f ca="1">VLOOKUP($F200,OFFSET(enemy_skill_triggers!$A$1,0,0,COUNTA(enemy_skill_triggers!$A:$A),MATCH(J$1,enemy_skill_triggers!$1:$1,0)-MATCH($F$1,enemy_skill_triggers!$1:$1,0)+1),MATCH(J$1,enemy_skill_triggers!$1:$1,0)-MATCH($F$1,enemy_skill_triggers!$1:$1,0)+1,FALSE)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0" s="42" t="str">
        <f ca="1">VLOOKUP($F200,OFFSET(enemy_skill_triggers!$A$1,0,0,COUNTA(enemy_skill_triggers!$A:$A),MATCH(K$1,enemy_skill_triggers!$1:$1,0)-MATCH($F$1,enemy_skill_triggers!$1:$1,0)+1),MATCH(K$1,enemy_skill_triggers!$1:$1,0)-MATCH($F$1,enemy_skill_triggers!$1:$1,0)+1,FALSE)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0" s="42">
        <f ca="1">VLOOKUP($F200,OFFSET(enemy_skill_triggers!$A$1,0,0,COUNTA(enemy_skill_triggers!$A:$A),MATCH(L$1,enemy_skill_triggers!$1:$1,0)-MATCH($F$1,enemy_skill_triggers!$1:$1,0)+1),MATCH(L$1,enemy_skill_triggers!$1:$1,0)-MATCH($F$1,enemy_skill_triggers!$1:$1,0)+1,FALSE)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0" s="42" t="str">
        <f ca="1">VLOOKUP($F200,OFFSET(enemy_skill_triggers!$A$1,0,0,COUNTA(enemy_skill_triggers!$A:$A),MATCH(M$1,enemy_skill_triggers!$1:$1,0)-MATCH($F$1,enemy_skill_triggers!$1:$1,0)+1),MATCH(M$1,enemy_skill_triggers!$1:$1,0)-MATCH($F$1,enemy_skill_triggers!$1:$1,0)+1,FALSE)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0" s="42">
        <f ca="1">VLOOKUP($F200,OFFSET(enemy_skill_triggers!$A$1,0,0,COUNTA(enemy_skill_triggers!$A:$A),MATCH(N$1,enemy_skill_triggers!$1:$1,0)-MATCH($F$1,enemy_skill_triggers!$1:$1,0)+1),MATCH(N$1,enemy_skill_triggers!$1:$1,0)-MATCH($F$1,enemy_skill_triggers!$1:$1,0)+1,FALSE)</f>
        <v>1315</v>
      </c>
      <c r="O200" s="42">
        <f ca="1">VLOOKUP($F200,OFFSET(enemy_skill_triggers!$A$1,0,0,COUNTA(enemy_skill_triggers!$A:$A),MATCH(O$1,enemy_skill_triggers!$1:$1,0)-MATCH($F$1,enemy_skill_triggers!$1:$1,0)+1),MATCH(O$1,enemy_skill_triggers!$1:$1,0)-MATCH($F$1,enemy_skill_triggers!$1:$1,0)+1,FALSE)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0" s="41"/>
      <c r="Q200" s="41"/>
      <c r="R200" s="41" t="s">
        <v>343</v>
      </c>
    </row>
    <row r="201" spans="1:18" ht="21" customHeight="1" x14ac:dyDescent="0.15">
      <c r="A201" s="33" t="str">
        <f t="shared" si="13"/>
        <v>39008007_39008034</v>
      </c>
      <c r="B201" s="126">
        <v>39008007</v>
      </c>
      <c r="C201" s="119">
        <v>39008034</v>
      </c>
      <c r="D201" s="40" t="str">
        <f ca="1">VLOOKUP($C201,OFFSET(enemy_skills!$A$1,0,0,COUNTA(enemy_skills!$A:$A),MATCH(D$1,enemy_skills!$1:$1,0)-MATCH("enemy_skill_id",enemy_skills!$1:$1,0)+1),MATCH(D$1,enemy_skills!$1:$1,0)-MATCH("enemy_skill_id",enemy_skills!$1:$1,0)+1,FALSE)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01" s="40" t="str">
        <f ca="1">VLOOKUP($C201,OFFSET(enemy_skills!$A$1,0,0,COUNTA(enemy_skills!$A:$A),MATCH(E$1,enemy_skills!$1:$1,0)-MATCH("enemy_skill_id",enemy_skills!$1:$1,0)+1),MATCH(E$1,enemy_skills!$1:$1,0)-MATCH("enemy_skill_id",enemy_skills!$1:$1,0)+1,FALSE)</f>
        <v>そっかー！ユキネが助けてくれたんだねー！すっごーい！</v>
      </c>
      <c r="F201" s="122">
        <v>39008100</v>
      </c>
      <c r="G201" s="42">
        <f ca="1">VLOOKUP($F201,OFFSET(enemy_skill_triggers!$A$1,0,0,COUNTA(enemy_skill_triggers!$A:$A),MATCH(G$1,enemy_skill_triggers!$1:$1,0)-MATCH($F$1,enemy_skill_triggers!$1:$1,0)+1),MATCH(G$1,enemy_skill_triggers!$1:$1,0)-MATCH($F$1,enemy_skill_triggers!$1:$1,0)+1,FALSE)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1" s="42">
        <f ca="1">VLOOKUP($F201,OFFSET(enemy_skill_triggers!$A$1,0,0,COUNTA(enemy_skill_triggers!$A:$A),MATCH(H$1,enemy_skill_triggers!$1:$1,0)-MATCH($F$1,enemy_skill_triggers!$1:$1,0)+1),MATCH(H$1,enemy_skill_triggers!$1:$1,0)-MATCH($F$1,enemy_skill_triggers!$1:$1,0)+1,FALSE)</f>
        <v>931</v>
      </c>
      <c r="I201" s="42">
        <f ca="1">VLOOKUP($F201,OFFSET(enemy_skill_triggers!$A$1,0,0,COUNTA(enemy_skill_triggers!$A:$A),MATCH(I$1,enemy_skill_triggers!$1:$1,0)-MATCH($F$1,enemy_skill_triggers!$1:$1,0)+1),MATCH(I$1,enemy_skill_triggers!$1:$1,0)-MATCH($F$1,enemy_skill_triggers!$1:$1,0)+1,FALSE)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1" s="42" t="str">
        <f ca="1">VLOOKUP($F201,OFFSET(enemy_skill_triggers!$A$1,0,0,COUNTA(enemy_skill_triggers!$A:$A),MATCH(J$1,enemy_skill_triggers!$1:$1,0)-MATCH($F$1,enemy_skill_triggers!$1:$1,0)+1),MATCH(J$1,enemy_skill_triggers!$1:$1,0)-MATCH($F$1,enemy_skill_triggers!$1:$1,0)+1,FALSE)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1" s="42" t="str">
        <f ca="1">VLOOKUP($F201,OFFSET(enemy_skill_triggers!$A$1,0,0,COUNTA(enemy_skill_triggers!$A:$A),MATCH(K$1,enemy_skill_triggers!$1:$1,0)-MATCH($F$1,enemy_skill_triggers!$1:$1,0)+1),MATCH(K$1,enemy_skill_triggers!$1:$1,0)-MATCH($F$1,enemy_skill_triggers!$1:$1,0)+1,FALSE)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1" s="42">
        <f ca="1">VLOOKUP($F201,OFFSET(enemy_skill_triggers!$A$1,0,0,COUNTA(enemy_skill_triggers!$A:$A),MATCH(L$1,enemy_skill_triggers!$1:$1,0)-MATCH($F$1,enemy_skill_triggers!$1:$1,0)+1),MATCH(L$1,enemy_skill_triggers!$1:$1,0)-MATCH($F$1,enemy_skill_triggers!$1:$1,0)+1,FALSE)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1" s="42" t="str">
        <f ca="1">VLOOKUP($F201,OFFSET(enemy_skill_triggers!$A$1,0,0,COUNTA(enemy_skill_triggers!$A:$A),MATCH(M$1,enemy_skill_triggers!$1:$1,0)-MATCH($F$1,enemy_skill_triggers!$1:$1,0)+1),MATCH(M$1,enemy_skill_triggers!$1:$1,0)-MATCH($F$1,enemy_skill_triggers!$1:$1,0)+1,FALSE)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1" s="42">
        <f ca="1">VLOOKUP($F201,OFFSET(enemy_skill_triggers!$A$1,0,0,COUNTA(enemy_skill_triggers!$A:$A),MATCH(N$1,enemy_skill_triggers!$1:$1,0)-MATCH($F$1,enemy_skill_triggers!$1:$1,0)+1),MATCH(N$1,enemy_skill_triggers!$1:$1,0)-MATCH($F$1,enemy_skill_triggers!$1:$1,0)+1,FALSE)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201" s="42">
        <f ca="1">VLOOKUP($F201,OFFSET(enemy_skill_triggers!$A$1,0,0,COUNTA(enemy_skill_triggers!$A:$A),MATCH(O$1,enemy_skill_triggers!$1:$1,0)-MATCH($F$1,enemy_skill_triggers!$1:$1,0)+1),MATCH(O$1,enemy_skill_triggers!$1:$1,0)-MATCH($F$1,enemy_skill_triggers!$1:$1,0)+1,FALSE)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1" s="41"/>
      <c r="Q201" s="41"/>
      <c r="R201" s="41" t="s">
        <v>344</v>
      </c>
    </row>
    <row r="202" spans="1:18" ht="21" customHeight="1" x14ac:dyDescent="0.15">
      <c r="A202" s="33" t="str">
        <f t="shared" si="13"/>
        <v>39008007_39008034</v>
      </c>
      <c r="B202" s="126">
        <v>39008007</v>
      </c>
      <c r="C202" s="119">
        <v>39008034</v>
      </c>
      <c r="D202" s="40" t="str">
        <f ca="1">VLOOKUP($C202,OFFSET(enemy_skills!$A$1,0,0,COUNTA(enemy_skills!$A:$A),MATCH(D$1,enemy_skills!$1:$1,0)-MATCH("enemy_skill_id",enemy_skills!$1:$1,0)+1),MATCH(D$1,enemy_skills!$1:$1,0)-MATCH("enemy_skill_id",enemy_skills!$1:$1,0)+1,FALSE)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02" s="40" t="str">
        <f ca="1">VLOOKUP($C202,OFFSET(enemy_skills!$A$1,0,0,COUNTA(enemy_skills!$A:$A),MATCH(E$1,enemy_skills!$1:$1,0)-MATCH("enemy_skill_id",enemy_skills!$1:$1,0)+1),MATCH(E$1,enemy_skills!$1:$1,0)-MATCH("enemy_skill_id",enemy_skills!$1:$1,0)+1,FALSE)</f>
        <v>そっかー！ユキネが助けてくれたんだねー！すっごーい！</v>
      </c>
      <c r="F202" s="122">
        <v>39008101</v>
      </c>
      <c r="G202" s="42">
        <f ca="1">VLOOKUP($F202,OFFSET(enemy_skill_triggers!$A$1,0,0,COUNTA(enemy_skill_triggers!$A:$A),MATCH(G$1,enemy_skill_triggers!$1:$1,0)-MATCH($F$1,enemy_skill_triggers!$1:$1,0)+1),MATCH(G$1,enemy_skill_triggers!$1:$1,0)-MATCH($F$1,enemy_skill_triggers!$1:$1,0)+1,FALSE)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2" s="42">
        <f ca="1">VLOOKUP($F202,OFFSET(enemy_skill_triggers!$A$1,0,0,COUNTA(enemy_skill_triggers!$A:$A),MATCH(H$1,enemy_skill_triggers!$1:$1,0)-MATCH($F$1,enemy_skill_triggers!$1:$1,0)+1),MATCH(H$1,enemy_skill_triggers!$1:$1,0)-MATCH($F$1,enemy_skill_triggers!$1:$1,0)+1,FALSE)</f>
        <v>930</v>
      </c>
      <c r="I202" s="42">
        <f ca="1">VLOOKUP($F202,OFFSET(enemy_skill_triggers!$A$1,0,0,COUNTA(enemy_skill_triggers!$A:$A),MATCH(I$1,enemy_skill_triggers!$1:$1,0)-MATCH($F$1,enemy_skill_triggers!$1:$1,0)+1),MATCH(I$1,enemy_skill_triggers!$1:$1,0)-MATCH($F$1,enemy_skill_triggers!$1:$1,0)+1,FALSE)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2" s="42" t="str">
        <f ca="1">VLOOKUP($F202,OFFSET(enemy_skill_triggers!$A$1,0,0,COUNTA(enemy_skill_triggers!$A:$A),MATCH(J$1,enemy_skill_triggers!$1:$1,0)-MATCH($F$1,enemy_skill_triggers!$1:$1,0)+1),MATCH(J$1,enemy_skill_triggers!$1:$1,0)-MATCH($F$1,enemy_skill_triggers!$1:$1,0)+1,FALSE)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2" s="42" t="str">
        <f ca="1">VLOOKUP($F202,OFFSET(enemy_skill_triggers!$A$1,0,0,COUNTA(enemy_skill_triggers!$A:$A),MATCH(K$1,enemy_skill_triggers!$1:$1,0)-MATCH($F$1,enemy_skill_triggers!$1:$1,0)+1),MATCH(K$1,enemy_skill_triggers!$1:$1,0)-MATCH($F$1,enemy_skill_triggers!$1:$1,0)+1,FALSE)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2" s="42">
        <f ca="1">VLOOKUP($F202,OFFSET(enemy_skill_triggers!$A$1,0,0,COUNTA(enemy_skill_triggers!$A:$A),MATCH(L$1,enemy_skill_triggers!$1:$1,0)-MATCH($F$1,enemy_skill_triggers!$1:$1,0)+1),MATCH(L$1,enemy_skill_triggers!$1:$1,0)-MATCH($F$1,enemy_skill_triggers!$1:$1,0)+1,FALSE)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2" s="42" t="str">
        <f ca="1">VLOOKUP($F202,OFFSET(enemy_skill_triggers!$A$1,0,0,COUNTA(enemy_skill_triggers!$A:$A),MATCH(M$1,enemy_skill_triggers!$1:$1,0)-MATCH($F$1,enemy_skill_triggers!$1:$1,0)+1),MATCH(M$1,enemy_skill_triggers!$1:$1,0)-MATCH($F$1,enemy_skill_triggers!$1:$1,0)+1,FALSE)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2" s="42">
        <f ca="1">VLOOKUP($F202,OFFSET(enemy_skill_triggers!$A$1,0,0,COUNTA(enemy_skill_triggers!$A:$A),MATCH(N$1,enemy_skill_triggers!$1:$1,0)-MATCH($F$1,enemy_skill_triggers!$1:$1,0)+1),MATCH(N$1,enemy_skill_triggers!$1:$1,0)-MATCH($F$1,enemy_skill_triggers!$1:$1,0)+1,FALSE)</f>
        <v>558</v>
      </c>
      <c r="O202" s="42">
        <f ca="1">VLOOKUP($F202,OFFSET(enemy_skill_triggers!$A$1,0,0,COUNTA(enemy_skill_triggers!$A:$A),MATCH(O$1,enemy_skill_triggers!$1:$1,0)-MATCH($F$1,enemy_skill_triggers!$1:$1,0)+1),MATCH(O$1,enemy_skill_triggers!$1:$1,0)-MATCH($F$1,enemy_skill_triggers!$1:$1,0)+1,FALSE)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2" s="41"/>
      <c r="Q202" s="41"/>
      <c r="R202" s="41" t="s">
        <v>344</v>
      </c>
    </row>
    <row r="203" spans="1:18" ht="21" customHeight="1" x14ac:dyDescent="0.15">
      <c r="A203" s="33" t="str">
        <f t="shared" si="13"/>
        <v>39008007_39008034</v>
      </c>
      <c r="B203" s="126">
        <v>39008007</v>
      </c>
      <c r="C203" s="119">
        <v>39008034</v>
      </c>
      <c r="D203" s="40" t="str">
        <f ca="1">VLOOKUP($C203,OFFSET(enemy_skills!$A$1,0,0,COUNTA(enemy_skills!$A:$A),MATCH(D$1,enemy_skills!$1:$1,0)-MATCH("enemy_skill_id",enemy_skills!$1:$1,0)+1),MATCH(D$1,enemy_skills!$1:$1,0)-MATCH("enemy_skill_id",enemy_skills!$1:$1,0)+1,FALSE)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03" s="40" t="str">
        <f ca="1">VLOOKUP($C203,OFFSET(enemy_skills!$A$1,0,0,COUNTA(enemy_skills!$A:$A),MATCH(E$1,enemy_skills!$1:$1,0)-MATCH("enemy_skill_id",enemy_skills!$1:$1,0)+1),MATCH(E$1,enemy_skills!$1:$1,0)-MATCH("enemy_skill_id",enemy_skills!$1:$1,0)+1,FALSE)</f>
        <v>そっかー！ユキネが助けてくれたんだねー！すっごーい！</v>
      </c>
      <c r="F203" s="122">
        <v>39008102</v>
      </c>
      <c r="G203" s="42">
        <f ca="1">VLOOKUP($F203,OFFSET(enemy_skill_triggers!$A$1,0,0,COUNTA(enemy_skill_triggers!$A:$A),MATCH(G$1,enemy_skill_triggers!$1:$1,0)-MATCH($F$1,enemy_skill_triggers!$1:$1,0)+1),MATCH(G$1,enemy_skill_triggers!$1:$1,0)-MATCH($F$1,enemy_skill_triggers!$1:$1,0)+1,FALSE)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3" s="42">
        <f ca="1">VLOOKUP($F203,OFFSET(enemy_skill_triggers!$A$1,0,0,COUNTA(enemy_skill_triggers!$A:$A),MATCH(H$1,enemy_skill_triggers!$1:$1,0)-MATCH($F$1,enemy_skill_triggers!$1:$1,0)+1),MATCH(H$1,enemy_skill_triggers!$1:$1,0)-MATCH($F$1,enemy_skill_triggers!$1:$1,0)+1,FALSE)</f>
        <v>929</v>
      </c>
      <c r="I203" s="42">
        <f ca="1">VLOOKUP($F203,OFFSET(enemy_skill_triggers!$A$1,0,0,COUNTA(enemy_skill_triggers!$A:$A),MATCH(I$1,enemy_skill_triggers!$1:$1,0)-MATCH($F$1,enemy_skill_triggers!$1:$1,0)+1),MATCH(I$1,enemy_skill_triggers!$1:$1,0)-MATCH($F$1,enemy_skill_triggers!$1:$1,0)+1,FALSE)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3" s="42" t="str">
        <f ca="1">VLOOKUP($F203,OFFSET(enemy_skill_triggers!$A$1,0,0,COUNTA(enemy_skill_triggers!$A:$A),MATCH(J$1,enemy_skill_triggers!$1:$1,0)-MATCH($F$1,enemy_skill_triggers!$1:$1,0)+1),MATCH(J$1,enemy_skill_triggers!$1:$1,0)-MATCH($F$1,enemy_skill_triggers!$1:$1,0)+1,FALSE)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3" s="42" t="str">
        <f ca="1">VLOOKUP($F203,OFFSET(enemy_skill_triggers!$A$1,0,0,COUNTA(enemy_skill_triggers!$A:$A),MATCH(K$1,enemy_skill_triggers!$1:$1,0)-MATCH($F$1,enemy_skill_triggers!$1:$1,0)+1),MATCH(K$1,enemy_skill_triggers!$1:$1,0)-MATCH($F$1,enemy_skill_triggers!$1:$1,0)+1,FALSE)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3" s="42">
        <f ca="1">VLOOKUP($F203,OFFSET(enemy_skill_triggers!$A$1,0,0,COUNTA(enemy_skill_triggers!$A:$A),MATCH(L$1,enemy_skill_triggers!$1:$1,0)-MATCH($F$1,enemy_skill_triggers!$1:$1,0)+1),MATCH(L$1,enemy_skill_triggers!$1:$1,0)-MATCH($F$1,enemy_skill_triggers!$1:$1,0)+1,FALSE)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3" s="42" t="str">
        <f ca="1">VLOOKUP($F203,OFFSET(enemy_skill_triggers!$A$1,0,0,COUNTA(enemy_skill_triggers!$A:$A),MATCH(M$1,enemy_skill_triggers!$1:$1,0)-MATCH($F$1,enemy_skill_triggers!$1:$1,0)+1),MATCH(M$1,enemy_skill_triggers!$1:$1,0)-MATCH($F$1,enemy_skill_triggers!$1:$1,0)+1,FALSE)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3" s="42">
        <f ca="1">VLOOKUP($F203,OFFSET(enemy_skill_triggers!$A$1,0,0,COUNTA(enemy_skill_triggers!$A:$A),MATCH(N$1,enemy_skill_triggers!$1:$1,0)-MATCH($F$1,enemy_skill_triggers!$1:$1,0)+1),MATCH(N$1,enemy_skill_triggers!$1:$1,0)-MATCH($F$1,enemy_skill_triggers!$1:$1,0)+1,FALSE)</f>
        <v>559</v>
      </c>
      <c r="O203" s="42">
        <f ca="1">VLOOKUP($F203,OFFSET(enemy_skill_triggers!$A$1,0,0,COUNTA(enemy_skill_triggers!$A:$A),MATCH(O$1,enemy_skill_triggers!$1:$1,0)-MATCH($F$1,enemy_skill_triggers!$1:$1,0)+1),MATCH(O$1,enemy_skill_triggers!$1:$1,0)-MATCH($F$1,enemy_skill_triggers!$1:$1,0)+1,FALSE)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3" s="41"/>
      <c r="Q203" s="41"/>
      <c r="R203" s="41" t="s">
        <v>344</v>
      </c>
    </row>
    <row r="204" spans="1:18" ht="21" customHeight="1" x14ac:dyDescent="0.15">
      <c r="A204" s="33" t="str">
        <f t="shared" si="13"/>
        <v>39008007_39008034</v>
      </c>
      <c r="B204" s="126">
        <v>39008007</v>
      </c>
      <c r="C204" s="119">
        <v>39008034</v>
      </c>
      <c r="D204" s="40" t="str">
        <f ca="1">VLOOKUP($C204,OFFSET(enemy_skills!$A$1,0,0,COUNTA(enemy_skills!$A:$A),MATCH(D$1,enemy_skills!$1:$1,0)-MATCH("enemy_skill_id",enemy_skills!$1:$1,0)+1),MATCH(D$1,enemy_skills!$1:$1,0)-MATCH("enemy_skill_id",enemy_skills!$1:$1,0)+1,FALSE)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04" s="40" t="str">
        <f ca="1">VLOOKUP($C204,OFFSET(enemy_skills!$A$1,0,0,COUNTA(enemy_skills!$A:$A),MATCH(E$1,enemy_skills!$1:$1,0)-MATCH("enemy_skill_id",enemy_skills!$1:$1,0)+1),MATCH(E$1,enemy_skills!$1:$1,0)-MATCH("enemy_skill_id",enemy_skills!$1:$1,0)+1,FALSE)</f>
        <v>そっかー！ユキネが助けてくれたんだねー！すっごーい！</v>
      </c>
      <c r="F204" s="122">
        <v>39008103</v>
      </c>
      <c r="G204" s="42">
        <f ca="1">VLOOKUP($F204,OFFSET(enemy_skill_triggers!$A$1,0,0,COUNTA(enemy_skill_triggers!$A:$A),MATCH(G$1,enemy_skill_triggers!$1:$1,0)-MATCH($F$1,enemy_skill_triggers!$1:$1,0)+1),MATCH(G$1,enemy_skill_triggers!$1:$1,0)-MATCH($F$1,enemy_skill_triggers!$1:$1,0)+1,FALSE)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4" s="42">
        <f ca="1">VLOOKUP($F204,OFFSET(enemy_skill_triggers!$A$1,0,0,COUNTA(enemy_skill_triggers!$A:$A),MATCH(H$1,enemy_skill_triggers!$1:$1,0)-MATCH($F$1,enemy_skill_triggers!$1:$1,0)+1),MATCH(H$1,enemy_skill_triggers!$1:$1,0)-MATCH($F$1,enemy_skill_triggers!$1:$1,0)+1,FALSE)</f>
        <v>928</v>
      </c>
      <c r="I204" s="42">
        <f ca="1">VLOOKUP($F204,OFFSET(enemy_skill_triggers!$A$1,0,0,COUNTA(enemy_skill_triggers!$A:$A),MATCH(I$1,enemy_skill_triggers!$1:$1,0)-MATCH($F$1,enemy_skill_triggers!$1:$1,0)+1),MATCH(I$1,enemy_skill_triggers!$1:$1,0)-MATCH($F$1,enemy_skill_triggers!$1:$1,0)+1,FALSE)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4" s="42" t="str">
        <f ca="1">VLOOKUP($F204,OFFSET(enemy_skill_triggers!$A$1,0,0,COUNTA(enemy_skill_triggers!$A:$A),MATCH(J$1,enemy_skill_triggers!$1:$1,0)-MATCH($F$1,enemy_skill_triggers!$1:$1,0)+1),MATCH(J$1,enemy_skill_triggers!$1:$1,0)-MATCH($F$1,enemy_skill_triggers!$1:$1,0)+1,FALSE)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4" s="42" t="str">
        <f ca="1">VLOOKUP($F204,OFFSET(enemy_skill_triggers!$A$1,0,0,COUNTA(enemy_skill_triggers!$A:$A),MATCH(K$1,enemy_skill_triggers!$1:$1,0)-MATCH($F$1,enemy_skill_triggers!$1:$1,0)+1),MATCH(K$1,enemy_skill_triggers!$1:$1,0)-MATCH($F$1,enemy_skill_triggers!$1:$1,0)+1,FALSE)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4" s="42">
        <f ca="1">VLOOKUP($F204,OFFSET(enemy_skill_triggers!$A$1,0,0,COUNTA(enemy_skill_triggers!$A:$A),MATCH(L$1,enemy_skill_triggers!$1:$1,0)-MATCH($F$1,enemy_skill_triggers!$1:$1,0)+1),MATCH(L$1,enemy_skill_triggers!$1:$1,0)-MATCH($F$1,enemy_skill_triggers!$1:$1,0)+1,FALSE)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4" s="42" t="str">
        <f ca="1">VLOOKUP($F204,OFFSET(enemy_skill_triggers!$A$1,0,0,COUNTA(enemy_skill_triggers!$A:$A),MATCH(M$1,enemy_skill_triggers!$1:$1,0)-MATCH($F$1,enemy_skill_triggers!$1:$1,0)+1),MATCH(M$1,enemy_skill_triggers!$1:$1,0)-MATCH($F$1,enemy_skill_triggers!$1:$1,0)+1,FALSE)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4" s="42">
        <f ca="1">VLOOKUP($F204,OFFSET(enemy_skill_triggers!$A$1,0,0,COUNTA(enemy_skill_triggers!$A:$A),MATCH(N$1,enemy_skill_triggers!$1:$1,0)-MATCH($F$1,enemy_skill_triggers!$1:$1,0)+1),MATCH(N$1,enemy_skill_triggers!$1:$1,0)-MATCH($F$1,enemy_skill_triggers!$1:$1,0)+1,FALSE)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204" s="42">
        <f ca="1">VLOOKUP($F204,OFFSET(enemy_skill_triggers!$A$1,0,0,COUNTA(enemy_skill_triggers!$A:$A),MATCH(O$1,enemy_skill_triggers!$1:$1,0)-MATCH($F$1,enemy_skill_triggers!$1:$1,0)+1),MATCH(O$1,enemy_skill_triggers!$1:$1,0)-MATCH($F$1,enemy_skill_triggers!$1:$1,0)+1,FALSE)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4" s="41"/>
      <c r="Q204" s="41"/>
      <c r="R204" s="41" t="s">
        <v>344</v>
      </c>
    </row>
    <row r="205" spans="1:18" ht="21" customHeight="1" x14ac:dyDescent="0.15">
      <c r="A205" s="33" t="str">
        <f t="shared" si="13"/>
        <v>39008007_39008034</v>
      </c>
      <c r="B205" s="126">
        <v>39008007</v>
      </c>
      <c r="C205" s="119">
        <v>39008034</v>
      </c>
      <c r="D205" s="40" t="str">
        <f ca="1">VLOOKUP($C205,OFFSET(enemy_skills!$A$1,0,0,COUNTA(enemy_skills!$A:$A),MATCH(D$1,enemy_skills!$1:$1,0)-MATCH("enemy_skill_id",enemy_skills!$1:$1,0)+1),MATCH(D$1,enemy_skills!$1:$1,0)-MATCH("enemy_skill_id",enemy_skills!$1:$1,0)+1,FALSE)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05" s="40" t="str">
        <f ca="1">VLOOKUP($C205,OFFSET(enemy_skills!$A$1,0,0,COUNTA(enemy_skills!$A:$A),MATCH(E$1,enemy_skills!$1:$1,0)-MATCH("enemy_skill_id",enemy_skills!$1:$1,0)+1),MATCH(E$1,enemy_skills!$1:$1,0)-MATCH("enemy_skill_id",enemy_skills!$1:$1,0)+1,FALSE)</f>
        <v>そっかー！ユキネが助けてくれたんだねー！すっごーい！</v>
      </c>
      <c r="F205" s="122">
        <v>39008104</v>
      </c>
      <c r="G205" s="42">
        <f ca="1">VLOOKUP($F205,OFFSET(enemy_skill_triggers!$A$1,0,0,COUNTA(enemy_skill_triggers!$A:$A),MATCH(G$1,enemy_skill_triggers!$1:$1,0)-MATCH($F$1,enemy_skill_triggers!$1:$1,0)+1),MATCH(G$1,enemy_skill_triggers!$1:$1,0)-MATCH($F$1,enemy_skill_triggers!$1:$1,0)+1,FALSE)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5" s="42">
        <f ca="1">VLOOKUP($F205,OFFSET(enemy_skill_triggers!$A$1,0,0,COUNTA(enemy_skill_triggers!$A:$A),MATCH(H$1,enemy_skill_triggers!$1:$1,0)-MATCH($F$1,enemy_skill_triggers!$1:$1,0)+1),MATCH(H$1,enemy_skill_triggers!$1:$1,0)-MATCH($F$1,enemy_skill_triggers!$1:$1,0)+1,FALSE)</f>
        <v>927</v>
      </c>
      <c r="I205" s="42">
        <f ca="1">VLOOKUP($F205,OFFSET(enemy_skill_triggers!$A$1,0,0,COUNTA(enemy_skill_triggers!$A:$A),MATCH(I$1,enemy_skill_triggers!$1:$1,0)-MATCH($F$1,enemy_skill_triggers!$1:$1,0)+1),MATCH(I$1,enemy_skill_triggers!$1:$1,0)-MATCH($F$1,enemy_skill_triggers!$1:$1,0)+1,FALSE)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5" s="42" t="str">
        <f ca="1">VLOOKUP($F205,OFFSET(enemy_skill_triggers!$A$1,0,0,COUNTA(enemy_skill_triggers!$A:$A),MATCH(J$1,enemy_skill_triggers!$1:$1,0)-MATCH($F$1,enemy_skill_triggers!$1:$1,0)+1),MATCH(J$1,enemy_skill_triggers!$1:$1,0)-MATCH($F$1,enemy_skill_triggers!$1:$1,0)+1,FALSE)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5" s="42" t="str">
        <f ca="1">VLOOKUP($F205,OFFSET(enemy_skill_triggers!$A$1,0,0,COUNTA(enemy_skill_triggers!$A:$A),MATCH(K$1,enemy_skill_triggers!$1:$1,0)-MATCH($F$1,enemy_skill_triggers!$1:$1,0)+1),MATCH(K$1,enemy_skill_triggers!$1:$1,0)-MATCH($F$1,enemy_skill_triggers!$1:$1,0)+1,FALSE)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5" s="42">
        <f ca="1">VLOOKUP($F205,OFFSET(enemy_skill_triggers!$A$1,0,0,COUNTA(enemy_skill_triggers!$A:$A),MATCH(L$1,enemy_skill_triggers!$1:$1,0)-MATCH($F$1,enemy_skill_triggers!$1:$1,0)+1),MATCH(L$1,enemy_skill_triggers!$1:$1,0)-MATCH($F$1,enemy_skill_triggers!$1:$1,0)+1,FALSE)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5" s="42" t="str">
        <f ca="1">VLOOKUP($F205,OFFSET(enemy_skill_triggers!$A$1,0,0,COUNTA(enemy_skill_triggers!$A:$A),MATCH(M$1,enemy_skill_triggers!$1:$1,0)-MATCH($F$1,enemy_skill_triggers!$1:$1,0)+1),MATCH(M$1,enemy_skill_triggers!$1:$1,0)-MATCH($F$1,enemy_skill_triggers!$1:$1,0)+1,FALSE)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5" s="42">
        <f ca="1">VLOOKUP($F205,OFFSET(enemy_skill_triggers!$A$1,0,0,COUNTA(enemy_skill_triggers!$A:$A),MATCH(N$1,enemy_skill_triggers!$1:$1,0)-MATCH($F$1,enemy_skill_triggers!$1:$1,0)+1),MATCH(N$1,enemy_skill_triggers!$1:$1,0)-MATCH($F$1,enemy_skill_triggers!$1:$1,0)+1,FALSE)</f>
        <v>1296</v>
      </c>
      <c r="O205" s="42">
        <f ca="1">VLOOKUP($F205,OFFSET(enemy_skill_triggers!$A$1,0,0,COUNTA(enemy_skill_triggers!$A:$A),MATCH(O$1,enemy_skill_triggers!$1:$1,0)-MATCH($F$1,enemy_skill_triggers!$1:$1,0)+1),MATCH(O$1,enemy_skill_triggers!$1:$1,0)-MATCH($F$1,enemy_skill_triggers!$1:$1,0)+1,FALSE)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5" s="41"/>
      <c r="Q205" s="41"/>
      <c r="R205" s="41" t="s">
        <v>344</v>
      </c>
    </row>
    <row r="206" spans="1:18" ht="21" customHeight="1" x14ac:dyDescent="0.15">
      <c r="A206" s="33" t="str">
        <f t="shared" si="13"/>
        <v>39008007_39008033</v>
      </c>
      <c r="B206" s="126">
        <v>39008007</v>
      </c>
      <c r="C206" s="119">
        <v>39008033</v>
      </c>
      <c r="D206" s="40" t="str">
        <f ca="1">VLOOKUP($C206,OFFSET(enemy_skills!$A$1,0,0,COUNTA(enemy_skills!$A:$A),MATCH(D$1,enemy_skills!$1:$1,0)-MATCH("enemy_skill_id",enemy_skills!$1:$1,0)+1),MATCH(D$1,enemy_skills!$1:$1,0)-MATCH("enemy_skill_id",enemy_skills!$1:$1,0)+1,FALSE)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06" s="40" t="str">
        <f ca="1">VLOOKUP($C206,OFFSET(enemy_skills!$A$1,0,0,COUNTA(enemy_skills!$A:$A),MATCH(E$1,enemy_skills!$1:$1,0)-MATCH("enemy_skill_id",enemy_skills!$1:$1,0)+1),MATCH(E$1,enemy_skills!$1:$1,0)-MATCH("enemy_skill_id",enemy_skills!$1:$1,0)+1,FALSE)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06" s="122">
        <v>39008105</v>
      </c>
      <c r="G206" s="42">
        <f ca="1">VLOOKUP($F206,OFFSET(enemy_skill_triggers!$A$1,0,0,COUNTA(enemy_skill_triggers!$A:$A),MATCH(G$1,enemy_skill_triggers!$1:$1,0)-MATCH($F$1,enemy_skill_triggers!$1:$1,0)+1),MATCH(G$1,enemy_skill_triggers!$1:$1,0)-MATCH($F$1,enemy_skill_triggers!$1:$1,0)+1,FALSE)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6" s="42">
        <f ca="1">VLOOKUP($F206,OFFSET(enemy_skill_triggers!$A$1,0,0,COUNTA(enemy_skill_triggers!$A:$A),MATCH(H$1,enemy_skill_triggers!$1:$1,0)-MATCH($F$1,enemy_skill_triggers!$1:$1,0)+1),MATCH(H$1,enemy_skill_triggers!$1:$1,0)-MATCH($F$1,enemy_skill_triggers!$1:$1,0)+1,FALSE)</f>
        <v>926</v>
      </c>
      <c r="I206" s="42">
        <f ca="1">VLOOKUP($F206,OFFSET(enemy_skill_triggers!$A$1,0,0,COUNTA(enemy_skill_triggers!$A:$A),MATCH(I$1,enemy_skill_triggers!$1:$1,0)-MATCH($F$1,enemy_skill_triggers!$1:$1,0)+1),MATCH(I$1,enemy_skill_triggers!$1:$1,0)-MATCH($F$1,enemy_skill_triggers!$1:$1,0)+1,FALSE)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6" s="42" t="str">
        <f ca="1">VLOOKUP($F206,OFFSET(enemy_skill_triggers!$A$1,0,0,COUNTA(enemy_skill_triggers!$A:$A),MATCH(J$1,enemy_skill_triggers!$1:$1,0)-MATCH($F$1,enemy_skill_triggers!$1:$1,0)+1),MATCH(J$1,enemy_skill_triggers!$1:$1,0)-MATCH($F$1,enemy_skill_triggers!$1:$1,0)+1,FALSE)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6" s="42" t="str">
        <f ca="1">VLOOKUP($F206,OFFSET(enemy_skill_triggers!$A$1,0,0,COUNTA(enemy_skill_triggers!$A:$A),MATCH(K$1,enemy_skill_triggers!$1:$1,0)-MATCH($F$1,enemy_skill_triggers!$1:$1,0)+1),MATCH(K$1,enemy_skill_triggers!$1:$1,0)-MATCH($F$1,enemy_skill_triggers!$1:$1,0)+1,FALSE)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6" s="42">
        <f ca="1">VLOOKUP($F206,OFFSET(enemy_skill_triggers!$A$1,0,0,COUNTA(enemy_skill_triggers!$A:$A),MATCH(L$1,enemy_skill_triggers!$1:$1,0)-MATCH($F$1,enemy_skill_triggers!$1:$1,0)+1),MATCH(L$1,enemy_skill_triggers!$1:$1,0)-MATCH($F$1,enemy_skill_triggers!$1:$1,0)+1,FALSE)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6" s="42" t="str">
        <f ca="1">VLOOKUP($F206,OFFSET(enemy_skill_triggers!$A$1,0,0,COUNTA(enemy_skill_triggers!$A:$A),MATCH(M$1,enemy_skill_triggers!$1:$1,0)-MATCH($F$1,enemy_skill_triggers!$1:$1,0)+1),MATCH(M$1,enemy_skill_triggers!$1:$1,0)-MATCH($F$1,enemy_skill_triggers!$1:$1,0)+1,FALSE)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6" s="42">
        <f ca="1">VLOOKUP($F206,OFFSET(enemy_skill_triggers!$A$1,0,0,COUNTA(enemy_skill_triggers!$A:$A),MATCH(N$1,enemy_skill_triggers!$1:$1,0)-MATCH($F$1,enemy_skill_triggers!$1:$1,0)+1),MATCH(N$1,enemy_skill_triggers!$1:$1,0)-MATCH($F$1,enemy_skill_triggers!$1:$1,0)+1,FALSE)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206" s="42">
        <f ca="1">VLOOKUP($F206,OFFSET(enemy_skill_triggers!$A$1,0,0,COUNTA(enemy_skill_triggers!$A:$A),MATCH(O$1,enemy_skill_triggers!$1:$1,0)-MATCH($F$1,enemy_skill_triggers!$1:$1,0)+1),MATCH(O$1,enemy_skill_triggers!$1:$1,0)-MATCH($F$1,enemy_skill_triggers!$1:$1,0)+1,FALSE)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6" s="41"/>
      <c r="Q206" s="41"/>
      <c r="R206" s="41" t="s">
        <v>349</v>
      </c>
    </row>
    <row r="207" spans="1:18" ht="21" customHeight="1" x14ac:dyDescent="0.15">
      <c r="A207" s="33" t="str">
        <f t="shared" si="13"/>
        <v>39008007_39008033</v>
      </c>
      <c r="B207" s="126">
        <v>39008007</v>
      </c>
      <c r="C207" s="119">
        <v>39008033</v>
      </c>
      <c r="D207" s="40" t="str">
        <f ca="1">VLOOKUP($C207,OFFSET(enemy_skills!$A$1,0,0,COUNTA(enemy_skills!$A:$A),MATCH(D$1,enemy_skills!$1:$1,0)-MATCH("enemy_skill_id",enemy_skills!$1:$1,0)+1),MATCH(D$1,enemy_skills!$1:$1,0)-MATCH("enemy_skill_id",enemy_skills!$1:$1,0)+1,FALSE)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07" s="40" t="str">
        <f ca="1">VLOOKUP($C207,OFFSET(enemy_skills!$A$1,0,0,COUNTA(enemy_skills!$A:$A),MATCH(E$1,enemy_skills!$1:$1,0)-MATCH("enemy_skill_id",enemy_skills!$1:$1,0)+1),MATCH(E$1,enemy_skills!$1:$1,0)-MATCH("enemy_skill_id",enemy_skills!$1:$1,0)+1,FALSE)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07" s="122">
        <v>39008106</v>
      </c>
      <c r="G207" s="42">
        <f ca="1">VLOOKUP($F207,OFFSET(enemy_skill_triggers!$A$1,0,0,COUNTA(enemy_skill_triggers!$A:$A),MATCH(G$1,enemy_skill_triggers!$1:$1,0)-MATCH($F$1,enemy_skill_triggers!$1:$1,0)+1),MATCH(G$1,enemy_skill_triggers!$1:$1,0)-MATCH($F$1,enemy_skill_triggers!$1:$1,0)+1,FALSE)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7" s="42">
        <f ca="1">VLOOKUP($F207,OFFSET(enemy_skill_triggers!$A$1,0,0,COUNTA(enemy_skill_triggers!$A:$A),MATCH(H$1,enemy_skill_triggers!$1:$1,0)-MATCH($F$1,enemy_skill_triggers!$1:$1,0)+1),MATCH(H$1,enemy_skill_triggers!$1:$1,0)-MATCH($F$1,enemy_skill_triggers!$1:$1,0)+1,FALSE)</f>
        <v>925</v>
      </c>
      <c r="I207" s="42">
        <f ca="1">VLOOKUP($F207,OFFSET(enemy_skill_triggers!$A$1,0,0,COUNTA(enemy_skill_triggers!$A:$A),MATCH(I$1,enemy_skill_triggers!$1:$1,0)-MATCH($F$1,enemy_skill_triggers!$1:$1,0)+1),MATCH(I$1,enemy_skill_triggers!$1:$1,0)-MATCH($F$1,enemy_skill_triggers!$1:$1,0)+1,FALSE)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7" s="42" t="str">
        <f ca="1">VLOOKUP($F207,OFFSET(enemy_skill_triggers!$A$1,0,0,COUNTA(enemy_skill_triggers!$A:$A),MATCH(J$1,enemy_skill_triggers!$1:$1,0)-MATCH($F$1,enemy_skill_triggers!$1:$1,0)+1),MATCH(J$1,enemy_skill_triggers!$1:$1,0)-MATCH($F$1,enemy_skill_triggers!$1:$1,0)+1,FALSE)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7" s="42" t="str">
        <f ca="1">VLOOKUP($F207,OFFSET(enemy_skill_triggers!$A$1,0,0,COUNTA(enemy_skill_triggers!$A:$A),MATCH(K$1,enemy_skill_triggers!$1:$1,0)-MATCH($F$1,enemy_skill_triggers!$1:$1,0)+1),MATCH(K$1,enemy_skill_triggers!$1:$1,0)-MATCH($F$1,enemy_skill_triggers!$1:$1,0)+1,FALSE)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7" s="42">
        <f ca="1">VLOOKUP($F207,OFFSET(enemy_skill_triggers!$A$1,0,0,COUNTA(enemy_skill_triggers!$A:$A),MATCH(L$1,enemy_skill_triggers!$1:$1,0)-MATCH($F$1,enemy_skill_triggers!$1:$1,0)+1),MATCH(L$1,enemy_skill_triggers!$1:$1,0)-MATCH($F$1,enemy_skill_triggers!$1:$1,0)+1,FALSE)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7" s="42" t="str">
        <f ca="1">VLOOKUP($F207,OFFSET(enemy_skill_triggers!$A$1,0,0,COUNTA(enemy_skill_triggers!$A:$A),MATCH(M$1,enemy_skill_triggers!$1:$1,0)-MATCH($F$1,enemy_skill_triggers!$1:$1,0)+1),MATCH(M$1,enemy_skill_triggers!$1:$1,0)-MATCH($F$1,enemy_skill_triggers!$1:$1,0)+1,FALSE)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7" s="42">
        <f ca="1">VLOOKUP($F207,OFFSET(enemy_skill_triggers!$A$1,0,0,COUNTA(enemy_skill_triggers!$A:$A),MATCH(N$1,enemy_skill_triggers!$1:$1,0)-MATCH($F$1,enemy_skill_triggers!$1:$1,0)+1),MATCH(N$1,enemy_skill_triggers!$1:$1,0)-MATCH($F$1,enemy_skill_triggers!$1:$1,0)+1,FALSE)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207" s="42">
        <f ca="1">VLOOKUP($F207,OFFSET(enemy_skill_triggers!$A$1,0,0,COUNTA(enemy_skill_triggers!$A:$A),MATCH(O$1,enemy_skill_triggers!$1:$1,0)-MATCH($F$1,enemy_skill_triggers!$1:$1,0)+1),MATCH(O$1,enemy_skill_triggers!$1:$1,0)-MATCH($F$1,enemy_skill_triggers!$1:$1,0)+1,FALSE)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7" s="41"/>
      <c r="Q207" s="41"/>
      <c r="R207" s="41" t="s">
        <v>349</v>
      </c>
    </row>
    <row r="208" spans="1:18" ht="21" customHeight="1" x14ac:dyDescent="0.15">
      <c r="A208" s="33" t="str">
        <f t="shared" si="13"/>
        <v>39008007_39008033</v>
      </c>
      <c r="B208" s="126">
        <v>39008007</v>
      </c>
      <c r="C208" s="119">
        <v>39008033</v>
      </c>
      <c r="D208" s="40" t="str">
        <f ca="1">VLOOKUP($C208,OFFSET(enemy_skills!$A$1,0,0,COUNTA(enemy_skills!$A:$A),MATCH(D$1,enemy_skills!$1:$1,0)-MATCH("enemy_skill_id",enemy_skills!$1:$1,0)+1),MATCH(D$1,enemy_skills!$1:$1,0)-MATCH("enemy_skill_id",enemy_skills!$1:$1,0)+1,FALSE)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08" s="40" t="str">
        <f ca="1">VLOOKUP($C208,OFFSET(enemy_skills!$A$1,0,0,COUNTA(enemy_skills!$A:$A),MATCH(E$1,enemy_skills!$1:$1,0)-MATCH("enemy_skill_id",enemy_skills!$1:$1,0)+1),MATCH(E$1,enemy_skills!$1:$1,0)-MATCH("enemy_skill_id",enemy_skills!$1:$1,0)+1,FALSE)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08" s="122">
        <v>39008107</v>
      </c>
      <c r="G208" s="42">
        <f ca="1">VLOOKUP($F208,OFFSET(enemy_skill_triggers!$A$1,0,0,COUNTA(enemy_skill_triggers!$A:$A),MATCH(G$1,enemy_skill_triggers!$1:$1,0)-MATCH($F$1,enemy_skill_triggers!$1:$1,0)+1),MATCH(G$1,enemy_skill_triggers!$1:$1,0)-MATCH($F$1,enemy_skill_triggers!$1:$1,0)+1,FALSE)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8" s="42">
        <f ca="1">VLOOKUP($F208,OFFSET(enemy_skill_triggers!$A$1,0,0,COUNTA(enemy_skill_triggers!$A:$A),MATCH(H$1,enemy_skill_triggers!$1:$1,0)-MATCH($F$1,enemy_skill_triggers!$1:$1,0)+1),MATCH(H$1,enemy_skill_triggers!$1:$1,0)-MATCH($F$1,enemy_skill_triggers!$1:$1,0)+1,FALSE)</f>
        <v>924</v>
      </c>
      <c r="I208" s="42">
        <f ca="1">VLOOKUP($F208,OFFSET(enemy_skill_triggers!$A$1,0,0,COUNTA(enemy_skill_triggers!$A:$A),MATCH(I$1,enemy_skill_triggers!$1:$1,0)-MATCH($F$1,enemy_skill_triggers!$1:$1,0)+1),MATCH(I$1,enemy_skill_triggers!$1:$1,0)-MATCH($F$1,enemy_skill_triggers!$1:$1,0)+1,FALSE)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8" s="42" t="str">
        <f ca="1">VLOOKUP($F208,OFFSET(enemy_skill_triggers!$A$1,0,0,COUNTA(enemy_skill_triggers!$A:$A),MATCH(J$1,enemy_skill_triggers!$1:$1,0)-MATCH($F$1,enemy_skill_triggers!$1:$1,0)+1),MATCH(J$1,enemy_skill_triggers!$1:$1,0)-MATCH($F$1,enemy_skill_triggers!$1:$1,0)+1,FALSE)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8" s="42" t="str">
        <f ca="1">VLOOKUP($F208,OFFSET(enemy_skill_triggers!$A$1,0,0,COUNTA(enemy_skill_triggers!$A:$A),MATCH(K$1,enemy_skill_triggers!$1:$1,0)-MATCH($F$1,enemy_skill_triggers!$1:$1,0)+1),MATCH(K$1,enemy_skill_triggers!$1:$1,0)-MATCH($F$1,enemy_skill_triggers!$1:$1,0)+1,FALSE)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8" s="42">
        <f ca="1">VLOOKUP($F208,OFFSET(enemy_skill_triggers!$A$1,0,0,COUNTA(enemy_skill_triggers!$A:$A),MATCH(L$1,enemy_skill_triggers!$1:$1,0)-MATCH($F$1,enemy_skill_triggers!$1:$1,0)+1),MATCH(L$1,enemy_skill_triggers!$1:$1,0)-MATCH($F$1,enemy_skill_triggers!$1:$1,0)+1,FALSE)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8" s="42" t="str">
        <f ca="1">VLOOKUP($F208,OFFSET(enemy_skill_triggers!$A$1,0,0,COUNTA(enemy_skill_triggers!$A:$A),MATCH(M$1,enemy_skill_triggers!$1:$1,0)-MATCH($F$1,enemy_skill_triggers!$1:$1,0)+1),MATCH(M$1,enemy_skill_triggers!$1:$1,0)-MATCH($F$1,enemy_skill_triggers!$1:$1,0)+1,FALSE)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8" s="42">
        <f ca="1">VLOOKUP($F208,OFFSET(enemy_skill_triggers!$A$1,0,0,COUNTA(enemy_skill_triggers!$A:$A),MATCH(N$1,enemy_skill_triggers!$1:$1,0)-MATCH($F$1,enemy_skill_triggers!$1:$1,0)+1),MATCH(N$1,enemy_skill_triggers!$1:$1,0)-MATCH($F$1,enemy_skill_triggers!$1:$1,0)+1,FALSE)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208" s="42">
        <f ca="1">VLOOKUP($F208,OFFSET(enemy_skill_triggers!$A$1,0,0,COUNTA(enemy_skill_triggers!$A:$A),MATCH(O$1,enemy_skill_triggers!$1:$1,0)-MATCH($F$1,enemy_skill_triggers!$1:$1,0)+1),MATCH(O$1,enemy_skill_triggers!$1:$1,0)-MATCH($F$1,enemy_skill_triggers!$1:$1,0)+1,FALSE)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8" s="41"/>
      <c r="Q208" s="41"/>
      <c r="R208" s="41" t="s">
        <v>351</v>
      </c>
    </row>
    <row r="209" spans="1:18" ht="21" customHeight="1" x14ac:dyDescent="0.15">
      <c r="A209" s="33" t="str">
        <f t="shared" si="13"/>
        <v>39008007_39008033</v>
      </c>
      <c r="B209" s="126">
        <v>39008007</v>
      </c>
      <c r="C209" s="119">
        <v>39008033</v>
      </c>
      <c r="D209" s="40" t="str">
        <f ca="1">VLOOKUP($C209,OFFSET(enemy_skills!$A$1,0,0,COUNTA(enemy_skills!$A:$A),MATCH(D$1,enemy_skills!$1:$1,0)-MATCH("enemy_skill_id",enemy_skills!$1:$1,0)+1),MATCH(D$1,enemy_skills!$1:$1,0)-MATCH("enemy_skill_id",enemy_skills!$1:$1,0)+1,FALSE)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09" s="40" t="str">
        <f ca="1">VLOOKUP($C209,OFFSET(enemy_skills!$A$1,0,0,COUNTA(enemy_skills!$A:$A),MATCH(E$1,enemy_skills!$1:$1,0)-MATCH("enemy_skill_id",enemy_skills!$1:$1,0)+1),MATCH(E$1,enemy_skills!$1:$1,0)-MATCH("enemy_skill_id",enemy_skills!$1:$1,0)+1,FALSE)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09" s="122">
        <v>39008108</v>
      </c>
      <c r="G209" s="42">
        <f ca="1">VLOOKUP($F209,OFFSET(enemy_skill_triggers!$A$1,0,0,COUNTA(enemy_skill_triggers!$A:$A),MATCH(G$1,enemy_skill_triggers!$1:$1,0)-MATCH($F$1,enemy_skill_triggers!$1:$1,0)+1),MATCH(G$1,enemy_skill_triggers!$1:$1,0)-MATCH($F$1,enemy_skill_triggers!$1:$1,0)+1,FALSE)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9" s="42">
        <f ca="1">VLOOKUP($F209,OFFSET(enemy_skill_triggers!$A$1,0,0,COUNTA(enemy_skill_triggers!$A:$A),MATCH(H$1,enemy_skill_triggers!$1:$1,0)-MATCH($F$1,enemy_skill_triggers!$1:$1,0)+1),MATCH(H$1,enemy_skill_triggers!$1:$1,0)-MATCH($F$1,enemy_skill_triggers!$1:$1,0)+1,FALSE)</f>
        <v>923</v>
      </c>
      <c r="I209" s="42">
        <f ca="1">VLOOKUP($F209,OFFSET(enemy_skill_triggers!$A$1,0,0,COUNTA(enemy_skill_triggers!$A:$A),MATCH(I$1,enemy_skill_triggers!$1:$1,0)-MATCH($F$1,enemy_skill_triggers!$1:$1,0)+1),MATCH(I$1,enemy_skill_triggers!$1:$1,0)-MATCH($F$1,enemy_skill_triggers!$1:$1,0)+1,FALSE)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9" s="42" t="str">
        <f ca="1">VLOOKUP($F209,OFFSET(enemy_skill_triggers!$A$1,0,0,COUNTA(enemy_skill_triggers!$A:$A),MATCH(J$1,enemy_skill_triggers!$1:$1,0)-MATCH($F$1,enemy_skill_triggers!$1:$1,0)+1),MATCH(J$1,enemy_skill_triggers!$1:$1,0)-MATCH($F$1,enemy_skill_triggers!$1:$1,0)+1,FALSE)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9" s="42" t="str">
        <f ca="1">VLOOKUP($F209,OFFSET(enemy_skill_triggers!$A$1,0,0,COUNTA(enemy_skill_triggers!$A:$A),MATCH(K$1,enemy_skill_triggers!$1:$1,0)-MATCH($F$1,enemy_skill_triggers!$1:$1,0)+1),MATCH(K$1,enemy_skill_triggers!$1:$1,0)-MATCH($F$1,enemy_skill_triggers!$1:$1,0)+1,FALSE)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9" s="42">
        <f ca="1">VLOOKUP($F209,OFFSET(enemy_skill_triggers!$A$1,0,0,COUNTA(enemy_skill_triggers!$A:$A),MATCH(L$1,enemy_skill_triggers!$1:$1,0)-MATCH($F$1,enemy_skill_triggers!$1:$1,0)+1),MATCH(L$1,enemy_skill_triggers!$1:$1,0)-MATCH($F$1,enemy_skill_triggers!$1:$1,0)+1,FALSE)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9" s="42" t="str">
        <f ca="1">VLOOKUP($F209,OFFSET(enemy_skill_triggers!$A$1,0,0,COUNTA(enemy_skill_triggers!$A:$A),MATCH(M$1,enemy_skill_triggers!$1:$1,0)-MATCH($F$1,enemy_skill_triggers!$1:$1,0)+1),MATCH(M$1,enemy_skill_triggers!$1:$1,0)-MATCH($F$1,enemy_skill_triggers!$1:$1,0)+1,FALSE)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9" s="42">
        <f ca="1">VLOOKUP($F209,OFFSET(enemy_skill_triggers!$A$1,0,0,COUNTA(enemy_skill_triggers!$A:$A),MATCH(N$1,enemy_skill_triggers!$1:$1,0)-MATCH($F$1,enemy_skill_triggers!$1:$1,0)+1),MATCH(N$1,enemy_skill_triggers!$1:$1,0)-MATCH($F$1,enemy_skill_triggers!$1:$1,0)+1,FALSE)</f>
        <v>554</v>
      </c>
      <c r="O209" s="42">
        <f ca="1">VLOOKUP($F209,OFFSET(enemy_skill_triggers!$A$1,0,0,COUNTA(enemy_skill_triggers!$A:$A),MATCH(O$1,enemy_skill_triggers!$1:$1,0)-MATCH($F$1,enemy_skill_triggers!$1:$1,0)+1),MATCH(O$1,enemy_skill_triggers!$1:$1,0)-MATCH($F$1,enemy_skill_triggers!$1:$1,0)+1,FALSE)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9" s="41"/>
      <c r="Q209" s="41"/>
      <c r="R209" s="41" t="s">
        <v>352</v>
      </c>
    </row>
    <row r="210" spans="1:18" ht="21" customHeight="1" x14ac:dyDescent="0.15">
      <c r="A210" s="33" t="str">
        <f t="shared" si="13"/>
        <v>39008007_39008033</v>
      </c>
      <c r="B210" s="126">
        <v>39008007</v>
      </c>
      <c r="C210" s="119">
        <v>39008033</v>
      </c>
      <c r="D210" s="40" t="str">
        <f ca="1">VLOOKUP($C210,OFFSET(enemy_skills!$A$1,0,0,COUNTA(enemy_skills!$A:$A),MATCH(D$1,enemy_skills!$1:$1,0)-MATCH("enemy_skill_id",enemy_skills!$1:$1,0)+1),MATCH(D$1,enemy_skills!$1:$1,0)-MATCH("enemy_skill_id",enemy_skills!$1:$1,0)+1,FALSE)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10" s="40" t="str">
        <f ca="1">VLOOKUP($C210,OFFSET(enemy_skills!$A$1,0,0,COUNTA(enemy_skills!$A:$A),MATCH(E$1,enemy_skills!$1:$1,0)-MATCH("enemy_skill_id",enemy_skills!$1:$1,0)+1),MATCH(E$1,enemy_skills!$1:$1,0)-MATCH("enemy_skill_id",enemy_skills!$1:$1,0)+1,FALSE)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10" s="122">
        <v>39008109</v>
      </c>
      <c r="G210" s="42">
        <f ca="1">VLOOKUP($F210,OFFSET(enemy_skill_triggers!$A$1,0,0,COUNTA(enemy_skill_triggers!$A:$A),MATCH(G$1,enemy_skill_triggers!$1:$1,0)-MATCH($F$1,enemy_skill_triggers!$1:$1,0)+1),MATCH(G$1,enemy_skill_triggers!$1:$1,0)-MATCH($F$1,enemy_skill_triggers!$1:$1,0)+1,FALSE)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0" s="42">
        <f ca="1">VLOOKUP($F210,OFFSET(enemy_skill_triggers!$A$1,0,0,COUNTA(enemy_skill_triggers!$A:$A),MATCH(H$1,enemy_skill_triggers!$1:$1,0)-MATCH($F$1,enemy_skill_triggers!$1:$1,0)+1),MATCH(H$1,enemy_skill_triggers!$1:$1,0)-MATCH($F$1,enemy_skill_triggers!$1:$1,0)+1,FALSE)</f>
        <v>922</v>
      </c>
      <c r="I210" s="42">
        <f ca="1">VLOOKUP($F210,OFFSET(enemy_skill_triggers!$A$1,0,0,COUNTA(enemy_skill_triggers!$A:$A),MATCH(I$1,enemy_skill_triggers!$1:$1,0)-MATCH($F$1,enemy_skill_triggers!$1:$1,0)+1),MATCH(I$1,enemy_skill_triggers!$1:$1,0)-MATCH($F$1,enemy_skill_triggers!$1:$1,0)+1,FALSE)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0" s="42" t="str">
        <f ca="1">VLOOKUP($F210,OFFSET(enemy_skill_triggers!$A$1,0,0,COUNTA(enemy_skill_triggers!$A:$A),MATCH(J$1,enemy_skill_triggers!$1:$1,0)-MATCH($F$1,enemy_skill_triggers!$1:$1,0)+1),MATCH(J$1,enemy_skill_triggers!$1:$1,0)-MATCH($F$1,enemy_skill_triggers!$1:$1,0)+1,FALSE)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0" s="42" t="str">
        <f ca="1">VLOOKUP($F210,OFFSET(enemy_skill_triggers!$A$1,0,0,COUNTA(enemy_skill_triggers!$A:$A),MATCH(K$1,enemy_skill_triggers!$1:$1,0)-MATCH($F$1,enemy_skill_triggers!$1:$1,0)+1),MATCH(K$1,enemy_skill_triggers!$1:$1,0)-MATCH($F$1,enemy_skill_triggers!$1:$1,0)+1,FALSE)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0" s="42">
        <f ca="1">VLOOKUP($F210,OFFSET(enemy_skill_triggers!$A$1,0,0,COUNTA(enemy_skill_triggers!$A:$A),MATCH(L$1,enemy_skill_triggers!$1:$1,0)-MATCH($F$1,enemy_skill_triggers!$1:$1,0)+1),MATCH(L$1,enemy_skill_triggers!$1:$1,0)-MATCH($F$1,enemy_skill_triggers!$1:$1,0)+1,FALSE)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0" s="42" t="str">
        <f ca="1">VLOOKUP($F210,OFFSET(enemy_skill_triggers!$A$1,0,0,COUNTA(enemy_skill_triggers!$A:$A),MATCH(M$1,enemy_skill_triggers!$1:$1,0)-MATCH($F$1,enemy_skill_triggers!$1:$1,0)+1),MATCH(M$1,enemy_skill_triggers!$1:$1,0)-MATCH($F$1,enemy_skill_triggers!$1:$1,0)+1,FALSE)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0" s="42">
        <f ca="1">VLOOKUP($F210,OFFSET(enemy_skill_triggers!$A$1,0,0,COUNTA(enemy_skill_triggers!$A:$A),MATCH(N$1,enemy_skill_triggers!$1:$1,0)-MATCH($F$1,enemy_skill_triggers!$1:$1,0)+1),MATCH(N$1,enemy_skill_triggers!$1:$1,0)-MATCH($F$1,enemy_skill_triggers!$1:$1,0)+1,FALSE)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210" s="42">
        <f ca="1">VLOOKUP($F210,OFFSET(enemy_skill_triggers!$A$1,0,0,COUNTA(enemy_skill_triggers!$A:$A),MATCH(O$1,enemy_skill_triggers!$1:$1,0)-MATCH($F$1,enemy_skill_triggers!$1:$1,0)+1),MATCH(O$1,enemy_skill_triggers!$1:$1,0)-MATCH($F$1,enemy_skill_triggers!$1:$1,0)+1,FALSE)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0" s="41"/>
      <c r="Q210" s="41"/>
      <c r="R210" s="41" t="s">
        <v>353</v>
      </c>
    </row>
    <row r="211" spans="1:18" ht="21" customHeight="1" x14ac:dyDescent="0.15">
      <c r="A211" s="33" t="str">
        <f t="shared" si="13"/>
        <v>39008007_39008033</v>
      </c>
      <c r="B211" s="126">
        <v>39008007</v>
      </c>
      <c r="C211" s="119">
        <v>39008033</v>
      </c>
      <c r="D211" s="40" t="str">
        <f ca="1">VLOOKUP($C211,OFFSET(enemy_skills!$A$1,0,0,COUNTA(enemy_skills!$A:$A),MATCH(D$1,enemy_skills!$1:$1,0)-MATCH("enemy_skill_id",enemy_skills!$1:$1,0)+1),MATCH(D$1,enemy_skills!$1:$1,0)-MATCH("enemy_skill_id",enemy_skills!$1:$1,0)+1,FALSE)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11" s="40" t="str">
        <f ca="1">VLOOKUP($C211,OFFSET(enemy_skills!$A$1,0,0,COUNTA(enemy_skills!$A:$A),MATCH(E$1,enemy_skills!$1:$1,0)-MATCH("enemy_skill_id",enemy_skills!$1:$1,0)+1),MATCH(E$1,enemy_skills!$1:$1,0)-MATCH("enemy_skill_id",enemy_skills!$1:$1,0)+1,FALSE)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11" s="122">
        <v>39008110</v>
      </c>
      <c r="G211" s="42">
        <f ca="1">VLOOKUP($F211,OFFSET(enemy_skill_triggers!$A$1,0,0,COUNTA(enemy_skill_triggers!$A:$A),MATCH(G$1,enemy_skill_triggers!$1:$1,0)-MATCH($F$1,enemy_skill_triggers!$1:$1,0)+1),MATCH(G$1,enemy_skill_triggers!$1:$1,0)-MATCH($F$1,enemy_skill_triggers!$1:$1,0)+1,FALSE)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1" s="42">
        <f ca="1">VLOOKUP($F211,OFFSET(enemy_skill_triggers!$A$1,0,0,COUNTA(enemy_skill_triggers!$A:$A),MATCH(H$1,enemy_skill_triggers!$1:$1,0)-MATCH($F$1,enemy_skill_triggers!$1:$1,0)+1),MATCH(H$1,enemy_skill_triggers!$1:$1,0)-MATCH($F$1,enemy_skill_triggers!$1:$1,0)+1,FALSE)</f>
        <v>921</v>
      </c>
      <c r="I211" s="42">
        <f ca="1">VLOOKUP($F211,OFFSET(enemy_skill_triggers!$A$1,0,0,COUNTA(enemy_skill_triggers!$A:$A),MATCH(I$1,enemy_skill_triggers!$1:$1,0)-MATCH($F$1,enemy_skill_triggers!$1:$1,0)+1),MATCH(I$1,enemy_skill_triggers!$1:$1,0)-MATCH($F$1,enemy_skill_triggers!$1:$1,0)+1,FALSE)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1" s="42" t="str">
        <f ca="1">VLOOKUP($F211,OFFSET(enemy_skill_triggers!$A$1,0,0,COUNTA(enemy_skill_triggers!$A:$A),MATCH(J$1,enemy_skill_triggers!$1:$1,0)-MATCH($F$1,enemy_skill_triggers!$1:$1,0)+1),MATCH(J$1,enemy_skill_triggers!$1:$1,0)-MATCH($F$1,enemy_skill_triggers!$1:$1,0)+1,FALSE)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1" s="42" t="str">
        <f ca="1">VLOOKUP($F211,OFFSET(enemy_skill_triggers!$A$1,0,0,COUNTA(enemy_skill_triggers!$A:$A),MATCH(K$1,enemy_skill_triggers!$1:$1,0)-MATCH($F$1,enemy_skill_triggers!$1:$1,0)+1),MATCH(K$1,enemy_skill_triggers!$1:$1,0)-MATCH($F$1,enemy_skill_triggers!$1:$1,0)+1,FALSE)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1" s="42">
        <f ca="1">VLOOKUP($F211,OFFSET(enemy_skill_triggers!$A$1,0,0,COUNTA(enemy_skill_triggers!$A:$A),MATCH(L$1,enemy_skill_triggers!$1:$1,0)-MATCH($F$1,enemy_skill_triggers!$1:$1,0)+1),MATCH(L$1,enemy_skill_triggers!$1:$1,0)-MATCH($F$1,enemy_skill_triggers!$1:$1,0)+1,FALSE)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1" s="42" t="str">
        <f ca="1">VLOOKUP($F211,OFFSET(enemy_skill_triggers!$A$1,0,0,COUNTA(enemy_skill_triggers!$A:$A),MATCH(M$1,enemy_skill_triggers!$1:$1,0)-MATCH($F$1,enemy_skill_triggers!$1:$1,0)+1),MATCH(M$1,enemy_skill_triggers!$1:$1,0)-MATCH($F$1,enemy_skill_triggers!$1:$1,0)+1,FALSE)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1" s="42">
        <f ca="1">VLOOKUP($F211,OFFSET(enemy_skill_triggers!$A$1,0,0,COUNTA(enemy_skill_triggers!$A:$A),MATCH(N$1,enemy_skill_triggers!$1:$1,0)-MATCH($F$1,enemy_skill_triggers!$1:$1,0)+1),MATCH(N$1,enemy_skill_triggers!$1:$1,0)-MATCH($F$1,enemy_skill_triggers!$1:$1,0)+1,FALSE)</f>
        <v>556</v>
      </c>
      <c r="O211" s="42">
        <f ca="1">VLOOKUP($F211,OFFSET(enemy_skill_triggers!$A$1,0,0,COUNTA(enemy_skill_triggers!$A:$A),MATCH(O$1,enemy_skill_triggers!$1:$1,0)-MATCH($F$1,enemy_skill_triggers!$1:$1,0)+1),MATCH(O$1,enemy_skill_triggers!$1:$1,0)-MATCH($F$1,enemy_skill_triggers!$1:$1,0)+1,FALSE)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1" s="41"/>
      <c r="Q211" s="41"/>
      <c r="R211" s="41" t="s">
        <v>354</v>
      </c>
    </row>
    <row r="212" spans="1:18" ht="21" customHeight="1" x14ac:dyDescent="0.15">
      <c r="A212" s="33" t="str">
        <f t="shared" si="13"/>
        <v>39008007_39008035</v>
      </c>
      <c r="B212" s="126">
        <v>39008007</v>
      </c>
      <c r="C212" s="119">
        <v>39008035</v>
      </c>
      <c r="D212" s="40" t="str">
        <f ca="1">VLOOKUP($C212,OFFSET(enemy_skills!$A$1,0,0,COUNTA(enemy_skills!$A:$A),MATCH(D$1,enemy_skills!$1:$1,0)-MATCH("enemy_skill_id",enemy_skills!$1:$1,0)+1),MATCH(D$1,enemy_skills!$1:$1,0)-MATCH("enemy_skill_id",enemy_skills!$1:$1,0)+1,FALSE)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12" s="40" t="str">
        <f ca="1">VLOOKUP($C212,OFFSET(enemy_skills!$A$1,0,0,COUNTA(enemy_skills!$A:$A),MATCH(E$1,enemy_skills!$1:$1,0)-MATCH("enemy_skill_id",enemy_skills!$1:$1,0)+1),MATCH(E$1,enemy_skills!$1:$1,0)-MATCH("enemy_skill_id",enemy_skills!$1:$1,0)+1,FALSE)</f>
        <v>そっか！リンちゃんが助けてくれたんだね！ありがとうっ！</v>
      </c>
      <c r="F212" s="122">
        <v>39008111</v>
      </c>
      <c r="G212" s="42">
        <f ca="1">VLOOKUP($F212,OFFSET(enemy_skill_triggers!$A$1,0,0,COUNTA(enemy_skill_triggers!$A:$A),MATCH(G$1,enemy_skill_triggers!$1:$1,0)-MATCH($F$1,enemy_skill_triggers!$1:$1,0)+1),MATCH(G$1,enemy_skill_triggers!$1:$1,0)-MATCH($F$1,enemy_skill_triggers!$1:$1,0)+1,FALSE)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2" s="42">
        <f ca="1">VLOOKUP($F212,OFFSET(enemy_skill_triggers!$A$1,0,0,COUNTA(enemy_skill_triggers!$A:$A),MATCH(H$1,enemy_skill_triggers!$1:$1,0)-MATCH($F$1,enemy_skill_triggers!$1:$1,0)+1),MATCH(H$1,enemy_skill_triggers!$1:$1,0)-MATCH($F$1,enemy_skill_triggers!$1:$1,0)+1,FALSE)</f>
        <v>920</v>
      </c>
      <c r="I212" s="42">
        <f ca="1">VLOOKUP($F212,OFFSET(enemy_skill_triggers!$A$1,0,0,COUNTA(enemy_skill_triggers!$A:$A),MATCH(I$1,enemy_skill_triggers!$1:$1,0)-MATCH($F$1,enemy_skill_triggers!$1:$1,0)+1),MATCH(I$1,enemy_skill_triggers!$1:$1,0)-MATCH($F$1,enemy_skill_triggers!$1:$1,0)+1,FALSE)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2" s="42" t="str">
        <f ca="1">VLOOKUP($F212,OFFSET(enemy_skill_triggers!$A$1,0,0,COUNTA(enemy_skill_triggers!$A:$A),MATCH(J$1,enemy_skill_triggers!$1:$1,0)-MATCH($F$1,enemy_skill_triggers!$1:$1,0)+1),MATCH(J$1,enemy_skill_triggers!$1:$1,0)-MATCH($F$1,enemy_skill_triggers!$1:$1,0)+1,FALSE)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2" s="42" t="str">
        <f ca="1">VLOOKUP($F212,OFFSET(enemy_skill_triggers!$A$1,0,0,COUNTA(enemy_skill_triggers!$A:$A),MATCH(K$1,enemy_skill_triggers!$1:$1,0)-MATCH($F$1,enemy_skill_triggers!$1:$1,0)+1),MATCH(K$1,enemy_skill_triggers!$1:$1,0)-MATCH($F$1,enemy_skill_triggers!$1:$1,0)+1,FALSE)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2" s="42">
        <f ca="1">VLOOKUP($F212,OFFSET(enemy_skill_triggers!$A$1,0,0,COUNTA(enemy_skill_triggers!$A:$A),MATCH(L$1,enemy_skill_triggers!$1:$1,0)-MATCH($F$1,enemy_skill_triggers!$1:$1,0)+1),MATCH(L$1,enemy_skill_triggers!$1:$1,0)-MATCH($F$1,enemy_skill_triggers!$1:$1,0)+1,FALSE)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2" s="42" t="str">
        <f ca="1">VLOOKUP($F212,OFFSET(enemy_skill_triggers!$A$1,0,0,COUNTA(enemy_skill_triggers!$A:$A),MATCH(M$1,enemy_skill_triggers!$1:$1,0)-MATCH($F$1,enemy_skill_triggers!$1:$1,0)+1),MATCH(M$1,enemy_skill_triggers!$1:$1,0)-MATCH($F$1,enemy_skill_triggers!$1:$1,0)+1,FALSE)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2" s="42">
        <f ca="1">VLOOKUP($F212,OFFSET(enemy_skill_triggers!$A$1,0,0,COUNTA(enemy_skill_triggers!$A:$A),MATCH(N$1,enemy_skill_triggers!$1:$1,0)-MATCH($F$1,enemy_skill_triggers!$1:$1,0)+1),MATCH(N$1,enemy_skill_triggers!$1:$1,0)-MATCH($F$1,enemy_skill_triggers!$1:$1,0)+1,FALSE)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212" s="42">
        <f ca="1">VLOOKUP($F212,OFFSET(enemy_skill_triggers!$A$1,0,0,COUNTA(enemy_skill_triggers!$A:$A),MATCH(O$1,enemy_skill_triggers!$1:$1,0)-MATCH($F$1,enemy_skill_triggers!$1:$1,0)+1),MATCH(O$1,enemy_skill_triggers!$1:$1,0)-MATCH($F$1,enemy_skill_triggers!$1:$1,0)+1,FALSE)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2" s="41"/>
      <c r="Q212" s="41"/>
      <c r="R212" s="41" t="s">
        <v>355</v>
      </c>
    </row>
    <row r="213" spans="1:18" ht="21" customHeight="1" x14ac:dyDescent="0.15">
      <c r="A213" s="33" t="str">
        <f t="shared" si="13"/>
        <v>39008007_39008035</v>
      </c>
      <c r="B213" s="126">
        <v>39008007</v>
      </c>
      <c r="C213" s="119">
        <v>39008035</v>
      </c>
      <c r="D213" s="40" t="str">
        <f ca="1">VLOOKUP($C213,OFFSET(enemy_skills!$A$1,0,0,COUNTA(enemy_skills!$A:$A),MATCH(D$1,enemy_skills!$1:$1,0)-MATCH("enemy_skill_id",enemy_skills!$1:$1,0)+1),MATCH(D$1,enemy_skills!$1:$1,0)-MATCH("enemy_skill_id",enemy_skills!$1:$1,0)+1,FALSE)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13" s="40" t="str">
        <f ca="1">VLOOKUP($C213,OFFSET(enemy_skills!$A$1,0,0,COUNTA(enemy_skills!$A:$A),MATCH(E$1,enemy_skills!$1:$1,0)-MATCH("enemy_skill_id",enemy_skills!$1:$1,0)+1),MATCH(E$1,enemy_skills!$1:$1,0)-MATCH("enemy_skill_id",enemy_skills!$1:$1,0)+1,FALSE)</f>
        <v>そっか！リンちゃんが助けてくれたんだね！ありがとうっ！</v>
      </c>
      <c r="F213" s="122">
        <v>39008112</v>
      </c>
      <c r="G213" s="42">
        <f ca="1">VLOOKUP($F213,OFFSET(enemy_skill_triggers!$A$1,0,0,COUNTA(enemy_skill_triggers!$A:$A),MATCH(G$1,enemy_skill_triggers!$1:$1,0)-MATCH($F$1,enemy_skill_triggers!$1:$1,0)+1),MATCH(G$1,enemy_skill_triggers!$1:$1,0)-MATCH($F$1,enemy_skill_triggers!$1:$1,0)+1,FALSE)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3" s="42">
        <f ca="1">VLOOKUP($F213,OFFSET(enemy_skill_triggers!$A$1,0,0,COUNTA(enemy_skill_triggers!$A:$A),MATCH(H$1,enemy_skill_triggers!$1:$1,0)-MATCH($F$1,enemy_skill_triggers!$1:$1,0)+1),MATCH(H$1,enemy_skill_triggers!$1:$1,0)-MATCH($F$1,enemy_skill_triggers!$1:$1,0)+1,FALSE)</f>
        <v>919</v>
      </c>
      <c r="I213" s="42">
        <f ca="1">VLOOKUP($F213,OFFSET(enemy_skill_triggers!$A$1,0,0,COUNTA(enemy_skill_triggers!$A:$A),MATCH(I$1,enemy_skill_triggers!$1:$1,0)-MATCH($F$1,enemy_skill_triggers!$1:$1,0)+1),MATCH(I$1,enemy_skill_triggers!$1:$1,0)-MATCH($F$1,enemy_skill_triggers!$1:$1,0)+1,FALSE)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3" s="42" t="str">
        <f ca="1">VLOOKUP($F213,OFFSET(enemy_skill_triggers!$A$1,0,0,COUNTA(enemy_skill_triggers!$A:$A),MATCH(J$1,enemy_skill_triggers!$1:$1,0)-MATCH($F$1,enemy_skill_triggers!$1:$1,0)+1),MATCH(J$1,enemy_skill_triggers!$1:$1,0)-MATCH($F$1,enemy_skill_triggers!$1:$1,0)+1,FALSE)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3" s="42" t="str">
        <f ca="1">VLOOKUP($F213,OFFSET(enemy_skill_triggers!$A$1,0,0,COUNTA(enemy_skill_triggers!$A:$A),MATCH(K$1,enemy_skill_triggers!$1:$1,0)-MATCH($F$1,enemy_skill_triggers!$1:$1,0)+1),MATCH(K$1,enemy_skill_triggers!$1:$1,0)-MATCH($F$1,enemy_skill_triggers!$1:$1,0)+1,FALSE)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3" s="42">
        <f ca="1">VLOOKUP($F213,OFFSET(enemy_skill_triggers!$A$1,0,0,COUNTA(enemy_skill_triggers!$A:$A),MATCH(L$1,enemy_skill_triggers!$1:$1,0)-MATCH($F$1,enemy_skill_triggers!$1:$1,0)+1),MATCH(L$1,enemy_skill_triggers!$1:$1,0)-MATCH($F$1,enemy_skill_triggers!$1:$1,0)+1,FALSE)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3" s="42" t="str">
        <f ca="1">VLOOKUP($F213,OFFSET(enemy_skill_triggers!$A$1,0,0,COUNTA(enemy_skill_triggers!$A:$A),MATCH(M$1,enemy_skill_triggers!$1:$1,0)-MATCH($F$1,enemy_skill_triggers!$1:$1,0)+1),MATCH(M$1,enemy_skill_triggers!$1:$1,0)-MATCH($F$1,enemy_skill_triggers!$1:$1,0)+1,FALSE)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3" s="42">
        <f ca="1">VLOOKUP($F213,OFFSET(enemy_skill_triggers!$A$1,0,0,COUNTA(enemy_skill_triggers!$A:$A),MATCH(N$1,enemy_skill_triggers!$1:$1,0)-MATCH($F$1,enemy_skill_triggers!$1:$1,0)+1),MATCH(N$1,enemy_skill_triggers!$1:$1,0)-MATCH($F$1,enemy_skill_triggers!$1:$1,0)+1,FALSE)</f>
        <v>544</v>
      </c>
      <c r="O213" s="42">
        <f ca="1">VLOOKUP($F213,OFFSET(enemy_skill_triggers!$A$1,0,0,COUNTA(enemy_skill_triggers!$A:$A),MATCH(O$1,enemy_skill_triggers!$1:$1,0)-MATCH($F$1,enemy_skill_triggers!$1:$1,0)+1),MATCH(O$1,enemy_skill_triggers!$1:$1,0)-MATCH($F$1,enemy_skill_triggers!$1:$1,0)+1,FALSE)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3" s="41"/>
      <c r="Q213" s="41"/>
      <c r="R213" s="41" t="s">
        <v>355</v>
      </c>
    </row>
    <row r="214" spans="1:18" ht="21" customHeight="1" x14ac:dyDescent="0.15">
      <c r="A214" s="33" t="str">
        <f t="shared" si="13"/>
        <v>39008007_39008035</v>
      </c>
      <c r="B214" s="126">
        <v>39008007</v>
      </c>
      <c r="C214" s="119">
        <v>39008035</v>
      </c>
      <c r="D214" s="40" t="str">
        <f ca="1">VLOOKUP($C214,OFFSET(enemy_skills!$A$1,0,0,COUNTA(enemy_skills!$A:$A),MATCH(D$1,enemy_skills!$1:$1,0)-MATCH("enemy_skill_id",enemy_skills!$1:$1,0)+1),MATCH(D$1,enemy_skills!$1:$1,0)-MATCH("enemy_skill_id",enemy_skills!$1:$1,0)+1,FALSE)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14" s="40" t="str">
        <f ca="1">VLOOKUP($C214,OFFSET(enemy_skills!$A$1,0,0,COUNTA(enemy_skills!$A:$A),MATCH(E$1,enemy_skills!$1:$1,0)-MATCH("enemy_skill_id",enemy_skills!$1:$1,0)+1),MATCH(E$1,enemy_skills!$1:$1,0)-MATCH("enemy_skill_id",enemy_skills!$1:$1,0)+1,FALSE)</f>
        <v>そっか！リンちゃんが助けてくれたんだね！ありがとうっ！</v>
      </c>
      <c r="F214" s="122">
        <v>39008113</v>
      </c>
      <c r="G214" s="42">
        <f ca="1">VLOOKUP($F214,OFFSET(enemy_skill_triggers!$A$1,0,0,COUNTA(enemy_skill_triggers!$A:$A),MATCH(G$1,enemy_skill_triggers!$1:$1,0)-MATCH($F$1,enemy_skill_triggers!$1:$1,0)+1),MATCH(G$1,enemy_skill_triggers!$1:$1,0)-MATCH($F$1,enemy_skill_triggers!$1:$1,0)+1,FALSE)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4" s="42">
        <f ca="1">VLOOKUP($F214,OFFSET(enemy_skill_triggers!$A$1,0,0,COUNTA(enemy_skill_triggers!$A:$A),MATCH(H$1,enemy_skill_triggers!$1:$1,0)-MATCH($F$1,enemy_skill_triggers!$1:$1,0)+1),MATCH(H$1,enemy_skill_triggers!$1:$1,0)-MATCH($F$1,enemy_skill_triggers!$1:$1,0)+1,FALSE)</f>
        <v>918</v>
      </c>
      <c r="I214" s="42">
        <f ca="1">VLOOKUP($F214,OFFSET(enemy_skill_triggers!$A$1,0,0,COUNTA(enemy_skill_triggers!$A:$A),MATCH(I$1,enemy_skill_triggers!$1:$1,0)-MATCH($F$1,enemy_skill_triggers!$1:$1,0)+1),MATCH(I$1,enemy_skill_triggers!$1:$1,0)-MATCH($F$1,enemy_skill_triggers!$1:$1,0)+1,FALSE)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4" s="42" t="str">
        <f ca="1">VLOOKUP($F214,OFFSET(enemy_skill_triggers!$A$1,0,0,COUNTA(enemy_skill_triggers!$A:$A),MATCH(J$1,enemy_skill_triggers!$1:$1,0)-MATCH($F$1,enemy_skill_triggers!$1:$1,0)+1),MATCH(J$1,enemy_skill_triggers!$1:$1,0)-MATCH($F$1,enemy_skill_triggers!$1:$1,0)+1,FALSE)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4" s="42" t="str">
        <f ca="1">VLOOKUP($F214,OFFSET(enemy_skill_triggers!$A$1,0,0,COUNTA(enemy_skill_triggers!$A:$A),MATCH(K$1,enemy_skill_triggers!$1:$1,0)-MATCH($F$1,enemy_skill_triggers!$1:$1,0)+1),MATCH(K$1,enemy_skill_triggers!$1:$1,0)-MATCH($F$1,enemy_skill_triggers!$1:$1,0)+1,FALSE)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4" s="42">
        <f ca="1">VLOOKUP($F214,OFFSET(enemy_skill_triggers!$A$1,0,0,COUNTA(enemy_skill_triggers!$A:$A),MATCH(L$1,enemy_skill_triggers!$1:$1,0)-MATCH($F$1,enemy_skill_triggers!$1:$1,0)+1),MATCH(L$1,enemy_skill_triggers!$1:$1,0)-MATCH($F$1,enemy_skill_triggers!$1:$1,0)+1,FALSE)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4" s="42" t="str">
        <f ca="1">VLOOKUP($F214,OFFSET(enemy_skill_triggers!$A$1,0,0,COUNTA(enemy_skill_triggers!$A:$A),MATCH(M$1,enemy_skill_triggers!$1:$1,0)-MATCH($F$1,enemy_skill_triggers!$1:$1,0)+1),MATCH(M$1,enemy_skill_triggers!$1:$1,0)-MATCH($F$1,enemy_skill_triggers!$1:$1,0)+1,FALSE)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4" s="42">
        <f ca="1">VLOOKUP($F214,OFFSET(enemy_skill_triggers!$A$1,0,0,COUNTA(enemy_skill_triggers!$A:$A),MATCH(N$1,enemy_skill_triggers!$1:$1,0)-MATCH($F$1,enemy_skill_triggers!$1:$1,0)+1),MATCH(N$1,enemy_skill_triggers!$1:$1,0)-MATCH($F$1,enemy_skill_triggers!$1:$1,0)+1,FALSE)</f>
        <v>1311</v>
      </c>
      <c r="O214" s="42">
        <f ca="1">VLOOKUP($F214,OFFSET(enemy_skill_triggers!$A$1,0,0,COUNTA(enemy_skill_triggers!$A:$A),MATCH(O$1,enemy_skill_triggers!$1:$1,0)-MATCH($F$1,enemy_skill_triggers!$1:$1,0)+1),MATCH(O$1,enemy_skill_triggers!$1:$1,0)-MATCH($F$1,enemy_skill_triggers!$1:$1,0)+1,FALSE)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4" s="41"/>
      <c r="Q214" s="41"/>
      <c r="R214" s="41" t="s">
        <v>355</v>
      </c>
    </row>
    <row r="215" spans="1:18" ht="21" customHeight="1" x14ac:dyDescent="0.15">
      <c r="A215" s="33" t="str">
        <f t="shared" si="13"/>
        <v>39008007_39008036</v>
      </c>
      <c r="B215" s="126">
        <v>39008007</v>
      </c>
      <c r="C215" s="119">
        <v>39008036</v>
      </c>
      <c r="D215" s="40" t="str">
        <f ca="1">VLOOKUP($C215,OFFSET(enemy_skills!$A$1,0,0,COUNTA(enemy_skills!$A:$A),MATCH(D$1,enemy_skills!$1:$1,0)-MATCH("enemy_skill_id",enemy_skills!$1:$1,0)+1),MATCH(D$1,enemy_skills!$1:$1,0)-MATCH("enemy_skill_id",enemy_skills!$1:$1,0)+1,FALSE)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15" s="40" t="str">
        <f ca="1">VLOOKUP($C215,OFFSET(enemy_skills!$A$1,0,0,COUNTA(enemy_skills!$A:$A),MATCH(E$1,enemy_skills!$1:$1,0)-MATCH("enemy_skill_id",enemy_skills!$1:$1,0)+1),MATCH(E$1,enemy_skills!$1:$1,0)-MATCH("enemy_skill_id",enemy_skills!$1:$1,0)+1,FALSE)</f>
        <v>そっか！レンきゅんが助けてくれたんだね！ありがとうっ！</v>
      </c>
      <c r="F215" s="122">
        <v>39008114</v>
      </c>
      <c r="G215" s="42">
        <f ca="1">VLOOKUP($F215,OFFSET(enemy_skill_triggers!$A$1,0,0,COUNTA(enemy_skill_triggers!$A:$A),MATCH(G$1,enemy_skill_triggers!$1:$1,0)-MATCH($F$1,enemy_skill_triggers!$1:$1,0)+1),MATCH(G$1,enemy_skill_triggers!$1:$1,0)-MATCH($F$1,enemy_skill_triggers!$1:$1,0)+1,FALSE)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5" s="42">
        <f ca="1">VLOOKUP($F215,OFFSET(enemy_skill_triggers!$A$1,0,0,COUNTA(enemy_skill_triggers!$A:$A),MATCH(H$1,enemy_skill_triggers!$1:$1,0)-MATCH($F$1,enemy_skill_triggers!$1:$1,0)+1),MATCH(H$1,enemy_skill_triggers!$1:$1,0)-MATCH($F$1,enemy_skill_triggers!$1:$1,0)+1,FALSE)</f>
        <v>917</v>
      </c>
      <c r="I215" s="42">
        <f ca="1">VLOOKUP($F215,OFFSET(enemy_skill_triggers!$A$1,0,0,COUNTA(enemy_skill_triggers!$A:$A),MATCH(I$1,enemy_skill_triggers!$1:$1,0)-MATCH($F$1,enemy_skill_triggers!$1:$1,0)+1),MATCH(I$1,enemy_skill_triggers!$1:$1,0)-MATCH($F$1,enemy_skill_triggers!$1:$1,0)+1,FALSE)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5" s="42" t="str">
        <f ca="1">VLOOKUP($F215,OFFSET(enemy_skill_triggers!$A$1,0,0,COUNTA(enemy_skill_triggers!$A:$A),MATCH(J$1,enemy_skill_triggers!$1:$1,0)-MATCH($F$1,enemy_skill_triggers!$1:$1,0)+1),MATCH(J$1,enemy_skill_triggers!$1:$1,0)-MATCH($F$1,enemy_skill_triggers!$1:$1,0)+1,FALSE)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5" s="42" t="str">
        <f ca="1">VLOOKUP($F215,OFFSET(enemy_skill_triggers!$A$1,0,0,COUNTA(enemy_skill_triggers!$A:$A),MATCH(K$1,enemy_skill_triggers!$1:$1,0)-MATCH($F$1,enemy_skill_triggers!$1:$1,0)+1),MATCH(K$1,enemy_skill_triggers!$1:$1,0)-MATCH($F$1,enemy_skill_triggers!$1:$1,0)+1,FALSE)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5" s="42">
        <f ca="1">VLOOKUP($F215,OFFSET(enemy_skill_triggers!$A$1,0,0,COUNTA(enemy_skill_triggers!$A:$A),MATCH(L$1,enemy_skill_triggers!$1:$1,0)-MATCH($F$1,enemy_skill_triggers!$1:$1,0)+1),MATCH(L$1,enemy_skill_triggers!$1:$1,0)-MATCH($F$1,enemy_skill_triggers!$1:$1,0)+1,FALSE)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5" s="42" t="str">
        <f ca="1">VLOOKUP($F215,OFFSET(enemy_skill_triggers!$A$1,0,0,COUNTA(enemy_skill_triggers!$A:$A),MATCH(M$1,enemy_skill_triggers!$1:$1,0)-MATCH($F$1,enemy_skill_triggers!$1:$1,0)+1),MATCH(M$1,enemy_skill_triggers!$1:$1,0)-MATCH($F$1,enemy_skill_triggers!$1:$1,0)+1,FALSE)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5" s="42">
        <f ca="1">VLOOKUP($F215,OFFSET(enemy_skill_triggers!$A$1,0,0,COUNTA(enemy_skill_triggers!$A:$A),MATCH(N$1,enemy_skill_triggers!$1:$1,0)-MATCH($F$1,enemy_skill_triggers!$1:$1,0)+1),MATCH(N$1,enemy_skill_triggers!$1:$1,0)-MATCH($F$1,enemy_skill_triggers!$1:$1,0)+1,FALSE)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215" s="42">
        <f ca="1">VLOOKUP($F215,OFFSET(enemy_skill_triggers!$A$1,0,0,COUNTA(enemy_skill_triggers!$A:$A),MATCH(O$1,enemy_skill_triggers!$1:$1,0)-MATCH($F$1,enemy_skill_triggers!$1:$1,0)+1),MATCH(O$1,enemy_skill_triggers!$1:$1,0)-MATCH($F$1,enemy_skill_triggers!$1:$1,0)+1,FALSE)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5" s="41"/>
      <c r="Q215" s="41"/>
      <c r="R215" s="41" t="s">
        <v>358</v>
      </c>
    </row>
    <row r="216" spans="1:18" ht="21" customHeight="1" x14ac:dyDescent="0.15">
      <c r="A216" s="33" t="str">
        <f t="shared" si="13"/>
        <v>39008007_39008036</v>
      </c>
      <c r="B216" s="126">
        <v>39008007</v>
      </c>
      <c r="C216" s="119">
        <v>39008036</v>
      </c>
      <c r="D216" s="40" t="str">
        <f ca="1">VLOOKUP($C216,OFFSET(enemy_skills!$A$1,0,0,COUNTA(enemy_skills!$A:$A),MATCH(D$1,enemy_skills!$1:$1,0)-MATCH("enemy_skill_id",enemy_skills!$1:$1,0)+1),MATCH(D$1,enemy_skills!$1:$1,0)-MATCH("enemy_skill_id",enemy_skills!$1:$1,0)+1,FALSE)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16" s="40" t="str">
        <f ca="1">VLOOKUP($C216,OFFSET(enemy_skills!$A$1,0,0,COUNTA(enemy_skills!$A:$A),MATCH(E$1,enemy_skills!$1:$1,0)-MATCH("enemy_skill_id",enemy_skills!$1:$1,0)+1),MATCH(E$1,enemy_skills!$1:$1,0)-MATCH("enemy_skill_id",enemy_skills!$1:$1,0)+1,FALSE)</f>
        <v>そっか！レンきゅんが助けてくれたんだね！ありがとうっ！</v>
      </c>
      <c r="F216" s="122">
        <v>39008115</v>
      </c>
      <c r="G216" s="42">
        <f ca="1">VLOOKUP($F216,OFFSET(enemy_skill_triggers!$A$1,0,0,COUNTA(enemy_skill_triggers!$A:$A),MATCH(G$1,enemy_skill_triggers!$1:$1,0)-MATCH($F$1,enemy_skill_triggers!$1:$1,0)+1),MATCH(G$1,enemy_skill_triggers!$1:$1,0)-MATCH($F$1,enemy_skill_triggers!$1:$1,0)+1,FALSE)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6" s="42">
        <f ca="1">VLOOKUP($F216,OFFSET(enemy_skill_triggers!$A$1,0,0,COUNTA(enemy_skill_triggers!$A:$A),MATCH(H$1,enemy_skill_triggers!$1:$1,0)-MATCH($F$1,enemy_skill_triggers!$1:$1,0)+1),MATCH(H$1,enemy_skill_triggers!$1:$1,0)-MATCH($F$1,enemy_skill_triggers!$1:$1,0)+1,FALSE)</f>
        <v>916</v>
      </c>
      <c r="I216" s="42">
        <f ca="1">VLOOKUP($F216,OFFSET(enemy_skill_triggers!$A$1,0,0,COUNTA(enemy_skill_triggers!$A:$A),MATCH(I$1,enemy_skill_triggers!$1:$1,0)-MATCH($F$1,enemy_skill_triggers!$1:$1,0)+1),MATCH(I$1,enemy_skill_triggers!$1:$1,0)-MATCH($F$1,enemy_skill_triggers!$1:$1,0)+1,FALSE)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6" s="42" t="str">
        <f ca="1">VLOOKUP($F216,OFFSET(enemy_skill_triggers!$A$1,0,0,COUNTA(enemy_skill_triggers!$A:$A),MATCH(J$1,enemy_skill_triggers!$1:$1,0)-MATCH($F$1,enemy_skill_triggers!$1:$1,0)+1),MATCH(J$1,enemy_skill_triggers!$1:$1,0)-MATCH($F$1,enemy_skill_triggers!$1:$1,0)+1,FALSE)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6" s="42" t="str">
        <f ca="1">VLOOKUP($F216,OFFSET(enemy_skill_triggers!$A$1,0,0,COUNTA(enemy_skill_triggers!$A:$A),MATCH(K$1,enemy_skill_triggers!$1:$1,0)-MATCH($F$1,enemy_skill_triggers!$1:$1,0)+1),MATCH(K$1,enemy_skill_triggers!$1:$1,0)-MATCH($F$1,enemy_skill_triggers!$1:$1,0)+1,FALSE)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6" s="42">
        <f ca="1">VLOOKUP($F216,OFFSET(enemy_skill_triggers!$A$1,0,0,COUNTA(enemy_skill_triggers!$A:$A),MATCH(L$1,enemy_skill_triggers!$1:$1,0)-MATCH($F$1,enemy_skill_triggers!$1:$1,0)+1),MATCH(L$1,enemy_skill_triggers!$1:$1,0)-MATCH($F$1,enemy_skill_triggers!$1:$1,0)+1,FALSE)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6" s="42" t="str">
        <f ca="1">VLOOKUP($F216,OFFSET(enemy_skill_triggers!$A$1,0,0,COUNTA(enemy_skill_triggers!$A:$A),MATCH(M$1,enemy_skill_triggers!$1:$1,0)-MATCH($F$1,enemy_skill_triggers!$1:$1,0)+1),MATCH(M$1,enemy_skill_triggers!$1:$1,0)-MATCH($F$1,enemy_skill_triggers!$1:$1,0)+1,FALSE)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6" s="42">
        <f ca="1">VLOOKUP($F216,OFFSET(enemy_skill_triggers!$A$1,0,0,COUNTA(enemy_skill_triggers!$A:$A),MATCH(N$1,enemy_skill_triggers!$1:$1,0)-MATCH($F$1,enemy_skill_triggers!$1:$1,0)+1),MATCH(N$1,enemy_skill_triggers!$1:$1,0)-MATCH($F$1,enemy_skill_triggers!$1:$1,0)+1,FALSE)</f>
        <v>546</v>
      </c>
      <c r="O216" s="42">
        <f ca="1">VLOOKUP($F216,OFFSET(enemy_skill_triggers!$A$1,0,0,COUNTA(enemy_skill_triggers!$A:$A),MATCH(O$1,enemy_skill_triggers!$1:$1,0)-MATCH($F$1,enemy_skill_triggers!$1:$1,0)+1),MATCH(O$1,enemy_skill_triggers!$1:$1,0)-MATCH($F$1,enemy_skill_triggers!$1:$1,0)+1,FALSE)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6" s="41"/>
      <c r="Q216" s="41"/>
      <c r="R216" s="41" t="s">
        <v>358</v>
      </c>
    </row>
    <row r="217" spans="1:18" ht="21" customHeight="1" x14ac:dyDescent="0.15">
      <c r="A217" s="33" t="str">
        <f t="shared" si="13"/>
        <v>39008007_39008036</v>
      </c>
      <c r="B217" s="126">
        <v>39008007</v>
      </c>
      <c r="C217" s="119">
        <v>39008036</v>
      </c>
      <c r="D217" s="40" t="str">
        <f ca="1">VLOOKUP($C217,OFFSET(enemy_skills!$A$1,0,0,COUNTA(enemy_skills!$A:$A),MATCH(D$1,enemy_skills!$1:$1,0)-MATCH("enemy_skill_id",enemy_skills!$1:$1,0)+1),MATCH(D$1,enemy_skills!$1:$1,0)-MATCH("enemy_skill_id",enemy_skills!$1:$1,0)+1,FALSE)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17" s="40" t="str">
        <f ca="1">VLOOKUP($C217,OFFSET(enemy_skills!$A$1,0,0,COUNTA(enemy_skills!$A:$A),MATCH(E$1,enemy_skills!$1:$1,0)-MATCH("enemy_skill_id",enemy_skills!$1:$1,0)+1),MATCH(E$1,enemy_skills!$1:$1,0)-MATCH("enemy_skill_id",enemy_skills!$1:$1,0)+1,FALSE)</f>
        <v>そっか！レンきゅんが助けてくれたんだね！ありがとうっ！</v>
      </c>
      <c r="F217" s="122">
        <v>39008116</v>
      </c>
      <c r="G217" s="42">
        <f ca="1">VLOOKUP($F217,OFFSET(enemy_skill_triggers!$A$1,0,0,COUNTA(enemy_skill_triggers!$A:$A),MATCH(G$1,enemy_skill_triggers!$1:$1,0)-MATCH($F$1,enemy_skill_triggers!$1:$1,0)+1),MATCH(G$1,enemy_skill_triggers!$1:$1,0)-MATCH($F$1,enemy_skill_triggers!$1:$1,0)+1,FALSE)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7" s="42">
        <f ca="1">VLOOKUP($F217,OFFSET(enemy_skill_triggers!$A$1,0,0,COUNTA(enemy_skill_triggers!$A:$A),MATCH(H$1,enemy_skill_triggers!$1:$1,0)-MATCH($F$1,enemy_skill_triggers!$1:$1,0)+1),MATCH(H$1,enemy_skill_triggers!$1:$1,0)-MATCH($F$1,enemy_skill_triggers!$1:$1,0)+1,FALSE)</f>
        <v>915</v>
      </c>
      <c r="I217" s="42">
        <f ca="1">VLOOKUP($F217,OFFSET(enemy_skill_triggers!$A$1,0,0,COUNTA(enemy_skill_triggers!$A:$A),MATCH(I$1,enemy_skill_triggers!$1:$1,0)-MATCH($F$1,enemy_skill_triggers!$1:$1,0)+1),MATCH(I$1,enemy_skill_triggers!$1:$1,0)-MATCH($F$1,enemy_skill_triggers!$1:$1,0)+1,FALSE)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7" s="42" t="str">
        <f ca="1">VLOOKUP($F217,OFFSET(enemy_skill_triggers!$A$1,0,0,COUNTA(enemy_skill_triggers!$A:$A),MATCH(J$1,enemy_skill_triggers!$1:$1,0)-MATCH($F$1,enemy_skill_triggers!$1:$1,0)+1),MATCH(J$1,enemy_skill_triggers!$1:$1,0)-MATCH($F$1,enemy_skill_triggers!$1:$1,0)+1,FALSE)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7" s="42" t="str">
        <f ca="1">VLOOKUP($F217,OFFSET(enemy_skill_triggers!$A$1,0,0,COUNTA(enemy_skill_triggers!$A:$A),MATCH(K$1,enemy_skill_triggers!$1:$1,0)-MATCH($F$1,enemy_skill_triggers!$1:$1,0)+1),MATCH(K$1,enemy_skill_triggers!$1:$1,0)-MATCH($F$1,enemy_skill_triggers!$1:$1,0)+1,FALSE)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7" s="42">
        <f ca="1">VLOOKUP($F217,OFFSET(enemy_skill_triggers!$A$1,0,0,COUNTA(enemy_skill_triggers!$A:$A),MATCH(L$1,enemy_skill_triggers!$1:$1,0)-MATCH($F$1,enemy_skill_triggers!$1:$1,0)+1),MATCH(L$1,enemy_skill_triggers!$1:$1,0)-MATCH($F$1,enemy_skill_triggers!$1:$1,0)+1,FALSE)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7" s="42" t="str">
        <f ca="1">VLOOKUP($F217,OFFSET(enemy_skill_triggers!$A$1,0,0,COUNTA(enemy_skill_triggers!$A:$A),MATCH(M$1,enemy_skill_triggers!$1:$1,0)-MATCH($F$1,enemy_skill_triggers!$1:$1,0)+1),MATCH(M$1,enemy_skill_triggers!$1:$1,0)-MATCH($F$1,enemy_skill_triggers!$1:$1,0)+1,FALSE)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7" s="42">
        <f ca="1">VLOOKUP($F217,OFFSET(enemy_skill_triggers!$A$1,0,0,COUNTA(enemy_skill_triggers!$A:$A),MATCH(N$1,enemy_skill_triggers!$1:$1,0)-MATCH($F$1,enemy_skill_triggers!$1:$1,0)+1),MATCH(N$1,enemy_skill_triggers!$1:$1,0)-MATCH($F$1,enemy_skill_triggers!$1:$1,0)+1,FALSE)</f>
        <v>1312</v>
      </c>
      <c r="O217" s="42">
        <f ca="1">VLOOKUP($F217,OFFSET(enemy_skill_triggers!$A$1,0,0,COUNTA(enemy_skill_triggers!$A:$A),MATCH(O$1,enemy_skill_triggers!$1:$1,0)-MATCH($F$1,enemy_skill_triggers!$1:$1,0)+1),MATCH(O$1,enemy_skill_triggers!$1:$1,0)-MATCH($F$1,enemy_skill_triggers!$1:$1,0)+1,FALSE)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7" s="41"/>
      <c r="Q217" s="41"/>
      <c r="R217" s="41" t="s">
        <v>360</v>
      </c>
    </row>
    <row r="218" spans="1:18" ht="21" customHeight="1" x14ac:dyDescent="0.15">
      <c r="A218" s="33" t="str">
        <f t="shared" si="13"/>
        <v>39008007_39008033</v>
      </c>
      <c r="B218" s="126">
        <v>39008007</v>
      </c>
      <c r="C218" s="119">
        <v>39008033</v>
      </c>
      <c r="D218" s="40" t="str">
        <f ca="1">VLOOKUP($C218,OFFSET(enemy_skills!$A$1,0,0,COUNTA(enemy_skills!$A:$A),MATCH(D$1,enemy_skills!$1:$1,0)-MATCH("enemy_skill_id",enemy_skills!$1:$1,0)+1),MATCH(D$1,enemy_skills!$1:$1,0)-MATCH("enemy_skill_id",enemy_skills!$1:$1,0)+1,FALSE)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18" s="40" t="str">
        <f ca="1">VLOOKUP($C218,OFFSET(enemy_skills!$A$1,0,0,COUNTA(enemy_skills!$A:$A),MATCH(E$1,enemy_skills!$1:$1,0)-MATCH("enemy_skill_id",enemy_skills!$1:$1,0)+1),MATCH(E$1,enemy_skills!$1:$1,0)-MATCH("enemy_skill_id",enemy_skills!$1:$1,0)+1,FALSE)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18" s="122">
        <v>39008117</v>
      </c>
      <c r="G218" s="42">
        <f ca="1">VLOOKUP($F218,OFFSET(enemy_skill_triggers!$A$1,0,0,COUNTA(enemy_skill_triggers!$A:$A),MATCH(G$1,enemy_skill_triggers!$1:$1,0)-MATCH($F$1,enemy_skill_triggers!$1:$1,0)+1),MATCH(G$1,enemy_skill_triggers!$1:$1,0)-MATCH($F$1,enemy_skill_triggers!$1:$1,0)+1,FALSE)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8" s="42">
        <f ca="1">VLOOKUP($F218,OFFSET(enemy_skill_triggers!$A$1,0,0,COUNTA(enemy_skill_triggers!$A:$A),MATCH(H$1,enemy_skill_triggers!$1:$1,0)-MATCH($F$1,enemy_skill_triggers!$1:$1,0)+1),MATCH(H$1,enemy_skill_triggers!$1:$1,0)-MATCH($F$1,enemy_skill_triggers!$1:$1,0)+1,FALSE)</f>
        <v>914</v>
      </c>
      <c r="I218" s="42">
        <f ca="1">VLOOKUP($F218,OFFSET(enemy_skill_triggers!$A$1,0,0,COUNTA(enemy_skill_triggers!$A:$A),MATCH(I$1,enemy_skill_triggers!$1:$1,0)-MATCH($F$1,enemy_skill_triggers!$1:$1,0)+1),MATCH(I$1,enemy_skill_triggers!$1:$1,0)-MATCH($F$1,enemy_skill_triggers!$1:$1,0)+1,FALSE)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8" s="42" t="str">
        <f ca="1">VLOOKUP($F218,OFFSET(enemy_skill_triggers!$A$1,0,0,COUNTA(enemy_skill_triggers!$A:$A),MATCH(J$1,enemy_skill_triggers!$1:$1,0)-MATCH($F$1,enemy_skill_triggers!$1:$1,0)+1),MATCH(J$1,enemy_skill_triggers!$1:$1,0)-MATCH($F$1,enemy_skill_triggers!$1:$1,0)+1,FALSE)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8" s="42" t="str">
        <f ca="1">VLOOKUP($F218,OFFSET(enemy_skill_triggers!$A$1,0,0,COUNTA(enemy_skill_triggers!$A:$A),MATCH(K$1,enemy_skill_triggers!$1:$1,0)-MATCH($F$1,enemy_skill_triggers!$1:$1,0)+1),MATCH(K$1,enemy_skill_triggers!$1:$1,0)-MATCH($F$1,enemy_skill_triggers!$1:$1,0)+1,FALSE)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8" s="42">
        <f ca="1">VLOOKUP($F218,OFFSET(enemy_skill_triggers!$A$1,0,0,COUNTA(enemy_skill_triggers!$A:$A),MATCH(L$1,enemy_skill_triggers!$1:$1,0)-MATCH($F$1,enemy_skill_triggers!$1:$1,0)+1),MATCH(L$1,enemy_skill_triggers!$1:$1,0)-MATCH($F$1,enemy_skill_triggers!$1:$1,0)+1,FALSE)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8" s="42" t="str">
        <f ca="1">VLOOKUP($F218,OFFSET(enemy_skill_triggers!$A$1,0,0,COUNTA(enemy_skill_triggers!$A:$A),MATCH(M$1,enemy_skill_triggers!$1:$1,0)-MATCH($F$1,enemy_skill_triggers!$1:$1,0)+1),MATCH(M$1,enemy_skill_triggers!$1:$1,0)-MATCH($F$1,enemy_skill_triggers!$1:$1,0)+1,FALSE)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8" s="42">
        <f ca="1">VLOOKUP($F218,OFFSET(enemy_skill_triggers!$A$1,0,0,COUNTA(enemy_skill_triggers!$A:$A),MATCH(N$1,enemy_skill_triggers!$1:$1,0)-MATCH($F$1,enemy_skill_triggers!$1:$1,0)+1),MATCH(N$1,enemy_skill_triggers!$1:$1,0)-MATCH($F$1,enemy_skill_triggers!$1:$1,0)+1,FALSE)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218" s="42">
        <f ca="1">VLOOKUP($F218,OFFSET(enemy_skill_triggers!$A$1,0,0,COUNTA(enemy_skill_triggers!$A:$A),MATCH(O$1,enemy_skill_triggers!$1:$1,0)-MATCH($F$1,enemy_skill_triggers!$1:$1,0)+1),MATCH(O$1,enemy_skill_triggers!$1:$1,0)-MATCH($F$1,enemy_skill_triggers!$1:$1,0)+1,FALSE)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8" s="41"/>
      <c r="Q218" s="41"/>
      <c r="R218" s="41" t="s">
        <v>340</v>
      </c>
    </row>
    <row r="219" spans="1:18" ht="21" customHeight="1" x14ac:dyDescent="0.15">
      <c r="A219" s="33" t="str">
        <f t="shared" si="13"/>
        <v>39008007_39008033</v>
      </c>
      <c r="B219" s="126">
        <v>39008007</v>
      </c>
      <c r="C219" s="119">
        <v>39008033</v>
      </c>
      <c r="D219" s="40" t="str">
        <f ca="1">VLOOKUP($C219,OFFSET(enemy_skills!$A$1,0,0,COUNTA(enemy_skills!$A:$A),MATCH(D$1,enemy_skills!$1:$1,0)-MATCH("enemy_skill_id",enemy_skills!$1:$1,0)+1),MATCH(D$1,enemy_skills!$1:$1,0)-MATCH("enemy_skill_id",enemy_skills!$1:$1,0)+1,FALSE)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19" s="40" t="str">
        <f ca="1">VLOOKUP($C219,OFFSET(enemy_skills!$A$1,0,0,COUNTA(enemy_skills!$A:$A),MATCH(E$1,enemy_skills!$1:$1,0)-MATCH("enemy_skill_id",enemy_skills!$1:$1,0)+1),MATCH(E$1,enemy_skills!$1:$1,0)-MATCH("enemy_skill_id",enemy_skills!$1:$1,0)+1,FALSE)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19" s="122">
        <v>39008118</v>
      </c>
      <c r="G219" s="42">
        <f ca="1">VLOOKUP($F219,OFFSET(enemy_skill_triggers!$A$1,0,0,COUNTA(enemy_skill_triggers!$A:$A),MATCH(G$1,enemy_skill_triggers!$1:$1,0)-MATCH($F$1,enemy_skill_triggers!$1:$1,0)+1),MATCH(G$1,enemy_skill_triggers!$1:$1,0)-MATCH($F$1,enemy_skill_triggers!$1:$1,0)+1,FALSE)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9" s="42">
        <f ca="1">VLOOKUP($F219,OFFSET(enemy_skill_triggers!$A$1,0,0,COUNTA(enemy_skill_triggers!$A:$A),MATCH(H$1,enemy_skill_triggers!$1:$1,0)-MATCH($F$1,enemy_skill_triggers!$1:$1,0)+1),MATCH(H$1,enemy_skill_triggers!$1:$1,0)-MATCH($F$1,enemy_skill_triggers!$1:$1,0)+1,FALSE)</f>
        <v>913</v>
      </c>
      <c r="I219" s="42">
        <f ca="1">VLOOKUP($F219,OFFSET(enemy_skill_triggers!$A$1,0,0,COUNTA(enemy_skill_triggers!$A:$A),MATCH(I$1,enemy_skill_triggers!$1:$1,0)-MATCH($F$1,enemy_skill_triggers!$1:$1,0)+1),MATCH(I$1,enemy_skill_triggers!$1:$1,0)-MATCH($F$1,enemy_skill_triggers!$1:$1,0)+1,FALSE)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9" s="42" t="str">
        <f ca="1">VLOOKUP($F219,OFFSET(enemy_skill_triggers!$A$1,0,0,COUNTA(enemy_skill_triggers!$A:$A),MATCH(J$1,enemy_skill_triggers!$1:$1,0)-MATCH($F$1,enemy_skill_triggers!$1:$1,0)+1),MATCH(J$1,enemy_skill_triggers!$1:$1,0)-MATCH($F$1,enemy_skill_triggers!$1:$1,0)+1,FALSE)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9" s="42" t="str">
        <f ca="1">VLOOKUP($F219,OFFSET(enemy_skill_triggers!$A$1,0,0,COUNTA(enemy_skill_triggers!$A:$A),MATCH(K$1,enemy_skill_triggers!$1:$1,0)-MATCH($F$1,enemy_skill_triggers!$1:$1,0)+1),MATCH(K$1,enemy_skill_triggers!$1:$1,0)-MATCH($F$1,enemy_skill_triggers!$1:$1,0)+1,FALSE)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9" s="42">
        <f ca="1">VLOOKUP($F219,OFFSET(enemy_skill_triggers!$A$1,0,0,COUNTA(enemy_skill_triggers!$A:$A),MATCH(L$1,enemy_skill_triggers!$1:$1,0)-MATCH($F$1,enemy_skill_triggers!$1:$1,0)+1),MATCH(L$1,enemy_skill_triggers!$1:$1,0)-MATCH($F$1,enemy_skill_triggers!$1:$1,0)+1,FALSE)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9" s="42" t="str">
        <f ca="1">VLOOKUP($F219,OFFSET(enemy_skill_triggers!$A$1,0,0,COUNTA(enemy_skill_triggers!$A:$A),MATCH(M$1,enemy_skill_triggers!$1:$1,0)-MATCH($F$1,enemy_skill_triggers!$1:$1,0)+1),MATCH(M$1,enemy_skill_triggers!$1:$1,0)-MATCH($F$1,enemy_skill_triggers!$1:$1,0)+1,FALSE)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9" s="42">
        <f ca="1">VLOOKUP($F219,OFFSET(enemy_skill_triggers!$A$1,0,0,COUNTA(enemy_skill_triggers!$A:$A),MATCH(N$1,enemy_skill_triggers!$1:$1,0)-MATCH($F$1,enemy_skill_triggers!$1:$1,0)+1),MATCH(N$1,enemy_skill_triggers!$1:$1,0)-MATCH($F$1,enemy_skill_triggers!$1:$1,0)+1,FALSE)</f>
        <v>528</v>
      </c>
      <c r="O219" s="42">
        <f ca="1">VLOOKUP($F219,OFFSET(enemy_skill_triggers!$A$1,0,0,COUNTA(enemy_skill_triggers!$A:$A),MATCH(O$1,enemy_skill_triggers!$1:$1,0)-MATCH($F$1,enemy_skill_triggers!$1:$1,0)+1),MATCH(O$1,enemy_skill_triggers!$1:$1,0)-MATCH($F$1,enemy_skill_triggers!$1:$1,0)+1,FALSE)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9" s="41"/>
      <c r="Q219" s="41"/>
      <c r="R219" s="41" t="s">
        <v>354</v>
      </c>
    </row>
    <row r="220" spans="1:18" ht="21" customHeight="1" x14ac:dyDescent="0.15">
      <c r="A220" s="33" t="str">
        <f t="shared" si="13"/>
        <v>39008007_39008033</v>
      </c>
      <c r="B220" s="126">
        <v>39008007</v>
      </c>
      <c r="C220" s="119">
        <v>39008033</v>
      </c>
      <c r="D220" s="40" t="str">
        <f ca="1">VLOOKUP($C220,OFFSET(enemy_skills!$A$1,0,0,COUNTA(enemy_skills!$A:$A),MATCH(D$1,enemy_skills!$1:$1,0)-MATCH("enemy_skill_id",enemy_skills!$1:$1,0)+1),MATCH(D$1,enemy_skills!$1:$1,0)-MATCH("enemy_skill_id",enemy_skills!$1:$1,0)+1,FALSE)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20" s="40" t="str">
        <f ca="1">VLOOKUP($C220,OFFSET(enemy_skills!$A$1,0,0,COUNTA(enemy_skills!$A:$A),MATCH(E$1,enemy_skills!$1:$1,0)-MATCH("enemy_skill_id",enemy_skills!$1:$1,0)+1),MATCH(E$1,enemy_skills!$1:$1,0)-MATCH("enemy_skill_id",enemy_skills!$1:$1,0)+1,FALSE)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20" s="122">
        <v>39008119</v>
      </c>
      <c r="G220" s="42">
        <f ca="1">VLOOKUP($F220,OFFSET(enemy_skill_triggers!$A$1,0,0,COUNTA(enemy_skill_triggers!$A:$A),MATCH(G$1,enemy_skill_triggers!$1:$1,0)-MATCH($F$1,enemy_skill_triggers!$1:$1,0)+1),MATCH(G$1,enemy_skill_triggers!$1:$1,0)-MATCH($F$1,enemy_skill_triggers!$1:$1,0)+1,FALSE)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0" s="42">
        <f ca="1">VLOOKUP($F220,OFFSET(enemy_skill_triggers!$A$1,0,0,COUNTA(enemy_skill_triggers!$A:$A),MATCH(H$1,enemy_skill_triggers!$1:$1,0)-MATCH($F$1,enemy_skill_triggers!$1:$1,0)+1),MATCH(H$1,enemy_skill_triggers!$1:$1,0)-MATCH($F$1,enemy_skill_triggers!$1:$1,0)+1,FALSE)</f>
        <v>912</v>
      </c>
      <c r="I220" s="42">
        <f ca="1">VLOOKUP($F220,OFFSET(enemy_skill_triggers!$A$1,0,0,COUNTA(enemy_skill_triggers!$A:$A),MATCH(I$1,enemy_skill_triggers!$1:$1,0)-MATCH($F$1,enemy_skill_triggers!$1:$1,0)+1),MATCH(I$1,enemy_skill_triggers!$1:$1,0)-MATCH($F$1,enemy_skill_triggers!$1:$1,0)+1,FALSE)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0" s="42" t="str">
        <f ca="1">VLOOKUP($F220,OFFSET(enemy_skill_triggers!$A$1,0,0,COUNTA(enemy_skill_triggers!$A:$A),MATCH(J$1,enemy_skill_triggers!$1:$1,0)-MATCH($F$1,enemy_skill_triggers!$1:$1,0)+1),MATCH(J$1,enemy_skill_triggers!$1:$1,0)-MATCH($F$1,enemy_skill_triggers!$1:$1,0)+1,FALSE)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0" s="42" t="str">
        <f ca="1">VLOOKUP($F220,OFFSET(enemy_skill_triggers!$A$1,0,0,COUNTA(enemy_skill_triggers!$A:$A),MATCH(K$1,enemy_skill_triggers!$1:$1,0)-MATCH($F$1,enemy_skill_triggers!$1:$1,0)+1),MATCH(K$1,enemy_skill_triggers!$1:$1,0)-MATCH($F$1,enemy_skill_triggers!$1:$1,0)+1,FALSE)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0" s="42">
        <f ca="1">VLOOKUP($F220,OFFSET(enemy_skill_triggers!$A$1,0,0,COUNTA(enemy_skill_triggers!$A:$A),MATCH(L$1,enemy_skill_triggers!$1:$1,0)-MATCH($F$1,enemy_skill_triggers!$1:$1,0)+1),MATCH(L$1,enemy_skill_triggers!$1:$1,0)-MATCH($F$1,enemy_skill_triggers!$1:$1,0)+1,FALSE)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0" s="42" t="str">
        <f ca="1">VLOOKUP($F220,OFFSET(enemy_skill_triggers!$A$1,0,0,COUNTA(enemy_skill_triggers!$A:$A),MATCH(M$1,enemy_skill_triggers!$1:$1,0)-MATCH($F$1,enemy_skill_triggers!$1:$1,0)+1),MATCH(M$1,enemy_skill_triggers!$1:$1,0)-MATCH($F$1,enemy_skill_triggers!$1:$1,0)+1,FALSE)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0" s="42">
        <f ca="1">VLOOKUP($F220,OFFSET(enemy_skill_triggers!$A$1,0,0,COUNTA(enemy_skill_triggers!$A:$A),MATCH(N$1,enemy_skill_triggers!$1:$1,0)-MATCH($F$1,enemy_skill_triggers!$1:$1,0)+1),MATCH(N$1,enemy_skill_triggers!$1:$1,0)-MATCH($F$1,enemy_skill_triggers!$1:$1,0)+1,FALSE)</f>
        <v>1299</v>
      </c>
      <c r="O220" s="42">
        <f ca="1">VLOOKUP($F220,OFFSET(enemy_skill_triggers!$A$1,0,0,COUNTA(enemy_skill_triggers!$A:$A),MATCH(O$1,enemy_skill_triggers!$1:$1,0)-MATCH($F$1,enemy_skill_triggers!$1:$1,0)+1),MATCH(O$1,enemy_skill_triggers!$1:$1,0)-MATCH($F$1,enemy_skill_triggers!$1:$1,0)+1,FALSE)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0" s="41"/>
      <c r="Q220" s="41"/>
      <c r="R220" s="41" t="s">
        <v>353</v>
      </c>
    </row>
    <row r="221" spans="1:18" ht="21" customHeight="1" x14ac:dyDescent="0.15">
      <c r="A221" s="33" t="str">
        <f t="shared" si="13"/>
        <v>39008007_39008035</v>
      </c>
      <c r="B221" s="126">
        <v>39008007</v>
      </c>
      <c r="C221" s="119">
        <v>39008035</v>
      </c>
      <c r="D221" s="40" t="str">
        <f ca="1">VLOOKUP($C221,OFFSET(enemy_skills!$A$1,0,0,COUNTA(enemy_skills!$A:$A),MATCH(D$1,enemy_skills!$1:$1,0)-MATCH("enemy_skill_id",enemy_skills!$1:$1,0)+1),MATCH(D$1,enemy_skills!$1:$1,0)-MATCH("enemy_skill_id",enemy_skills!$1:$1,0)+1,FALSE)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21" s="40" t="str">
        <f ca="1">VLOOKUP($C221,OFFSET(enemy_skills!$A$1,0,0,COUNTA(enemy_skills!$A:$A),MATCH(E$1,enemy_skills!$1:$1,0)-MATCH("enemy_skill_id",enemy_skills!$1:$1,0)+1),MATCH(E$1,enemy_skills!$1:$1,0)-MATCH("enemy_skill_id",enemy_skills!$1:$1,0)+1,FALSE)</f>
        <v>そっか！リンちゃんが助けてくれたんだね！ありがとうっ！</v>
      </c>
      <c r="F221" s="122">
        <v>39008120</v>
      </c>
      <c r="G221" s="42">
        <f ca="1">VLOOKUP($F221,OFFSET(enemy_skill_triggers!$A$1,0,0,COUNTA(enemy_skill_triggers!$A:$A),MATCH(G$1,enemy_skill_triggers!$1:$1,0)-MATCH($F$1,enemy_skill_triggers!$1:$1,0)+1),MATCH(G$1,enemy_skill_triggers!$1:$1,0)-MATCH($F$1,enemy_skill_triggers!$1:$1,0)+1,FALSE)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1" s="42">
        <f ca="1">VLOOKUP($F221,OFFSET(enemy_skill_triggers!$A$1,0,0,COUNTA(enemy_skill_triggers!$A:$A),MATCH(H$1,enemy_skill_triggers!$1:$1,0)-MATCH($F$1,enemy_skill_triggers!$1:$1,0)+1),MATCH(H$1,enemy_skill_triggers!$1:$1,0)-MATCH($F$1,enemy_skill_triggers!$1:$1,0)+1,FALSE)</f>
        <v>911</v>
      </c>
      <c r="I221" s="42">
        <f ca="1">VLOOKUP($F221,OFFSET(enemy_skill_triggers!$A$1,0,0,COUNTA(enemy_skill_triggers!$A:$A),MATCH(I$1,enemy_skill_triggers!$1:$1,0)-MATCH($F$1,enemy_skill_triggers!$1:$1,0)+1),MATCH(I$1,enemy_skill_triggers!$1:$1,0)-MATCH($F$1,enemy_skill_triggers!$1:$1,0)+1,FALSE)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1" s="42" t="str">
        <f ca="1">VLOOKUP($F221,OFFSET(enemy_skill_triggers!$A$1,0,0,COUNTA(enemy_skill_triggers!$A:$A),MATCH(J$1,enemy_skill_triggers!$1:$1,0)-MATCH($F$1,enemy_skill_triggers!$1:$1,0)+1),MATCH(J$1,enemy_skill_triggers!$1:$1,0)-MATCH($F$1,enemy_skill_triggers!$1:$1,0)+1,FALSE)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1" s="42" t="str">
        <f ca="1">VLOOKUP($F221,OFFSET(enemy_skill_triggers!$A$1,0,0,COUNTA(enemy_skill_triggers!$A:$A),MATCH(K$1,enemy_skill_triggers!$1:$1,0)-MATCH($F$1,enemy_skill_triggers!$1:$1,0)+1),MATCH(K$1,enemy_skill_triggers!$1:$1,0)-MATCH($F$1,enemy_skill_triggers!$1:$1,0)+1,FALSE)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1" s="42">
        <f ca="1">VLOOKUP($F221,OFFSET(enemy_skill_triggers!$A$1,0,0,COUNTA(enemy_skill_triggers!$A:$A),MATCH(L$1,enemy_skill_triggers!$1:$1,0)-MATCH($F$1,enemy_skill_triggers!$1:$1,0)+1),MATCH(L$1,enemy_skill_triggers!$1:$1,0)-MATCH($F$1,enemy_skill_triggers!$1:$1,0)+1,FALSE)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1" s="42" t="str">
        <f ca="1">VLOOKUP($F221,OFFSET(enemy_skill_triggers!$A$1,0,0,COUNTA(enemy_skill_triggers!$A:$A),MATCH(M$1,enemy_skill_triggers!$1:$1,0)-MATCH($F$1,enemy_skill_triggers!$1:$1,0)+1),MATCH(M$1,enemy_skill_triggers!$1:$1,0)-MATCH($F$1,enemy_skill_triggers!$1:$1,0)+1,FALSE)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1" s="42">
        <f ca="1">VLOOKUP($F221,OFFSET(enemy_skill_triggers!$A$1,0,0,COUNTA(enemy_skill_triggers!$A:$A),MATCH(N$1,enemy_skill_triggers!$1:$1,0)-MATCH($F$1,enemy_skill_triggers!$1:$1,0)+1),MATCH(N$1,enemy_skill_triggers!$1:$1,0)-MATCH($F$1,enemy_skill_triggers!$1:$1,0)+1,FALSE)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221" s="42">
        <f ca="1">VLOOKUP($F221,OFFSET(enemy_skill_triggers!$A$1,0,0,COUNTA(enemy_skill_triggers!$A:$A),MATCH(O$1,enemy_skill_triggers!$1:$1,0)-MATCH($F$1,enemy_skill_triggers!$1:$1,0)+1),MATCH(O$1,enemy_skill_triggers!$1:$1,0)-MATCH($F$1,enemy_skill_triggers!$1:$1,0)+1,FALSE)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1" s="41"/>
      <c r="Q221" s="41"/>
      <c r="R221" s="41" t="s">
        <v>355</v>
      </c>
    </row>
    <row r="222" spans="1:18" ht="21" customHeight="1" x14ac:dyDescent="0.15">
      <c r="A222" s="33" t="str">
        <f t="shared" si="13"/>
        <v>39008007_39008035</v>
      </c>
      <c r="B222" s="126">
        <v>39008007</v>
      </c>
      <c r="C222" s="119">
        <v>39008035</v>
      </c>
      <c r="D222" s="40" t="str">
        <f ca="1">VLOOKUP($C222,OFFSET(enemy_skills!$A$1,0,0,COUNTA(enemy_skills!$A:$A),MATCH(D$1,enemy_skills!$1:$1,0)-MATCH("enemy_skill_id",enemy_skills!$1:$1,0)+1),MATCH(D$1,enemy_skills!$1:$1,0)-MATCH("enemy_skill_id",enemy_skills!$1:$1,0)+1,FALSE)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22" s="40" t="str">
        <f ca="1">VLOOKUP($C222,OFFSET(enemy_skills!$A$1,0,0,COUNTA(enemy_skills!$A:$A),MATCH(E$1,enemy_skills!$1:$1,0)-MATCH("enemy_skill_id",enemy_skills!$1:$1,0)+1),MATCH(E$1,enemy_skills!$1:$1,0)-MATCH("enemy_skill_id",enemy_skills!$1:$1,0)+1,FALSE)</f>
        <v>そっか！リンちゃんが助けてくれたんだね！ありがとうっ！</v>
      </c>
      <c r="F222" s="122">
        <v>39008121</v>
      </c>
      <c r="G222" s="42">
        <f ca="1">VLOOKUP($F222,OFFSET(enemy_skill_triggers!$A$1,0,0,COUNTA(enemy_skill_triggers!$A:$A),MATCH(G$1,enemy_skill_triggers!$1:$1,0)-MATCH($F$1,enemy_skill_triggers!$1:$1,0)+1),MATCH(G$1,enemy_skill_triggers!$1:$1,0)-MATCH($F$1,enemy_skill_triggers!$1:$1,0)+1,FALSE)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2" s="42">
        <f ca="1">VLOOKUP($F222,OFFSET(enemy_skill_triggers!$A$1,0,0,COUNTA(enemy_skill_triggers!$A:$A),MATCH(H$1,enemy_skill_triggers!$1:$1,0)-MATCH($F$1,enemy_skill_triggers!$1:$1,0)+1),MATCH(H$1,enemy_skill_triggers!$1:$1,0)-MATCH($F$1,enemy_skill_triggers!$1:$1,0)+1,FALSE)</f>
        <v>910</v>
      </c>
      <c r="I222" s="42">
        <f ca="1">VLOOKUP($F222,OFFSET(enemy_skill_triggers!$A$1,0,0,COUNTA(enemy_skill_triggers!$A:$A),MATCH(I$1,enemy_skill_triggers!$1:$1,0)-MATCH($F$1,enemy_skill_triggers!$1:$1,0)+1),MATCH(I$1,enemy_skill_triggers!$1:$1,0)-MATCH($F$1,enemy_skill_triggers!$1:$1,0)+1,FALSE)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2" s="42" t="str">
        <f ca="1">VLOOKUP($F222,OFFSET(enemy_skill_triggers!$A$1,0,0,COUNTA(enemy_skill_triggers!$A:$A),MATCH(J$1,enemy_skill_triggers!$1:$1,0)-MATCH($F$1,enemy_skill_triggers!$1:$1,0)+1),MATCH(J$1,enemy_skill_triggers!$1:$1,0)-MATCH($F$1,enemy_skill_triggers!$1:$1,0)+1,FALSE)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2" s="42" t="str">
        <f ca="1">VLOOKUP($F222,OFFSET(enemy_skill_triggers!$A$1,0,0,COUNTA(enemy_skill_triggers!$A:$A),MATCH(K$1,enemy_skill_triggers!$1:$1,0)-MATCH($F$1,enemy_skill_triggers!$1:$1,0)+1),MATCH(K$1,enemy_skill_triggers!$1:$1,0)-MATCH($F$1,enemy_skill_triggers!$1:$1,0)+1,FALSE)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2" s="42">
        <f ca="1">VLOOKUP($F222,OFFSET(enemy_skill_triggers!$A$1,0,0,COUNTA(enemy_skill_triggers!$A:$A),MATCH(L$1,enemy_skill_triggers!$1:$1,0)-MATCH($F$1,enemy_skill_triggers!$1:$1,0)+1),MATCH(L$1,enemy_skill_triggers!$1:$1,0)-MATCH($F$1,enemy_skill_triggers!$1:$1,0)+1,FALSE)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2" s="42" t="str">
        <f ca="1">VLOOKUP($F222,OFFSET(enemy_skill_triggers!$A$1,0,0,COUNTA(enemy_skill_triggers!$A:$A),MATCH(M$1,enemy_skill_triggers!$1:$1,0)-MATCH($F$1,enemy_skill_triggers!$1:$1,0)+1),MATCH(M$1,enemy_skill_triggers!$1:$1,0)-MATCH($F$1,enemy_skill_triggers!$1:$1,0)+1,FALSE)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2" s="42">
        <f ca="1">VLOOKUP($F222,OFFSET(enemy_skill_triggers!$A$1,0,0,COUNTA(enemy_skill_triggers!$A:$A),MATCH(N$1,enemy_skill_triggers!$1:$1,0)-MATCH($F$1,enemy_skill_triggers!$1:$1,0)+1),MATCH(N$1,enemy_skill_triggers!$1:$1,0)-MATCH($F$1,enemy_skill_triggers!$1:$1,0)+1,FALSE)</f>
        <v>1319</v>
      </c>
      <c r="O222" s="42">
        <f ca="1">VLOOKUP($F222,OFFSET(enemy_skill_triggers!$A$1,0,0,COUNTA(enemy_skill_triggers!$A:$A),MATCH(O$1,enemy_skill_triggers!$1:$1,0)-MATCH($F$1,enemy_skill_triggers!$1:$1,0)+1),MATCH(O$1,enemy_skill_triggers!$1:$1,0)-MATCH($F$1,enemy_skill_triggers!$1:$1,0)+1,FALSE)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2" s="41"/>
      <c r="Q222" s="41"/>
      <c r="R222" s="41" t="s">
        <v>364</v>
      </c>
    </row>
    <row r="223" spans="1:18" ht="21" customHeight="1" x14ac:dyDescent="0.15">
      <c r="A223" s="33" t="str">
        <f t="shared" si="13"/>
        <v>39008007_39008036</v>
      </c>
      <c r="B223" s="126">
        <v>39008007</v>
      </c>
      <c r="C223" s="119">
        <v>39008036</v>
      </c>
      <c r="D223" s="40" t="str">
        <f ca="1">VLOOKUP($C223,OFFSET(enemy_skills!$A$1,0,0,COUNTA(enemy_skills!$A:$A),MATCH(D$1,enemy_skills!$1:$1,0)-MATCH("enemy_skill_id",enemy_skills!$1:$1,0)+1),MATCH(D$1,enemy_skills!$1:$1,0)-MATCH("enemy_skill_id",enemy_skills!$1:$1,0)+1,FALSE)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23" s="40" t="str">
        <f ca="1">VLOOKUP($C223,OFFSET(enemy_skills!$A$1,0,0,COUNTA(enemy_skills!$A:$A),MATCH(E$1,enemy_skills!$1:$1,0)-MATCH("enemy_skill_id",enemy_skills!$1:$1,0)+1),MATCH(E$1,enemy_skills!$1:$1,0)-MATCH("enemy_skill_id",enemy_skills!$1:$1,0)+1,FALSE)</f>
        <v>そっか！レンきゅんが助けてくれたんだね！ありがとうっ！</v>
      </c>
      <c r="F223" s="122">
        <v>39008122</v>
      </c>
      <c r="G223" s="42">
        <f ca="1">VLOOKUP($F223,OFFSET(enemy_skill_triggers!$A$1,0,0,COUNTA(enemy_skill_triggers!$A:$A),MATCH(G$1,enemy_skill_triggers!$1:$1,0)-MATCH($F$1,enemy_skill_triggers!$1:$1,0)+1),MATCH(G$1,enemy_skill_triggers!$1:$1,0)-MATCH($F$1,enemy_skill_triggers!$1:$1,0)+1,FALSE)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3" s="42">
        <f ca="1">VLOOKUP($F223,OFFSET(enemy_skill_triggers!$A$1,0,0,COUNTA(enemy_skill_triggers!$A:$A),MATCH(H$1,enemy_skill_triggers!$1:$1,0)-MATCH($F$1,enemy_skill_triggers!$1:$1,0)+1),MATCH(H$1,enemy_skill_triggers!$1:$1,0)-MATCH($F$1,enemy_skill_triggers!$1:$1,0)+1,FALSE)</f>
        <v>909</v>
      </c>
      <c r="I223" s="42">
        <f ca="1">VLOOKUP($F223,OFFSET(enemy_skill_triggers!$A$1,0,0,COUNTA(enemy_skill_triggers!$A:$A),MATCH(I$1,enemy_skill_triggers!$1:$1,0)-MATCH($F$1,enemy_skill_triggers!$1:$1,0)+1),MATCH(I$1,enemy_skill_triggers!$1:$1,0)-MATCH($F$1,enemy_skill_triggers!$1:$1,0)+1,FALSE)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3" s="42" t="str">
        <f ca="1">VLOOKUP($F223,OFFSET(enemy_skill_triggers!$A$1,0,0,COUNTA(enemy_skill_triggers!$A:$A),MATCH(J$1,enemy_skill_triggers!$1:$1,0)-MATCH($F$1,enemy_skill_triggers!$1:$1,0)+1),MATCH(J$1,enemy_skill_triggers!$1:$1,0)-MATCH($F$1,enemy_skill_triggers!$1:$1,0)+1,FALSE)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3" s="42" t="str">
        <f ca="1">VLOOKUP($F223,OFFSET(enemy_skill_triggers!$A$1,0,0,COUNTA(enemy_skill_triggers!$A:$A),MATCH(K$1,enemy_skill_triggers!$1:$1,0)-MATCH($F$1,enemy_skill_triggers!$1:$1,0)+1),MATCH(K$1,enemy_skill_triggers!$1:$1,0)-MATCH($F$1,enemy_skill_triggers!$1:$1,0)+1,FALSE)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3" s="42">
        <f ca="1">VLOOKUP($F223,OFFSET(enemy_skill_triggers!$A$1,0,0,COUNTA(enemy_skill_triggers!$A:$A),MATCH(L$1,enemy_skill_triggers!$1:$1,0)-MATCH($F$1,enemy_skill_triggers!$1:$1,0)+1),MATCH(L$1,enemy_skill_triggers!$1:$1,0)-MATCH($F$1,enemy_skill_triggers!$1:$1,0)+1,FALSE)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3" s="42" t="str">
        <f ca="1">VLOOKUP($F223,OFFSET(enemy_skill_triggers!$A$1,0,0,COUNTA(enemy_skill_triggers!$A:$A),MATCH(M$1,enemy_skill_triggers!$1:$1,0)-MATCH($F$1,enemy_skill_triggers!$1:$1,0)+1),MATCH(M$1,enemy_skill_triggers!$1:$1,0)-MATCH($F$1,enemy_skill_triggers!$1:$1,0)+1,FALSE)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3" s="42">
        <f ca="1">VLOOKUP($F223,OFFSET(enemy_skill_triggers!$A$1,0,0,COUNTA(enemy_skill_triggers!$A:$A),MATCH(N$1,enemy_skill_triggers!$1:$1,0)-MATCH($F$1,enemy_skill_triggers!$1:$1,0)+1),MATCH(N$1,enemy_skill_triggers!$1:$1,0)-MATCH($F$1,enemy_skill_triggers!$1:$1,0)+1,FALSE)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223" s="42">
        <f ca="1">VLOOKUP($F223,OFFSET(enemy_skill_triggers!$A$1,0,0,COUNTA(enemy_skill_triggers!$A:$A),MATCH(O$1,enemy_skill_triggers!$1:$1,0)-MATCH($F$1,enemy_skill_triggers!$1:$1,0)+1),MATCH(O$1,enemy_skill_triggers!$1:$1,0)-MATCH($F$1,enemy_skill_triggers!$1:$1,0)+1,FALSE)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3" s="41"/>
      <c r="Q223" s="41"/>
      <c r="R223" s="41" t="s">
        <v>358</v>
      </c>
    </row>
    <row r="224" spans="1:18" ht="21" customHeight="1" x14ac:dyDescent="0.15">
      <c r="A224" s="33" t="str">
        <f t="shared" si="13"/>
        <v>39008007_39008036</v>
      </c>
      <c r="B224" s="126">
        <v>39008007</v>
      </c>
      <c r="C224" s="119">
        <v>39008036</v>
      </c>
      <c r="D224" s="40" t="str">
        <f ca="1">VLOOKUP($C224,OFFSET(enemy_skills!$A$1,0,0,COUNTA(enemy_skills!$A:$A),MATCH(D$1,enemy_skills!$1:$1,0)-MATCH("enemy_skill_id",enemy_skills!$1:$1,0)+1),MATCH(D$1,enemy_skills!$1:$1,0)-MATCH("enemy_skill_id",enemy_skills!$1:$1,0)+1,FALSE)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24" s="40" t="str">
        <f ca="1">VLOOKUP($C224,OFFSET(enemy_skills!$A$1,0,0,COUNTA(enemy_skills!$A:$A),MATCH(E$1,enemy_skills!$1:$1,0)-MATCH("enemy_skill_id",enemy_skills!$1:$1,0)+1),MATCH(E$1,enemy_skills!$1:$1,0)-MATCH("enemy_skill_id",enemy_skills!$1:$1,0)+1,FALSE)</f>
        <v>そっか！レンきゅんが助けてくれたんだね！ありがとうっ！</v>
      </c>
      <c r="F224" s="122">
        <v>39008123</v>
      </c>
      <c r="G224" s="42">
        <f ca="1">VLOOKUP($F224,OFFSET(enemy_skill_triggers!$A$1,0,0,COUNTA(enemy_skill_triggers!$A:$A),MATCH(G$1,enemy_skill_triggers!$1:$1,0)-MATCH($F$1,enemy_skill_triggers!$1:$1,0)+1),MATCH(G$1,enemy_skill_triggers!$1:$1,0)-MATCH($F$1,enemy_skill_triggers!$1:$1,0)+1,FALSE)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4" s="42">
        <f ca="1">VLOOKUP($F224,OFFSET(enemy_skill_triggers!$A$1,0,0,COUNTA(enemy_skill_triggers!$A:$A),MATCH(H$1,enemy_skill_triggers!$1:$1,0)-MATCH($F$1,enemy_skill_triggers!$1:$1,0)+1),MATCH(H$1,enemy_skill_triggers!$1:$1,0)-MATCH($F$1,enemy_skill_triggers!$1:$1,0)+1,FALSE)</f>
        <v>908</v>
      </c>
      <c r="I224" s="42">
        <f ca="1">VLOOKUP($F224,OFFSET(enemy_skill_triggers!$A$1,0,0,COUNTA(enemy_skill_triggers!$A:$A),MATCH(I$1,enemy_skill_triggers!$1:$1,0)-MATCH($F$1,enemy_skill_triggers!$1:$1,0)+1),MATCH(I$1,enemy_skill_triggers!$1:$1,0)-MATCH($F$1,enemy_skill_triggers!$1:$1,0)+1,FALSE)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4" s="42" t="str">
        <f ca="1">VLOOKUP($F224,OFFSET(enemy_skill_triggers!$A$1,0,0,COUNTA(enemy_skill_triggers!$A:$A),MATCH(J$1,enemy_skill_triggers!$1:$1,0)-MATCH($F$1,enemy_skill_triggers!$1:$1,0)+1),MATCH(J$1,enemy_skill_triggers!$1:$1,0)-MATCH($F$1,enemy_skill_triggers!$1:$1,0)+1,FALSE)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4" s="42" t="str">
        <f ca="1">VLOOKUP($F224,OFFSET(enemy_skill_triggers!$A$1,0,0,COUNTA(enemy_skill_triggers!$A:$A),MATCH(K$1,enemy_skill_triggers!$1:$1,0)-MATCH($F$1,enemy_skill_triggers!$1:$1,0)+1),MATCH(K$1,enemy_skill_triggers!$1:$1,0)-MATCH($F$1,enemy_skill_triggers!$1:$1,0)+1,FALSE)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4" s="42">
        <f ca="1">VLOOKUP($F224,OFFSET(enemy_skill_triggers!$A$1,0,0,COUNTA(enemy_skill_triggers!$A:$A),MATCH(L$1,enemy_skill_triggers!$1:$1,0)-MATCH($F$1,enemy_skill_triggers!$1:$1,0)+1),MATCH(L$1,enemy_skill_triggers!$1:$1,0)-MATCH($F$1,enemy_skill_triggers!$1:$1,0)+1,FALSE)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4" s="42" t="str">
        <f ca="1">VLOOKUP($F224,OFFSET(enemy_skill_triggers!$A$1,0,0,COUNTA(enemy_skill_triggers!$A:$A),MATCH(M$1,enemy_skill_triggers!$1:$1,0)-MATCH($F$1,enemy_skill_triggers!$1:$1,0)+1),MATCH(M$1,enemy_skill_triggers!$1:$1,0)-MATCH($F$1,enemy_skill_triggers!$1:$1,0)+1,FALSE)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4" s="42">
        <f ca="1">VLOOKUP($F224,OFFSET(enemy_skill_triggers!$A$1,0,0,COUNTA(enemy_skill_triggers!$A:$A),MATCH(N$1,enemy_skill_triggers!$1:$1,0)-MATCH($F$1,enemy_skill_triggers!$1:$1,0)+1),MATCH(N$1,enemy_skill_triggers!$1:$1,0)-MATCH($F$1,enemy_skill_triggers!$1:$1,0)+1,FALSE)</f>
        <v>1321</v>
      </c>
      <c r="O224" s="42">
        <f ca="1">VLOOKUP($F224,OFFSET(enemy_skill_triggers!$A$1,0,0,COUNTA(enemy_skill_triggers!$A:$A),MATCH(O$1,enemy_skill_triggers!$1:$1,0)-MATCH($F$1,enemy_skill_triggers!$1:$1,0)+1),MATCH(O$1,enemy_skill_triggers!$1:$1,0)-MATCH($F$1,enemy_skill_triggers!$1:$1,0)+1,FALSE)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4" s="41"/>
      <c r="Q224" s="41"/>
      <c r="R224" s="41" t="s">
        <v>358</v>
      </c>
    </row>
    <row r="225" spans="1:18" ht="21" customHeight="1" x14ac:dyDescent="0.15">
      <c r="A225" s="33" t="str">
        <f t="shared" si="13"/>
        <v>39008007_39008032</v>
      </c>
      <c r="B225" s="126">
        <v>39008007</v>
      </c>
      <c r="C225" s="41">
        <v>39008032</v>
      </c>
      <c r="D225" s="40" t="str">
        <f ca="1">VLOOKUP($C225,OFFSET(enemy_skills!$A$1,0,0,COUNTA(enemy_skills!$A:$A),MATCH(D$1,enemy_skills!$1:$1,0)-MATCH("enemy_skill_id",enemy_skills!$1:$1,0)+1),MATCH(D$1,enemy_skills!$1:$1,0)-MATCH("enemy_skill_id",enemy_skills!$1:$1,0)+1,FALSE)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25" s="40" t="str">
        <f ca="1">VLOOKUP($C225,OFFSET(enemy_skills!$A$1,0,0,COUNTA(enemy_skills!$A:$A),MATCH(E$1,enemy_skills!$1:$1,0)-MATCH("enemy_skill_id",enemy_skills!$1:$1,0)+1),MATCH(E$1,enemy_skills!$1:$1,0)-MATCH("enemy_skill_id",enemy_skills!$1:$1,0)+1,FALSE)</f>
        <v>そっか！アナタが助けてくれたんだね！ありがとうっ！</v>
      </c>
      <c r="F225" s="122">
        <v>39008132</v>
      </c>
      <c r="G225" s="42">
        <f ca="1">VLOOKUP($F225,OFFSET(enemy_skill_triggers!$A$1,0,0,COUNTA(enemy_skill_triggers!$A:$A),MATCH(G$1,enemy_skill_triggers!$1:$1,0)-MATCH($F$1,enemy_skill_triggers!$1:$1,0)+1),MATCH(G$1,enemy_skill_triggers!$1:$1,0)-MATCH($F$1,enemy_skill_triggers!$1:$1,0)+1,FALSE)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5" s="42">
        <f ca="1">VLOOKUP($F225,OFFSET(enemy_skill_triggers!$A$1,0,0,COUNTA(enemy_skill_triggers!$A:$A),MATCH(H$1,enemy_skill_triggers!$1:$1,0)-MATCH($F$1,enemy_skill_triggers!$1:$1,0)+1),MATCH(H$1,enemy_skill_triggers!$1:$1,0)-MATCH($F$1,enemy_skill_triggers!$1:$1,0)+1,FALSE)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5" s="42">
        <f ca="1">VLOOKUP($F225,OFFSET(enemy_skill_triggers!$A$1,0,0,COUNTA(enemy_skill_triggers!$A:$A),MATCH(I$1,enemy_skill_triggers!$1:$1,0)-MATCH($F$1,enemy_skill_triggers!$1:$1,0)+1),MATCH(I$1,enemy_skill_triggers!$1:$1,0)-MATCH($F$1,enemy_skill_triggers!$1:$1,0)+1,FALSE)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5" s="42" t="str">
        <f ca="1">VLOOKUP($F225,OFFSET(enemy_skill_triggers!$A$1,0,0,COUNTA(enemy_skill_triggers!$A:$A),MATCH(J$1,enemy_skill_triggers!$1:$1,0)-MATCH($F$1,enemy_skill_triggers!$1:$1,0)+1),MATCH(J$1,enemy_skill_triggers!$1:$1,0)-MATCH($F$1,enemy_skill_triggers!$1:$1,0)+1,FALSE)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5" s="42" t="str">
        <f ca="1">VLOOKUP($F225,OFFSET(enemy_skill_triggers!$A$1,0,0,COUNTA(enemy_skill_triggers!$A:$A),MATCH(K$1,enemy_skill_triggers!$1:$1,0)-MATCH($F$1,enemy_skill_triggers!$1:$1,0)+1),MATCH(K$1,enemy_skill_triggers!$1:$1,0)-MATCH($F$1,enemy_skill_triggers!$1:$1,0)+1,FALSE)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5" s="42">
        <f ca="1">VLOOKUP($F225,OFFSET(enemy_skill_triggers!$A$1,0,0,COUNTA(enemy_skill_triggers!$A:$A),MATCH(L$1,enemy_skill_triggers!$1:$1,0)-MATCH($F$1,enemy_skill_triggers!$1:$1,0)+1),MATCH(L$1,enemy_skill_triggers!$1:$1,0)-MATCH($F$1,enemy_skill_triggers!$1:$1,0)+1,FALSE)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5" s="42" t="str">
        <f ca="1">VLOOKUP($F225,OFFSET(enemy_skill_triggers!$A$1,0,0,COUNTA(enemy_skill_triggers!$A:$A),MATCH(M$1,enemy_skill_triggers!$1:$1,0)-MATCH($F$1,enemy_skill_triggers!$1:$1,0)+1),MATCH(M$1,enemy_skill_triggers!$1:$1,0)-MATCH($F$1,enemy_skill_triggers!$1:$1,0)+1,FALSE)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5" s="42">
        <f ca="1">VLOOKUP($F225,OFFSET(enemy_skill_triggers!$A$1,0,0,COUNTA(enemy_skill_triggers!$A:$A),MATCH(N$1,enemy_skill_triggers!$1:$1,0)-MATCH($F$1,enemy_skill_triggers!$1:$1,0)+1),MATCH(N$1,enemy_skill_triggers!$1:$1,0)-MATCH($F$1,enemy_skill_triggers!$1:$1,0)+1,FALSE)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25" s="42">
        <f ca="1">VLOOKUP($F225,OFFSET(enemy_skill_triggers!$A$1,0,0,COUNTA(enemy_skill_triggers!$A:$A),MATCH(O$1,enemy_skill_triggers!$1:$1,0)-MATCH($F$1,enemy_skill_triggers!$1:$1,0)+1),MATCH(O$1,enemy_skill_triggers!$1:$1,0)-MATCH($F$1,enemy_skill_triggers!$1:$1,0)+1,FALSE)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5" s="41"/>
      <c r="Q225" s="41"/>
      <c r="R225" s="41"/>
    </row>
    <row r="226" spans="1:18" ht="21" customHeight="1" x14ac:dyDescent="0.15">
      <c r="A226" s="33" t="str">
        <f t="shared" ref="A226:A280" si="14">B226&amp;"_"&amp;C226</f>
        <v>39008011_39008001</v>
      </c>
      <c r="B226" s="102">
        <v>39008011</v>
      </c>
      <c r="C226" s="122">
        <v>39008001</v>
      </c>
      <c r="D226" s="40" t="str">
        <f ca="1">VLOOKUP($C226,OFFSET(enemy_skills!$A$1,0,0,COUNTA(enemy_skills!$A:$A),MATCH(D$1,enemy_skills!$1:$1,0)-MATCH("enemy_skill_id",enemy_skills!$1:$1,0)+1),MATCH(D$1,enemy_skills!$1:$1,0)-MATCH("enemy_skill_id",enemy_skills!$1:$1,0)+1,FALSE)</f>
        <v>よ〜し！_x000D_雪まつり盛り上げちゃうぞッ！</v>
      </c>
      <c r="E226" s="40" t="str">
        <f ca="1">VLOOKUP($C226,OFFSET(enemy_skills!$A$1,0,0,COUNTA(enemy_skills!$A:$A),MATCH(E$1,enemy_skills!$1:$1,0)-MATCH("enemy_skill_id",enemy_skills!$1:$1,0)+1),MATCH(E$1,enemy_skills!$1:$1,0)-MATCH("enemy_skill_id",enemy_skills!$1:$1,0)+1,FALSE)</f>
        <v>3ターン敵全体の防御力UP</v>
      </c>
      <c r="F226" s="122">
        <v>39008001</v>
      </c>
      <c r="G226" s="42">
        <f ca="1">VLOOKUP($F226,OFFSET(enemy_skill_triggers!$A$1,0,0,COUNTA(enemy_skill_triggers!$A:$A),MATCH(G$1,enemy_skill_triggers!$1:$1,0)-MATCH($F$1,enemy_skill_triggers!$1:$1,0)+1),MATCH(G$1,enemy_skill_triggers!$1:$1,0)-MATCH($F$1,enemy_skill_triggers!$1:$1,0)+1,FALSE)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6" s="42" t="str">
        <f ca="1">VLOOKUP($F226,OFFSET(enemy_skill_triggers!$A$1,0,0,COUNTA(enemy_skill_triggers!$A:$A),MATCH(H$1,enemy_skill_triggers!$1:$1,0)-MATCH($F$1,enemy_skill_triggers!$1:$1,0)+1),MATCH(H$1,enemy_skill_triggers!$1:$1,0)-MATCH($F$1,enemy_skill_triggers!$1:$1,0)+1,FALSE)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6" s="42">
        <f ca="1">VLOOKUP($F226,OFFSET(enemy_skill_triggers!$A$1,0,0,COUNTA(enemy_skill_triggers!$A:$A),MATCH(I$1,enemy_skill_triggers!$1:$1,0)-MATCH($F$1,enemy_skill_triggers!$1:$1,0)+1),MATCH(I$1,enemy_skill_triggers!$1:$1,0)-MATCH($F$1,enemy_skill_triggers!$1:$1,0)+1,FALSE)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6" s="42" t="str">
        <f ca="1">VLOOKUP($F226,OFFSET(enemy_skill_triggers!$A$1,0,0,COUNTA(enemy_skill_triggers!$A:$A),MATCH(J$1,enemy_skill_triggers!$1:$1,0)-MATCH($F$1,enemy_skill_triggers!$1:$1,0)+1),MATCH(J$1,enemy_skill_triggers!$1:$1,0)-MATCH($F$1,enemy_skill_triggers!$1:$1,0)+1,FALSE)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6" s="42" t="str">
        <f ca="1">VLOOKUP($F226,OFFSET(enemy_skill_triggers!$A$1,0,0,COUNTA(enemy_skill_triggers!$A:$A),MATCH(K$1,enemy_skill_triggers!$1:$1,0)-MATCH($F$1,enemy_skill_triggers!$1:$1,0)+1),MATCH(K$1,enemy_skill_triggers!$1:$1,0)-MATCH($F$1,enemy_skill_triggers!$1:$1,0)+1,FALSE)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6" s="42">
        <f ca="1">VLOOKUP($F226,OFFSET(enemy_skill_triggers!$A$1,0,0,COUNTA(enemy_skill_triggers!$A:$A),MATCH(L$1,enemy_skill_triggers!$1:$1,0)-MATCH($F$1,enemy_skill_triggers!$1:$1,0)+1),MATCH(L$1,enemy_skill_triggers!$1:$1,0)-MATCH($F$1,enemy_skill_triggers!$1:$1,0)+1,FALSE)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6" s="42" t="str">
        <f ca="1">VLOOKUP($F226,OFFSET(enemy_skill_triggers!$A$1,0,0,COUNTA(enemy_skill_triggers!$A:$A),MATCH(M$1,enemy_skill_triggers!$1:$1,0)-MATCH($F$1,enemy_skill_triggers!$1:$1,0)+1),MATCH(M$1,enemy_skill_triggers!$1:$1,0)-MATCH($F$1,enemy_skill_triggers!$1:$1,0)+1,FALSE)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6" s="42" t="str">
        <f ca="1">VLOOKUP($F226,OFFSET(enemy_skill_triggers!$A$1,0,0,COUNTA(enemy_skill_triggers!$A:$A),MATCH(N$1,enemy_skill_triggers!$1:$1,0)-MATCH($F$1,enemy_skill_triggers!$1:$1,0)+1),MATCH(N$1,enemy_skill_triggers!$1:$1,0)-MATCH($F$1,enemy_skill_triggers!$1:$1,0)+1,FALSE)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6" s="42">
        <f ca="1">VLOOKUP($F226,OFFSET(enemy_skill_triggers!$A$1,0,0,COUNTA(enemy_skill_triggers!$A:$A),MATCH(O$1,enemy_skill_triggers!$1:$1,0)-MATCH($F$1,enemy_skill_triggers!$1:$1,0)+1),MATCH(O$1,enemy_skill_triggers!$1:$1,0)-MATCH($F$1,enemy_skill_triggers!$1:$1,0)+1,FALSE)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6" s="41"/>
      <c r="Q226" s="41"/>
      <c r="R226" s="41"/>
    </row>
    <row r="227" spans="1:18" ht="21" customHeight="1" x14ac:dyDescent="0.15">
      <c r="A227" s="33" t="str">
        <f t="shared" si="14"/>
        <v>39008011_39008002</v>
      </c>
      <c r="B227" s="102">
        <v>39008011</v>
      </c>
      <c r="C227" s="41">
        <v>39008002</v>
      </c>
      <c r="D227" s="40" t="str">
        <f ca="1">VLOOKUP($C227,OFFSET(enemy_skills!$A$1,0,0,COUNTA(enemy_skills!$A:$A),MATCH(D$1,enemy_skills!$1:$1,0)-MATCH("enemy_skill_id",enemy_skills!$1:$1,0)+1),MATCH(D$1,enemy_skills!$1:$1,0)-MATCH("enemy_skill_id",enemy_skills!$1:$1,0)+1,FALSE)</f>
        <v>ラピッドエッジ</v>
      </c>
      <c r="E227" s="40" t="str">
        <f ca="1">VLOOKUP($C227,OFFSET(enemy_skills!$A$1,0,0,COUNTA(enemy_skills!$A:$A),MATCH(E$1,enemy_skills!$1:$1,0)-MATCH("enemy_skill_id",enemy_skills!$1:$1,0)+1),MATCH(E$1,enemy_skills!$1:$1,0)-MATCH("enemy_skill_id",enemy_skills!$1:$1,0)+1,FALSE)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27" s="122">
        <v>39008002</v>
      </c>
      <c r="G227" s="42">
        <f ca="1">VLOOKUP($F227,OFFSET(enemy_skill_triggers!$A$1,0,0,COUNTA(enemy_skill_triggers!$A:$A),MATCH(G$1,enemy_skill_triggers!$1:$1,0)-MATCH($F$1,enemy_skill_triggers!$1:$1,0)+1),MATCH(G$1,enemy_skill_triggers!$1:$1,0)-MATCH($F$1,enemy_skill_triggers!$1:$1,0)+1,FALSE)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7" s="42">
        <f ca="1">VLOOKUP($F227,OFFSET(enemy_skill_triggers!$A$1,0,0,COUNTA(enemy_skill_triggers!$A:$A),MATCH(H$1,enemy_skill_triggers!$1:$1,0)-MATCH($F$1,enemy_skill_triggers!$1:$1,0)+1),MATCH(H$1,enemy_skill_triggers!$1:$1,0)-MATCH($F$1,enemy_skill_triggers!$1:$1,0)+1,FALSE)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27" s="42">
        <f ca="1">VLOOKUP($F227,OFFSET(enemy_skill_triggers!$A$1,0,0,COUNTA(enemy_skill_triggers!$A:$A),MATCH(I$1,enemy_skill_triggers!$1:$1,0)-MATCH($F$1,enemy_skill_triggers!$1:$1,0)+1),MATCH(I$1,enemy_skill_triggers!$1:$1,0)-MATCH($F$1,enemy_skill_triggers!$1:$1,0)+1,FALSE)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27" s="42" t="str">
        <f ca="1">VLOOKUP($F227,OFFSET(enemy_skill_triggers!$A$1,0,0,COUNTA(enemy_skill_triggers!$A:$A),MATCH(J$1,enemy_skill_triggers!$1:$1,0)-MATCH($F$1,enemy_skill_triggers!$1:$1,0)+1),MATCH(J$1,enemy_skill_triggers!$1:$1,0)-MATCH($F$1,enemy_skill_triggers!$1:$1,0)+1,FALSE)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7" s="42" t="str">
        <f ca="1">VLOOKUP($F227,OFFSET(enemy_skill_triggers!$A$1,0,0,COUNTA(enemy_skill_triggers!$A:$A),MATCH(K$1,enemy_skill_triggers!$1:$1,0)-MATCH($F$1,enemy_skill_triggers!$1:$1,0)+1),MATCH(K$1,enemy_skill_triggers!$1:$1,0)-MATCH($F$1,enemy_skill_triggers!$1:$1,0)+1,FALSE)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7" s="42" t="str">
        <f ca="1">VLOOKUP($F227,OFFSET(enemy_skill_triggers!$A$1,0,0,COUNTA(enemy_skill_triggers!$A:$A),MATCH(L$1,enemy_skill_triggers!$1:$1,0)-MATCH($F$1,enemy_skill_triggers!$1:$1,0)+1),MATCH(L$1,enemy_skill_triggers!$1:$1,0)-MATCH($F$1,enemy_skill_triggers!$1:$1,0)+1,FALSE)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7" s="42" t="str">
        <f ca="1">VLOOKUP($F227,OFFSET(enemy_skill_triggers!$A$1,0,0,COUNTA(enemy_skill_triggers!$A:$A),MATCH(M$1,enemy_skill_triggers!$1:$1,0)-MATCH($F$1,enemy_skill_triggers!$1:$1,0)+1),MATCH(M$1,enemy_skill_triggers!$1:$1,0)-MATCH($F$1,enemy_skill_triggers!$1:$1,0)+1,FALSE)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7" s="42" t="str">
        <f ca="1">VLOOKUP($F227,OFFSET(enemy_skill_triggers!$A$1,0,0,COUNTA(enemy_skill_triggers!$A:$A),MATCH(N$1,enemy_skill_triggers!$1:$1,0)-MATCH($F$1,enemy_skill_triggers!$1:$1,0)+1),MATCH(N$1,enemy_skill_triggers!$1:$1,0)-MATCH($F$1,enemy_skill_triggers!$1:$1,0)+1,FALSE)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7" s="42">
        <f ca="1">VLOOKUP($F227,OFFSET(enemy_skill_triggers!$A$1,0,0,COUNTA(enemy_skill_triggers!$A:$A),MATCH(O$1,enemy_skill_triggers!$1:$1,0)-MATCH($F$1,enemy_skill_triggers!$1:$1,0)+1),MATCH(O$1,enemy_skill_triggers!$1:$1,0)-MATCH($F$1,enemy_skill_triggers!$1:$1,0)+1,FALSE)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27" s="41"/>
      <c r="Q227" s="41"/>
      <c r="R227" s="41"/>
    </row>
    <row r="228" spans="1:18" ht="21" customHeight="1" x14ac:dyDescent="0.15">
      <c r="A228" s="33" t="str">
        <f t="shared" si="14"/>
        <v>39008011_39008003</v>
      </c>
      <c r="B228" s="102">
        <v>39008011</v>
      </c>
      <c r="C228" s="41">
        <v>39008003</v>
      </c>
      <c r="D228" s="40" t="str">
        <f ca="1">VLOOKUP($C228,OFFSET(enemy_skills!$A$1,0,0,COUNTA(enemy_skills!$A:$A),MATCH(D$1,enemy_skills!$1:$1,0)-MATCH("enemy_skill_id",enemy_skills!$1:$1,0)+1),MATCH(D$1,enemy_skills!$1:$1,0)-MATCH("enemy_skill_id",enemy_skills!$1:$1,0)+1,FALSE)</f>
        <v>アイシクルターン</v>
      </c>
      <c r="E228" s="40" t="str">
        <f ca="1">VLOOKUP($C228,OFFSET(enemy_skills!$A$1,0,0,COUNTA(enemy_skills!$A:$A),MATCH(E$1,enemy_skills!$1:$1,0)-MATCH("enemy_skill_id",enemy_skills!$1:$1,0)+1),MATCH(E$1,enemy_skills!$1:$1,0)-MATCH("enemy_skill_id",enemy_skills!$1:$1,0)+1,FALSE)</f>
        <v>種族Unknown以外のユニットに_x000D_大ダメージの全体攻撃</v>
      </c>
      <c r="F228" s="122">
        <v>39008003</v>
      </c>
      <c r="G228" s="42">
        <f ca="1">VLOOKUP($F228,OFFSET(enemy_skill_triggers!$A$1,0,0,COUNTA(enemy_skill_triggers!$A:$A),MATCH(G$1,enemy_skill_triggers!$1:$1,0)-MATCH($F$1,enemy_skill_triggers!$1:$1,0)+1),MATCH(G$1,enemy_skill_triggers!$1:$1,0)-MATCH($F$1,enemy_skill_triggers!$1:$1,0)+1,FALSE)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8" s="42">
        <f ca="1">VLOOKUP($F228,OFFSET(enemy_skill_triggers!$A$1,0,0,COUNTA(enemy_skill_triggers!$A:$A),MATCH(H$1,enemy_skill_triggers!$1:$1,0)-MATCH($F$1,enemy_skill_triggers!$1:$1,0)+1),MATCH(H$1,enemy_skill_triggers!$1:$1,0)-MATCH($F$1,enemy_skill_triggers!$1:$1,0)+1,FALSE)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28" s="42">
        <f ca="1">VLOOKUP($F228,OFFSET(enemy_skill_triggers!$A$1,0,0,COUNTA(enemy_skill_triggers!$A:$A),MATCH(I$1,enemy_skill_triggers!$1:$1,0)-MATCH($F$1,enemy_skill_triggers!$1:$1,0)+1),MATCH(I$1,enemy_skill_triggers!$1:$1,0)-MATCH($F$1,enemy_skill_triggers!$1:$1,0)+1,FALSE)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28" s="42" t="str">
        <f ca="1">VLOOKUP($F228,OFFSET(enemy_skill_triggers!$A$1,0,0,COUNTA(enemy_skill_triggers!$A:$A),MATCH(J$1,enemy_skill_triggers!$1:$1,0)-MATCH($F$1,enemy_skill_triggers!$1:$1,0)+1),MATCH(J$1,enemy_skill_triggers!$1:$1,0)-MATCH($F$1,enemy_skill_triggers!$1:$1,0)+1,FALSE)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8" s="42" t="str">
        <f ca="1">VLOOKUP($F228,OFFSET(enemy_skill_triggers!$A$1,0,0,COUNTA(enemy_skill_triggers!$A:$A),MATCH(K$1,enemy_skill_triggers!$1:$1,0)-MATCH($F$1,enemy_skill_triggers!$1:$1,0)+1),MATCH(K$1,enemy_skill_triggers!$1:$1,0)-MATCH($F$1,enemy_skill_triggers!$1:$1,0)+1,FALSE)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8" s="42">
        <f ca="1">VLOOKUP($F228,OFFSET(enemy_skill_triggers!$A$1,0,0,COUNTA(enemy_skill_triggers!$A:$A),MATCH(L$1,enemy_skill_triggers!$1:$1,0)-MATCH($F$1,enemy_skill_triggers!$1:$1,0)+1),MATCH(L$1,enemy_skill_triggers!$1:$1,0)-MATCH($F$1,enemy_skill_triggers!$1:$1,0)+1,FALSE)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28" s="42" t="str">
        <f ca="1">VLOOKUP($F228,OFFSET(enemy_skill_triggers!$A$1,0,0,COUNTA(enemy_skill_triggers!$A:$A),MATCH(M$1,enemy_skill_triggers!$1:$1,0)-MATCH($F$1,enemy_skill_triggers!$1:$1,0)+1),MATCH(M$1,enemy_skill_triggers!$1:$1,0)-MATCH($F$1,enemy_skill_triggers!$1:$1,0)+1,FALSE)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8" s="42" t="str">
        <f ca="1">VLOOKUP($F228,OFFSET(enemy_skill_triggers!$A$1,0,0,COUNTA(enemy_skill_triggers!$A:$A),MATCH(N$1,enemy_skill_triggers!$1:$1,0)-MATCH($F$1,enemy_skill_triggers!$1:$1,0)+1),MATCH(N$1,enemy_skill_triggers!$1:$1,0)-MATCH($F$1,enemy_skill_triggers!$1:$1,0)+1,FALSE)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8" s="42">
        <f ca="1">VLOOKUP($F228,OFFSET(enemy_skill_triggers!$A$1,0,0,COUNTA(enemy_skill_triggers!$A:$A),MATCH(O$1,enemy_skill_triggers!$1:$1,0)-MATCH($F$1,enemy_skill_triggers!$1:$1,0)+1),MATCH(O$1,enemy_skill_triggers!$1:$1,0)-MATCH($F$1,enemy_skill_triggers!$1:$1,0)+1,FALSE)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28" s="41"/>
      <c r="Q228" s="41"/>
      <c r="R228" s="41"/>
    </row>
    <row r="229" spans="1:18" ht="21" customHeight="1" x14ac:dyDescent="0.15">
      <c r="A229" s="33" t="str">
        <f t="shared" si="14"/>
        <v>39008011_39008004</v>
      </c>
      <c r="B229" s="102">
        <v>39008011</v>
      </c>
      <c r="C229" s="41">
        <v>39008004</v>
      </c>
      <c r="D229" s="40" t="str">
        <f ca="1">VLOOKUP($C229,OFFSET(enemy_skills!$A$1,0,0,COUNTA(enemy_skills!$A:$A),MATCH(D$1,enemy_skills!$1:$1,0)-MATCH("enemy_skill_id",enemy_skills!$1:$1,0)+1),MATCH(D$1,enemy_skills!$1:$1,0)-MATCH("enemy_skill_id",enemy_skills!$1:$1,0)+1,FALSE)</f>
        <v>センタリングandターンアタック</v>
      </c>
      <c r="E229" s="40" t="str">
        <f ca="1">VLOOKUP($C229,OFFSET(enemy_skills!$A$1,0,0,COUNTA(enemy_skills!$A:$A),MATCH(E$1,enemy_skills!$1:$1,0)-MATCH("enemy_skill_id",enemy_skills!$1:$1,0)+1),MATCH(E$1,enemy_skills!$1:$1,0)-MATCH("enemy_skill_id",enemy_skills!$1:$1,0)+1,FALSE)</f>
        <v>全体回復+単体攻撃</v>
      </c>
      <c r="F229" s="122">
        <v>39008004</v>
      </c>
      <c r="G229" s="42">
        <f ca="1">VLOOKUP($F229,OFFSET(enemy_skill_triggers!$A$1,0,0,COUNTA(enemy_skill_triggers!$A:$A),MATCH(G$1,enemy_skill_triggers!$1:$1,0)-MATCH($F$1,enemy_skill_triggers!$1:$1,0)+1),MATCH(G$1,enemy_skill_triggers!$1:$1,0)-MATCH($F$1,enemy_skill_triggers!$1:$1,0)+1,FALSE)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9" s="42">
        <f ca="1">VLOOKUP($F229,OFFSET(enemy_skill_triggers!$A$1,0,0,COUNTA(enemy_skill_triggers!$A:$A),MATCH(H$1,enemy_skill_triggers!$1:$1,0)-MATCH($F$1,enemy_skill_triggers!$1:$1,0)+1),MATCH(H$1,enemy_skill_triggers!$1:$1,0)-MATCH($F$1,enemy_skill_triggers!$1:$1,0)+1,FALSE)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29" s="42">
        <f ca="1">VLOOKUP($F229,OFFSET(enemy_skill_triggers!$A$1,0,0,COUNTA(enemy_skill_triggers!$A:$A),MATCH(I$1,enemy_skill_triggers!$1:$1,0)-MATCH($F$1,enemy_skill_triggers!$1:$1,0)+1),MATCH(I$1,enemy_skill_triggers!$1:$1,0)-MATCH($F$1,enemy_skill_triggers!$1:$1,0)+1,FALSE)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29" s="42" t="str">
        <f ca="1">VLOOKUP($F229,OFFSET(enemy_skill_triggers!$A$1,0,0,COUNTA(enemy_skill_triggers!$A:$A),MATCH(J$1,enemy_skill_triggers!$1:$1,0)-MATCH($F$1,enemy_skill_triggers!$1:$1,0)+1),MATCH(J$1,enemy_skill_triggers!$1:$1,0)-MATCH($F$1,enemy_skill_triggers!$1:$1,0)+1,FALSE)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9" s="42" t="str">
        <f ca="1">VLOOKUP($F229,OFFSET(enemy_skill_triggers!$A$1,0,0,COUNTA(enemy_skill_triggers!$A:$A),MATCH(K$1,enemy_skill_triggers!$1:$1,0)-MATCH($F$1,enemy_skill_triggers!$1:$1,0)+1),MATCH(K$1,enemy_skill_triggers!$1:$1,0)-MATCH($F$1,enemy_skill_triggers!$1:$1,0)+1,FALSE)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9" s="42">
        <f ca="1">VLOOKUP($F229,OFFSET(enemy_skill_triggers!$A$1,0,0,COUNTA(enemy_skill_triggers!$A:$A),MATCH(L$1,enemy_skill_triggers!$1:$1,0)-MATCH($F$1,enemy_skill_triggers!$1:$1,0)+1),MATCH(L$1,enemy_skill_triggers!$1:$1,0)-MATCH($F$1,enemy_skill_triggers!$1:$1,0)+1,FALSE)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9" s="42" t="str">
        <f ca="1">VLOOKUP($F229,OFFSET(enemy_skill_triggers!$A$1,0,0,COUNTA(enemy_skill_triggers!$A:$A),MATCH(M$1,enemy_skill_triggers!$1:$1,0)-MATCH($F$1,enemy_skill_triggers!$1:$1,0)+1),MATCH(M$1,enemy_skill_triggers!$1:$1,0)-MATCH($F$1,enemy_skill_triggers!$1:$1,0)+1,FALSE)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9" s="42" t="str">
        <f ca="1">VLOOKUP($F229,OFFSET(enemy_skill_triggers!$A$1,0,0,COUNTA(enemy_skill_triggers!$A:$A),MATCH(N$1,enemy_skill_triggers!$1:$1,0)-MATCH($F$1,enemy_skill_triggers!$1:$1,0)+1),MATCH(N$1,enemy_skill_triggers!$1:$1,0)-MATCH($F$1,enemy_skill_triggers!$1:$1,0)+1,FALSE)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9" s="42">
        <f ca="1">VLOOKUP($F229,OFFSET(enemy_skill_triggers!$A$1,0,0,COUNTA(enemy_skill_triggers!$A:$A),MATCH(O$1,enemy_skill_triggers!$1:$1,0)-MATCH($F$1,enemy_skill_triggers!$1:$1,0)+1),MATCH(O$1,enemy_skill_triggers!$1:$1,0)-MATCH($F$1,enemy_skill_triggers!$1:$1,0)+1,FALSE)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29" s="41"/>
      <c r="Q229" s="41"/>
      <c r="R229" s="41"/>
    </row>
    <row r="230" spans="1:18" ht="21" customHeight="1" x14ac:dyDescent="0.15">
      <c r="A230" s="33" t="str">
        <f t="shared" si="14"/>
        <v>39008011_39008005</v>
      </c>
      <c r="B230" s="102">
        <v>39008011</v>
      </c>
      <c r="C230" s="41">
        <v>39008005</v>
      </c>
      <c r="D230" s="40" t="str">
        <f ca="1">VLOOKUP($C230,OFFSET(enemy_skills!$A$1,0,0,COUNTA(enemy_skills!$A:$A),MATCH(D$1,enemy_skills!$1:$1,0)-MATCH("enemy_skill_id",enemy_skills!$1:$1,0)+1),MATCH(D$1,enemy_skills!$1:$1,0)-MATCH("enemy_skill_id",enemy_skills!$1:$1,0)+1,FALSE)</f>
        <v>エッジケア</v>
      </c>
      <c r="E230" s="40" t="str">
        <f ca="1">VLOOKUP($C230,OFFSET(enemy_skills!$A$1,0,0,COUNTA(enemy_skills!$A:$A),MATCH(E$1,enemy_skills!$1:$1,0)-MATCH("enemy_skill_id",enemy_skills!$1:$1,0)+1),MATCH(E$1,enemy_skills!$1:$1,0)-MATCH("enemy_skill_id",enemy_skills!$1:$1,0)+1,FALSE)</f>
        <v>3ターン敵全体の攻撃力UP</v>
      </c>
      <c r="F230" s="122">
        <v>39008005</v>
      </c>
      <c r="G230" s="42">
        <f ca="1">VLOOKUP($F230,OFFSET(enemy_skill_triggers!$A$1,0,0,COUNTA(enemy_skill_triggers!$A:$A),MATCH(G$1,enemy_skill_triggers!$1:$1,0)-MATCH($F$1,enemy_skill_triggers!$1:$1,0)+1),MATCH(G$1,enemy_skill_triggers!$1:$1,0)-MATCH($F$1,enemy_skill_triggers!$1:$1,0)+1,FALSE)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0" s="42" t="str">
        <f ca="1">VLOOKUP($F230,OFFSET(enemy_skill_triggers!$A$1,0,0,COUNTA(enemy_skill_triggers!$A:$A),MATCH(H$1,enemy_skill_triggers!$1:$1,0)-MATCH($F$1,enemy_skill_triggers!$1:$1,0)+1),MATCH(H$1,enemy_skill_triggers!$1:$1,0)-MATCH($F$1,enemy_skill_triggers!$1:$1,0)+1,FALSE)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0" s="42">
        <f ca="1">VLOOKUP($F230,OFFSET(enemy_skill_triggers!$A$1,0,0,COUNTA(enemy_skill_triggers!$A:$A),MATCH(I$1,enemy_skill_triggers!$1:$1,0)-MATCH($F$1,enemy_skill_triggers!$1:$1,0)+1),MATCH(I$1,enemy_skill_triggers!$1:$1,0)-MATCH($F$1,enemy_skill_triggers!$1:$1,0)+1,FALSE)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0" s="42" t="str">
        <f ca="1">VLOOKUP($F230,OFFSET(enemy_skill_triggers!$A$1,0,0,COUNTA(enemy_skill_triggers!$A:$A),MATCH(J$1,enemy_skill_triggers!$1:$1,0)-MATCH($F$1,enemy_skill_triggers!$1:$1,0)+1),MATCH(J$1,enemy_skill_triggers!$1:$1,0)-MATCH($F$1,enemy_skill_triggers!$1:$1,0)+1,FALSE)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0" s="42" t="str">
        <f ca="1">VLOOKUP($F230,OFFSET(enemy_skill_triggers!$A$1,0,0,COUNTA(enemy_skill_triggers!$A:$A),MATCH(K$1,enemy_skill_triggers!$1:$1,0)-MATCH($F$1,enemy_skill_triggers!$1:$1,0)+1),MATCH(K$1,enemy_skill_triggers!$1:$1,0)-MATCH($F$1,enemy_skill_triggers!$1:$1,0)+1,FALSE)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0" s="42">
        <f ca="1">VLOOKUP($F230,OFFSET(enemy_skill_triggers!$A$1,0,0,COUNTA(enemy_skill_triggers!$A:$A),MATCH(L$1,enemy_skill_triggers!$1:$1,0)-MATCH($F$1,enemy_skill_triggers!$1:$1,0)+1),MATCH(L$1,enemy_skill_triggers!$1:$1,0)-MATCH($F$1,enemy_skill_triggers!$1:$1,0)+1,FALSE)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0" s="42" t="str">
        <f ca="1">VLOOKUP($F230,OFFSET(enemy_skill_triggers!$A$1,0,0,COUNTA(enemy_skill_triggers!$A:$A),MATCH(M$1,enemy_skill_triggers!$1:$1,0)-MATCH($F$1,enemy_skill_triggers!$1:$1,0)+1),MATCH(M$1,enemy_skill_triggers!$1:$1,0)-MATCH($F$1,enemy_skill_triggers!$1:$1,0)+1,FALSE)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0" s="42">
        <f ca="1">VLOOKUP($F230,OFFSET(enemy_skill_triggers!$A$1,0,0,COUNTA(enemy_skill_triggers!$A:$A),MATCH(N$1,enemy_skill_triggers!$1:$1,0)-MATCH($F$1,enemy_skill_triggers!$1:$1,0)+1),MATCH(N$1,enemy_skill_triggers!$1:$1,0)-MATCH($F$1,enemy_skill_triggers!$1:$1,0)+1,FALSE)</f>
        <v>529</v>
      </c>
      <c r="O230" s="42">
        <f ca="1">VLOOKUP($F230,OFFSET(enemy_skill_triggers!$A$1,0,0,COUNTA(enemy_skill_triggers!$A:$A),MATCH(O$1,enemy_skill_triggers!$1:$1,0)-MATCH($F$1,enemy_skill_triggers!$1:$1,0)+1),MATCH(O$1,enemy_skill_triggers!$1:$1,0)-MATCH($F$1,enemy_skill_triggers!$1:$1,0)+1,FALSE)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0" s="41"/>
      <c r="Q230" s="41"/>
      <c r="R230" s="41"/>
    </row>
    <row r="231" spans="1:18" ht="21" customHeight="1" x14ac:dyDescent="0.15">
      <c r="A231" s="33" t="str">
        <f t="shared" si="14"/>
        <v>39008011_39008006</v>
      </c>
      <c r="B231" s="102">
        <v>39008011</v>
      </c>
      <c r="C231" s="41">
        <v>39008006</v>
      </c>
      <c r="D231" s="40" t="str">
        <f ca="1">VLOOKUP($C231,OFFSET(enemy_skills!$A$1,0,0,COUNTA(enemy_skills!$A:$A),MATCH(D$1,enemy_skills!$1:$1,0)-MATCH("enemy_skill_id",enemy_skills!$1:$1,0)+1),MATCH(D$1,enemy_skills!$1:$1,0)-MATCH("enemy_skill_id",enemy_skills!$1:$1,0)+1,FALSE)</f>
        <v>ジェントルステップ</v>
      </c>
      <c r="E231" s="40" t="str">
        <f ca="1">VLOOKUP($C231,OFFSET(enemy_skills!$A$1,0,0,COUNTA(enemy_skills!$A:$A),MATCH(E$1,enemy_skills!$1:$1,0)-MATCH("enemy_skill_id",enemy_skills!$1:$1,0)+1),MATCH(E$1,enemy_skills!$1:$1,0)-MATCH("enemy_skill_id",enemy_skills!$1:$1,0)+1,FALSE)</f>
        <v>3ターン敵全体の防御力UP</v>
      </c>
      <c r="F231" s="122">
        <v>39008006</v>
      </c>
      <c r="G231" s="42">
        <f ca="1">VLOOKUP($F231,OFFSET(enemy_skill_triggers!$A$1,0,0,COUNTA(enemy_skill_triggers!$A:$A),MATCH(G$1,enemy_skill_triggers!$1:$1,0)-MATCH($F$1,enemy_skill_triggers!$1:$1,0)+1),MATCH(G$1,enemy_skill_triggers!$1:$1,0)-MATCH($F$1,enemy_skill_triggers!$1:$1,0)+1,FALSE)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1" s="42" t="str">
        <f ca="1">VLOOKUP($F231,OFFSET(enemy_skill_triggers!$A$1,0,0,COUNTA(enemy_skill_triggers!$A:$A),MATCH(H$1,enemy_skill_triggers!$1:$1,0)-MATCH($F$1,enemy_skill_triggers!$1:$1,0)+1),MATCH(H$1,enemy_skill_triggers!$1:$1,0)-MATCH($F$1,enemy_skill_triggers!$1:$1,0)+1,FALSE)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1" s="42">
        <f ca="1">VLOOKUP($F231,OFFSET(enemy_skill_triggers!$A$1,0,0,COUNTA(enemy_skill_triggers!$A:$A),MATCH(I$1,enemy_skill_triggers!$1:$1,0)-MATCH($F$1,enemy_skill_triggers!$1:$1,0)+1),MATCH(I$1,enemy_skill_triggers!$1:$1,0)-MATCH($F$1,enemy_skill_triggers!$1:$1,0)+1,FALSE)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1" s="42" t="str">
        <f ca="1">VLOOKUP($F231,OFFSET(enemy_skill_triggers!$A$1,0,0,COUNTA(enemy_skill_triggers!$A:$A),MATCH(J$1,enemy_skill_triggers!$1:$1,0)-MATCH($F$1,enemy_skill_triggers!$1:$1,0)+1),MATCH(J$1,enemy_skill_triggers!$1:$1,0)-MATCH($F$1,enemy_skill_triggers!$1:$1,0)+1,FALSE)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1" s="42" t="str">
        <f ca="1">VLOOKUP($F231,OFFSET(enemy_skill_triggers!$A$1,0,0,COUNTA(enemy_skill_triggers!$A:$A),MATCH(K$1,enemy_skill_triggers!$1:$1,0)-MATCH($F$1,enemy_skill_triggers!$1:$1,0)+1),MATCH(K$1,enemy_skill_triggers!$1:$1,0)-MATCH($F$1,enemy_skill_triggers!$1:$1,0)+1,FALSE)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1" s="42">
        <f ca="1">VLOOKUP($F231,OFFSET(enemy_skill_triggers!$A$1,0,0,COUNTA(enemy_skill_triggers!$A:$A),MATCH(L$1,enemy_skill_triggers!$1:$1,0)-MATCH($F$1,enemy_skill_triggers!$1:$1,0)+1),MATCH(L$1,enemy_skill_triggers!$1:$1,0)-MATCH($F$1,enemy_skill_triggers!$1:$1,0)+1,FALSE)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1" s="42" t="str">
        <f ca="1">VLOOKUP($F231,OFFSET(enemy_skill_triggers!$A$1,0,0,COUNTA(enemy_skill_triggers!$A:$A),MATCH(M$1,enemy_skill_triggers!$1:$1,0)-MATCH($F$1,enemy_skill_triggers!$1:$1,0)+1),MATCH(M$1,enemy_skill_triggers!$1:$1,0)-MATCH($F$1,enemy_skill_triggers!$1:$1,0)+1,FALSE)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1" s="42">
        <f ca="1">VLOOKUP($F231,OFFSET(enemy_skill_triggers!$A$1,0,0,COUNTA(enemy_skill_triggers!$A:$A),MATCH(N$1,enemy_skill_triggers!$1:$1,0)-MATCH($F$1,enemy_skill_triggers!$1:$1,0)+1),MATCH(N$1,enemy_skill_triggers!$1:$1,0)-MATCH($F$1,enemy_skill_triggers!$1:$1,0)+1,FALSE)</f>
        <v>531</v>
      </c>
      <c r="O231" s="42">
        <f ca="1">VLOOKUP($F231,OFFSET(enemy_skill_triggers!$A$1,0,0,COUNTA(enemy_skill_triggers!$A:$A),MATCH(O$1,enemy_skill_triggers!$1:$1,0)-MATCH($F$1,enemy_skill_triggers!$1:$1,0)+1),MATCH(O$1,enemy_skill_triggers!$1:$1,0)-MATCH($F$1,enemy_skill_triggers!$1:$1,0)+1,FALSE)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1" s="41"/>
      <c r="Q231" s="41"/>
      <c r="R231" s="41"/>
    </row>
    <row r="232" spans="1:18" ht="21" customHeight="1" x14ac:dyDescent="0.15">
      <c r="A232" s="33" t="str">
        <f t="shared" si="14"/>
        <v>39008011_39008011</v>
      </c>
      <c r="B232" s="102">
        <v>39008011</v>
      </c>
      <c r="C232" s="41">
        <v>39008011</v>
      </c>
      <c r="D232" s="40" t="str">
        <f ca="1">VLOOKUP($C232,OFFSET(enemy_skills!$A$1,0,0,COUNTA(enemy_skills!$A:$A),MATCH(D$1,enemy_skills!$1:$1,0)-MATCH("enemy_skill_id",enemy_skills!$1:$1,0)+1),MATCH(D$1,enemy_skills!$1:$1,0)-MATCH("enemy_skill_id",enemy_skills!$1:$1,0)+1,FALSE)</f>
        <v>センタリング</v>
      </c>
      <c r="E232" s="40" t="str">
        <f ca="1">VLOOKUP($C232,OFFSET(enemy_skills!$A$1,0,0,COUNTA(enemy_skills!$A:$A),MATCH(E$1,enemy_skills!$1:$1,0)-MATCH("enemy_skill_id",enemy_skills!$1:$1,0)+1),MATCH(E$1,enemy_skills!$1:$1,0)-MATCH("enemy_skill_id",enemy_skills!$1:$1,0)+1,FALSE)</f>
        <v>全体回復</v>
      </c>
      <c r="F232" s="122">
        <v>39008007</v>
      </c>
      <c r="G232" s="42">
        <f ca="1">VLOOKUP($F232,OFFSET(enemy_skill_triggers!$A$1,0,0,COUNTA(enemy_skill_triggers!$A:$A),MATCH(G$1,enemy_skill_triggers!$1:$1,0)-MATCH($F$1,enemy_skill_triggers!$1:$1,0)+1),MATCH(G$1,enemy_skill_triggers!$1:$1,0)-MATCH($F$1,enemy_skill_triggers!$1:$1,0)+1,FALSE)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2" s="42" t="str">
        <f ca="1">VLOOKUP($F232,OFFSET(enemy_skill_triggers!$A$1,0,0,COUNTA(enemy_skill_triggers!$A:$A),MATCH(H$1,enemy_skill_triggers!$1:$1,0)-MATCH($F$1,enemy_skill_triggers!$1:$1,0)+1),MATCH(H$1,enemy_skill_triggers!$1:$1,0)-MATCH($F$1,enemy_skill_triggers!$1:$1,0)+1,FALSE)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2" s="42">
        <f ca="1">VLOOKUP($F232,OFFSET(enemy_skill_triggers!$A$1,0,0,COUNTA(enemy_skill_triggers!$A:$A),MATCH(I$1,enemy_skill_triggers!$1:$1,0)-MATCH($F$1,enemy_skill_triggers!$1:$1,0)+1),MATCH(I$1,enemy_skill_triggers!$1:$1,0)-MATCH($F$1,enemy_skill_triggers!$1:$1,0)+1,FALSE)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2" s="42" t="str">
        <f ca="1">VLOOKUP($F232,OFFSET(enemy_skill_triggers!$A$1,0,0,COUNTA(enemy_skill_triggers!$A:$A),MATCH(J$1,enemy_skill_triggers!$1:$1,0)-MATCH($F$1,enemy_skill_triggers!$1:$1,0)+1),MATCH(J$1,enemy_skill_triggers!$1:$1,0)-MATCH($F$1,enemy_skill_triggers!$1:$1,0)+1,FALSE)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2" s="42" t="str">
        <f ca="1">VLOOKUP($F232,OFFSET(enemy_skill_triggers!$A$1,0,0,COUNTA(enemy_skill_triggers!$A:$A),MATCH(K$1,enemy_skill_triggers!$1:$1,0)-MATCH($F$1,enemy_skill_triggers!$1:$1,0)+1),MATCH(K$1,enemy_skill_triggers!$1:$1,0)-MATCH($F$1,enemy_skill_triggers!$1:$1,0)+1,FALSE)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2" s="42">
        <f ca="1">VLOOKUP($F232,OFFSET(enemy_skill_triggers!$A$1,0,0,COUNTA(enemy_skill_triggers!$A:$A),MATCH(L$1,enemy_skill_triggers!$1:$1,0)-MATCH($F$1,enemy_skill_triggers!$1:$1,0)+1),MATCH(L$1,enemy_skill_triggers!$1:$1,0)-MATCH($F$1,enemy_skill_triggers!$1:$1,0)+1,FALSE)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2" s="42" t="str">
        <f ca="1">VLOOKUP($F232,OFFSET(enemy_skill_triggers!$A$1,0,0,COUNTA(enemy_skill_triggers!$A:$A),MATCH(M$1,enemy_skill_triggers!$1:$1,0)-MATCH($F$1,enemy_skill_triggers!$1:$1,0)+1),MATCH(M$1,enemy_skill_triggers!$1:$1,0)-MATCH($F$1,enemy_skill_triggers!$1:$1,0)+1,FALSE)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2" s="42">
        <f ca="1">VLOOKUP($F232,OFFSET(enemy_skill_triggers!$A$1,0,0,COUNTA(enemy_skill_triggers!$A:$A),MATCH(N$1,enemy_skill_triggers!$1:$1,0)-MATCH($F$1,enemy_skill_triggers!$1:$1,0)+1),MATCH(N$1,enemy_skill_triggers!$1:$1,0)-MATCH($F$1,enemy_skill_triggers!$1:$1,0)+1,FALSE)</f>
        <v>534</v>
      </c>
      <c r="O232" s="42">
        <f ca="1">VLOOKUP($F232,OFFSET(enemy_skill_triggers!$A$1,0,0,COUNTA(enemy_skill_triggers!$A:$A),MATCH(O$1,enemy_skill_triggers!$1:$1,0)-MATCH($F$1,enemy_skill_triggers!$1:$1,0)+1),MATCH(O$1,enemy_skill_triggers!$1:$1,0)-MATCH($F$1,enemy_skill_triggers!$1:$1,0)+1,FALSE)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2" s="41"/>
      <c r="Q232" s="41"/>
      <c r="R232" s="41"/>
    </row>
    <row r="233" spans="1:18" ht="21" customHeight="1" x14ac:dyDescent="0.15">
      <c r="A233" s="33" t="str">
        <f t="shared" si="14"/>
        <v>39008011_39008012</v>
      </c>
      <c r="B233" s="102">
        <v>39008011</v>
      </c>
      <c r="C233" s="41">
        <v>39008012</v>
      </c>
      <c r="D233" s="40" t="str">
        <f ca="1">VLOOKUP($C233,OFFSET(enemy_skills!$A$1,0,0,COUNTA(enemy_skills!$A:$A),MATCH(D$1,enemy_skills!$1:$1,0)-MATCH("enemy_skill_id",enemy_skills!$1:$1,0)+1),MATCH(D$1,enemy_skills!$1:$1,0)-MATCH("enemy_skill_id",enemy_skills!$1:$1,0)+1,FALSE)</f>
        <v>ワイルドステップ</v>
      </c>
      <c r="E233" s="40" t="str">
        <f ca="1">VLOOKUP($C233,OFFSET(enemy_skills!$A$1,0,0,COUNTA(enemy_skills!$A:$A),MATCH(E$1,enemy_skills!$1:$1,0)-MATCH("enemy_skill_id",enemy_skills!$1:$1,0)+1),MATCH(E$1,enemy_skills!$1:$1,0)-MATCH("enemy_skill_id",enemy_skills!$1:$1,0)+1,FALSE)</f>
        <v>3ターン敵全体の行動頻度UP</v>
      </c>
      <c r="F233" s="122">
        <v>39008008</v>
      </c>
      <c r="G233" s="42">
        <f ca="1">VLOOKUP($F233,OFFSET(enemy_skill_triggers!$A$1,0,0,COUNTA(enemy_skill_triggers!$A:$A),MATCH(G$1,enemy_skill_triggers!$1:$1,0)-MATCH($F$1,enemy_skill_triggers!$1:$1,0)+1),MATCH(G$1,enemy_skill_triggers!$1:$1,0)-MATCH($F$1,enemy_skill_triggers!$1:$1,0)+1,FALSE)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3" s="42" t="str">
        <f ca="1">VLOOKUP($F233,OFFSET(enemy_skill_triggers!$A$1,0,0,COUNTA(enemy_skill_triggers!$A:$A),MATCH(H$1,enemy_skill_triggers!$1:$1,0)-MATCH($F$1,enemy_skill_triggers!$1:$1,0)+1),MATCH(H$1,enemy_skill_triggers!$1:$1,0)-MATCH($F$1,enemy_skill_triggers!$1:$1,0)+1,FALSE)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3" s="42">
        <f ca="1">VLOOKUP($F233,OFFSET(enemy_skill_triggers!$A$1,0,0,COUNTA(enemy_skill_triggers!$A:$A),MATCH(I$1,enemy_skill_triggers!$1:$1,0)-MATCH($F$1,enemy_skill_triggers!$1:$1,0)+1),MATCH(I$1,enemy_skill_triggers!$1:$1,0)-MATCH($F$1,enemy_skill_triggers!$1:$1,0)+1,FALSE)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3" s="42" t="str">
        <f ca="1">VLOOKUP($F233,OFFSET(enemy_skill_triggers!$A$1,0,0,COUNTA(enemy_skill_triggers!$A:$A),MATCH(J$1,enemy_skill_triggers!$1:$1,0)-MATCH($F$1,enemy_skill_triggers!$1:$1,0)+1),MATCH(J$1,enemy_skill_triggers!$1:$1,0)-MATCH($F$1,enemy_skill_triggers!$1:$1,0)+1,FALSE)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3" s="42" t="str">
        <f ca="1">VLOOKUP($F233,OFFSET(enemy_skill_triggers!$A$1,0,0,COUNTA(enemy_skill_triggers!$A:$A),MATCH(K$1,enemy_skill_triggers!$1:$1,0)-MATCH($F$1,enemy_skill_triggers!$1:$1,0)+1),MATCH(K$1,enemy_skill_triggers!$1:$1,0)-MATCH($F$1,enemy_skill_triggers!$1:$1,0)+1,FALSE)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3" s="42">
        <f ca="1">VLOOKUP($F233,OFFSET(enemy_skill_triggers!$A$1,0,0,COUNTA(enemy_skill_triggers!$A:$A),MATCH(L$1,enemy_skill_triggers!$1:$1,0)-MATCH($F$1,enemy_skill_triggers!$1:$1,0)+1),MATCH(L$1,enemy_skill_triggers!$1:$1,0)-MATCH($F$1,enemy_skill_triggers!$1:$1,0)+1,FALSE)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3" s="42" t="str">
        <f ca="1">VLOOKUP($F233,OFFSET(enemy_skill_triggers!$A$1,0,0,COUNTA(enemy_skill_triggers!$A:$A),MATCH(M$1,enemy_skill_triggers!$1:$1,0)-MATCH($F$1,enemy_skill_triggers!$1:$1,0)+1),MATCH(M$1,enemy_skill_triggers!$1:$1,0)-MATCH($F$1,enemy_skill_triggers!$1:$1,0)+1,FALSE)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3" s="42">
        <f ca="1">VLOOKUP($F233,OFFSET(enemy_skill_triggers!$A$1,0,0,COUNTA(enemy_skill_triggers!$A:$A),MATCH(N$1,enemy_skill_triggers!$1:$1,0)-MATCH($F$1,enemy_skill_triggers!$1:$1,0)+1),MATCH(N$1,enemy_skill_triggers!$1:$1,0)-MATCH($F$1,enemy_skill_triggers!$1:$1,0)+1,FALSE)</f>
        <v>536</v>
      </c>
      <c r="O233" s="42">
        <f ca="1">VLOOKUP($F233,OFFSET(enemy_skill_triggers!$A$1,0,0,COUNTA(enemy_skill_triggers!$A:$A),MATCH(O$1,enemy_skill_triggers!$1:$1,0)-MATCH($F$1,enemy_skill_triggers!$1:$1,0)+1),MATCH(O$1,enemy_skill_triggers!$1:$1,0)-MATCH($F$1,enemy_skill_triggers!$1:$1,0)+1,FALSE)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3" s="41"/>
      <c r="Q233" s="41"/>
      <c r="R233" s="41"/>
    </row>
    <row r="234" spans="1:18" ht="20" customHeight="1" x14ac:dyDescent="0.15">
      <c r="A234" s="33" t="str">
        <f t="shared" si="14"/>
        <v>39008011_39008037</v>
      </c>
      <c r="B234" s="102">
        <v>39008011</v>
      </c>
      <c r="C234" s="119">
        <v>39008037</v>
      </c>
      <c r="D234" s="40" t="str">
        <f ca="1">VLOOKUP($C234,OFFSET(enemy_skills!$A$1,0,0,COUNTA(enemy_skills!$A:$A),MATCH(D$1,enemy_skills!$1:$1,0)-MATCH("enemy_skill_id",enemy_skills!$1:$1,0)+1),MATCH(D$1,enemy_skills!$1:$1,0)-MATCH("enemy_skill_id",enemy_skills!$1:$1,0)+1,FALSE)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34" s="40" t="str">
        <f ca="1">VLOOKUP($C234,OFFSET(enemy_skills!$A$1,0,0,COUNTA(enemy_skills!$A:$A),MATCH(E$1,enemy_skills!$1:$1,0)-MATCH("enemy_skill_id",enemy_skills!$1:$1,0)+1),MATCH(E$1,enemy_skills!$1:$1,0)-MATCH("enemy_skill_id",enemy_skills!$1:$1,0)+1,FALSE)</f>
        <v>そっか！ルカねぇが助けてくれたんだね！ありがとうっ！</v>
      </c>
      <c r="F234" s="122">
        <v>39008078</v>
      </c>
      <c r="G234" s="42">
        <f ca="1">VLOOKUP($F234,OFFSET(enemy_skill_triggers!$A$1,0,0,COUNTA(enemy_skill_triggers!$A:$A),MATCH(G$1,enemy_skill_triggers!$1:$1,0)-MATCH($F$1,enemy_skill_triggers!$1:$1,0)+1),MATCH(G$1,enemy_skill_triggers!$1:$1,0)-MATCH($F$1,enemy_skill_triggers!$1:$1,0)+1,FALSE)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4" s="42">
        <f ca="1">VLOOKUP($F234,OFFSET(enemy_skill_triggers!$A$1,0,0,COUNTA(enemy_skill_triggers!$A:$A),MATCH(H$1,enemy_skill_triggers!$1:$1,0)-MATCH($F$1,enemy_skill_triggers!$1:$1,0)+1),MATCH(H$1,enemy_skill_triggers!$1:$1,0)-MATCH($F$1,enemy_skill_triggers!$1:$1,0)+1,FALSE)</f>
        <v>953</v>
      </c>
      <c r="I234" s="42">
        <f ca="1">VLOOKUP($F234,OFFSET(enemy_skill_triggers!$A$1,0,0,COUNTA(enemy_skill_triggers!$A:$A),MATCH(I$1,enemy_skill_triggers!$1:$1,0)-MATCH($F$1,enemy_skill_triggers!$1:$1,0)+1),MATCH(I$1,enemy_skill_triggers!$1:$1,0)-MATCH($F$1,enemy_skill_triggers!$1:$1,0)+1,FALSE)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4" s="42" t="str">
        <f ca="1">VLOOKUP($F234,OFFSET(enemy_skill_triggers!$A$1,0,0,COUNTA(enemy_skill_triggers!$A:$A),MATCH(J$1,enemy_skill_triggers!$1:$1,0)-MATCH($F$1,enemy_skill_triggers!$1:$1,0)+1),MATCH(J$1,enemy_skill_triggers!$1:$1,0)-MATCH($F$1,enemy_skill_triggers!$1:$1,0)+1,FALSE)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4" s="42" t="str">
        <f ca="1">VLOOKUP($F234,OFFSET(enemy_skill_triggers!$A$1,0,0,COUNTA(enemy_skill_triggers!$A:$A),MATCH(K$1,enemy_skill_triggers!$1:$1,0)-MATCH($F$1,enemy_skill_triggers!$1:$1,0)+1),MATCH(K$1,enemy_skill_triggers!$1:$1,0)-MATCH($F$1,enemy_skill_triggers!$1:$1,0)+1,FALSE)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4" s="42">
        <f ca="1">VLOOKUP($F234,OFFSET(enemy_skill_triggers!$A$1,0,0,COUNTA(enemy_skill_triggers!$A:$A),MATCH(L$1,enemy_skill_triggers!$1:$1,0)-MATCH($F$1,enemy_skill_triggers!$1:$1,0)+1),MATCH(L$1,enemy_skill_triggers!$1:$1,0)-MATCH($F$1,enemy_skill_triggers!$1:$1,0)+1,FALSE)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4" s="42" t="str">
        <f ca="1">VLOOKUP($F234,OFFSET(enemy_skill_triggers!$A$1,0,0,COUNTA(enemy_skill_triggers!$A:$A),MATCH(M$1,enemy_skill_triggers!$1:$1,0)-MATCH($F$1,enemy_skill_triggers!$1:$1,0)+1),MATCH(M$1,enemy_skill_triggers!$1:$1,0)-MATCH($F$1,enemy_skill_triggers!$1:$1,0)+1,FALSE)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4" s="42">
        <f ca="1">VLOOKUP($F234,OFFSET(enemy_skill_triggers!$A$1,0,0,COUNTA(enemy_skill_triggers!$A:$A),MATCH(N$1,enemy_skill_triggers!$1:$1,0)-MATCH($F$1,enemy_skill_triggers!$1:$1,0)+1),MATCH(N$1,enemy_skill_triggers!$1:$1,0)-MATCH($F$1,enemy_skill_triggers!$1:$1,0)+1,FALSE)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234" s="42">
        <f ca="1">VLOOKUP($F234,OFFSET(enemy_skill_triggers!$A$1,0,0,COUNTA(enemy_skill_triggers!$A:$A),MATCH(O$1,enemy_skill_triggers!$1:$1,0)-MATCH($F$1,enemy_skill_triggers!$1:$1,0)+1),MATCH(O$1,enemy_skill_triggers!$1:$1,0)-MATCH($F$1,enemy_skill_triggers!$1:$1,0)+1,FALSE)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4" s="41"/>
      <c r="Q234" s="41"/>
      <c r="R234" s="41" t="s">
        <v>332</v>
      </c>
    </row>
    <row r="235" spans="1:18" ht="21" customHeight="1" x14ac:dyDescent="0.15">
      <c r="A235" s="33" t="str">
        <f t="shared" si="14"/>
        <v>39008011_39008037</v>
      </c>
      <c r="B235" s="102">
        <v>39008011</v>
      </c>
      <c r="C235" s="119">
        <v>39008037</v>
      </c>
      <c r="D235" s="40" t="str">
        <f ca="1">VLOOKUP($C235,OFFSET(enemy_skills!$A$1,0,0,COUNTA(enemy_skills!$A:$A),MATCH(D$1,enemy_skills!$1:$1,0)-MATCH("enemy_skill_id",enemy_skills!$1:$1,0)+1),MATCH(D$1,enemy_skills!$1:$1,0)-MATCH("enemy_skill_id",enemy_skills!$1:$1,0)+1,FALSE)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35" s="40" t="str">
        <f ca="1">VLOOKUP($C235,OFFSET(enemy_skills!$A$1,0,0,COUNTA(enemy_skills!$A:$A),MATCH(E$1,enemy_skills!$1:$1,0)-MATCH("enemy_skill_id",enemy_skills!$1:$1,0)+1),MATCH(E$1,enemy_skills!$1:$1,0)-MATCH("enemy_skill_id",enemy_skills!$1:$1,0)+1,FALSE)</f>
        <v>そっか！ルカねぇが助けてくれたんだね！ありがとうっ！</v>
      </c>
      <c r="F235" s="122">
        <v>39008079</v>
      </c>
      <c r="G235" s="42">
        <f ca="1">VLOOKUP($F235,OFFSET(enemy_skill_triggers!$A$1,0,0,COUNTA(enemy_skill_triggers!$A:$A),MATCH(G$1,enemy_skill_triggers!$1:$1,0)-MATCH($F$1,enemy_skill_triggers!$1:$1,0)+1),MATCH(G$1,enemy_skill_triggers!$1:$1,0)-MATCH($F$1,enemy_skill_triggers!$1:$1,0)+1,FALSE)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5" s="42">
        <f ca="1">VLOOKUP($F235,OFFSET(enemy_skill_triggers!$A$1,0,0,COUNTA(enemy_skill_triggers!$A:$A),MATCH(H$1,enemy_skill_triggers!$1:$1,0)-MATCH($F$1,enemy_skill_triggers!$1:$1,0)+1),MATCH(H$1,enemy_skill_triggers!$1:$1,0)-MATCH($F$1,enemy_skill_triggers!$1:$1,0)+1,FALSE)</f>
        <v>952</v>
      </c>
      <c r="I235" s="42">
        <f ca="1">VLOOKUP($F235,OFFSET(enemy_skill_triggers!$A$1,0,0,COUNTA(enemy_skill_triggers!$A:$A),MATCH(I$1,enemy_skill_triggers!$1:$1,0)-MATCH($F$1,enemy_skill_triggers!$1:$1,0)+1),MATCH(I$1,enemy_skill_triggers!$1:$1,0)-MATCH($F$1,enemy_skill_triggers!$1:$1,0)+1,FALSE)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5" s="42" t="str">
        <f ca="1">VLOOKUP($F235,OFFSET(enemy_skill_triggers!$A$1,0,0,COUNTA(enemy_skill_triggers!$A:$A),MATCH(J$1,enemy_skill_triggers!$1:$1,0)-MATCH($F$1,enemy_skill_triggers!$1:$1,0)+1),MATCH(J$1,enemy_skill_triggers!$1:$1,0)-MATCH($F$1,enemy_skill_triggers!$1:$1,0)+1,FALSE)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5" s="42" t="str">
        <f ca="1">VLOOKUP($F235,OFFSET(enemy_skill_triggers!$A$1,0,0,COUNTA(enemy_skill_triggers!$A:$A),MATCH(K$1,enemy_skill_triggers!$1:$1,0)-MATCH($F$1,enemy_skill_triggers!$1:$1,0)+1),MATCH(K$1,enemy_skill_triggers!$1:$1,0)-MATCH($F$1,enemy_skill_triggers!$1:$1,0)+1,FALSE)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5" s="42">
        <f ca="1">VLOOKUP($F235,OFFSET(enemy_skill_triggers!$A$1,0,0,COUNTA(enemy_skill_triggers!$A:$A),MATCH(L$1,enemy_skill_triggers!$1:$1,0)-MATCH($F$1,enemy_skill_triggers!$1:$1,0)+1),MATCH(L$1,enemy_skill_triggers!$1:$1,0)-MATCH($F$1,enemy_skill_triggers!$1:$1,0)+1,FALSE)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5" s="42" t="str">
        <f ca="1">VLOOKUP($F235,OFFSET(enemy_skill_triggers!$A$1,0,0,COUNTA(enemy_skill_triggers!$A:$A),MATCH(M$1,enemy_skill_triggers!$1:$1,0)-MATCH($F$1,enemy_skill_triggers!$1:$1,0)+1),MATCH(M$1,enemy_skill_triggers!$1:$1,0)-MATCH($F$1,enemy_skill_triggers!$1:$1,0)+1,FALSE)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5" s="42">
        <f ca="1">VLOOKUP($F235,OFFSET(enemy_skill_triggers!$A$1,0,0,COUNTA(enemy_skill_triggers!$A:$A),MATCH(N$1,enemy_skill_triggers!$1:$1,0)-MATCH($F$1,enemy_skill_triggers!$1:$1,0)+1),MATCH(N$1,enemy_skill_triggers!$1:$1,0)-MATCH($F$1,enemy_skill_triggers!$1:$1,0)+1,FALSE)</f>
        <v>548</v>
      </c>
      <c r="O235" s="42">
        <f ca="1">VLOOKUP($F235,OFFSET(enemy_skill_triggers!$A$1,0,0,COUNTA(enemy_skill_triggers!$A:$A),MATCH(O$1,enemy_skill_triggers!$1:$1,0)-MATCH($F$1,enemy_skill_triggers!$1:$1,0)+1),MATCH(O$1,enemy_skill_triggers!$1:$1,0)-MATCH($F$1,enemy_skill_triggers!$1:$1,0)+1,FALSE)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5" s="41"/>
      <c r="Q235" s="41"/>
      <c r="R235" s="41" t="s">
        <v>333</v>
      </c>
    </row>
    <row r="236" spans="1:18" ht="21" customHeight="1" x14ac:dyDescent="0.15">
      <c r="A236" s="33" t="str">
        <f t="shared" si="14"/>
        <v>39008011_39008037</v>
      </c>
      <c r="B236" s="102">
        <v>39008011</v>
      </c>
      <c r="C236" s="119">
        <v>39008037</v>
      </c>
      <c r="D236" s="40" t="str">
        <f ca="1">VLOOKUP($C236,OFFSET(enemy_skills!$A$1,0,0,COUNTA(enemy_skills!$A:$A),MATCH(D$1,enemy_skills!$1:$1,0)-MATCH("enemy_skill_id",enemy_skills!$1:$1,0)+1),MATCH(D$1,enemy_skills!$1:$1,0)-MATCH("enemy_skill_id",enemy_skills!$1:$1,0)+1,FALSE)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36" s="40" t="str">
        <f ca="1">VLOOKUP($C236,OFFSET(enemy_skills!$A$1,0,0,COUNTA(enemy_skills!$A:$A),MATCH(E$1,enemy_skills!$1:$1,0)-MATCH("enemy_skill_id",enemy_skills!$1:$1,0)+1),MATCH(E$1,enemy_skills!$1:$1,0)-MATCH("enemy_skill_id",enemy_skills!$1:$1,0)+1,FALSE)</f>
        <v>そっか！ルカねぇが助けてくれたんだね！ありがとうっ！</v>
      </c>
      <c r="F236" s="122">
        <v>39008080</v>
      </c>
      <c r="G236" s="42">
        <f ca="1">VLOOKUP($F236,OFFSET(enemy_skill_triggers!$A$1,0,0,COUNTA(enemy_skill_triggers!$A:$A),MATCH(G$1,enemy_skill_triggers!$1:$1,0)-MATCH($F$1,enemy_skill_triggers!$1:$1,0)+1),MATCH(G$1,enemy_skill_triggers!$1:$1,0)-MATCH($F$1,enemy_skill_triggers!$1:$1,0)+1,FALSE)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6" s="42">
        <f ca="1">VLOOKUP($F236,OFFSET(enemy_skill_triggers!$A$1,0,0,COUNTA(enemy_skill_triggers!$A:$A),MATCH(H$1,enemy_skill_triggers!$1:$1,0)-MATCH($F$1,enemy_skill_triggers!$1:$1,0)+1),MATCH(H$1,enemy_skill_triggers!$1:$1,0)-MATCH($F$1,enemy_skill_triggers!$1:$1,0)+1,FALSE)</f>
        <v>951</v>
      </c>
      <c r="I236" s="42">
        <f ca="1">VLOOKUP($F236,OFFSET(enemy_skill_triggers!$A$1,0,0,COUNTA(enemy_skill_triggers!$A:$A),MATCH(I$1,enemy_skill_triggers!$1:$1,0)-MATCH($F$1,enemy_skill_triggers!$1:$1,0)+1),MATCH(I$1,enemy_skill_triggers!$1:$1,0)-MATCH($F$1,enemy_skill_triggers!$1:$1,0)+1,FALSE)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6" s="42" t="str">
        <f ca="1">VLOOKUP($F236,OFFSET(enemy_skill_triggers!$A$1,0,0,COUNTA(enemy_skill_triggers!$A:$A),MATCH(J$1,enemy_skill_triggers!$1:$1,0)-MATCH($F$1,enemy_skill_triggers!$1:$1,0)+1),MATCH(J$1,enemy_skill_triggers!$1:$1,0)-MATCH($F$1,enemy_skill_triggers!$1:$1,0)+1,FALSE)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6" s="42" t="str">
        <f ca="1">VLOOKUP($F236,OFFSET(enemy_skill_triggers!$A$1,0,0,COUNTA(enemy_skill_triggers!$A:$A),MATCH(K$1,enemy_skill_triggers!$1:$1,0)-MATCH($F$1,enemy_skill_triggers!$1:$1,0)+1),MATCH(K$1,enemy_skill_triggers!$1:$1,0)-MATCH($F$1,enemy_skill_triggers!$1:$1,0)+1,FALSE)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6" s="42">
        <f ca="1">VLOOKUP($F236,OFFSET(enemy_skill_triggers!$A$1,0,0,COUNTA(enemy_skill_triggers!$A:$A),MATCH(L$1,enemy_skill_triggers!$1:$1,0)-MATCH($F$1,enemy_skill_triggers!$1:$1,0)+1),MATCH(L$1,enemy_skill_triggers!$1:$1,0)-MATCH($F$1,enemy_skill_triggers!$1:$1,0)+1,FALSE)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6" s="42" t="str">
        <f ca="1">VLOOKUP($F236,OFFSET(enemy_skill_triggers!$A$1,0,0,COUNTA(enemy_skill_triggers!$A:$A),MATCH(M$1,enemy_skill_triggers!$1:$1,0)-MATCH($F$1,enemy_skill_triggers!$1:$1,0)+1),MATCH(M$1,enemy_skill_triggers!$1:$1,0)-MATCH($F$1,enemy_skill_triggers!$1:$1,0)+1,FALSE)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6" s="42">
        <f ca="1">VLOOKUP($F236,OFFSET(enemy_skill_triggers!$A$1,0,0,COUNTA(enemy_skill_triggers!$A:$A),MATCH(N$1,enemy_skill_triggers!$1:$1,0)-MATCH($F$1,enemy_skill_triggers!$1:$1,0)+1),MATCH(N$1,enemy_skill_triggers!$1:$1,0)-MATCH($F$1,enemy_skill_triggers!$1:$1,0)+1,FALSE)</f>
        <v>1313</v>
      </c>
      <c r="O236" s="42">
        <f ca="1">VLOOKUP($F236,OFFSET(enemy_skill_triggers!$A$1,0,0,COUNTA(enemy_skill_triggers!$A:$A),MATCH(O$1,enemy_skill_triggers!$1:$1,0)-MATCH($F$1,enemy_skill_triggers!$1:$1,0)+1),MATCH(O$1,enemy_skill_triggers!$1:$1,0)-MATCH($F$1,enemy_skill_triggers!$1:$1,0)+1,FALSE)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6" s="41"/>
      <c r="Q236" s="41"/>
      <c r="R236" s="41" t="s">
        <v>332</v>
      </c>
    </row>
    <row r="237" spans="1:18" ht="21" customHeight="1" x14ac:dyDescent="0.15">
      <c r="A237" s="33" t="str">
        <f t="shared" si="14"/>
        <v>39008011_39008038</v>
      </c>
      <c r="B237" s="102">
        <v>39008011</v>
      </c>
      <c r="C237" s="119">
        <v>39008038</v>
      </c>
      <c r="D237" s="40" t="str">
        <f ca="1">VLOOKUP($C237,OFFSET(enemy_skills!$A$1,0,0,COUNTA(enemy_skills!$A:$A),MATCH(D$1,enemy_skills!$1:$1,0)-MATCH("enemy_skill_id",enemy_skills!$1:$1,0)+1),MATCH(D$1,enemy_skills!$1:$1,0)-MATCH("enemy_skill_id",enemy_skills!$1:$1,0)+1,FALSE)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37" s="40" t="str">
        <f ca="1">VLOOKUP($C237,OFFSET(enemy_skills!$A$1,0,0,COUNTA(enemy_skills!$A:$A),MATCH(E$1,enemy_skills!$1:$1,0)-MATCH("enemy_skill_id",enemy_skills!$1:$1,0)+1),MATCH(E$1,enemy_skills!$1:$1,0)-MATCH("enemy_skill_id",enemy_skills!$1:$1,0)+1,FALSE)</f>
        <v>そっか！めーちゃんが助けてくれたんだね！ありがとうっ！</v>
      </c>
      <c r="F237" s="122">
        <v>39008081</v>
      </c>
      <c r="G237" s="42">
        <f ca="1">VLOOKUP($F237,OFFSET(enemy_skill_triggers!$A$1,0,0,COUNTA(enemy_skill_triggers!$A:$A),MATCH(G$1,enemy_skill_triggers!$1:$1,0)-MATCH($F$1,enemy_skill_triggers!$1:$1,0)+1),MATCH(G$1,enemy_skill_triggers!$1:$1,0)-MATCH($F$1,enemy_skill_triggers!$1:$1,0)+1,FALSE)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7" s="42">
        <f ca="1">VLOOKUP($F237,OFFSET(enemy_skill_triggers!$A$1,0,0,COUNTA(enemy_skill_triggers!$A:$A),MATCH(H$1,enemy_skill_triggers!$1:$1,0)-MATCH($F$1,enemy_skill_triggers!$1:$1,0)+1),MATCH(H$1,enemy_skill_triggers!$1:$1,0)-MATCH($F$1,enemy_skill_triggers!$1:$1,0)+1,FALSE)</f>
        <v>950</v>
      </c>
      <c r="I237" s="42">
        <f ca="1">VLOOKUP($F237,OFFSET(enemy_skill_triggers!$A$1,0,0,COUNTA(enemy_skill_triggers!$A:$A),MATCH(I$1,enemy_skill_triggers!$1:$1,0)-MATCH($F$1,enemy_skill_triggers!$1:$1,0)+1),MATCH(I$1,enemy_skill_triggers!$1:$1,0)-MATCH($F$1,enemy_skill_triggers!$1:$1,0)+1,FALSE)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7" s="42" t="str">
        <f ca="1">VLOOKUP($F237,OFFSET(enemy_skill_triggers!$A$1,0,0,COUNTA(enemy_skill_triggers!$A:$A),MATCH(J$1,enemy_skill_triggers!$1:$1,0)-MATCH($F$1,enemy_skill_triggers!$1:$1,0)+1),MATCH(J$1,enemy_skill_triggers!$1:$1,0)-MATCH($F$1,enemy_skill_triggers!$1:$1,0)+1,FALSE)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7" s="42" t="str">
        <f ca="1">VLOOKUP($F237,OFFSET(enemy_skill_triggers!$A$1,0,0,COUNTA(enemy_skill_triggers!$A:$A),MATCH(K$1,enemy_skill_triggers!$1:$1,0)-MATCH($F$1,enemy_skill_triggers!$1:$1,0)+1),MATCH(K$1,enemy_skill_triggers!$1:$1,0)-MATCH($F$1,enemy_skill_triggers!$1:$1,0)+1,FALSE)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7" s="42">
        <f ca="1">VLOOKUP($F237,OFFSET(enemy_skill_triggers!$A$1,0,0,COUNTA(enemy_skill_triggers!$A:$A),MATCH(L$1,enemy_skill_triggers!$1:$1,0)-MATCH($F$1,enemy_skill_triggers!$1:$1,0)+1),MATCH(L$1,enemy_skill_triggers!$1:$1,0)-MATCH($F$1,enemy_skill_triggers!$1:$1,0)+1,FALSE)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7" s="42" t="str">
        <f ca="1">VLOOKUP($F237,OFFSET(enemy_skill_triggers!$A$1,0,0,COUNTA(enemy_skill_triggers!$A:$A),MATCH(M$1,enemy_skill_triggers!$1:$1,0)-MATCH($F$1,enemy_skill_triggers!$1:$1,0)+1),MATCH(M$1,enemy_skill_triggers!$1:$1,0)-MATCH($F$1,enemy_skill_triggers!$1:$1,0)+1,FALSE)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7" s="42">
        <f ca="1">VLOOKUP($F237,OFFSET(enemy_skill_triggers!$A$1,0,0,COUNTA(enemy_skill_triggers!$A:$A),MATCH(N$1,enemy_skill_triggers!$1:$1,0)-MATCH($F$1,enemy_skill_triggers!$1:$1,0)+1),MATCH(N$1,enemy_skill_triggers!$1:$1,0)-MATCH($F$1,enemy_skill_triggers!$1:$1,0)+1,FALSE)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237" s="42">
        <f ca="1">VLOOKUP($F237,OFFSET(enemy_skill_triggers!$A$1,0,0,COUNTA(enemy_skill_triggers!$A:$A),MATCH(O$1,enemy_skill_triggers!$1:$1,0)-MATCH($F$1,enemy_skill_triggers!$1:$1,0)+1),MATCH(O$1,enemy_skill_triggers!$1:$1,0)-MATCH($F$1,enemy_skill_triggers!$1:$1,0)+1,FALSE)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7" s="41"/>
      <c r="Q237" s="41"/>
      <c r="R237" s="41" t="s">
        <v>336</v>
      </c>
    </row>
    <row r="238" spans="1:18" ht="21" customHeight="1" x14ac:dyDescent="0.15">
      <c r="A238" s="33" t="str">
        <f t="shared" si="14"/>
        <v>39008011_39008038</v>
      </c>
      <c r="B238" s="102">
        <v>39008011</v>
      </c>
      <c r="C238" s="119">
        <v>39008038</v>
      </c>
      <c r="D238" s="40" t="str">
        <f ca="1">VLOOKUP($C238,OFFSET(enemy_skills!$A$1,0,0,COUNTA(enemy_skills!$A:$A),MATCH(D$1,enemy_skills!$1:$1,0)-MATCH("enemy_skill_id",enemy_skills!$1:$1,0)+1),MATCH(D$1,enemy_skills!$1:$1,0)-MATCH("enemy_skill_id",enemy_skills!$1:$1,0)+1,FALSE)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38" s="40" t="str">
        <f ca="1">VLOOKUP($C238,OFFSET(enemy_skills!$A$1,0,0,COUNTA(enemy_skills!$A:$A),MATCH(E$1,enemy_skills!$1:$1,0)-MATCH("enemy_skill_id",enemy_skills!$1:$1,0)+1),MATCH(E$1,enemy_skills!$1:$1,0)-MATCH("enemy_skill_id",enemy_skills!$1:$1,0)+1,FALSE)</f>
        <v>そっか！めーちゃんが助けてくれたんだね！ありがとうっ！</v>
      </c>
      <c r="F238" s="122">
        <v>39008082</v>
      </c>
      <c r="G238" s="42">
        <f ca="1">VLOOKUP($F238,OFFSET(enemy_skill_triggers!$A$1,0,0,COUNTA(enemy_skill_triggers!$A:$A),MATCH(G$1,enemy_skill_triggers!$1:$1,0)-MATCH($F$1,enemy_skill_triggers!$1:$1,0)+1),MATCH(G$1,enemy_skill_triggers!$1:$1,0)-MATCH($F$1,enemy_skill_triggers!$1:$1,0)+1,FALSE)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8" s="42">
        <f ca="1">VLOOKUP($F238,OFFSET(enemy_skill_triggers!$A$1,0,0,COUNTA(enemy_skill_triggers!$A:$A),MATCH(H$1,enemy_skill_triggers!$1:$1,0)-MATCH($F$1,enemy_skill_triggers!$1:$1,0)+1),MATCH(H$1,enemy_skill_triggers!$1:$1,0)-MATCH($F$1,enemy_skill_triggers!$1:$1,0)+1,FALSE)</f>
        <v>949</v>
      </c>
      <c r="I238" s="42">
        <f ca="1">VLOOKUP($F238,OFFSET(enemy_skill_triggers!$A$1,0,0,COUNTA(enemy_skill_triggers!$A:$A),MATCH(I$1,enemy_skill_triggers!$1:$1,0)-MATCH($F$1,enemy_skill_triggers!$1:$1,0)+1),MATCH(I$1,enemy_skill_triggers!$1:$1,0)-MATCH($F$1,enemy_skill_triggers!$1:$1,0)+1,FALSE)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8" s="42" t="str">
        <f ca="1">VLOOKUP($F238,OFFSET(enemy_skill_triggers!$A$1,0,0,COUNTA(enemy_skill_triggers!$A:$A),MATCH(J$1,enemy_skill_triggers!$1:$1,0)-MATCH($F$1,enemy_skill_triggers!$1:$1,0)+1),MATCH(J$1,enemy_skill_triggers!$1:$1,0)-MATCH($F$1,enemy_skill_triggers!$1:$1,0)+1,FALSE)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8" s="42" t="str">
        <f ca="1">VLOOKUP($F238,OFFSET(enemy_skill_triggers!$A$1,0,0,COUNTA(enemy_skill_triggers!$A:$A),MATCH(K$1,enemy_skill_triggers!$1:$1,0)-MATCH($F$1,enemy_skill_triggers!$1:$1,0)+1),MATCH(K$1,enemy_skill_triggers!$1:$1,0)-MATCH($F$1,enemy_skill_triggers!$1:$1,0)+1,FALSE)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8" s="42">
        <f ca="1">VLOOKUP($F238,OFFSET(enemy_skill_triggers!$A$1,0,0,COUNTA(enemy_skill_triggers!$A:$A),MATCH(L$1,enemy_skill_triggers!$1:$1,0)-MATCH($F$1,enemy_skill_triggers!$1:$1,0)+1),MATCH(L$1,enemy_skill_triggers!$1:$1,0)-MATCH($F$1,enemy_skill_triggers!$1:$1,0)+1,FALSE)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8" s="42" t="str">
        <f ca="1">VLOOKUP($F238,OFFSET(enemy_skill_triggers!$A$1,0,0,COUNTA(enemy_skill_triggers!$A:$A),MATCH(M$1,enemy_skill_triggers!$1:$1,0)-MATCH($F$1,enemy_skill_triggers!$1:$1,0)+1),MATCH(M$1,enemy_skill_triggers!$1:$1,0)-MATCH($F$1,enemy_skill_triggers!$1:$1,0)+1,FALSE)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8" s="42">
        <f ca="1">VLOOKUP($F238,OFFSET(enemy_skill_triggers!$A$1,0,0,COUNTA(enemy_skill_triggers!$A:$A),MATCH(N$1,enemy_skill_triggers!$1:$1,0)-MATCH($F$1,enemy_skill_triggers!$1:$1,0)+1),MATCH(N$1,enemy_skill_triggers!$1:$1,0)-MATCH($F$1,enemy_skill_triggers!$1:$1,0)+1,FALSE)</f>
        <v>550</v>
      </c>
      <c r="O238" s="42">
        <f ca="1">VLOOKUP($F238,OFFSET(enemy_skill_triggers!$A$1,0,0,COUNTA(enemy_skill_triggers!$A:$A),MATCH(O$1,enemy_skill_triggers!$1:$1,0)-MATCH($F$1,enemy_skill_triggers!$1:$1,0)+1),MATCH(O$1,enemy_skill_triggers!$1:$1,0)-MATCH($F$1,enemy_skill_triggers!$1:$1,0)+1,FALSE)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8" s="41"/>
      <c r="Q238" s="41"/>
      <c r="R238" s="41" t="s">
        <v>337</v>
      </c>
    </row>
    <row r="239" spans="1:18" ht="21" customHeight="1" x14ac:dyDescent="0.15">
      <c r="A239" s="33" t="str">
        <f t="shared" si="14"/>
        <v>39008011_39008038</v>
      </c>
      <c r="B239" s="102">
        <v>39008011</v>
      </c>
      <c r="C239" s="119">
        <v>39008038</v>
      </c>
      <c r="D239" s="40" t="str">
        <f ca="1">VLOOKUP($C239,OFFSET(enemy_skills!$A$1,0,0,COUNTA(enemy_skills!$A:$A),MATCH(D$1,enemy_skills!$1:$1,0)-MATCH("enemy_skill_id",enemy_skills!$1:$1,0)+1),MATCH(D$1,enemy_skills!$1:$1,0)-MATCH("enemy_skill_id",enemy_skills!$1:$1,0)+1,FALSE)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39" s="40" t="str">
        <f ca="1">VLOOKUP($C239,OFFSET(enemy_skills!$A$1,0,0,COUNTA(enemy_skills!$A:$A),MATCH(E$1,enemy_skills!$1:$1,0)-MATCH("enemy_skill_id",enemy_skills!$1:$1,0)+1),MATCH(E$1,enemy_skills!$1:$1,0)-MATCH("enemy_skill_id",enemy_skills!$1:$1,0)+1,FALSE)</f>
        <v>そっか！めーちゃんが助けてくれたんだね！ありがとうっ！</v>
      </c>
      <c r="F239" s="122">
        <v>39008083</v>
      </c>
      <c r="G239" s="42">
        <f ca="1">VLOOKUP($F239,OFFSET(enemy_skill_triggers!$A$1,0,0,COUNTA(enemy_skill_triggers!$A:$A),MATCH(G$1,enemy_skill_triggers!$1:$1,0)-MATCH($F$1,enemy_skill_triggers!$1:$1,0)+1),MATCH(G$1,enemy_skill_triggers!$1:$1,0)-MATCH($F$1,enemy_skill_triggers!$1:$1,0)+1,FALSE)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9" s="42">
        <f ca="1">VLOOKUP($F239,OFFSET(enemy_skill_triggers!$A$1,0,0,COUNTA(enemy_skill_triggers!$A:$A),MATCH(H$1,enemy_skill_triggers!$1:$1,0)-MATCH($F$1,enemy_skill_triggers!$1:$1,0)+1),MATCH(H$1,enemy_skill_triggers!$1:$1,0)-MATCH($F$1,enemy_skill_triggers!$1:$1,0)+1,FALSE)</f>
        <v>948</v>
      </c>
      <c r="I239" s="42">
        <f ca="1">VLOOKUP($F239,OFFSET(enemy_skill_triggers!$A$1,0,0,COUNTA(enemy_skill_triggers!$A:$A),MATCH(I$1,enemy_skill_triggers!$1:$1,0)-MATCH($F$1,enemy_skill_triggers!$1:$1,0)+1),MATCH(I$1,enemy_skill_triggers!$1:$1,0)-MATCH($F$1,enemy_skill_triggers!$1:$1,0)+1,FALSE)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9" s="42" t="str">
        <f ca="1">VLOOKUP($F239,OFFSET(enemy_skill_triggers!$A$1,0,0,COUNTA(enemy_skill_triggers!$A:$A),MATCH(J$1,enemy_skill_triggers!$1:$1,0)-MATCH($F$1,enemy_skill_triggers!$1:$1,0)+1),MATCH(J$1,enemy_skill_triggers!$1:$1,0)-MATCH($F$1,enemy_skill_triggers!$1:$1,0)+1,FALSE)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9" s="42" t="str">
        <f ca="1">VLOOKUP($F239,OFFSET(enemy_skill_triggers!$A$1,0,0,COUNTA(enemy_skill_triggers!$A:$A),MATCH(K$1,enemy_skill_triggers!$1:$1,0)-MATCH($F$1,enemy_skill_triggers!$1:$1,0)+1),MATCH(K$1,enemy_skill_triggers!$1:$1,0)-MATCH($F$1,enemy_skill_triggers!$1:$1,0)+1,FALSE)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9" s="42">
        <f ca="1">VLOOKUP($F239,OFFSET(enemy_skill_triggers!$A$1,0,0,COUNTA(enemy_skill_triggers!$A:$A),MATCH(L$1,enemy_skill_triggers!$1:$1,0)-MATCH($F$1,enemy_skill_triggers!$1:$1,0)+1),MATCH(L$1,enemy_skill_triggers!$1:$1,0)-MATCH($F$1,enemy_skill_triggers!$1:$1,0)+1,FALSE)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9" s="42" t="str">
        <f ca="1">VLOOKUP($F239,OFFSET(enemy_skill_triggers!$A$1,0,0,COUNTA(enemy_skill_triggers!$A:$A),MATCH(M$1,enemy_skill_triggers!$1:$1,0)-MATCH($F$1,enemy_skill_triggers!$1:$1,0)+1),MATCH(M$1,enemy_skill_triggers!$1:$1,0)-MATCH($F$1,enemy_skill_triggers!$1:$1,0)+1,FALSE)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9" s="42">
        <f ca="1">VLOOKUP($F239,OFFSET(enemy_skill_triggers!$A$1,0,0,COUNTA(enemy_skill_triggers!$A:$A),MATCH(N$1,enemy_skill_triggers!$1:$1,0)-MATCH($F$1,enemy_skill_triggers!$1:$1,0)+1),MATCH(N$1,enemy_skill_triggers!$1:$1,0)-MATCH($F$1,enemy_skill_triggers!$1:$1,0)+1,FALSE)</f>
        <v>1314</v>
      </c>
      <c r="O239" s="42">
        <f ca="1">VLOOKUP($F239,OFFSET(enemy_skill_triggers!$A$1,0,0,COUNTA(enemy_skill_triggers!$A:$A),MATCH(O$1,enemy_skill_triggers!$1:$1,0)-MATCH($F$1,enemy_skill_triggers!$1:$1,0)+1),MATCH(O$1,enemy_skill_triggers!$1:$1,0)-MATCH($F$1,enemy_skill_triggers!$1:$1,0)+1,FALSE)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9" s="41"/>
      <c r="Q239" s="41"/>
      <c r="R239" s="41" t="s">
        <v>334</v>
      </c>
    </row>
    <row r="240" spans="1:18" ht="21" customHeight="1" x14ac:dyDescent="0.15">
      <c r="A240" s="33" t="str">
        <f t="shared" si="14"/>
        <v>39008011_39008037</v>
      </c>
      <c r="B240" s="102">
        <v>39008011</v>
      </c>
      <c r="C240" s="119">
        <v>39008037</v>
      </c>
      <c r="D240" s="40" t="str">
        <f ca="1">VLOOKUP($C240,OFFSET(enemy_skills!$A$1,0,0,COUNTA(enemy_skills!$A:$A),MATCH(D$1,enemy_skills!$1:$1,0)-MATCH("enemy_skill_id",enemy_skills!$1:$1,0)+1),MATCH(D$1,enemy_skills!$1:$1,0)-MATCH("enemy_skill_id",enemy_skills!$1:$1,0)+1,FALSE)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40" s="40" t="str">
        <f ca="1">VLOOKUP($C240,OFFSET(enemy_skills!$A$1,0,0,COUNTA(enemy_skills!$A:$A),MATCH(E$1,enemy_skills!$1:$1,0)-MATCH("enemy_skill_id",enemy_skills!$1:$1,0)+1),MATCH(E$1,enemy_skills!$1:$1,0)-MATCH("enemy_skill_id",enemy_skills!$1:$1,0)+1,FALSE)</f>
        <v>そっか！ルカねぇが助けてくれたんだね！ありがとうっ！</v>
      </c>
      <c r="F240" s="122">
        <v>39008084</v>
      </c>
      <c r="G240" s="42">
        <f ca="1">VLOOKUP($F240,OFFSET(enemy_skill_triggers!$A$1,0,0,COUNTA(enemy_skill_triggers!$A:$A),MATCH(G$1,enemy_skill_triggers!$1:$1,0)-MATCH($F$1,enemy_skill_triggers!$1:$1,0)+1),MATCH(G$1,enemy_skill_triggers!$1:$1,0)-MATCH($F$1,enemy_skill_triggers!$1:$1,0)+1,FALSE)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0" s="42">
        <f ca="1">VLOOKUP($F240,OFFSET(enemy_skill_triggers!$A$1,0,0,COUNTA(enemy_skill_triggers!$A:$A),MATCH(H$1,enemy_skill_triggers!$1:$1,0)-MATCH($F$1,enemy_skill_triggers!$1:$1,0)+1),MATCH(H$1,enemy_skill_triggers!$1:$1,0)-MATCH($F$1,enemy_skill_triggers!$1:$1,0)+1,FALSE)</f>
        <v>947</v>
      </c>
      <c r="I240" s="42">
        <f ca="1">VLOOKUP($F240,OFFSET(enemy_skill_triggers!$A$1,0,0,COUNTA(enemy_skill_triggers!$A:$A),MATCH(I$1,enemy_skill_triggers!$1:$1,0)-MATCH($F$1,enemy_skill_triggers!$1:$1,0)+1),MATCH(I$1,enemy_skill_triggers!$1:$1,0)-MATCH($F$1,enemy_skill_triggers!$1:$1,0)+1,FALSE)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0" s="42" t="str">
        <f ca="1">VLOOKUP($F240,OFFSET(enemy_skill_triggers!$A$1,0,0,COUNTA(enemy_skill_triggers!$A:$A),MATCH(J$1,enemy_skill_triggers!$1:$1,0)-MATCH($F$1,enemy_skill_triggers!$1:$1,0)+1),MATCH(J$1,enemy_skill_triggers!$1:$1,0)-MATCH($F$1,enemy_skill_triggers!$1:$1,0)+1,FALSE)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0" s="42" t="str">
        <f ca="1">VLOOKUP($F240,OFFSET(enemy_skill_triggers!$A$1,0,0,COUNTA(enemy_skill_triggers!$A:$A),MATCH(K$1,enemy_skill_triggers!$1:$1,0)-MATCH($F$1,enemy_skill_triggers!$1:$1,0)+1),MATCH(K$1,enemy_skill_triggers!$1:$1,0)-MATCH($F$1,enemy_skill_triggers!$1:$1,0)+1,FALSE)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0" s="42">
        <f ca="1">VLOOKUP($F240,OFFSET(enemy_skill_triggers!$A$1,0,0,COUNTA(enemy_skill_triggers!$A:$A),MATCH(L$1,enemy_skill_triggers!$1:$1,0)-MATCH($F$1,enemy_skill_triggers!$1:$1,0)+1),MATCH(L$1,enemy_skill_triggers!$1:$1,0)-MATCH($F$1,enemy_skill_triggers!$1:$1,0)+1,FALSE)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0" s="42" t="str">
        <f ca="1">VLOOKUP($F240,OFFSET(enemy_skill_triggers!$A$1,0,0,COUNTA(enemy_skill_triggers!$A:$A),MATCH(M$1,enemy_skill_triggers!$1:$1,0)-MATCH($F$1,enemy_skill_triggers!$1:$1,0)+1),MATCH(M$1,enemy_skill_triggers!$1:$1,0)-MATCH($F$1,enemy_skill_triggers!$1:$1,0)+1,FALSE)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0" s="42">
        <f ca="1">VLOOKUP($F240,OFFSET(enemy_skill_triggers!$A$1,0,0,COUNTA(enemy_skill_triggers!$A:$A),MATCH(N$1,enemy_skill_triggers!$1:$1,0)-MATCH($F$1,enemy_skill_triggers!$1:$1,0)+1),MATCH(N$1,enemy_skill_triggers!$1:$1,0)-MATCH($F$1,enemy_skill_triggers!$1:$1,0)+1,FALSE)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240" s="42">
        <f ca="1">VLOOKUP($F240,OFFSET(enemy_skill_triggers!$A$1,0,0,COUNTA(enemy_skill_triggers!$A:$A),MATCH(O$1,enemy_skill_triggers!$1:$1,0)-MATCH($F$1,enemy_skill_triggers!$1:$1,0)+1),MATCH(O$1,enemy_skill_triggers!$1:$1,0)-MATCH($F$1,enemy_skill_triggers!$1:$1,0)+1,FALSE)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0" s="41"/>
      <c r="Q240" s="41"/>
      <c r="R240" s="41" t="s">
        <v>338</v>
      </c>
    </row>
    <row r="241" spans="1:18" ht="21" customHeight="1" x14ac:dyDescent="0.15">
      <c r="A241" s="33" t="str">
        <f t="shared" si="14"/>
        <v>39008011_39008037</v>
      </c>
      <c r="B241" s="102">
        <v>39008011</v>
      </c>
      <c r="C241" s="119">
        <v>39008037</v>
      </c>
      <c r="D241" s="40" t="str">
        <f ca="1">VLOOKUP($C241,OFFSET(enemy_skills!$A$1,0,0,COUNTA(enemy_skills!$A:$A),MATCH(D$1,enemy_skills!$1:$1,0)-MATCH("enemy_skill_id",enemy_skills!$1:$1,0)+1),MATCH(D$1,enemy_skills!$1:$1,0)-MATCH("enemy_skill_id",enemy_skills!$1:$1,0)+1,FALSE)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41" s="40" t="str">
        <f ca="1">VLOOKUP($C241,OFFSET(enemy_skills!$A$1,0,0,COUNTA(enemy_skills!$A:$A),MATCH(E$1,enemy_skills!$1:$1,0)-MATCH("enemy_skill_id",enemy_skills!$1:$1,0)+1),MATCH(E$1,enemy_skills!$1:$1,0)-MATCH("enemy_skill_id",enemy_skills!$1:$1,0)+1,FALSE)</f>
        <v>そっか！ルカねぇが助けてくれたんだね！ありがとうっ！</v>
      </c>
      <c r="F241" s="122">
        <v>39008085</v>
      </c>
      <c r="G241" s="42">
        <f ca="1">VLOOKUP($F241,OFFSET(enemy_skill_triggers!$A$1,0,0,COUNTA(enemy_skill_triggers!$A:$A),MATCH(G$1,enemy_skill_triggers!$1:$1,0)-MATCH($F$1,enemy_skill_triggers!$1:$1,0)+1),MATCH(G$1,enemy_skill_triggers!$1:$1,0)-MATCH($F$1,enemy_skill_triggers!$1:$1,0)+1,FALSE)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1" s="42">
        <f ca="1">VLOOKUP($F241,OFFSET(enemy_skill_triggers!$A$1,0,0,COUNTA(enemy_skill_triggers!$A:$A),MATCH(H$1,enemy_skill_triggers!$1:$1,0)-MATCH($F$1,enemy_skill_triggers!$1:$1,0)+1),MATCH(H$1,enemy_skill_triggers!$1:$1,0)-MATCH($F$1,enemy_skill_triggers!$1:$1,0)+1,FALSE)</f>
        <v>946</v>
      </c>
      <c r="I241" s="42">
        <f ca="1">VLOOKUP($F241,OFFSET(enemy_skill_triggers!$A$1,0,0,COUNTA(enemy_skill_triggers!$A:$A),MATCH(I$1,enemy_skill_triggers!$1:$1,0)-MATCH($F$1,enemy_skill_triggers!$1:$1,0)+1),MATCH(I$1,enemy_skill_triggers!$1:$1,0)-MATCH($F$1,enemy_skill_triggers!$1:$1,0)+1,FALSE)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1" s="42" t="str">
        <f ca="1">VLOOKUP($F241,OFFSET(enemy_skill_triggers!$A$1,0,0,COUNTA(enemy_skill_triggers!$A:$A),MATCH(J$1,enemy_skill_triggers!$1:$1,0)-MATCH($F$1,enemy_skill_triggers!$1:$1,0)+1),MATCH(J$1,enemy_skill_triggers!$1:$1,0)-MATCH($F$1,enemy_skill_triggers!$1:$1,0)+1,FALSE)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1" s="42" t="str">
        <f ca="1">VLOOKUP($F241,OFFSET(enemy_skill_triggers!$A$1,0,0,COUNTA(enemy_skill_triggers!$A:$A),MATCH(K$1,enemy_skill_triggers!$1:$1,0)-MATCH($F$1,enemy_skill_triggers!$1:$1,0)+1),MATCH(K$1,enemy_skill_triggers!$1:$1,0)-MATCH($F$1,enemy_skill_triggers!$1:$1,0)+1,FALSE)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1" s="42">
        <f ca="1">VLOOKUP($F241,OFFSET(enemy_skill_triggers!$A$1,0,0,COUNTA(enemy_skill_triggers!$A:$A),MATCH(L$1,enemy_skill_triggers!$1:$1,0)-MATCH($F$1,enemy_skill_triggers!$1:$1,0)+1),MATCH(L$1,enemy_skill_triggers!$1:$1,0)-MATCH($F$1,enemy_skill_triggers!$1:$1,0)+1,FALSE)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1" s="42" t="str">
        <f ca="1">VLOOKUP($F241,OFFSET(enemy_skill_triggers!$A$1,0,0,COUNTA(enemy_skill_triggers!$A:$A),MATCH(M$1,enemy_skill_triggers!$1:$1,0)-MATCH($F$1,enemy_skill_triggers!$1:$1,0)+1),MATCH(M$1,enemy_skill_triggers!$1:$1,0)-MATCH($F$1,enemy_skill_triggers!$1:$1,0)+1,FALSE)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1" s="42">
        <f ca="1">VLOOKUP($F241,OFFSET(enemy_skill_triggers!$A$1,0,0,COUNTA(enemy_skill_triggers!$A:$A),MATCH(N$1,enemy_skill_triggers!$1:$1,0)-MATCH($F$1,enemy_skill_triggers!$1:$1,0)+1),MATCH(N$1,enemy_skill_triggers!$1:$1,0)-MATCH($F$1,enemy_skill_triggers!$1:$1,0)+1,FALSE)</f>
        <v>1323</v>
      </c>
      <c r="O241" s="42">
        <f ca="1">VLOOKUP($F241,OFFSET(enemy_skill_triggers!$A$1,0,0,COUNTA(enemy_skill_triggers!$A:$A),MATCH(O$1,enemy_skill_triggers!$1:$1,0)-MATCH($F$1,enemy_skill_triggers!$1:$1,0)+1),MATCH(O$1,enemy_skill_triggers!$1:$1,0)-MATCH($F$1,enemy_skill_triggers!$1:$1,0)+1,FALSE)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1" s="41"/>
      <c r="Q241" s="41"/>
      <c r="R241" s="41" t="s">
        <v>339</v>
      </c>
    </row>
    <row r="242" spans="1:18" ht="21" customHeight="1" x14ac:dyDescent="0.15">
      <c r="A242" s="33" t="str">
        <f t="shared" si="14"/>
        <v>39008011_39008033</v>
      </c>
      <c r="B242" s="102">
        <v>39008011</v>
      </c>
      <c r="C242" s="119">
        <v>39008033</v>
      </c>
      <c r="D242" s="40" t="str">
        <f ca="1">VLOOKUP($C242,OFFSET(enemy_skills!$A$1,0,0,COUNTA(enemy_skills!$A:$A),MATCH(D$1,enemy_skills!$1:$1,0)-MATCH("enemy_skill_id",enemy_skills!$1:$1,0)+1),MATCH(D$1,enemy_skills!$1:$1,0)-MATCH("enemy_skill_id",enemy_skills!$1:$1,0)+1,FALSE)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42" s="40" t="str">
        <f ca="1">VLOOKUP($C242,OFFSET(enemy_skills!$A$1,0,0,COUNTA(enemy_skills!$A:$A),MATCH(E$1,enemy_skills!$1:$1,0)-MATCH("enemy_skill_id",enemy_skills!$1:$1,0)+1),MATCH(E$1,enemy_skills!$1:$1,0)-MATCH("enemy_skill_id",enemy_skills!$1:$1,0)+1,FALSE)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42" s="122">
        <v>39008086</v>
      </c>
      <c r="G242" s="42">
        <f ca="1">VLOOKUP($F242,OFFSET(enemy_skill_triggers!$A$1,0,0,COUNTA(enemy_skill_triggers!$A:$A),MATCH(G$1,enemy_skill_triggers!$1:$1,0)-MATCH($F$1,enemy_skill_triggers!$1:$1,0)+1),MATCH(G$1,enemy_skill_triggers!$1:$1,0)-MATCH($F$1,enemy_skill_triggers!$1:$1,0)+1,FALSE)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2" s="42">
        <f ca="1">VLOOKUP($F242,OFFSET(enemy_skill_triggers!$A$1,0,0,COUNTA(enemy_skill_triggers!$A:$A),MATCH(H$1,enemy_skill_triggers!$1:$1,0)-MATCH($F$1,enemy_skill_triggers!$1:$1,0)+1),MATCH(H$1,enemy_skill_triggers!$1:$1,0)-MATCH($F$1,enemy_skill_triggers!$1:$1,0)+1,FALSE)</f>
        <v>945</v>
      </c>
      <c r="I242" s="42">
        <f ca="1">VLOOKUP($F242,OFFSET(enemy_skill_triggers!$A$1,0,0,COUNTA(enemy_skill_triggers!$A:$A),MATCH(I$1,enemy_skill_triggers!$1:$1,0)-MATCH($F$1,enemy_skill_triggers!$1:$1,0)+1),MATCH(I$1,enemy_skill_triggers!$1:$1,0)-MATCH($F$1,enemy_skill_triggers!$1:$1,0)+1,FALSE)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2" s="42" t="str">
        <f ca="1">VLOOKUP($F242,OFFSET(enemy_skill_triggers!$A$1,0,0,COUNTA(enemy_skill_triggers!$A:$A),MATCH(J$1,enemy_skill_triggers!$1:$1,0)-MATCH($F$1,enemy_skill_triggers!$1:$1,0)+1),MATCH(J$1,enemy_skill_triggers!$1:$1,0)-MATCH($F$1,enemy_skill_triggers!$1:$1,0)+1,FALSE)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2" s="42" t="str">
        <f ca="1">VLOOKUP($F242,OFFSET(enemy_skill_triggers!$A$1,0,0,COUNTA(enemy_skill_triggers!$A:$A),MATCH(K$1,enemy_skill_triggers!$1:$1,0)-MATCH($F$1,enemy_skill_triggers!$1:$1,0)+1),MATCH(K$1,enemy_skill_triggers!$1:$1,0)-MATCH($F$1,enemy_skill_triggers!$1:$1,0)+1,FALSE)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2" s="42">
        <f ca="1">VLOOKUP($F242,OFFSET(enemy_skill_triggers!$A$1,0,0,COUNTA(enemy_skill_triggers!$A:$A),MATCH(L$1,enemy_skill_triggers!$1:$1,0)-MATCH($F$1,enemy_skill_triggers!$1:$1,0)+1),MATCH(L$1,enemy_skill_triggers!$1:$1,0)-MATCH($F$1,enemy_skill_triggers!$1:$1,0)+1,FALSE)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2" s="42" t="str">
        <f ca="1">VLOOKUP($F242,OFFSET(enemy_skill_triggers!$A$1,0,0,COUNTA(enemy_skill_triggers!$A:$A),MATCH(M$1,enemy_skill_triggers!$1:$1,0)-MATCH($F$1,enemy_skill_triggers!$1:$1,0)+1),MATCH(M$1,enemy_skill_triggers!$1:$1,0)-MATCH($F$1,enemy_skill_triggers!$1:$1,0)+1,FALSE)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2" s="42">
        <f ca="1">VLOOKUP($F242,OFFSET(enemy_skill_triggers!$A$1,0,0,COUNTA(enemy_skill_triggers!$A:$A),MATCH(N$1,enemy_skill_triggers!$1:$1,0)-MATCH($F$1,enemy_skill_triggers!$1:$1,0)+1),MATCH(N$1,enemy_skill_triggers!$1:$1,0)-MATCH($F$1,enemy_skill_triggers!$1:$1,0)+1,FALSE)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242" s="42">
        <f ca="1">VLOOKUP($F242,OFFSET(enemy_skill_triggers!$A$1,0,0,COUNTA(enemy_skill_triggers!$A:$A),MATCH(O$1,enemy_skill_triggers!$1:$1,0)-MATCH($F$1,enemy_skill_triggers!$1:$1,0)+1),MATCH(O$1,enemy_skill_triggers!$1:$1,0)-MATCH($F$1,enemy_skill_triggers!$1:$1,0)+1,FALSE)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2" s="41"/>
      <c r="Q242" s="41"/>
      <c r="R242" s="41" t="s">
        <v>340</v>
      </c>
    </row>
    <row r="243" spans="1:18" ht="21" customHeight="1" x14ac:dyDescent="0.15">
      <c r="A243" s="33" t="str">
        <f t="shared" si="14"/>
        <v>39008011_39008033</v>
      </c>
      <c r="B243" s="102">
        <v>39008011</v>
      </c>
      <c r="C243" s="119">
        <v>39008033</v>
      </c>
      <c r="D243" s="40" t="str">
        <f ca="1">VLOOKUP($C243,OFFSET(enemy_skills!$A$1,0,0,COUNTA(enemy_skills!$A:$A),MATCH(D$1,enemy_skills!$1:$1,0)-MATCH("enemy_skill_id",enemy_skills!$1:$1,0)+1),MATCH(D$1,enemy_skills!$1:$1,0)-MATCH("enemy_skill_id",enemy_skills!$1:$1,0)+1,FALSE)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43" s="40" t="str">
        <f ca="1">VLOOKUP($C243,OFFSET(enemy_skills!$A$1,0,0,COUNTA(enemy_skills!$A:$A),MATCH(E$1,enemy_skills!$1:$1,0)-MATCH("enemy_skill_id",enemy_skills!$1:$1,0)+1),MATCH(E$1,enemy_skills!$1:$1,0)-MATCH("enemy_skill_id",enemy_skills!$1:$1,0)+1,FALSE)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43" s="122">
        <v>39008087</v>
      </c>
      <c r="G243" s="42">
        <f ca="1">VLOOKUP($F243,OFFSET(enemy_skill_triggers!$A$1,0,0,COUNTA(enemy_skill_triggers!$A:$A),MATCH(G$1,enemy_skill_triggers!$1:$1,0)-MATCH($F$1,enemy_skill_triggers!$1:$1,0)+1),MATCH(G$1,enemy_skill_triggers!$1:$1,0)-MATCH($F$1,enemy_skill_triggers!$1:$1,0)+1,FALSE)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3" s="42">
        <f ca="1">VLOOKUP($F243,OFFSET(enemy_skill_triggers!$A$1,0,0,COUNTA(enemy_skill_triggers!$A:$A),MATCH(H$1,enemy_skill_triggers!$1:$1,0)-MATCH($F$1,enemy_skill_triggers!$1:$1,0)+1),MATCH(H$1,enemy_skill_triggers!$1:$1,0)-MATCH($F$1,enemy_skill_triggers!$1:$1,0)+1,FALSE)</f>
        <v>944</v>
      </c>
      <c r="I243" s="42">
        <f ca="1">VLOOKUP($F243,OFFSET(enemy_skill_triggers!$A$1,0,0,COUNTA(enemy_skill_triggers!$A:$A),MATCH(I$1,enemy_skill_triggers!$1:$1,0)-MATCH($F$1,enemy_skill_triggers!$1:$1,0)+1),MATCH(I$1,enemy_skill_triggers!$1:$1,0)-MATCH($F$1,enemy_skill_triggers!$1:$1,0)+1,FALSE)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3" s="42" t="str">
        <f ca="1">VLOOKUP($F243,OFFSET(enemy_skill_triggers!$A$1,0,0,COUNTA(enemy_skill_triggers!$A:$A),MATCH(J$1,enemy_skill_triggers!$1:$1,0)-MATCH($F$1,enemy_skill_triggers!$1:$1,0)+1),MATCH(J$1,enemy_skill_triggers!$1:$1,0)-MATCH($F$1,enemy_skill_triggers!$1:$1,0)+1,FALSE)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3" s="42" t="str">
        <f ca="1">VLOOKUP($F243,OFFSET(enemy_skill_triggers!$A$1,0,0,COUNTA(enemy_skill_triggers!$A:$A),MATCH(K$1,enemy_skill_triggers!$1:$1,0)-MATCH($F$1,enemy_skill_triggers!$1:$1,0)+1),MATCH(K$1,enemy_skill_triggers!$1:$1,0)-MATCH($F$1,enemy_skill_triggers!$1:$1,0)+1,FALSE)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3" s="42">
        <f ca="1">VLOOKUP($F243,OFFSET(enemy_skill_triggers!$A$1,0,0,COUNTA(enemy_skill_triggers!$A:$A),MATCH(L$1,enemy_skill_triggers!$1:$1,0)-MATCH($F$1,enemy_skill_triggers!$1:$1,0)+1),MATCH(L$1,enemy_skill_triggers!$1:$1,0)-MATCH($F$1,enemy_skill_triggers!$1:$1,0)+1,FALSE)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3" s="42" t="str">
        <f ca="1">VLOOKUP($F243,OFFSET(enemy_skill_triggers!$A$1,0,0,COUNTA(enemy_skill_triggers!$A:$A),MATCH(M$1,enemy_skill_triggers!$1:$1,0)-MATCH($F$1,enemy_skill_triggers!$1:$1,0)+1),MATCH(M$1,enemy_skill_triggers!$1:$1,0)-MATCH($F$1,enemy_skill_triggers!$1:$1,0)+1,FALSE)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3" s="42">
        <f ca="1">VLOOKUP($F243,OFFSET(enemy_skill_triggers!$A$1,0,0,COUNTA(enemy_skill_triggers!$A:$A),MATCH(N$1,enemy_skill_triggers!$1:$1,0)-MATCH($F$1,enemy_skill_triggers!$1:$1,0)+1),MATCH(N$1,enemy_skill_triggers!$1:$1,0)-MATCH($F$1,enemy_skill_triggers!$1:$1,0)+1,FALSE)</f>
        <v>540</v>
      </c>
      <c r="O243" s="42">
        <f ca="1">VLOOKUP($F243,OFFSET(enemy_skill_triggers!$A$1,0,0,COUNTA(enemy_skill_triggers!$A:$A),MATCH(O$1,enemy_skill_triggers!$1:$1,0)-MATCH($F$1,enemy_skill_triggers!$1:$1,0)+1),MATCH(O$1,enemy_skill_triggers!$1:$1,0)-MATCH($F$1,enemy_skill_triggers!$1:$1,0)+1,FALSE)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3" s="41"/>
      <c r="Q243" s="41"/>
      <c r="R243" s="41" t="s">
        <v>340</v>
      </c>
    </row>
    <row r="244" spans="1:18" ht="21" customHeight="1" x14ac:dyDescent="0.15">
      <c r="A244" s="33" t="str">
        <f t="shared" si="14"/>
        <v>39008011_39008033</v>
      </c>
      <c r="B244" s="102">
        <v>39008011</v>
      </c>
      <c r="C244" s="119">
        <v>39008033</v>
      </c>
      <c r="D244" s="40" t="str">
        <f ca="1">VLOOKUP($C244,OFFSET(enemy_skills!$A$1,0,0,COUNTA(enemy_skills!$A:$A),MATCH(D$1,enemy_skills!$1:$1,0)-MATCH("enemy_skill_id",enemy_skills!$1:$1,0)+1),MATCH(D$1,enemy_skills!$1:$1,0)-MATCH("enemy_skill_id",enemy_skills!$1:$1,0)+1,FALSE)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44" s="40" t="str">
        <f ca="1">VLOOKUP($C244,OFFSET(enemy_skills!$A$1,0,0,COUNTA(enemy_skills!$A:$A),MATCH(E$1,enemy_skills!$1:$1,0)-MATCH("enemy_skill_id",enemy_skills!$1:$1,0)+1),MATCH(E$1,enemy_skills!$1:$1,0)-MATCH("enemy_skill_id",enemy_skills!$1:$1,0)+1,FALSE)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44" s="122">
        <v>39008088</v>
      </c>
      <c r="G244" s="42">
        <f ca="1">VLOOKUP($F244,OFFSET(enemy_skill_triggers!$A$1,0,0,COUNTA(enemy_skill_triggers!$A:$A),MATCH(G$1,enemy_skill_triggers!$1:$1,0)-MATCH($F$1,enemy_skill_triggers!$1:$1,0)+1),MATCH(G$1,enemy_skill_triggers!$1:$1,0)-MATCH($F$1,enemy_skill_triggers!$1:$1,0)+1,FALSE)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4" s="42">
        <f ca="1">VLOOKUP($F244,OFFSET(enemy_skill_triggers!$A$1,0,0,COUNTA(enemy_skill_triggers!$A:$A),MATCH(H$1,enemy_skill_triggers!$1:$1,0)-MATCH($F$1,enemy_skill_triggers!$1:$1,0)+1),MATCH(H$1,enemy_skill_triggers!$1:$1,0)-MATCH($F$1,enemy_skill_triggers!$1:$1,0)+1,FALSE)</f>
        <v>943</v>
      </c>
      <c r="I244" s="42">
        <f ca="1">VLOOKUP($F244,OFFSET(enemy_skill_triggers!$A$1,0,0,COUNTA(enemy_skill_triggers!$A:$A),MATCH(I$1,enemy_skill_triggers!$1:$1,0)-MATCH($F$1,enemy_skill_triggers!$1:$1,0)+1),MATCH(I$1,enemy_skill_triggers!$1:$1,0)-MATCH($F$1,enemy_skill_triggers!$1:$1,0)+1,FALSE)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4" s="42" t="str">
        <f ca="1">VLOOKUP($F244,OFFSET(enemy_skill_triggers!$A$1,0,0,COUNTA(enemy_skill_triggers!$A:$A),MATCH(J$1,enemy_skill_triggers!$1:$1,0)-MATCH($F$1,enemy_skill_triggers!$1:$1,0)+1),MATCH(J$1,enemy_skill_triggers!$1:$1,0)-MATCH($F$1,enemy_skill_triggers!$1:$1,0)+1,FALSE)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4" s="42" t="str">
        <f ca="1">VLOOKUP($F244,OFFSET(enemy_skill_triggers!$A$1,0,0,COUNTA(enemy_skill_triggers!$A:$A),MATCH(K$1,enemy_skill_triggers!$1:$1,0)-MATCH($F$1,enemy_skill_triggers!$1:$1,0)+1),MATCH(K$1,enemy_skill_triggers!$1:$1,0)-MATCH($F$1,enemy_skill_triggers!$1:$1,0)+1,FALSE)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4" s="42">
        <f ca="1">VLOOKUP($F244,OFFSET(enemy_skill_triggers!$A$1,0,0,COUNTA(enemy_skill_triggers!$A:$A),MATCH(L$1,enemy_skill_triggers!$1:$1,0)-MATCH($F$1,enemy_skill_triggers!$1:$1,0)+1),MATCH(L$1,enemy_skill_triggers!$1:$1,0)-MATCH($F$1,enemy_skill_triggers!$1:$1,0)+1,FALSE)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4" s="42" t="str">
        <f ca="1">VLOOKUP($F244,OFFSET(enemy_skill_triggers!$A$1,0,0,COUNTA(enemy_skill_triggers!$A:$A),MATCH(M$1,enemy_skill_triggers!$1:$1,0)-MATCH($F$1,enemy_skill_triggers!$1:$1,0)+1),MATCH(M$1,enemy_skill_triggers!$1:$1,0)-MATCH($F$1,enemy_skill_triggers!$1:$1,0)+1,FALSE)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4" s="42">
        <f ca="1">VLOOKUP($F244,OFFSET(enemy_skill_triggers!$A$1,0,0,COUNTA(enemy_skill_triggers!$A:$A),MATCH(N$1,enemy_skill_triggers!$1:$1,0)-MATCH($F$1,enemy_skill_triggers!$1:$1,0)+1),MATCH(N$1,enemy_skill_triggers!$1:$1,0)-MATCH($F$1,enemy_skill_triggers!$1:$1,0)+1,FALSE)</f>
        <v>1309</v>
      </c>
      <c r="O244" s="42">
        <f ca="1">VLOOKUP($F244,OFFSET(enemy_skill_triggers!$A$1,0,0,COUNTA(enemy_skill_triggers!$A:$A),MATCH(O$1,enemy_skill_triggers!$1:$1,0)-MATCH($F$1,enemy_skill_triggers!$1:$1,0)+1),MATCH(O$1,enemy_skill_triggers!$1:$1,0)-MATCH($F$1,enemy_skill_triggers!$1:$1,0)+1,FALSE)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4" s="41"/>
      <c r="Q244" s="41"/>
      <c r="R244" s="41" t="s">
        <v>340</v>
      </c>
    </row>
    <row r="245" spans="1:18" ht="21" customHeight="1" x14ac:dyDescent="0.15">
      <c r="A245" s="33" t="str">
        <f t="shared" si="14"/>
        <v>39008011_39008033</v>
      </c>
      <c r="B245" s="102">
        <v>39008011</v>
      </c>
      <c r="C245" s="119">
        <v>39008033</v>
      </c>
      <c r="D245" s="40" t="str">
        <f ca="1">VLOOKUP($C245,OFFSET(enemy_skills!$A$1,0,0,COUNTA(enemy_skills!$A:$A),MATCH(D$1,enemy_skills!$1:$1,0)-MATCH("enemy_skill_id",enemy_skills!$1:$1,0)+1),MATCH(D$1,enemy_skills!$1:$1,0)-MATCH("enemy_skill_id",enemy_skills!$1:$1,0)+1,FALSE)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45" s="40" t="str">
        <f ca="1">VLOOKUP($C245,OFFSET(enemy_skills!$A$1,0,0,COUNTA(enemy_skills!$A:$A),MATCH(E$1,enemy_skills!$1:$1,0)-MATCH("enemy_skill_id",enemy_skills!$1:$1,0)+1),MATCH(E$1,enemy_skills!$1:$1,0)-MATCH("enemy_skill_id",enemy_skills!$1:$1,0)+1,FALSE)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45" s="122">
        <v>39008089</v>
      </c>
      <c r="G245" s="42">
        <f ca="1">VLOOKUP($F245,OFFSET(enemy_skill_triggers!$A$1,0,0,COUNTA(enemy_skill_triggers!$A:$A),MATCH(G$1,enemy_skill_triggers!$1:$1,0)-MATCH($F$1,enemy_skill_triggers!$1:$1,0)+1),MATCH(G$1,enemy_skill_triggers!$1:$1,0)-MATCH($F$1,enemy_skill_triggers!$1:$1,0)+1,FALSE)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5" s="42">
        <f ca="1">VLOOKUP($F245,OFFSET(enemy_skill_triggers!$A$1,0,0,COUNTA(enemy_skill_triggers!$A:$A),MATCH(H$1,enemy_skill_triggers!$1:$1,0)-MATCH($F$1,enemy_skill_triggers!$1:$1,0)+1),MATCH(H$1,enemy_skill_triggers!$1:$1,0)-MATCH($F$1,enemy_skill_triggers!$1:$1,0)+1,FALSE)</f>
        <v>942</v>
      </c>
      <c r="I245" s="42">
        <f ca="1">VLOOKUP($F245,OFFSET(enemy_skill_triggers!$A$1,0,0,COUNTA(enemy_skill_triggers!$A:$A),MATCH(I$1,enemy_skill_triggers!$1:$1,0)-MATCH($F$1,enemy_skill_triggers!$1:$1,0)+1),MATCH(I$1,enemy_skill_triggers!$1:$1,0)-MATCH($F$1,enemy_skill_triggers!$1:$1,0)+1,FALSE)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5" s="42" t="str">
        <f ca="1">VLOOKUP($F245,OFFSET(enemy_skill_triggers!$A$1,0,0,COUNTA(enemy_skill_triggers!$A:$A),MATCH(J$1,enemy_skill_triggers!$1:$1,0)-MATCH($F$1,enemy_skill_triggers!$1:$1,0)+1),MATCH(J$1,enemy_skill_triggers!$1:$1,0)-MATCH($F$1,enemy_skill_triggers!$1:$1,0)+1,FALSE)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5" s="42" t="str">
        <f ca="1">VLOOKUP($F245,OFFSET(enemy_skill_triggers!$A$1,0,0,COUNTA(enemy_skill_triggers!$A:$A),MATCH(K$1,enemy_skill_triggers!$1:$1,0)-MATCH($F$1,enemy_skill_triggers!$1:$1,0)+1),MATCH(K$1,enemy_skill_triggers!$1:$1,0)-MATCH($F$1,enemy_skill_triggers!$1:$1,0)+1,FALSE)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5" s="42">
        <f ca="1">VLOOKUP($F245,OFFSET(enemy_skill_triggers!$A$1,0,0,COUNTA(enemy_skill_triggers!$A:$A),MATCH(L$1,enemy_skill_triggers!$1:$1,0)-MATCH($F$1,enemy_skill_triggers!$1:$1,0)+1),MATCH(L$1,enemy_skill_triggers!$1:$1,0)-MATCH($F$1,enemy_skill_triggers!$1:$1,0)+1,FALSE)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5" s="42" t="str">
        <f ca="1">VLOOKUP($F245,OFFSET(enemy_skill_triggers!$A$1,0,0,COUNTA(enemy_skill_triggers!$A:$A),MATCH(M$1,enemy_skill_triggers!$1:$1,0)-MATCH($F$1,enemy_skill_triggers!$1:$1,0)+1),MATCH(M$1,enemy_skill_triggers!$1:$1,0)-MATCH($F$1,enemy_skill_triggers!$1:$1,0)+1,FALSE)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5" s="42">
        <f ca="1">VLOOKUP($F245,OFFSET(enemy_skill_triggers!$A$1,0,0,COUNTA(enemy_skill_triggers!$A:$A),MATCH(N$1,enemy_skill_triggers!$1:$1,0)-MATCH($F$1,enemy_skill_triggers!$1:$1,0)+1),MATCH(N$1,enemy_skill_triggers!$1:$1,0)-MATCH($F$1,enemy_skill_triggers!$1:$1,0)+1,FALSE)</f>
        <v>1310</v>
      </c>
      <c r="O245" s="42">
        <f ca="1">VLOOKUP($F245,OFFSET(enemy_skill_triggers!$A$1,0,0,COUNTA(enemy_skill_triggers!$A:$A),MATCH(O$1,enemy_skill_triggers!$1:$1,0)-MATCH($F$1,enemy_skill_triggers!$1:$1,0)+1),MATCH(O$1,enemy_skill_triggers!$1:$1,0)-MATCH($F$1,enemy_skill_triggers!$1:$1,0)+1,FALSE)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5" s="41"/>
      <c r="Q245" s="41"/>
      <c r="R245" s="41" t="s">
        <v>340</v>
      </c>
    </row>
    <row r="246" spans="1:18" ht="21" customHeight="1" x14ac:dyDescent="0.15">
      <c r="A246" s="33" t="str">
        <f t="shared" si="14"/>
        <v>39008011_39008033</v>
      </c>
      <c r="B246" s="102">
        <v>39008011</v>
      </c>
      <c r="C246" s="119">
        <v>39008033</v>
      </c>
      <c r="D246" s="40" t="str">
        <f ca="1">VLOOKUP($C246,OFFSET(enemy_skills!$A$1,0,0,COUNTA(enemy_skills!$A:$A),MATCH(D$1,enemy_skills!$1:$1,0)-MATCH("enemy_skill_id",enemy_skills!$1:$1,0)+1),MATCH(D$1,enemy_skills!$1:$1,0)-MATCH("enemy_skill_id",enemy_skills!$1:$1,0)+1,FALSE)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46" s="40" t="str">
        <f ca="1">VLOOKUP($C246,OFFSET(enemy_skills!$A$1,0,0,COUNTA(enemy_skills!$A:$A),MATCH(E$1,enemy_skills!$1:$1,0)-MATCH("enemy_skill_id",enemy_skills!$1:$1,0)+1),MATCH(E$1,enemy_skills!$1:$1,0)-MATCH("enemy_skill_id",enemy_skills!$1:$1,0)+1,FALSE)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46" s="122">
        <v>39008090</v>
      </c>
      <c r="G246" s="42">
        <f ca="1">VLOOKUP($F246,OFFSET(enemy_skill_triggers!$A$1,0,0,COUNTA(enemy_skill_triggers!$A:$A),MATCH(G$1,enemy_skill_triggers!$1:$1,0)-MATCH($F$1,enemy_skill_triggers!$1:$1,0)+1),MATCH(G$1,enemy_skill_triggers!$1:$1,0)-MATCH($F$1,enemy_skill_triggers!$1:$1,0)+1,FALSE)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6" s="42">
        <f ca="1">VLOOKUP($F246,OFFSET(enemy_skill_triggers!$A$1,0,0,COUNTA(enemy_skill_triggers!$A:$A),MATCH(H$1,enemy_skill_triggers!$1:$1,0)-MATCH($F$1,enemy_skill_triggers!$1:$1,0)+1),MATCH(H$1,enemy_skill_triggers!$1:$1,0)-MATCH($F$1,enemy_skill_triggers!$1:$1,0)+1,FALSE)</f>
        <v>941</v>
      </c>
      <c r="I246" s="42">
        <f ca="1">VLOOKUP($F246,OFFSET(enemy_skill_triggers!$A$1,0,0,COUNTA(enemy_skill_triggers!$A:$A),MATCH(I$1,enemy_skill_triggers!$1:$1,0)-MATCH($F$1,enemy_skill_triggers!$1:$1,0)+1),MATCH(I$1,enemy_skill_triggers!$1:$1,0)-MATCH($F$1,enemy_skill_triggers!$1:$1,0)+1,FALSE)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6" s="42" t="str">
        <f ca="1">VLOOKUP($F246,OFFSET(enemy_skill_triggers!$A$1,0,0,COUNTA(enemy_skill_triggers!$A:$A),MATCH(J$1,enemy_skill_triggers!$1:$1,0)-MATCH($F$1,enemy_skill_triggers!$1:$1,0)+1),MATCH(J$1,enemy_skill_triggers!$1:$1,0)-MATCH($F$1,enemy_skill_triggers!$1:$1,0)+1,FALSE)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6" s="42" t="str">
        <f ca="1">VLOOKUP($F246,OFFSET(enemy_skill_triggers!$A$1,0,0,COUNTA(enemy_skill_triggers!$A:$A),MATCH(K$1,enemy_skill_triggers!$1:$1,0)-MATCH($F$1,enemy_skill_triggers!$1:$1,0)+1),MATCH(K$1,enemy_skill_triggers!$1:$1,0)-MATCH($F$1,enemy_skill_triggers!$1:$1,0)+1,FALSE)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6" s="42">
        <f ca="1">VLOOKUP($F246,OFFSET(enemy_skill_triggers!$A$1,0,0,COUNTA(enemy_skill_triggers!$A:$A),MATCH(L$1,enemy_skill_triggers!$1:$1,0)-MATCH($F$1,enemy_skill_triggers!$1:$1,0)+1),MATCH(L$1,enemy_skill_triggers!$1:$1,0)-MATCH($F$1,enemy_skill_triggers!$1:$1,0)+1,FALSE)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6" s="42" t="str">
        <f ca="1">VLOOKUP($F246,OFFSET(enemy_skill_triggers!$A$1,0,0,COUNTA(enemy_skill_triggers!$A:$A),MATCH(M$1,enemy_skill_triggers!$1:$1,0)-MATCH($F$1,enemy_skill_triggers!$1:$1,0)+1),MATCH(M$1,enemy_skill_triggers!$1:$1,0)-MATCH($F$1,enemy_skill_triggers!$1:$1,0)+1,FALSE)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6" s="42">
        <f ca="1">VLOOKUP($F246,OFFSET(enemy_skill_triggers!$A$1,0,0,COUNTA(enemy_skill_triggers!$A:$A),MATCH(N$1,enemy_skill_triggers!$1:$1,0)-MATCH($F$1,enemy_skill_triggers!$1:$1,0)+1),MATCH(N$1,enemy_skill_triggers!$1:$1,0)-MATCH($F$1,enemy_skill_triggers!$1:$1,0)+1,FALSE)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246" s="42">
        <f ca="1">VLOOKUP($F246,OFFSET(enemy_skill_triggers!$A$1,0,0,COUNTA(enemy_skill_triggers!$A:$A),MATCH(O$1,enemy_skill_triggers!$1:$1,0)-MATCH($F$1,enemy_skill_triggers!$1:$1,0)+1),MATCH(O$1,enemy_skill_triggers!$1:$1,0)-MATCH($F$1,enemy_skill_triggers!$1:$1,0)+1,FALSE)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6" s="41"/>
      <c r="Q246" s="41"/>
      <c r="R246" s="41" t="s">
        <v>340</v>
      </c>
    </row>
    <row r="247" spans="1:18" ht="21" customHeight="1" x14ac:dyDescent="0.15">
      <c r="A247" s="33" t="str">
        <f t="shared" si="14"/>
        <v>39008011_39008033</v>
      </c>
      <c r="B247" s="102">
        <v>39008011</v>
      </c>
      <c r="C247" s="119">
        <v>39008033</v>
      </c>
      <c r="D247" s="40" t="str">
        <f ca="1">VLOOKUP($C247,OFFSET(enemy_skills!$A$1,0,0,COUNTA(enemy_skills!$A:$A),MATCH(D$1,enemy_skills!$1:$1,0)-MATCH("enemy_skill_id",enemy_skills!$1:$1,0)+1),MATCH(D$1,enemy_skills!$1:$1,0)-MATCH("enemy_skill_id",enemy_skills!$1:$1,0)+1,FALSE)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47" s="40" t="str">
        <f ca="1">VLOOKUP($C247,OFFSET(enemy_skills!$A$1,0,0,COUNTA(enemy_skills!$A:$A),MATCH(E$1,enemy_skills!$1:$1,0)-MATCH("enemy_skill_id",enemy_skills!$1:$1,0)+1),MATCH(E$1,enemy_skills!$1:$1,0)-MATCH("enemy_skill_id",enemy_skills!$1:$1,0)+1,FALSE)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47" s="122">
        <v>39008091</v>
      </c>
      <c r="G247" s="42">
        <f ca="1">VLOOKUP($F247,OFFSET(enemy_skill_triggers!$A$1,0,0,COUNTA(enemy_skill_triggers!$A:$A),MATCH(G$1,enemy_skill_triggers!$1:$1,0)-MATCH($F$1,enemy_skill_triggers!$1:$1,0)+1),MATCH(G$1,enemy_skill_triggers!$1:$1,0)-MATCH($F$1,enemy_skill_triggers!$1:$1,0)+1,FALSE)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7" s="42">
        <f ca="1">VLOOKUP($F247,OFFSET(enemy_skill_triggers!$A$1,0,0,COUNTA(enemy_skill_triggers!$A:$A),MATCH(H$1,enemy_skill_triggers!$1:$1,0)-MATCH($F$1,enemy_skill_triggers!$1:$1,0)+1),MATCH(H$1,enemy_skill_triggers!$1:$1,0)-MATCH($F$1,enemy_skill_triggers!$1:$1,0)+1,FALSE)</f>
        <v>940</v>
      </c>
      <c r="I247" s="42">
        <f ca="1">VLOOKUP($F247,OFFSET(enemy_skill_triggers!$A$1,0,0,COUNTA(enemy_skill_triggers!$A:$A),MATCH(I$1,enemy_skill_triggers!$1:$1,0)-MATCH($F$1,enemy_skill_triggers!$1:$1,0)+1),MATCH(I$1,enemy_skill_triggers!$1:$1,0)-MATCH($F$1,enemy_skill_triggers!$1:$1,0)+1,FALSE)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7" s="42" t="str">
        <f ca="1">VLOOKUP($F247,OFFSET(enemy_skill_triggers!$A$1,0,0,COUNTA(enemy_skill_triggers!$A:$A),MATCH(J$1,enemy_skill_triggers!$1:$1,0)-MATCH($F$1,enemy_skill_triggers!$1:$1,0)+1),MATCH(J$1,enemy_skill_triggers!$1:$1,0)-MATCH($F$1,enemy_skill_triggers!$1:$1,0)+1,FALSE)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7" s="42" t="str">
        <f ca="1">VLOOKUP($F247,OFFSET(enemy_skill_triggers!$A$1,0,0,COUNTA(enemy_skill_triggers!$A:$A),MATCH(K$1,enemy_skill_triggers!$1:$1,0)-MATCH($F$1,enemy_skill_triggers!$1:$1,0)+1),MATCH(K$1,enemy_skill_triggers!$1:$1,0)-MATCH($F$1,enemy_skill_triggers!$1:$1,0)+1,FALSE)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7" s="42">
        <f ca="1">VLOOKUP($F247,OFFSET(enemy_skill_triggers!$A$1,0,0,COUNTA(enemy_skill_triggers!$A:$A),MATCH(L$1,enemy_skill_triggers!$1:$1,0)-MATCH($F$1,enemy_skill_triggers!$1:$1,0)+1),MATCH(L$1,enemy_skill_triggers!$1:$1,0)-MATCH($F$1,enemy_skill_triggers!$1:$1,0)+1,FALSE)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7" s="42" t="str">
        <f ca="1">VLOOKUP($F247,OFFSET(enemy_skill_triggers!$A$1,0,0,COUNTA(enemy_skill_triggers!$A:$A),MATCH(M$1,enemy_skill_triggers!$1:$1,0)-MATCH($F$1,enemy_skill_triggers!$1:$1,0)+1),MATCH(M$1,enemy_skill_triggers!$1:$1,0)-MATCH($F$1,enemy_skill_triggers!$1:$1,0)+1,FALSE)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7" s="42">
        <f ca="1">VLOOKUP($F247,OFFSET(enemy_skill_triggers!$A$1,0,0,COUNTA(enemy_skill_triggers!$A:$A),MATCH(N$1,enemy_skill_triggers!$1:$1,0)-MATCH($F$1,enemy_skill_triggers!$1:$1,0)+1),MATCH(N$1,enemy_skill_triggers!$1:$1,0)-MATCH($F$1,enemy_skill_triggers!$1:$1,0)+1,FALSE)</f>
        <v>542</v>
      </c>
      <c r="O247" s="42">
        <f ca="1">VLOOKUP($F247,OFFSET(enemy_skill_triggers!$A$1,0,0,COUNTA(enemy_skill_triggers!$A:$A),MATCH(O$1,enemy_skill_triggers!$1:$1,0)-MATCH($F$1,enemy_skill_triggers!$1:$1,0)+1),MATCH(O$1,enemy_skill_triggers!$1:$1,0)-MATCH($F$1,enemy_skill_triggers!$1:$1,0)+1,FALSE)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7" s="41"/>
      <c r="Q247" s="41"/>
      <c r="R247" s="41" t="s">
        <v>340</v>
      </c>
    </row>
    <row r="248" spans="1:18" ht="21" customHeight="1" x14ac:dyDescent="0.15">
      <c r="A248" s="33" t="str">
        <f t="shared" si="14"/>
        <v>39008011_39008033</v>
      </c>
      <c r="B248" s="102">
        <v>39008011</v>
      </c>
      <c r="C248" s="119">
        <v>39008033</v>
      </c>
      <c r="D248" s="40" t="str">
        <f ca="1">VLOOKUP($C248,OFFSET(enemy_skills!$A$1,0,0,COUNTA(enemy_skills!$A:$A),MATCH(D$1,enemy_skills!$1:$1,0)-MATCH("enemy_skill_id",enemy_skills!$1:$1,0)+1),MATCH(D$1,enemy_skills!$1:$1,0)-MATCH("enemy_skill_id",enemy_skills!$1:$1,0)+1,FALSE)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48" s="40" t="str">
        <f ca="1">VLOOKUP($C248,OFFSET(enemy_skills!$A$1,0,0,COUNTA(enemy_skills!$A:$A),MATCH(E$1,enemy_skills!$1:$1,0)-MATCH("enemy_skill_id",enemy_skills!$1:$1,0)+1),MATCH(E$1,enemy_skills!$1:$1,0)-MATCH("enemy_skill_id",enemy_skills!$1:$1,0)+1,FALSE)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48" s="122">
        <v>39008092</v>
      </c>
      <c r="G248" s="42">
        <f ca="1">VLOOKUP($F248,OFFSET(enemy_skill_triggers!$A$1,0,0,COUNTA(enemy_skill_triggers!$A:$A),MATCH(G$1,enemy_skill_triggers!$1:$1,0)-MATCH($F$1,enemy_skill_triggers!$1:$1,0)+1),MATCH(G$1,enemy_skill_triggers!$1:$1,0)-MATCH($F$1,enemy_skill_triggers!$1:$1,0)+1,FALSE)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8" s="42">
        <f ca="1">VLOOKUP($F248,OFFSET(enemy_skill_triggers!$A$1,0,0,COUNTA(enemy_skill_triggers!$A:$A),MATCH(H$1,enemy_skill_triggers!$1:$1,0)-MATCH($F$1,enemy_skill_triggers!$1:$1,0)+1),MATCH(H$1,enemy_skill_triggers!$1:$1,0)-MATCH($F$1,enemy_skill_triggers!$1:$1,0)+1,FALSE)</f>
        <v>939</v>
      </c>
      <c r="I248" s="42">
        <f ca="1">VLOOKUP($F248,OFFSET(enemy_skill_triggers!$A$1,0,0,COUNTA(enemy_skill_triggers!$A:$A),MATCH(I$1,enemy_skill_triggers!$1:$1,0)-MATCH($F$1,enemy_skill_triggers!$1:$1,0)+1),MATCH(I$1,enemy_skill_triggers!$1:$1,0)-MATCH($F$1,enemy_skill_triggers!$1:$1,0)+1,FALSE)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8" s="42" t="str">
        <f ca="1">VLOOKUP($F248,OFFSET(enemy_skill_triggers!$A$1,0,0,COUNTA(enemy_skill_triggers!$A:$A),MATCH(J$1,enemy_skill_triggers!$1:$1,0)-MATCH($F$1,enemy_skill_triggers!$1:$1,0)+1),MATCH(J$1,enemy_skill_triggers!$1:$1,0)-MATCH($F$1,enemy_skill_triggers!$1:$1,0)+1,FALSE)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8" s="42" t="str">
        <f ca="1">VLOOKUP($F248,OFFSET(enemy_skill_triggers!$A$1,0,0,COUNTA(enemy_skill_triggers!$A:$A),MATCH(K$1,enemy_skill_triggers!$1:$1,0)-MATCH($F$1,enemy_skill_triggers!$1:$1,0)+1),MATCH(K$1,enemy_skill_triggers!$1:$1,0)-MATCH($F$1,enemy_skill_triggers!$1:$1,0)+1,FALSE)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8" s="42">
        <f ca="1">VLOOKUP($F248,OFFSET(enemy_skill_triggers!$A$1,0,0,COUNTA(enemy_skill_triggers!$A:$A),MATCH(L$1,enemy_skill_triggers!$1:$1,0)-MATCH($F$1,enemy_skill_triggers!$1:$1,0)+1),MATCH(L$1,enemy_skill_triggers!$1:$1,0)-MATCH($F$1,enemy_skill_triggers!$1:$1,0)+1,FALSE)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8" s="42" t="str">
        <f ca="1">VLOOKUP($F248,OFFSET(enemy_skill_triggers!$A$1,0,0,COUNTA(enemy_skill_triggers!$A:$A),MATCH(M$1,enemy_skill_triggers!$1:$1,0)-MATCH($F$1,enemy_skill_triggers!$1:$1,0)+1),MATCH(M$1,enemy_skill_triggers!$1:$1,0)-MATCH($F$1,enemy_skill_triggers!$1:$1,0)+1,FALSE)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8" s="42">
        <f ca="1">VLOOKUP($F248,OFFSET(enemy_skill_triggers!$A$1,0,0,COUNTA(enemy_skill_triggers!$A:$A),MATCH(N$1,enemy_skill_triggers!$1:$1,0)-MATCH($F$1,enemy_skill_triggers!$1:$1,0)+1),MATCH(N$1,enemy_skill_triggers!$1:$1,0)-MATCH($F$1,enemy_skill_triggers!$1:$1,0)+1,FALSE)</f>
        <v>1308</v>
      </c>
      <c r="O248" s="42">
        <f ca="1">VLOOKUP($F248,OFFSET(enemy_skill_triggers!$A$1,0,0,COUNTA(enemy_skill_triggers!$A:$A),MATCH(O$1,enemy_skill_triggers!$1:$1,0)-MATCH($F$1,enemy_skill_triggers!$1:$1,0)+1),MATCH(O$1,enemy_skill_triggers!$1:$1,0)-MATCH($F$1,enemy_skill_triggers!$1:$1,0)+1,FALSE)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8" s="41"/>
      <c r="Q248" s="41"/>
      <c r="R248" s="41" t="s">
        <v>340</v>
      </c>
    </row>
    <row r="249" spans="1:18" ht="21" customHeight="1" x14ac:dyDescent="0.15">
      <c r="A249" s="33" t="str">
        <f t="shared" si="14"/>
        <v>39008011_39008033</v>
      </c>
      <c r="B249" s="102">
        <v>39008011</v>
      </c>
      <c r="C249" s="119">
        <v>39008033</v>
      </c>
      <c r="D249" s="40" t="str">
        <f ca="1">VLOOKUP($C249,OFFSET(enemy_skills!$A$1,0,0,COUNTA(enemy_skills!$A:$A),MATCH(D$1,enemy_skills!$1:$1,0)-MATCH("enemy_skill_id",enemy_skills!$1:$1,0)+1),MATCH(D$1,enemy_skills!$1:$1,0)-MATCH("enemy_skill_id",enemy_skills!$1:$1,0)+1,FALSE)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49" s="40" t="str">
        <f ca="1">VLOOKUP($C249,OFFSET(enemy_skills!$A$1,0,0,COUNTA(enemy_skills!$A:$A),MATCH(E$1,enemy_skills!$1:$1,0)-MATCH("enemy_skill_id",enemy_skills!$1:$1,0)+1),MATCH(E$1,enemy_skills!$1:$1,0)-MATCH("enemy_skill_id",enemy_skills!$1:$1,0)+1,FALSE)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49" s="122">
        <v>39008093</v>
      </c>
      <c r="G249" s="42">
        <f ca="1">VLOOKUP($F249,OFFSET(enemy_skill_triggers!$A$1,0,0,COUNTA(enemy_skill_triggers!$A:$A),MATCH(G$1,enemy_skill_triggers!$1:$1,0)-MATCH($F$1,enemy_skill_triggers!$1:$1,0)+1),MATCH(G$1,enemy_skill_triggers!$1:$1,0)-MATCH($F$1,enemy_skill_triggers!$1:$1,0)+1,FALSE)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9" s="42">
        <f ca="1">VLOOKUP($F249,OFFSET(enemy_skill_triggers!$A$1,0,0,COUNTA(enemy_skill_triggers!$A:$A),MATCH(H$1,enemy_skill_triggers!$1:$1,0)-MATCH($F$1,enemy_skill_triggers!$1:$1,0)+1),MATCH(H$1,enemy_skill_triggers!$1:$1,0)-MATCH($F$1,enemy_skill_triggers!$1:$1,0)+1,FALSE)</f>
        <v>938</v>
      </c>
      <c r="I249" s="42">
        <f ca="1">VLOOKUP($F249,OFFSET(enemy_skill_triggers!$A$1,0,0,COUNTA(enemy_skill_triggers!$A:$A),MATCH(I$1,enemy_skill_triggers!$1:$1,0)-MATCH($F$1,enemy_skill_triggers!$1:$1,0)+1),MATCH(I$1,enemy_skill_triggers!$1:$1,0)-MATCH($F$1,enemy_skill_triggers!$1:$1,0)+1,FALSE)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9" s="42" t="str">
        <f ca="1">VLOOKUP($F249,OFFSET(enemy_skill_triggers!$A$1,0,0,COUNTA(enemy_skill_triggers!$A:$A),MATCH(J$1,enemy_skill_triggers!$1:$1,0)-MATCH($F$1,enemy_skill_triggers!$1:$1,0)+1),MATCH(J$1,enemy_skill_triggers!$1:$1,0)-MATCH($F$1,enemy_skill_triggers!$1:$1,0)+1,FALSE)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9" s="42" t="str">
        <f ca="1">VLOOKUP($F249,OFFSET(enemy_skill_triggers!$A$1,0,0,COUNTA(enemy_skill_triggers!$A:$A),MATCH(K$1,enemy_skill_triggers!$1:$1,0)-MATCH($F$1,enemy_skill_triggers!$1:$1,0)+1),MATCH(K$1,enemy_skill_triggers!$1:$1,0)-MATCH($F$1,enemy_skill_triggers!$1:$1,0)+1,FALSE)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9" s="42">
        <f ca="1">VLOOKUP($F249,OFFSET(enemy_skill_triggers!$A$1,0,0,COUNTA(enemy_skill_triggers!$A:$A),MATCH(L$1,enemy_skill_triggers!$1:$1,0)-MATCH($F$1,enemy_skill_triggers!$1:$1,0)+1),MATCH(L$1,enemy_skill_triggers!$1:$1,0)-MATCH($F$1,enemy_skill_triggers!$1:$1,0)+1,FALSE)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9" s="42" t="str">
        <f ca="1">VLOOKUP($F249,OFFSET(enemy_skill_triggers!$A$1,0,0,COUNTA(enemy_skill_triggers!$A:$A),MATCH(M$1,enemy_skill_triggers!$1:$1,0)-MATCH($F$1,enemy_skill_triggers!$1:$1,0)+1),MATCH(M$1,enemy_skill_triggers!$1:$1,0)-MATCH($F$1,enemy_skill_triggers!$1:$1,0)+1,FALSE)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9" s="42">
        <f ca="1">VLOOKUP($F249,OFFSET(enemy_skill_triggers!$A$1,0,0,COUNTA(enemy_skill_triggers!$A:$A),MATCH(N$1,enemy_skill_triggers!$1:$1,0)-MATCH($F$1,enemy_skill_triggers!$1:$1,0)+1),MATCH(N$1,enemy_skill_triggers!$1:$1,0)-MATCH($F$1,enemy_skill_triggers!$1:$1,0)+1,FALSE)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249" s="42">
        <f ca="1">VLOOKUP($F249,OFFSET(enemy_skill_triggers!$A$1,0,0,COUNTA(enemy_skill_triggers!$A:$A),MATCH(O$1,enemy_skill_triggers!$1:$1,0)-MATCH($F$1,enemy_skill_triggers!$1:$1,0)+1),MATCH(O$1,enemy_skill_triggers!$1:$1,0)-MATCH($F$1,enemy_skill_triggers!$1:$1,0)+1,FALSE)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9" s="41"/>
      <c r="Q249" s="41"/>
      <c r="R249" s="41" t="s">
        <v>340</v>
      </c>
    </row>
    <row r="250" spans="1:18" ht="21" customHeight="1" x14ac:dyDescent="0.15">
      <c r="A250" s="33" t="str">
        <f t="shared" si="14"/>
        <v>39008011_39008033</v>
      </c>
      <c r="B250" s="102">
        <v>39008011</v>
      </c>
      <c r="C250" s="119">
        <v>39008033</v>
      </c>
      <c r="D250" s="40" t="str">
        <f ca="1">VLOOKUP($C250,OFFSET(enemy_skills!$A$1,0,0,COUNTA(enemy_skills!$A:$A),MATCH(D$1,enemy_skills!$1:$1,0)-MATCH("enemy_skill_id",enemy_skills!$1:$1,0)+1),MATCH(D$1,enemy_skills!$1:$1,0)-MATCH("enemy_skill_id",enemy_skills!$1:$1,0)+1,FALSE)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50" s="40" t="str">
        <f ca="1">VLOOKUP($C250,OFFSET(enemy_skills!$A$1,0,0,COUNTA(enemy_skills!$A:$A),MATCH(E$1,enemy_skills!$1:$1,0)-MATCH("enemy_skill_id",enemy_skills!$1:$1,0)+1),MATCH(E$1,enemy_skills!$1:$1,0)-MATCH("enemy_skill_id",enemy_skills!$1:$1,0)+1,FALSE)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50" s="122">
        <v>39008094</v>
      </c>
      <c r="G250" s="42">
        <f ca="1">VLOOKUP($F250,OFFSET(enemy_skill_triggers!$A$1,0,0,COUNTA(enemy_skill_triggers!$A:$A),MATCH(G$1,enemy_skill_triggers!$1:$1,0)-MATCH($F$1,enemy_skill_triggers!$1:$1,0)+1),MATCH(G$1,enemy_skill_triggers!$1:$1,0)-MATCH($F$1,enemy_skill_triggers!$1:$1,0)+1,FALSE)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0" s="42">
        <f ca="1">VLOOKUP($F250,OFFSET(enemy_skill_triggers!$A$1,0,0,COUNTA(enemy_skill_triggers!$A:$A),MATCH(H$1,enemy_skill_triggers!$1:$1,0)-MATCH($F$1,enemy_skill_triggers!$1:$1,0)+1),MATCH(H$1,enemy_skill_triggers!$1:$1,0)-MATCH($F$1,enemy_skill_triggers!$1:$1,0)+1,FALSE)</f>
        <v>937</v>
      </c>
      <c r="I250" s="42">
        <f ca="1">VLOOKUP($F250,OFFSET(enemy_skill_triggers!$A$1,0,0,COUNTA(enemy_skill_triggers!$A:$A),MATCH(I$1,enemy_skill_triggers!$1:$1,0)-MATCH($F$1,enemy_skill_triggers!$1:$1,0)+1),MATCH(I$1,enemy_skill_triggers!$1:$1,0)-MATCH($F$1,enemy_skill_triggers!$1:$1,0)+1,FALSE)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0" s="42" t="str">
        <f ca="1">VLOOKUP($F250,OFFSET(enemy_skill_triggers!$A$1,0,0,COUNTA(enemy_skill_triggers!$A:$A),MATCH(J$1,enemy_skill_triggers!$1:$1,0)-MATCH($F$1,enemy_skill_triggers!$1:$1,0)+1),MATCH(J$1,enemy_skill_triggers!$1:$1,0)-MATCH($F$1,enemy_skill_triggers!$1:$1,0)+1,FALSE)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0" s="42" t="str">
        <f ca="1">VLOOKUP($F250,OFFSET(enemy_skill_triggers!$A$1,0,0,COUNTA(enemy_skill_triggers!$A:$A),MATCH(K$1,enemy_skill_triggers!$1:$1,0)-MATCH($F$1,enemy_skill_triggers!$1:$1,0)+1),MATCH(K$1,enemy_skill_triggers!$1:$1,0)-MATCH($F$1,enemy_skill_triggers!$1:$1,0)+1,FALSE)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0" s="42">
        <f ca="1">VLOOKUP($F250,OFFSET(enemy_skill_triggers!$A$1,0,0,COUNTA(enemy_skill_triggers!$A:$A),MATCH(L$1,enemy_skill_triggers!$1:$1,0)-MATCH($F$1,enemy_skill_triggers!$1:$1,0)+1),MATCH(L$1,enemy_skill_triggers!$1:$1,0)-MATCH($F$1,enemy_skill_triggers!$1:$1,0)+1,FALSE)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50" s="42" t="str">
        <f ca="1">VLOOKUP($F250,OFFSET(enemy_skill_triggers!$A$1,0,0,COUNTA(enemy_skill_triggers!$A:$A),MATCH(M$1,enemy_skill_triggers!$1:$1,0)-MATCH($F$1,enemy_skill_triggers!$1:$1,0)+1),MATCH(M$1,enemy_skill_triggers!$1:$1,0)-MATCH($F$1,enemy_skill_triggers!$1:$1,0)+1,FALSE)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0" s="42">
        <f ca="1">VLOOKUP($F250,OFFSET(enemy_skill_triggers!$A$1,0,0,COUNTA(enemy_skill_triggers!$A:$A),MATCH(N$1,enemy_skill_triggers!$1:$1,0)-MATCH($F$1,enemy_skill_triggers!$1:$1,0)+1),MATCH(N$1,enemy_skill_triggers!$1:$1,0)-MATCH($F$1,enemy_skill_triggers!$1:$1,0)+1,FALSE)</f>
        <v>1298</v>
      </c>
      <c r="O250" s="42">
        <f ca="1">VLOOKUP($F250,OFFSET(enemy_skill_triggers!$A$1,0,0,COUNTA(enemy_skill_triggers!$A:$A),MATCH(O$1,enemy_skill_triggers!$1:$1,0)-MATCH($F$1,enemy_skill_triggers!$1:$1,0)+1),MATCH(O$1,enemy_skill_triggers!$1:$1,0)-MATCH($F$1,enemy_skill_triggers!$1:$1,0)+1,FALSE)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0" s="41"/>
      <c r="Q250" s="41"/>
      <c r="R250" s="41" t="s">
        <v>340</v>
      </c>
    </row>
    <row r="251" spans="1:18" ht="21" customHeight="1" x14ac:dyDescent="0.15">
      <c r="A251" s="33" t="str">
        <f t="shared" si="14"/>
        <v>39008011_39008033</v>
      </c>
      <c r="B251" s="102">
        <v>39008011</v>
      </c>
      <c r="C251" s="119">
        <v>39008033</v>
      </c>
      <c r="D251" s="40" t="str">
        <f ca="1">VLOOKUP($C251,OFFSET(enemy_skills!$A$1,0,0,COUNTA(enemy_skills!$A:$A),MATCH(D$1,enemy_skills!$1:$1,0)-MATCH("enemy_skill_id",enemy_skills!$1:$1,0)+1),MATCH(D$1,enemy_skills!$1:$1,0)-MATCH("enemy_skill_id",enemy_skills!$1:$1,0)+1,FALSE)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51" s="40" t="str">
        <f ca="1">VLOOKUP($C251,OFFSET(enemy_skills!$A$1,0,0,COUNTA(enemy_skills!$A:$A),MATCH(E$1,enemy_skills!$1:$1,0)-MATCH("enemy_skill_id",enemy_skills!$1:$1,0)+1),MATCH(E$1,enemy_skills!$1:$1,0)-MATCH("enemy_skill_id",enemy_skills!$1:$1,0)+1,FALSE)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51" s="122">
        <v>39008095</v>
      </c>
      <c r="G251" s="42">
        <f ca="1">VLOOKUP($F251,OFFSET(enemy_skill_triggers!$A$1,0,0,COUNTA(enemy_skill_triggers!$A:$A),MATCH(G$1,enemy_skill_triggers!$1:$1,0)-MATCH($F$1,enemy_skill_triggers!$1:$1,0)+1),MATCH(G$1,enemy_skill_triggers!$1:$1,0)-MATCH($F$1,enemy_skill_triggers!$1:$1,0)+1,FALSE)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1" s="42">
        <f ca="1">VLOOKUP($F251,OFFSET(enemy_skill_triggers!$A$1,0,0,COUNTA(enemy_skill_triggers!$A:$A),MATCH(H$1,enemy_skill_triggers!$1:$1,0)-MATCH($F$1,enemy_skill_triggers!$1:$1,0)+1),MATCH(H$1,enemy_skill_triggers!$1:$1,0)-MATCH($F$1,enemy_skill_triggers!$1:$1,0)+1,FALSE)</f>
        <v>936</v>
      </c>
      <c r="I251" s="42">
        <f ca="1">VLOOKUP($F251,OFFSET(enemy_skill_triggers!$A$1,0,0,COUNTA(enemy_skill_triggers!$A:$A),MATCH(I$1,enemy_skill_triggers!$1:$1,0)-MATCH($F$1,enemy_skill_triggers!$1:$1,0)+1),MATCH(I$1,enemy_skill_triggers!$1:$1,0)-MATCH($F$1,enemy_skill_triggers!$1:$1,0)+1,FALSE)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1" s="42" t="str">
        <f ca="1">VLOOKUP($F251,OFFSET(enemy_skill_triggers!$A$1,0,0,COUNTA(enemy_skill_triggers!$A:$A),MATCH(J$1,enemy_skill_triggers!$1:$1,0)-MATCH($F$1,enemy_skill_triggers!$1:$1,0)+1),MATCH(J$1,enemy_skill_triggers!$1:$1,0)-MATCH($F$1,enemy_skill_triggers!$1:$1,0)+1,FALSE)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1" s="42" t="str">
        <f ca="1">VLOOKUP($F251,OFFSET(enemy_skill_triggers!$A$1,0,0,COUNTA(enemy_skill_triggers!$A:$A),MATCH(K$1,enemy_skill_triggers!$1:$1,0)-MATCH($F$1,enemy_skill_triggers!$1:$1,0)+1),MATCH(K$1,enemy_skill_triggers!$1:$1,0)-MATCH($F$1,enemy_skill_triggers!$1:$1,0)+1,FALSE)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1" s="42">
        <f ca="1">VLOOKUP($F251,OFFSET(enemy_skill_triggers!$A$1,0,0,COUNTA(enemy_skill_triggers!$A:$A),MATCH(L$1,enemy_skill_triggers!$1:$1,0)-MATCH($F$1,enemy_skill_triggers!$1:$1,0)+1),MATCH(L$1,enemy_skill_triggers!$1:$1,0)-MATCH($F$1,enemy_skill_triggers!$1:$1,0)+1,FALSE)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51" s="42" t="str">
        <f ca="1">VLOOKUP($F251,OFFSET(enemy_skill_triggers!$A$1,0,0,COUNTA(enemy_skill_triggers!$A:$A),MATCH(M$1,enemy_skill_triggers!$1:$1,0)-MATCH($F$1,enemy_skill_triggers!$1:$1,0)+1),MATCH(M$1,enemy_skill_triggers!$1:$1,0)-MATCH($F$1,enemy_skill_triggers!$1:$1,0)+1,FALSE)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1" s="42">
        <f ca="1">VLOOKUP($F251,OFFSET(enemy_skill_triggers!$A$1,0,0,COUNTA(enemy_skill_triggers!$A:$A),MATCH(N$1,enemy_skill_triggers!$1:$1,0)-MATCH($F$1,enemy_skill_triggers!$1:$1,0)+1),MATCH(N$1,enemy_skill_triggers!$1:$1,0)-MATCH($F$1,enemy_skill_triggers!$1:$1,0)+1,FALSE)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251" s="42">
        <f ca="1">VLOOKUP($F251,OFFSET(enemy_skill_triggers!$A$1,0,0,COUNTA(enemy_skill_triggers!$A:$A),MATCH(O$1,enemy_skill_triggers!$1:$1,0)-MATCH($F$1,enemy_skill_triggers!$1:$1,0)+1),MATCH(O$1,enemy_skill_triggers!$1:$1,0)-MATCH($F$1,enemy_skill_triggers!$1:$1,0)+1,FALSE)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1" s="41"/>
      <c r="Q251" s="41"/>
      <c r="R251" s="41" t="s">
        <v>340</v>
      </c>
    </row>
    <row r="252" spans="1:18" ht="21" customHeight="1" x14ac:dyDescent="0.15">
      <c r="A252" s="33" t="str">
        <f t="shared" si="14"/>
        <v>39008011_39008033</v>
      </c>
      <c r="B252" s="102">
        <v>39008011</v>
      </c>
      <c r="C252" s="119">
        <v>39008033</v>
      </c>
      <c r="D252" s="40" t="str">
        <f ca="1">VLOOKUP($C252,OFFSET(enemy_skills!$A$1,0,0,COUNTA(enemy_skills!$A:$A),MATCH(D$1,enemy_skills!$1:$1,0)-MATCH("enemy_skill_id",enemy_skills!$1:$1,0)+1),MATCH(D$1,enemy_skills!$1:$1,0)-MATCH("enemy_skill_id",enemy_skills!$1:$1,0)+1,FALSE)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52" s="40" t="str">
        <f ca="1">VLOOKUP($C252,OFFSET(enemy_skills!$A$1,0,0,COUNTA(enemy_skills!$A:$A),MATCH(E$1,enemy_skills!$1:$1,0)-MATCH("enemy_skill_id",enemy_skills!$1:$1,0)+1),MATCH(E$1,enemy_skills!$1:$1,0)-MATCH("enemy_skill_id",enemy_skills!$1:$1,0)+1,FALSE)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52" s="122">
        <v>39008096</v>
      </c>
      <c r="G252" s="42">
        <f ca="1">VLOOKUP($F252,OFFSET(enemy_skill_triggers!$A$1,0,0,COUNTA(enemy_skill_triggers!$A:$A),MATCH(G$1,enemy_skill_triggers!$1:$1,0)-MATCH($F$1,enemy_skill_triggers!$1:$1,0)+1),MATCH(G$1,enemy_skill_triggers!$1:$1,0)-MATCH($F$1,enemy_skill_triggers!$1:$1,0)+1,FALSE)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2" s="42">
        <f ca="1">VLOOKUP($F252,OFFSET(enemy_skill_triggers!$A$1,0,0,COUNTA(enemy_skill_triggers!$A:$A),MATCH(H$1,enemy_skill_triggers!$1:$1,0)-MATCH($F$1,enemy_skill_triggers!$1:$1,0)+1),MATCH(H$1,enemy_skill_triggers!$1:$1,0)-MATCH($F$1,enemy_skill_triggers!$1:$1,0)+1,FALSE)</f>
        <v>935</v>
      </c>
      <c r="I252" s="42">
        <f ca="1">VLOOKUP($F252,OFFSET(enemy_skill_triggers!$A$1,0,0,COUNTA(enemy_skill_triggers!$A:$A),MATCH(I$1,enemy_skill_triggers!$1:$1,0)-MATCH($F$1,enemy_skill_triggers!$1:$1,0)+1),MATCH(I$1,enemy_skill_triggers!$1:$1,0)-MATCH($F$1,enemy_skill_triggers!$1:$1,0)+1,FALSE)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2" s="42" t="str">
        <f ca="1">VLOOKUP($F252,OFFSET(enemy_skill_triggers!$A$1,0,0,COUNTA(enemy_skill_triggers!$A:$A),MATCH(J$1,enemy_skill_triggers!$1:$1,0)-MATCH($F$1,enemy_skill_triggers!$1:$1,0)+1),MATCH(J$1,enemy_skill_triggers!$1:$1,0)-MATCH($F$1,enemy_skill_triggers!$1:$1,0)+1,FALSE)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2" s="42" t="str">
        <f ca="1">VLOOKUP($F252,OFFSET(enemy_skill_triggers!$A$1,0,0,COUNTA(enemy_skill_triggers!$A:$A),MATCH(K$1,enemy_skill_triggers!$1:$1,0)-MATCH($F$1,enemy_skill_triggers!$1:$1,0)+1),MATCH(K$1,enemy_skill_triggers!$1:$1,0)-MATCH($F$1,enemy_skill_triggers!$1:$1,0)+1,FALSE)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2" s="42">
        <f ca="1">VLOOKUP($F252,OFFSET(enemy_skill_triggers!$A$1,0,0,COUNTA(enemy_skill_triggers!$A:$A),MATCH(L$1,enemy_skill_triggers!$1:$1,0)-MATCH($F$1,enemy_skill_triggers!$1:$1,0)+1),MATCH(L$1,enemy_skill_triggers!$1:$1,0)-MATCH($F$1,enemy_skill_triggers!$1:$1,0)+1,FALSE)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52" s="42" t="str">
        <f ca="1">VLOOKUP($F252,OFFSET(enemy_skill_triggers!$A$1,0,0,COUNTA(enemy_skill_triggers!$A:$A),MATCH(M$1,enemy_skill_triggers!$1:$1,0)-MATCH($F$1,enemy_skill_triggers!$1:$1,0)+1),MATCH(M$1,enemy_skill_triggers!$1:$1,0)-MATCH($F$1,enemy_skill_triggers!$1:$1,0)+1,FALSE)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2" s="42">
        <f ca="1">VLOOKUP($F252,OFFSET(enemy_skill_triggers!$A$1,0,0,COUNTA(enemy_skill_triggers!$A:$A),MATCH(N$1,enemy_skill_triggers!$1:$1,0)-MATCH($F$1,enemy_skill_triggers!$1:$1,0)+1),MATCH(N$1,enemy_skill_triggers!$1:$1,0)-MATCH($F$1,enemy_skill_triggers!$1:$1,0)+1,FALSE)</f>
        <v>1317</v>
      </c>
      <c r="O252" s="42">
        <f ca="1">VLOOKUP($F252,OFFSET(enemy_skill_triggers!$A$1,0,0,COUNTA(enemy_skill_triggers!$A:$A),MATCH(O$1,enemy_skill_triggers!$1:$1,0)-MATCH($F$1,enemy_skill_triggers!$1:$1,0)+1),MATCH(O$1,enemy_skill_triggers!$1:$1,0)-MATCH($F$1,enemy_skill_triggers!$1:$1,0)+1,FALSE)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2" s="41"/>
      <c r="Q252" s="41"/>
      <c r="R252" s="41" t="s">
        <v>340</v>
      </c>
    </row>
    <row r="253" spans="1:18" ht="21" customHeight="1" x14ac:dyDescent="0.15">
      <c r="A253" s="33" t="str">
        <f t="shared" si="14"/>
        <v>39008011_39008039</v>
      </c>
      <c r="B253" s="102">
        <v>39008011</v>
      </c>
      <c r="C253" s="119">
        <v>39008039</v>
      </c>
      <c r="D253" s="40" t="str">
        <f ca="1">VLOOKUP($C253,OFFSET(enemy_skills!$A$1,0,0,COUNTA(enemy_skills!$A:$A),MATCH(D$1,enemy_skills!$1:$1,0)-MATCH("enemy_skill_id",enemy_skills!$1:$1,0)+1),MATCH(D$1,enemy_skills!$1:$1,0)-MATCH("enemy_skill_id",enemy_skills!$1:$1,0)+1,FALSE)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53" s="40" t="str">
        <f ca="1">VLOOKUP($C253,OFFSET(enemy_skills!$A$1,0,0,COUNTA(enemy_skills!$A:$A),MATCH(E$1,enemy_skills!$1:$1,0)-MATCH("enemy_skill_id",enemy_skills!$1:$1,0)+1),MATCH(E$1,enemy_skills!$1:$1,0)-MATCH("enemy_skill_id",enemy_skills!$1:$1,0)+1,FALSE)</f>
        <v>そっか！KAITOにぃが助けてくれたんだね！ありがとうっ！</v>
      </c>
      <c r="F253" s="122">
        <v>39008097</v>
      </c>
      <c r="G253" s="42">
        <f ca="1">VLOOKUP($F253,OFFSET(enemy_skill_triggers!$A$1,0,0,COUNTA(enemy_skill_triggers!$A:$A),MATCH(G$1,enemy_skill_triggers!$1:$1,0)-MATCH($F$1,enemy_skill_triggers!$1:$1,0)+1),MATCH(G$1,enemy_skill_triggers!$1:$1,0)-MATCH($F$1,enemy_skill_triggers!$1:$1,0)+1,FALSE)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3" s="42">
        <f ca="1">VLOOKUP($F253,OFFSET(enemy_skill_triggers!$A$1,0,0,COUNTA(enemy_skill_triggers!$A:$A),MATCH(H$1,enemy_skill_triggers!$1:$1,0)-MATCH($F$1,enemy_skill_triggers!$1:$1,0)+1),MATCH(H$1,enemy_skill_triggers!$1:$1,0)-MATCH($F$1,enemy_skill_triggers!$1:$1,0)+1,FALSE)</f>
        <v>934</v>
      </c>
      <c r="I253" s="42">
        <f ca="1">VLOOKUP($F253,OFFSET(enemy_skill_triggers!$A$1,0,0,COUNTA(enemy_skill_triggers!$A:$A),MATCH(I$1,enemy_skill_triggers!$1:$1,0)-MATCH($F$1,enemy_skill_triggers!$1:$1,0)+1),MATCH(I$1,enemy_skill_triggers!$1:$1,0)-MATCH($F$1,enemy_skill_triggers!$1:$1,0)+1,FALSE)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3" s="42" t="str">
        <f ca="1">VLOOKUP($F253,OFFSET(enemy_skill_triggers!$A$1,0,0,COUNTA(enemy_skill_triggers!$A:$A),MATCH(J$1,enemy_skill_triggers!$1:$1,0)-MATCH($F$1,enemy_skill_triggers!$1:$1,0)+1),MATCH(J$1,enemy_skill_triggers!$1:$1,0)-MATCH($F$1,enemy_skill_triggers!$1:$1,0)+1,FALSE)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3" s="42" t="str">
        <f ca="1">VLOOKUP($F253,OFFSET(enemy_skill_triggers!$A$1,0,0,COUNTA(enemy_skill_triggers!$A:$A),MATCH(K$1,enemy_skill_triggers!$1:$1,0)-MATCH($F$1,enemy_skill_triggers!$1:$1,0)+1),MATCH(K$1,enemy_skill_triggers!$1:$1,0)-MATCH($F$1,enemy_skill_triggers!$1:$1,0)+1,FALSE)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3" s="42">
        <f ca="1">VLOOKUP($F253,OFFSET(enemy_skill_triggers!$A$1,0,0,COUNTA(enemy_skill_triggers!$A:$A),MATCH(L$1,enemy_skill_triggers!$1:$1,0)-MATCH($F$1,enemy_skill_triggers!$1:$1,0)+1),MATCH(L$1,enemy_skill_triggers!$1:$1,0)-MATCH($F$1,enemy_skill_triggers!$1:$1,0)+1,FALSE)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53" s="42" t="str">
        <f ca="1">VLOOKUP($F253,OFFSET(enemy_skill_triggers!$A$1,0,0,COUNTA(enemy_skill_triggers!$A:$A),MATCH(M$1,enemy_skill_triggers!$1:$1,0)-MATCH($F$1,enemy_skill_triggers!$1:$1,0)+1),MATCH(M$1,enemy_skill_triggers!$1:$1,0)-MATCH($F$1,enemy_skill_triggers!$1:$1,0)+1,FALSE)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3" s="42">
        <f ca="1">VLOOKUP($F253,OFFSET(enemy_skill_triggers!$A$1,0,0,COUNTA(enemy_skill_triggers!$A:$A),MATCH(N$1,enemy_skill_triggers!$1:$1,0)-MATCH($F$1,enemy_skill_triggers!$1:$1,0)+1),MATCH(N$1,enemy_skill_triggers!$1:$1,0)-MATCH($F$1,enemy_skill_triggers!$1:$1,0)+1,FALSE)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253" s="42">
        <f ca="1">VLOOKUP($F253,OFFSET(enemy_skill_triggers!$A$1,0,0,COUNTA(enemy_skill_triggers!$A:$A),MATCH(O$1,enemy_skill_triggers!$1:$1,0)-MATCH($F$1,enemy_skill_triggers!$1:$1,0)+1),MATCH(O$1,enemy_skill_triggers!$1:$1,0)-MATCH($F$1,enemy_skill_triggers!$1:$1,0)+1,FALSE)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3" s="41"/>
      <c r="Q253" s="41"/>
      <c r="R253" s="41" t="s">
        <v>341</v>
      </c>
    </row>
    <row r="254" spans="1:18" ht="21" customHeight="1" x14ac:dyDescent="0.15">
      <c r="A254" s="33" t="str">
        <f t="shared" si="14"/>
        <v>39008011_39008039</v>
      </c>
      <c r="B254" s="102">
        <v>39008011</v>
      </c>
      <c r="C254" s="119">
        <v>39008039</v>
      </c>
      <c r="D254" s="40" t="str">
        <f ca="1">VLOOKUP($C254,OFFSET(enemy_skills!$A$1,0,0,COUNTA(enemy_skills!$A:$A),MATCH(D$1,enemy_skills!$1:$1,0)-MATCH("enemy_skill_id",enemy_skills!$1:$1,0)+1),MATCH(D$1,enemy_skills!$1:$1,0)-MATCH("enemy_skill_id",enemy_skills!$1:$1,0)+1,FALSE)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54" s="40" t="str">
        <f ca="1">VLOOKUP($C254,OFFSET(enemy_skills!$A$1,0,0,COUNTA(enemy_skills!$A:$A),MATCH(E$1,enemy_skills!$1:$1,0)-MATCH("enemy_skill_id",enemy_skills!$1:$1,0)+1),MATCH(E$1,enemy_skills!$1:$1,0)-MATCH("enemy_skill_id",enemy_skills!$1:$1,0)+1,FALSE)</f>
        <v>そっか！KAITOにぃが助けてくれたんだね！ありがとうっ！</v>
      </c>
      <c r="F254" s="122">
        <v>39008098</v>
      </c>
      <c r="G254" s="42">
        <f ca="1">VLOOKUP($F254,OFFSET(enemy_skill_triggers!$A$1,0,0,COUNTA(enemy_skill_triggers!$A:$A),MATCH(G$1,enemy_skill_triggers!$1:$1,0)-MATCH($F$1,enemy_skill_triggers!$1:$1,0)+1),MATCH(G$1,enemy_skill_triggers!$1:$1,0)-MATCH($F$1,enemy_skill_triggers!$1:$1,0)+1,FALSE)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4" s="42">
        <f ca="1">VLOOKUP($F254,OFFSET(enemy_skill_triggers!$A$1,0,0,COUNTA(enemy_skill_triggers!$A:$A),MATCH(H$1,enemy_skill_triggers!$1:$1,0)-MATCH($F$1,enemy_skill_triggers!$1:$1,0)+1),MATCH(H$1,enemy_skill_triggers!$1:$1,0)-MATCH($F$1,enemy_skill_triggers!$1:$1,0)+1,FALSE)</f>
        <v>933</v>
      </c>
      <c r="I254" s="42">
        <f ca="1">VLOOKUP($F254,OFFSET(enemy_skill_triggers!$A$1,0,0,COUNTA(enemy_skill_triggers!$A:$A),MATCH(I$1,enemy_skill_triggers!$1:$1,0)-MATCH($F$1,enemy_skill_triggers!$1:$1,0)+1),MATCH(I$1,enemy_skill_triggers!$1:$1,0)-MATCH($F$1,enemy_skill_triggers!$1:$1,0)+1,FALSE)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4" s="42" t="str">
        <f ca="1">VLOOKUP($F254,OFFSET(enemy_skill_triggers!$A$1,0,0,COUNTA(enemy_skill_triggers!$A:$A),MATCH(J$1,enemy_skill_triggers!$1:$1,0)-MATCH($F$1,enemy_skill_triggers!$1:$1,0)+1),MATCH(J$1,enemy_skill_triggers!$1:$1,0)-MATCH($F$1,enemy_skill_triggers!$1:$1,0)+1,FALSE)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4" s="42" t="str">
        <f ca="1">VLOOKUP($F254,OFFSET(enemy_skill_triggers!$A$1,0,0,COUNTA(enemy_skill_triggers!$A:$A),MATCH(K$1,enemy_skill_triggers!$1:$1,0)-MATCH($F$1,enemy_skill_triggers!$1:$1,0)+1),MATCH(K$1,enemy_skill_triggers!$1:$1,0)-MATCH($F$1,enemy_skill_triggers!$1:$1,0)+1,FALSE)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4" s="42">
        <f ca="1">VLOOKUP($F254,OFFSET(enemy_skill_triggers!$A$1,0,0,COUNTA(enemy_skill_triggers!$A:$A),MATCH(L$1,enemy_skill_triggers!$1:$1,0)-MATCH($F$1,enemy_skill_triggers!$1:$1,0)+1),MATCH(L$1,enemy_skill_triggers!$1:$1,0)-MATCH($F$1,enemy_skill_triggers!$1:$1,0)+1,FALSE)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54" s="42" t="str">
        <f ca="1">VLOOKUP($F254,OFFSET(enemy_skill_triggers!$A$1,0,0,COUNTA(enemy_skill_triggers!$A:$A),MATCH(M$1,enemy_skill_triggers!$1:$1,0)-MATCH($F$1,enemy_skill_triggers!$1:$1,0)+1),MATCH(M$1,enemy_skill_triggers!$1:$1,0)-MATCH($F$1,enemy_skill_triggers!$1:$1,0)+1,FALSE)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4" s="42">
        <f ca="1">VLOOKUP($F254,OFFSET(enemy_skill_triggers!$A$1,0,0,COUNTA(enemy_skill_triggers!$A:$A),MATCH(N$1,enemy_skill_triggers!$1:$1,0)-MATCH($F$1,enemy_skill_triggers!$1:$1,0)+1),MATCH(N$1,enemy_skill_triggers!$1:$1,0)-MATCH($F$1,enemy_skill_triggers!$1:$1,0)+1,FALSE)</f>
        <v>552</v>
      </c>
      <c r="O254" s="42">
        <f ca="1">VLOOKUP($F254,OFFSET(enemy_skill_triggers!$A$1,0,0,COUNTA(enemy_skill_triggers!$A:$A),MATCH(O$1,enemy_skill_triggers!$1:$1,0)-MATCH($F$1,enemy_skill_triggers!$1:$1,0)+1),MATCH(O$1,enemy_skill_triggers!$1:$1,0)-MATCH($F$1,enemy_skill_triggers!$1:$1,0)+1,FALSE)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4" s="41"/>
      <c r="Q254" s="41"/>
      <c r="R254" s="41" t="s">
        <v>342</v>
      </c>
    </row>
    <row r="255" spans="1:18" ht="21" customHeight="1" x14ac:dyDescent="0.15">
      <c r="A255" s="33" t="str">
        <f t="shared" si="14"/>
        <v>39008011_39008039</v>
      </c>
      <c r="B255" s="102">
        <v>39008011</v>
      </c>
      <c r="C255" s="119">
        <v>39008039</v>
      </c>
      <c r="D255" s="40" t="str">
        <f ca="1">VLOOKUP($C255,OFFSET(enemy_skills!$A$1,0,0,COUNTA(enemy_skills!$A:$A),MATCH(D$1,enemy_skills!$1:$1,0)-MATCH("enemy_skill_id",enemy_skills!$1:$1,0)+1),MATCH(D$1,enemy_skills!$1:$1,0)-MATCH("enemy_skill_id",enemy_skills!$1:$1,0)+1,FALSE)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55" s="40" t="str">
        <f ca="1">VLOOKUP($C255,OFFSET(enemy_skills!$A$1,0,0,COUNTA(enemy_skills!$A:$A),MATCH(E$1,enemy_skills!$1:$1,0)-MATCH("enemy_skill_id",enemy_skills!$1:$1,0)+1),MATCH(E$1,enemy_skills!$1:$1,0)-MATCH("enemy_skill_id",enemy_skills!$1:$1,0)+1,FALSE)</f>
        <v>そっか！KAITOにぃが助けてくれたんだね！ありがとうっ！</v>
      </c>
      <c r="F255" s="122">
        <v>39008099</v>
      </c>
      <c r="G255" s="42">
        <f ca="1">VLOOKUP($F255,OFFSET(enemy_skill_triggers!$A$1,0,0,COUNTA(enemy_skill_triggers!$A:$A),MATCH(G$1,enemy_skill_triggers!$1:$1,0)-MATCH($F$1,enemy_skill_triggers!$1:$1,0)+1),MATCH(G$1,enemy_skill_triggers!$1:$1,0)-MATCH($F$1,enemy_skill_triggers!$1:$1,0)+1,FALSE)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5" s="42">
        <f ca="1">VLOOKUP($F255,OFFSET(enemy_skill_triggers!$A$1,0,0,COUNTA(enemy_skill_triggers!$A:$A),MATCH(H$1,enemy_skill_triggers!$1:$1,0)-MATCH($F$1,enemy_skill_triggers!$1:$1,0)+1),MATCH(H$1,enemy_skill_triggers!$1:$1,0)-MATCH($F$1,enemy_skill_triggers!$1:$1,0)+1,FALSE)</f>
        <v>932</v>
      </c>
      <c r="I255" s="42">
        <f ca="1">VLOOKUP($F255,OFFSET(enemy_skill_triggers!$A$1,0,0,COUNTA(enemy_skill_triggers!$A:$A),MATCH(I$1,enemy_skill_triggers!$1:$1,0)-MATCH($F$1,enemy_skill_triggers!$1:$1,0)+1),MATCH(I$1,enemy_skill_triggers!$1:$1,0)-MATCH($F$1,enemy_skill_triggers!$1:$1,0)+1,FALSE)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5" s="42" t="str">
        <f ca="1">VLOOKUP($F255,OFFSET(enemy_skill_triggers!$A$1,0,0,COUNTA(enemy_skill_triggers!$A:$A),MATCH(J$1,enemy_skill_triggers!$1:$1,0)-MATCH($F$1,enemy_skill_triggers!$1:$1,0)+1),MATCH(J$1,enemy_skill_triggers!$1:$1,0)-MATCH($F$1,enemy_skill_triggers!$1:$1,0)+1,FALSE)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5" s="42" t="str">
        <f ca="1">VLOOKUP($F255,OFFSET(enemy_skill_triggers!$A$1,0,0,COUNTA(enemy_skill_triggers!$A:$A),MATCH(K$1,enemy_skill_triggers!$1:$1,0)-MATCH($F$1,enemy_skill_triggers!$1:$1,0)+1),MATCH(K$1,enemy_skill_triggers!$1:$1,0)-MATCH($F$1,enemy_skill_triggers!$1:$1,0)+1,FALSE)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5" s="42">
        <f ca="1">VLOOKUP($F255,OFFSET(enemy_skill_triggers!$A$1,0,0,COUNTA(enemy_skill_triggers!$A:$A),MATCH(L$1,enemy_skill_triggers!$1:$1,0)-MATCH($F$1,enemy_skill_triggers!$1:$1,0)+1),MATCH(L$1,enemy_skill_triggers!$1:$1,0)-MATCH($F$1,enemy_skill_triggers!$1:$1,0)+1,FALSE)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55" s="42" t="str">
        <f ca="1">VLOOKUP($F255,OFFSET(enemy_skill_triggers!$A$1,0,0,COUNTA(enemy_skill_triggers!$A:$A),MATCH(M$1,enemy_skill_triggers!$1:$1,0)-MATCH($F$1,enemy_skill_triggers!$1:$1,0)+1),MATCH(M$1,enemy_skill_triggers!$1:$1,0)-MATCH($F$1,enemy_skill_triggers!$1:$1,0)+1,FALSE)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5" s="42">
        <f ca="1">VLOOKUP($F255,OFFSET(enemy_skill_triggers!$A$1,0,0,COUNTA(enemy_skill_triggers!$A:$A),MATCH(N$1,enemy_skill_triggers!$1:$1,0)-MATCH($F$1,enemy_skill_triggers!$1:$1,0)+1),MATCH(N$1,enemy_skill_triggers!$1:$1,0)-MATCH($F$1,enemy_skill_triggers!$1:$1,0)+1,FALSE)</f>
        <v>1315</v>
      </c>
      <c r="O255" s="42">
        <f ca="1">VLOOKUP($F255,OFFSET(enemy_skill_triggers!$A$1,0,0,COUNTA(enemy_skill_triggers!$A:$A),MATCH(O$1,enemy_skill_triggers!$1:$1,0)-MATCH($F$1,enemy_skill_triggers!$1:$1,0)+1),MATCH(O$1,enemy_skill_triggers!$1:$1,0)-MATCH($F$1,enemy_skill_triggers!$1:$1,0)+1,FALSE)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5" s="41"/>
      <c r="Q255" s="41"/>
      <c r="R255" s="41" t="s">
        <v>343</v>
      </c>
    </row>
    <row r="256" spans="1:18" ht="21" customHeight="1" x14ac:dyDescent="0.15">
      <c r="A256" s="33" t="str">
        <f t="shared" si="14"/>
        <v>39008011_39008034</v>
      </c>
      <c r="B256" s="102">
        <v>39008011</v>
      </c>
      <c r="C256" s="119">
        <v>39008034</v>
      </c>
      <c r="D256" s="40" t="str">
        <f ca="1">VLOOKUP($C256,OFFSET(enemy_skills!$A$1,0,0,COUNTA(enemy_skills!$A:$A),MATCH(D$1,enemy_skills!$1:$1,0)-MATCH("enemy_skill_id",enemy_skills!$1:$1,0)+1),MATCH(D$1,enemy_skills!$1:$1,0)-MATCH("enemy_skill_id",enemy_skills!$1:$1,0)+1,FALSE)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56" s="40" t="str">
        <f ca="1">VLOOKUP($C256,OFFSET(enemy_skills!$A$1,0,0,COUNTA(enemy_skills!$A:$A),MATCH(E$1,enemy_skills!$1:$1,0)-MATCH("enemy_skill_id",enemy_skills!$1:$1,0)+1),MATCH(E$1,enemy_skills!$1:$1,0)-MATCH("enemy_skill_id",enemy_skills!$1:$1,0)+1,FALSE)</f>
        <v>そっかー！ユキネが助けてくれたんだねー！すっごーい！</v>
      </c>
      <c r="F256" s="122">
        <v>39008100</v>
      </c>
      <c r="G256" s="42">
        <f ca="1">VLOOKUP($F256,OFFSET(enemy_skill_triggers!$A$1,0,0,COUNTA(enemy_skill_triggers!$A:$A),MATCH(G$1,enemy_skill_triggers!$1:$1,0)-MATCH($F$1,enemy_skill_triggers!$1:$1,0)+1),MATCH(G$1,enemy_skill_triggers!$1:$1,0)-MATCH($F$1,enemy_skill_triggers!$1:$1,0)+1,FALSE)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6" s="42">
        <f ca="1">VLOOKUP($F256,OFFSET(enemy_skill_triggers!$A$1,0,0,COUNTA(enemy_skill_triggers!$A:$A),MATCH(H$1,enemy_skill_triggers!$1:$1,0)-MATCH($F$1,enemy_skill_triggers!$1:$1,0)+1),MATCH(H$1,enemy_skill_triggers!$1:$1,0)-MATCH($F$1,enemy_skill_triggers!$1:$1,0)+1,FALSE)</f>
        <v>931</v>
      </c>
      <c r="I256" s="42">
        <f ca="1">VLOOKUP($F256,OFFSET(enemy_skill_triggers!$A$1,0,0,COUNTA(enemy_skill_triggers!$A:$A),MATCH(I$1,enemy_skill_triggers!$1:$1,0)-MATCH($F$1,enemy_skill_triggers!$1:$1,0)+1),MATCH(I$1,enemy_skill_triggers!$1:$1,0)-MATCH($F$1,enemy_skill_triggers!$1:$1,0)+1,FALSE)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6" s="42" t="str">
        <f ca="1">VLOOKUP($F256,OFFSET(enemy_skill_triggers!$A$1,0,0,COUNTA(enemy_skill_triggers!$A:$A),MATCH(J$1,enemy_skill_triggers!$1:$1,0)-MATCH($F$1,enemy_skill_triggers!$1:$1,0)+1),MATCH(J$1,enemy_skill_triggers!$1:$1,0)-MATCH($F$1,enemy_skill_triggers!$1:$1,0)+1,FALSE)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6" s="42" t="str">
        <f ca="1">VLOOKUP($F256,OFFSET(enemy_skill_triggers!$A$1,0,0,COUNTA(enemy_skill_triggers!$A:$A),MATCH(K$1,enemy_skill_triggers!$1:$1,0)-MATCH($F$1,enemy_skill_triggers!$1:$1,0)+1),MATCH(K$1,enemy_skill_triggers!$1:$1,0)-MATCH($F$1,enemy_skill_triggers!$1:$1,0)+1,FALSE)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6" s="42">
        <f ca="1">VLOOKUP($F256,OFFSET(enemy_skill_triggers!$A$1,0,0,COUNTA(enemy_skill_triggers!$A:$A),MATCH(L$1,enemy_skill_triggers!$1:$1,0)-MATCH($F$1,enemy_skill_triggers!$1:$1,0)+1),MATCH(L$1,enemy_skill_triggers!$1:$1,0)-MATCH($F$1,enemy_skill_triggers!$1:$1,0)+1,FALSE)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56" s="42" t="str">
        <f ca="1">VLOOKUP($F256,OFFSET(enemy_skill_triggers!$A$1,0,0,COUNTA(enemy_skill_triggers!$A:$A),MATCH(M$1,enemy_skill_triggers!$1:$1,0)-MATCH($F$1,enemy_skill_triggers!$1:$1,0)+1),MATCH(M$1,enemy_skill_triggers!$1:$1,0)-MATCH($F$1,enemy_skill_triggers!$1:$1,0)+1,FALSE)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6" s="42">
        <f ca="1">VLOOKUP($F256,OFFSET(enemy_skill_triggers!$A$1,0,0,COUNTA(enemy_skill_triggers!$A:$A),MATCH(N$1,enemy_skill_triggers!$1:$1,0)-MATCH($F$1,enemy_skill_triggers!$1:$1,0)+1),MATCH(N$1,enemy_skill_triggers!$1:$1,0)-MATCH($F$1,enemy_skill_triggers!$1:$1,0)+1,FALSE)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256" s="42">
        <f ca="1">VLOOKUP($F256,OFFSET(enemy_skill_triggers!$A$1,0,0,COUNTA(enemy_skill_triggers!$A:$A),MATCH(O$1,enemy_skill_triggers!$1:$1,0)-MATCH($F$1,enemy_skill_triggers!$1:$1,0)+1),MATCH(O$1,enemy_skill_triggers!$1:$1,0)-MATCH($F$1,enemy_skill_triggers!$1:$1,0)+1,FALSE)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6" s="41"/>
      <c r="Q256" s="41"/>
      <c r="R256" s="41" t="s">
        <v>344</v>
      </c>
    </row>
    <row r="257" spans="1:18" ht="21" customHeight="1" x14ac:dyDescent="0.15">
      <c r="A257" s="33" t="str">
        <f t="shared" si="14"/>
        <v>39008011_39008034</v>
      </c>
      <c r="B257" s="102">
        <v>39008011</v>
      </c>
      <c r="C257" s="119">
        <v>39008034</v>
      </c>
      <c r="D257" s="40" t="str">
        <f ca="1">VLOOKUP($C257,OFFSET(enemy_skills!$A$1,0,0,COUNTA(enemy_skills!$A:$A),MATCH(D$1,enemy_skills!$1:$1,0)-MATCH("enemy_skill_id",enemy_skills!$1:$1,0)+1),MATCH(D$1,enemy_skills!$1:$1,0)-MATCH("enemy_skill_id",enemy_skills!$1:$1,0)+1,FALSE)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57" s="40" t="str">
        <f ca="1">VLOOKUP($C257,OFFSET(enemy_skills!$A$1,0,0,COUNTA(enemy_skills!$A:$A),MATCH(E$1,enemy_skills!$1:$1,0)-MATCH("enemy_skill_id",enemy_skills!$1:$1,0)+1),MATCH(E$1,enemy_skills!$1:$1,0)-MATCH("enemy_skill_id",enemy_skills!$1:$1,0)+1,FALSE)</f>
        <v>そっかー！ユキネが助けてくれたんだねー！すっごーい！</v>
      </c>
      <c r="F257" s="122">
        <v>39008101</v>
      </c>
      <c r="G257" s="42">
        <f ca="1">VLOOKUP($F257,OFFSET(enemy_skill_triggers!$A$1,0,0,COUNTA(enemy_skill_triggers!$A:$A),MATCH(G$1,enemy_skill_triggers!$1:$1,0)-MATCH($F$1,enemy_skill_triggers!$1:$1,0)+1),MATCH(G$1,enemy_skill_triggers!$1:$1,0)-MATCH($F$1,enemy_skill_triggers!$1:$1,0)+1,FALSE)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7" s="42">
        <f ca="1">VLOOKUP($F257,OFFSET(enemy_skill_triggers!$A$1,0,0,COUNTA(enemy_skill_triggers!$A:$A),MATCH(H$1,enemy_skill_triggers!$1:$1,0)-MATCH($F$1,enemy_skill_triggers!$1:$1,0)+1),MATCH(H$1,enemy_skill_triggers!$1:$1,0)-MATCH($F$1,enemy_skill_triggers!$1:$1,0)+1,FALSE)</f>
        <v>930</v>
      </c>
      <c r="I257" s="42">
        <f ca="1">VLOOKUP($F257,OFFSET(enemy_skill_triggers!$A$1,0,0,COUNTA(enemy_skill_triggers!$A:$A),MATCH(I$1,enemy_skill_triggers!$1:$1,0)-MATCH($F$1,enemy_skill_triggers!$1:$1,0)+1),MATCH(I$1,enemy_skill_triggers!$1:$1,0)-MATCH($F$1,enemy_skill_triggers!$1:$1,0)+1,FALSE)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7" s="42" t="str">
        <f ca="1">VLOOKUP($F257,OFFSET(enemy_skill_triggers!$A$1,0,0,COUNTA(enemy_skill_triggers!$A:$A),MATCH(J$1,enemy_skill_triggers!$1:$1,0)-MATCH($F$1,enemy_skill_triggers!$1:$1,0)+1),MATCH(J$1,enemy_skill_triggers!$1:$1,0)-MATCH($F$1,enemy_skill_triggers!$1:$1,0)+1,FALSE)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7" s="42" t="str">
        <f ca="1">VLOOKUP($F257,OFFSET(enemy_skill_triggers!$A$1,0,0,COUNTA(enemy_skill_triggers!$A:$A),MATCH(K$1,enemy_skill_triggers!$1:$1,0)-MATCH($F$1,enemy_skill_triggers!$1:$1,0)+1),MATCH(K$1,enemy_skill_triggers!$1:$1,0)-MATCH($F$1,enemy_skill_triggers!$1:$1,0)+1,FALSE)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7" s="42">
        <f ca="1">VLOOKUP($F257,OFFSET(enemy_skill_triggers!$A$1,0,0,COUNTA(enemy_skill_triggers!$A:$A),MATCH(L$1,enemy_skill_triggers!$1:$1,0)-MATCH($F$1,enemy_skill_triggers!$1:$1,0)+1),MATCH(L$1,enemy_skill_triggers!$1:$1,0)-MATCH($F$1,enemy_skill_triggers!$1:$1,0)+1,FALSE)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57" s="42" t="str">
        <f ca="1">VLOOKUP($F257,OFFSET(enemy_skill_triggers!$A$1,0,0,COUNTA(enemy_skill_triggers!$A:$A),MATCH(M$1,enemy_skill_triggers!$1:$1,0)-MATCH($F$1,enemy_skill_triggers!$1:$1,0)+1),MATCH(M$1,enemy_skill_triggers!$1:$1,0)-MATCH($F$1,enemy_skill_triggers!$1:$1,0)+1,FALSE)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7" s="42">
        <f ca="1">VLOOKUP($F257,OFFSET(enemy_skill_triggers!$A$1,0,0,COUNTA(enemy_skill_triggers!$A:$A),MATCH(N$1,enemy_skill_triggers!$1:$1,0)-MATCH($F$1,enemy_skill_triggers!$1:$1,0)+1),MATCH(N$1,enemy_skill_triggers!$1:$1,0)-MATCH($F$1,enemy_skill_triggers!$1:$1,0)+1,FALSE)</f>
        <v>558</v>
      </c>
      <c r="O257" s="42">
        <f ca="1">VLOOKUP($F257,OFFSET(enemy_skill_triggers!$A$1,0,0,COUNTA(enemy_skill_triggers!$A:$A),MATCH(O$1,enemy_skill_triggers!$1:$1,0)-MATCH($F$1,enemy_skill_triggers!$1:$1,0)+1),MATCH(O$1,enemy_skill_triggers!$1:$1,0)-MATCH($F$1,enemy_skill_triggers!$1:$1,0)+1,FALSE)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7" s="41"/>
      <c r="Q257" s="41"/>
      <c r="R257" s="41" t="s">
        <v>344</v>
      </c>
    </row>
    <row r="258" spans="1:18" ht="21" customHeight="1" x14ac:dyDescent="0.15">
      <c r="A258" s="33" t="str">
        <f t="shared" si="14"/>
        <v>39008011_39008034</v>
      </c>
      <c r="B258" s="102">
        <v>39008011</v>
      </c>
      <c r="C258" s="119">
        <v>39008034</v>
      </c>
      <c r="D258" s="40" t="str">
        <f ca="1">VLOOKUP($C258,OFFSET(enemy_skills!$A$1,0,0,COUNTA(enemy_skills!$A:$A),MATCH(D$1,enemy_skills!$1:$1,0)-MATCH("enemy_skill_id",enemy_skills!$1:$1,0)+1),MATCH(D$1,enemy_skills!$1:$1,0)-MATCH("enemy_skill_id",enemy_skills!$1:$1,0)+1,FALSE)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58" s="40" t="str">
        <f ca="1">VLOOKUP($C258,OFFSET(enemy_skills!$A$1,0,0,COUNTA(enemy_skills!$A:$A),MATCH(E$1,enemy_skills!$1:$1,0)-MATCH("enemy_skill_id",enemy_skills!$1:$1,0)+1),MATCH(E$1,enemy_skills!$1:$1,0)-MATCH("enemy_skill_id",enemy_skills!$1:$1,0)+1,FALSE)</f>
        <v>そっかー！ユキネが助けてくれたんだねー！すっごーい！</v>
      </c>
      <c r="F258" s="122">
        <v>39008102</v>
      </c>
      <c r="G258" s="42">
        <f ca="1">VLOOKUP($F258,OFFSET(enemy_skill_triggers!$A$1,0,0,COUNTA(enemy_skill_triggers!$A:$A),MATCH(G$1,enemy_skill_triggers!$1:$1,0)-MATCH($F$1,enemy_skill_triggers!$1:$1,0)+1),MATCH(G$1,enemy_skill_triggers!$1:$1,0)-MATCH($F$1,enemy_skill_triggers!$1:$1,0)+1,FALSE)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8" s="42">
        <f ca="1">VLOOKUP($F258,OFFSET(enemy_skill_triggers!$A$1,0,0,COUNTA(enemy_skill_triggers!$A:$A),MATCH(H$1,enemy_skill_triggers!$1:$1,0)-MATCH($F$1,enemy_skill_triggers!$1:$1,0)+1),MATCH(H$1,enemy_skill_triggers!$1:$1,0)-MATCH($F$1,enemy_skill_triggers!$1:$1,0)+1,FALSE)</f>
        <v>929</v>
      </c>
      <c r="I258" s="42">
        <f ca="1">VLOOKUP($F258,OFFSET(enemy_skill_triggers!$A$1,0,0,COUNTA(enemy_skill_triggers!$A:$A),MATCH(I$1,enemy_skill_triggers!$1:$1,0)-MATCH($F$1,enemy_skill_triggers!$1:$1,0)+1),MATCH(I$1,enemy_skill_triggers!$1:$1,0)-MATCH($F$1,enemy_skill_triggers!$1:$1,0)+1,FALSE)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8" s="42" t="str">
        <f ca="1">VLOOKUP($F258,OFFSET(enemy_skill_triggers!$A$1,0,0,COUNTA(enemy_skill_triggers!$A:$A),MATCH(J$1,enemy_skill_triggers!$1:$1,0)-MATCH($F$1,enemy_skill_triggers!$1:$1,0)+1),MATCH(J$1,enemy_skill_triggers!$1:$1,0)-MATCH($F$1,enemy_skill_triggers!$1:$1,0)+1,FALSE)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8" s="42" t="str">
        <f ca="1">VLOOKUP($F258,OFFSET(enemy_skill_triggers!$A$1,0,0,COUNTA(enemy_skill_triggers!$A:$A),MATCH(K$1,enemy_skill_triggers!$1:$1,0)-MATCH($F$1,enemy_skill_triggers!$1:$1,0)+1),MATCH(K$1,enemy_skill_triggers!$1:$1,0)-MATCH($F$1,enemy_skill_triggers!$1:$1,0)+1,FALSE)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8" s="42">
        <f ca="1">VLOOKUP($F258,OFFSET(enemy_skill_triggers!$A$1,0,0,COUNTA(enemy_skill_triggers!$A:$A),MATCH(L$1,enemy_skill_triggers!$1:$1,0)-MATCH($F$1,enemy_skill_triggers!$1:$1,0)+1),MATCH(L$1,enemy_skill_triggers!$1:$1,0)-MATCH($F$1,enemy_skill_triggers!$1:$1,0)+1,FALSE)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58" s="42" t="str">
        <f ca="1">VLOOKUP($F258,OFFSET(enemy_skill_triggers!$A$1,0,0,COUNTA(enemy_skill_triggers!$A:$A),MATCH(M$1,enemy_skill_triggers!$1:$1,0)-MATCH($F$1,enemy_skill_triggers!$1:$1,0)+1),MATCH(M$1,enemy_skill_triggers!$1:$1,0)-MATCH($F$1,enemy_skill_triggers!$1:$1,0)+1,FALSE)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8" s="42">
        <f ca="1">VLOOKUP($F258,OFFSET(enemy_skill_triggers!$A$1,0,0,COUNTA(enemy_skill_triggers!$A:$A),MATCH(N$1,enemy_skill_triggers!$1:$1,0)-MATCH($F$1,enemy_skill_triggers!$1:$1,0)+1),MATCH(N$1,enemy_skill_triggers!$1:$1,0)-MATCH($F$1,enemy_skill_triggers!$1:$1,0)+1,FALSE)</f>
        <v>559</v>
      </c>
      <c r="O258" s="42">
        <f ca="1">VLOOKUP($F258,OFFSET(enemy_skill_triggers!$A$1,0,0,COUNTA(enemy_skill_triggers!$A:$A),MATCH(O$1,enemy_skill_triggers!$1:$1,0)-MATCH($F$1,enemy_skill_triggers!$1:$1,0)+1),MATCH(O$1,enemy_skill_triggers!$1:$1,0)-MATCH($F$1,enemy_skill_triggers!$1:$1,0)+1,FALSE)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8" s="41"/>
      <c r="Q258" s="41"/>
      <c r="R258" s="41" t="s">
        <v>344</v>
      </c>
    </row>
    <row r="259" spans="1:18" ht="21" customHeight="1" x14ac:dyDescent="0.15">
      <c r="A259" s="33" t="str">
        <f t="shared" si="14"/>
        <v>39008011_39008034</v>
      </c>
      <c r="B259" s="102">
        <v>39008011</v>
      </c>
      <c r="C259" s="119">
        <v>39008034</v>
      </c>
      <c r="D259" s="40" t="str">
        <f ca="1">VLOOKUP($C259,OFFSET(enemy_skills!$A$1,0,0,COUNTA(enemy_skills!$A:$A),MATCH(D$1,enemy_skills!$1:$1,0)-MATCH("enemy_skill_id",enemy_skills!$1:$1,0)+1),MATCH(D$1,enemy_skills!$1:$1,0)-MATCH("enemy_skill_id",enemy_skills!$1:$1,0)+1,FALSE)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59" s="40" t="str">
        <f ca="1">VLOOKUP($C259,OFFSET(enemy_skills!$A$1,0,0,COUNTA(enemy_skills!$A:$A),MATCH(E$1,enemy_skills!$1:$1,0)-MATCH("enemy_skill_id",enemy_skills!$1:$1,0)+1),MATCH(E$1,enemy_skills!$1:$1,0)-MATCH("enemy_skill_id",enemy_skills!$1:$1,0)+1,FALSE)</f>
        <v>そっかー！ユキネが助けてくれたんだねー！すっごーい！</v>
      </c>
      <c r="F259" s="122">
        <v>39008103</v>
      </c>
      <c r="G259" s="42">
        <f ca="1">VLOOKUP($F259,OFFSET(enemy_skill_triggers!$A$1,0,0,COUNTA(enemy_skill_triggers!$A:$A),MATCH(G$1,enemy_skill_triggers!$1:$1,0)-MATCH($F$1,enemy_skill_triggers!$1:$1,0)+1),MATCH(G$1,enemy_skill_triggers!$1:$1,0)-MATCH($F$1,enemy_skill_triggers!$1:$1,0)+1,FALSE)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9" s="42">
        <f ca="1">VLOOKUP($F259,OFFSET(enemy_skill_triggers!$A$1,0,0,COUNTA(enemy_skill_triggers!$A:$A),MATCH(H$1,enemy_skill_triggers!$1:$1,0)-MATCH($F$1,enemy_skill_triggers!$1:$1,0)+1),MATCH(H$1,enemy_skill_triggers!$1:$1,0)-MATCH($F$1,enemy_skill_triggers!$1:$1,0)+1,FALSE)</f>
        <v>928</v>
      </c>
      <c r="I259" s="42">
        <f ca="1">VLOOKUP($F259,OFFSET(enemy_skill_triggers!$A$1,0,0,COUNTA(enemy_skill_triggers!$A:$A),MATCH(I$1,enemy_skill_triggers!$1:$1,0)-MATCH($F$1,enemy_skill_triggers!$1:$1,0)+1),MATCH(I$1,enemy_skill_triggers!$1:$1,0)-MATCH($F$1,enemy_skill_triggers!$1:$1,0)+1,FALSE)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9" s="42" t="str">
        <f ca="1">VLOOKUP($F259,OFFSET(enemy_skill_triggers!$A$1,0,0,COUNTA(enemy_skill_triggers!$A:$A),MATCH(J$1,enemy_skill_triggers!$1:$1,0)-MATCH($F$1,enemy_skill_triggers!$1:$1,0)+1),MATCH(J$1,enemy_skill_triggers!$1:$1,0)-MATCH($F$1,enemy_skill_triggers!$1:$1,0)+1,FALSE)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9" s="42" t="str">
        <f ca="1">VLOOKUP($F259,OFFSET(enemy_skill_triggers!$A$1,0,0,COUNTA(enemy_skill_triggers!$A:$A),MATCH(K$1,enemy_skill_triggers!$1:$1,0)-MATCH($F$1,enemy_skill_triggers!$1:$1,0)+1),MATCH(K$1,enemy_skill_triggers!$1:$1,0)-MATCH($F$1,enemy_skill_triggers!$1:$1,0)+1,FALSE)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9" s="42">
        <f ca="1">VLOOKUP($F259,OFFSET(enemy_skill_triggers!$A$1,0,0,COUNTA(enemy_skill_triggers!$A:$A),MATCH(L$1,enemy_skill_triggers!$1:$1,0)-MATCH($F$1,enemy_skill_triggers!$1:$1,0)+1),MATCH(L$1,enemy_skill_triggers!$1:$1,0)-MATCH($F$1,enemy_skill_triggers!$1:$1,0)+1,FALSE)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59" s="42" t="str">
        <f ca="1">VLOOKUP($F259,OFFSET(enemy_skill_triggers!$A$1,0,0,COUNTA(enemy_skill_triggers!$A:$A),MATCH(M$1,enemy_skill_triggers!$1:$1,0)-MATCH($F$1,enemy_skill_triggers!$1:$1,0)+1),MATCH(M$1,enemy_skill_triggers!$1:$1,0)-MATCH($F$1,enemy_skill_triggers!$1:$1,0)+1,FALSE)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9" s="42">
        <f ca="1">VLOOKUP($F259,OFFSET(enemy_skill_triggers!$A$1,0,0,COUNTA(enemy_skill_triggers!$A:$A),MATCH(N$1,enemy_skill_triggers!$1:$1,0)-MATCH($F$1,enemy_skill_triggers!$1:$1,0)+1),MATCH(N$1,enemy_skill_triggers!$1:$1,0)-MATCH($F$1,enemy_skill_triggers!$1:$1,0)+1,FALSE)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259" s="42">
        <f ca="1">VLOOKUP($F259,OFFSET(enemy_skill_triggers!$A$1,0,0,COUNTA(enemy_skill_triggers!$A:$A),MATCH(O$1,enemy_skill_triggers!$1:$1,0)-MATCH($F$1,enemy_skill_triggers!$1:$1,0)+1),MATCH(O$1,enemy_skill_triggers!$1:$1,0)-MATCH($F$1,enemy_skill_triggers!$1:$1,0)+1,FALSE)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9" s="41"/>
      <c r="Q259" s="41"/>
      <c r="R259" s="41" t="s">
        <v>344</v>
      </c>
    </row>
    <row r="260" spans="1:18" ht="21" customHeight="1" x14ac:dyDescent="0.15">
      <c r="A260" s="33" t="str">
        <f t="shared" si="14"/>
        <v>39008011_39008034</v>
      </c>
      <c r="B260" s="102">
        <v>39008011</v>
      </c>
      <c r="C260" s="119">
        <v>39008034</v>
      </c>
      <c r="D260" s="40" t="str">
        <f ca="1">VLOOKUP($C260,OFFSET(enemy_skills!$A$1,0,0,COUNTA(enemy_skills!$A:$A),MATCH(D$1,enemy_skills!$1:$1,0)-MATCH("enemy_skill_id",enemy_skills!$1:$1,0)+1),MATCH(D$1,enemy_skills!$1:$1,0)-MATCH("enemy_skill_id",enemy_skills!$1:$1,0)+1,FALSE)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60" s="40" t="str">
        <f ca="1">VLOOKUP($C260,OFFSET(enemy_skills!$A$1,0,0,COUNTA(enemy_skills!$A:$A),MATCH(E$1,enemy_skills!$1:$1,0)-MATCH("enemy_skill_id",enemy_skills!$1:$1,0)+1),MATCH(E$1,enemy_skills!$1:$1,0)-MATCH("enemy_skill_id",enemy_skills!$1:$1,0)+1,FALSE)</f>
        <v>そっかー！ユキネが助けてくれたんだねー！すっごーい！</v>
      </c>
      <c r="F260" s="122">
        <v>39008104</v>
      </c>
      <c r="G260" s="42">
        <f ca="1">VLOOKUP($F260,OFFSET(enemy_skill_triggers!$A$1,0,0,COUNTA(enemy_skill_triggers!$A:$A),MATCH(G$1,enemy_skill_triggers!$1:$1,0)-MATCH($F$1,enemy_skill_triggers!$1:$1,0)+1),MATCH(G$1,enemy_skill_triggers!$1:$1,0)-MATCH($F$1,enemy_skill_triggers!$1:$1,0)+1,FALSE)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0" s="42">
        <f ca="1">VLOOKUP($F260,OFFSET(enemy_skill_triggers!$A$1,0,0,COUNTA(enemy_skill_triggers!$A:$A),MATCH(H$1,enemy_skill_triggers!$1:$1,0)-MATCH($F$1,enemy_skill_triggers!$1:$1,0)+1),MATCH(H$1,enemy_skill_triggers!$1:$1,0)-MATCH($F$1,enemy_skill_triggers!$1:$1,0)+1,FALSE)</f>
        <v>927</v>
      </c>
      <c r="I260" s="42">
        <f ca="1">VLOOKUP($F260,OFFSET(enemy_skill_triggers!$A$1,0,0,COUNTA(enemy_skill_triggers!$A:$A),MATCH(I$1,enemy_skill_triggers!$1:$1,0)-MATCH($F$1,enemy_skill_triggers!$1:$1,0)+1),MATCH(I$1,enemy_skill_triggers!$1:$1,0)-MATCH($F$1,enemy_skill_triggers!$1:$1,0)+1,FALSE)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0" s="42" t="str">
        <f ca="1">VLOOKUP($F260,OFFSET(enemy_skill_triggers!$A$1,0,0,COUNTA(enemy_skill_triggers!$A:$A),MATCH(J$1,enemy_skill_triggers!$1:$1,0)-MATCH($F$1,enemy_skill_triggers!$1:$1,0)+1),MATCH(J$1,enemy_skill_triggers!$1:$1,0)-MATCH($F$1,enemy_skill_triggers!$1:$1,0)+1,FALSE)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0" s="42" t="str">
        <f ca="1">VLOOKUP($F260,OFFSET(enemy_skill_triggers!$A$1,0,0,COUNTA(enemy_skill_triggers!$A:$A),MATCH(K$1,enemy_skill_triggers!$1:$1,0)-MATCH($F$1,enemy_skill_triggers!$1:$1,0)+1),MATCH(K$1,enemy_skill_triggers!$1:$1,0)-MATCH($F$1,enemy_skill_triggers!$1:$1,0)+1,FALSE)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0" s="42">
        <f ca="1">VLOOKUP($F260,OFFSET(enemy_skill_triggers!$A$1,0,0,COUNTA(enemy_skill_triggers!$A:$A),MATCH(L$1,enemy_skill_triggers!$1:$1,0)-MATCH($F$1,enemy_skill_triggers!$1:$1,0)+1),MATCH(L$1,enemy_skill_triggers!$1:$1,0)-MATCH($F$1,enemy_skill_triggers!$1:$1,0)+1,FALSE)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0" s="42" t="str">
        <f ca="1">VLOOKUP($F260,OFFSET(enemy_skill_triggers!$A$1,0,0,COUNTA(enemy_skill_triggers!$A:$A),MATCH(M$1,enemy_skill_triggers!$1:$1,0)-MATCH($F$1,enemy_skill_triggers!$1:$1,0)+1),MATCH(M$1,enemy_skill_triggers!$1:$1,0)-MATCH($F$1,enemy_skill_triggers!$1:$1,0)+1,FALSE)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0" s="42">
        <f ca="1">VLOOKUP($F260,OFFSET(enemy_skill_triggers!$A$1,0,0,COUNTA(enemy_skill_triggers!$A:$A),MATCH(N$1,enemy_skill_triggers!$1:$1,0)-MATCH($F$1,enemy_skill_triggers!$1:$1,0)+1),MATCH(N$1,enemy_skill_triggers!$1:$1,0)-MATCH($F$1,enemy_skill_triggers!$1:$1,0)+1,FALSE)</f>
        <v>1296</v>
      </c>
      <c r="O260" s="42">
        <f ca="1">VLOOKUP($F260,OFFSET(enemy_skill_triggers!$A$1,0,0,COUNTA(enemy_skill_triggers!$A:$A),MATCH(O$1,enemy_skill_triggers!$1:$1,0)-MATCH($F$1,enemy_skill_triggers!$1:$1,0)+1),MATCH(O$1,enemy_skill_triggers!$1:$1,0)-MATCH($F$1,enemy_skill_triggers!$1:$1,0)+1,FALSE)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0" s="41"/>
      <c r="Q260" s="41"/>
      <c r="R260" s="41" t="s">
        <v>344</v>
      </c>
    </row>
    <row r="261" spans="1:18" ht="21" customHeight="1" x14ac:dyDescent="0.15">
      <c r="A261" s="33" t="str">
        <f t="shared" si="14"/>
        <v>39008011_39008033</v>
      </c>
      <c r="B261" s="102">
        <v>39008011</v>
      </c>
      <c r="C261" s="119">
        <v>39008033</v>
      </c>
      <c r="D261" s="40" t="str">
        <f ca="1">VLOOKUP($C261,OFFSET(enemy_skills!$A$1,0,0,COUNTA(enemy_skills!$A:$A),MATCH(D$1,enemy_skills!$1:$1,0)-MATCH("enemy_skill_id",enemy_skills!$1:$1,0)+1),MATCH(D$1,enemy_skills!$1:$1,0)-MATCH("enemy_skill_id",enemy_skills!$1:$1,0)+1,FALSE)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61" s="40" t="str">
        <f ca="1">VLOOKUP($C261,OFFSET(enemy_skills!$A$1,0,0,COUNTA(enemy_skills!$A:$A),MATCH(E$1,enemy_skills!$1:$1,0)-MATCH("enemy_skill_id",enemy_skills!$1:$1,0)+1),MATCH(E$1,enemy_skills!$1:$1,0)-MATCH("enemy_skill_id",enemy_skills!$1:$1,0)+1,FALSE)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61" s="122">
        <v>39008105</v>
      </c>
      <c r="G261" s="42">
        <f ca="1">VLOOKUP($F261,OFFSET(enemy_skill_triggers!$A$1,0,0,COUNTA(enemy_skill_triggers!$A:$A),MATCH(G$1,enemy_skill_triggers!$1:$1,0)-MATCH($F$1,enemy_skill_triggers!$1:$1,0)+1),MATCH(G$1,enemy_skill_triggers!$1:$1,0)-MATCH($F$1,enemy_skill_triggers!$1:$1,0)+1,FALSE)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1" s="42">
        <f ca="1">VLOOKUP($F261,OFFSET(enemy_skill_triggers!$A$1,0,0,COUNTA(enemy_skill_triggers!$A:$A),MATCH(H$1,enemy_skill_triggers!$1:$1,0)-MATCH($F$1,enemy_skill_triggers!$1:$1,0)+1),MATCH(H$1,enemy_skill_triggers!$1:$1,0)-MATCH($F$1,enemy_skill_triggers!$1:$1,0)+1,FALSE)</f>
        <v>926</v>
      </c>
      <c r="I261" s="42">
        <f ca="1">VLOOKUP($F261,OFFSET(enemy_skill_triggers!$A$1,0,0,COUNTA(enemy_skill_triggers!$A:$A),MATCH(I$1,enemy_skill_triggers!$1:$1,0)-MATCH($F$1,enemy_skill_triggers!$1:$1,0)+1),MATCH(I$1,enemy_skill_triggers!$1:$1,0)-MATCH($F$1,enemy_skill_triggers!$1:$1,0)+1,FALSE)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1" s="42" t="str">
        <f ca="1">VLOOKUP($F261,OFFSET(enemy_skill_triggers!$A$1,0,0,COUNTA(enemy_skill_triggers!$A:$A),MATCH(J$1,enemy_skill_triggers!$1:$1,0)-MATCH($F$1,enemy_skill_triggers!$1:$1,0)+1),MATCH(J$1,enemy_skill_triggers!$1:$1,0)-MATCH($F$1,enemy_skill_triggers!$1:$1,0)+1,FALSE)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1" s="42" t="str">
        <f ca="1">VLOOKUP($F261,OFFSET(enemy_skill_triggers!$A$1,0,0,COUNTA(enemy_skill_triggers!$A:$A),MATCH(K$1,enemy_skill_triggers!$1:$1,0)-MATCH($F$1,enemy_skill_triggers!$1:$1,0)+1),MATCH(K$1,enemy_skill_triggers!$1:$1,0)-MATCH($F$1,enemy_skill_triggers!$1:$1,0)+1,FALSE)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1" s="42">
        <f ca="1">VLOOKUP($F261,OFFSET(enemy_skill_triggers!$A$1,0,0,COUNTA(enemy_skill_triggers!$A:$A),MATCH(L$1,enemy_skill_triggers!$1:$1,0)-MATCH($F$1,enemy_skill_triggers!$1:$1,0)+1),MATCH(L$1,enemy_skill_triggers!$1:$1,0)-MATCH($F$1,enemy_skill_triggers!$1:$1,0)+1,FALSE)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1" s="42" t="str">
        <f ca="1">VLOOKUP($F261,OFFSET(enemy_skill_triggers!$A$1,0,0,COUNTA(enemy_skill_triggers!$A:$A),MATCH(M$1,enemy_skill_triggers!$1:$1,0)-MATCH($F$1,enemy_skill_triggers!$1:$1,0)+1),MATCH(M$1,enemy_skill_triggers!$1:$1,0)-MATCH($F$1,enemy_skill_triggers!$1:$1,0)+1,FALSE)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1" s="42">
        <f ca="1">VLOOKUP($F261,OFFSET(enemy_skill_triggers!$A$1,0,0,COUNTA(enemy_skill_triggers!$A:$A),MATCH(N$1,enemy_skill_triggers!$1:$1,0)-MATCH($F$1,enemy_skill_triggers!$1:$1,0)+1),MATCH(N$1,enemy_skill_triggers!$1:$1,0)-MATCH($F$1,enemy_skill_triggers!$1:$1,0)+1,FALSE)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261" s="42">
        <f ca="1">VLOOKUP($F261,OFFSET(enemy_skill_triggers!$A$1,0,0,COUNTA(enemy_skill_triggers!$A:$A),MATCH(O$1,enemy_skill_triggers!$1:$1,0)-MATCH($F$1,enemy_skill_triggers!$1:$1,0)+1),MATCH(O$1,enemy_skill_triggers!$1:$1,0)-MATCH($F$1,enemy_skill_triggers!$1:$1,0)+1,FALSE)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1" s="41"/>
      <c r="Q261" s="41"/>
      <c r="R261" s="41" t="s">
        <v>349</v>
      </c>
    </row>
    <row r="262" spans="1:18" ht="21" customHeight="1" x14ac:dyDescent="0.15">
      <c r="A262" s="33" t="str">
        <f t="shared" si="14"/>
        <v>39008011_39008033</v>
      </c>
      <c r="B262" s="102">
        <v>39008011</v>
      </c>
      <c r="C262" s="119">
        <v>39008033</v>
      </c>
      <c r="D262" s="40" t="str">
        <f ca="1">VLOOKUP($C262,OFFSET(enemy_skills!$A$1,0,0,COUNTA(enemy_skills!$A:$A),MATCH(D$1,enemy_skills!$1:$1,0)-MATCH("enemy_skill_id",enemy_skills!$1:$1,0)+1),MATCH(D$1,enemy_skills!$1:$1,0)-MATCH("enemy_skill_id",enemy_skills!$1:$1,0)+1,FALSE)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62" s="40" t="str">
        <f ca="1">VLOOKUP($C262,OFFSET(enemy_skills!$A$1,0,0,COUNTA(enemy_skills!$A:$A),MATCH(E$1,enemy_skills!$1:$1,0)-MATCH("enemy_skill_id",enemy_skills!$1:$1,0)+1),MATCH(E$1,enemy_skills!$1:$1,0)-MATCH("enemy_skill_id",enemy_skills!$1:$1,0)+1,FALSE)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62" s="122">
        <v>39008106</v>
      </c>
      <c r="G262" s="42">
        <f ca="1">VLOOKUP($F262,OFFSET(enemy_skill_triggers!$A$1,0,0,COUNTA(enemy_skill_triggers!$A:$A),MATCH(G$1,enemy_skill_triggers!$1:$1,0)-MATCH($F$1,enemy_skill_triggers!$1:$1,0)+1),MATCH(G$1,enemy_skill_triggers!$1:$1,0)-MATCH($F$1,enemy_skill_triggers!$1:$1,0)+1,FALSE)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2" s="42">
        <f ca="1">VLOOKUP($F262,OFFSET(enemy_skill_triggers!$A$1,0,0,COUNTA(enemy_skill_triggers!$A:$A),MATCH(H$1,enemy_skill_triggers!$1:$1,0)-MATCH($F$1,enemy_skill_triggers!$1:$1,0)+1),MATCH(H$1,enemy_skill_triggers!$1:$1,0)-MATCH($F$1,enemy_skill_triggers!$1:$1,0)+1,FALSE)</f>
        <v>925</v>
      </c>
      <c r="I262" s="42">
        <f ca="1">VLOOKUP($F262,OFFSET(enemy_skill_triggers!$A$1,0,0,COUNTA(enemy_skill_triggers!$A:$A),MATCH(I$1,enemy_skill_triggers!$1:$1,0)-MATCH($F$1,enemy_skill_triggers!$1:$1,0)+1),MATCH(I$1,enemy_skill_triggers!$1:$1,0)-MATCH($F$1,enemy_skill_triggers!$1:$1,0)+1,FALSE)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2" s="42" t="str">
        <f ca="1">VLOOKUP($F262,OFFSET(enemy_skill_triggers!$A$1,0,0,COUNTA(enemy_skill_triggers!$A:$A),MATCH(J$1,enemy_skill_triggers!$1:$1,0)-MATCH($F$1,enemy_skill_triggers!$1:$1,0)+1),MATCH(J$1,enemy_skill_triggers!$1:$1,0)-MATCH($F$1,enemy_skill_triggers!$1:$1,0)+1,FALSE)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2" s="42" t="str">
        <f ca="1">VLOOKUP($F262,OFFSET(enemy_skill_triggers!$A$1,0,0,COUNTA(enemy_skill_triggers!$A:$A),MATCH(K$1,enemy_skill_triggers!$1:$1,0)-MATCH($F$1,enemy_skill_triggers!$1:$1,0)+1),MATCH(K$1,enemy_skill_triggers!$1:$1,0)-MATCH($F$1,enemy_skill_triggers!$1:$1,0)+1,FALSE)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2" s="42">
        <f ca="1">VLOOKUP($F262,OFFSET(enemy_skill_triggers!$A$1,0,0,COUNTA(enemy_skill_triggers!$A:$A),MATCH(L$1,enemy_skill_triggers!$1:$1,0)-MATCH($F$1,enemy_skill_triggers!$1:$1,0)+1),MATCH(L$1,enemy_skill_triggers!$1:$1,0)-MATCH($F$1,enemy_skill_triggers!$1:$1,0)+1,FALSE)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2" s="42" t="str">
        <f ca="1">VLOOKUP($F262,OFFSET(enemy_skill_triggers!$A$1,0,0,COUNTA(enemy_skill_triggers!$A:$A),MATCH(M$1,enemy_skill_triggers!$1:$1,0)-MATCH($F$1,enemy_skill_triggers!$1:$1,0)+1),MATCH(M$1,enemy_skill_triggers!$1:$1,0)-MATCH($F$1,enemy_skill_triggers!$1:$1,0)+1,FALSE)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2" s="42">
        <f ca="1">VLOOKUP($F262,OFFSET(enemy_skill_triggers!$A$1,0,0,COUNTA(enemy_skill_triggers!$A:$A),MATCH(N$1,enemy_skill_triggers!$1:$1,0)-MATCH($F$1,enemy_skill_triggers!$1:$1,0)+1),MATCH(N$1,enemy_skill_triggers!$1:$1,0)-MATCH($F$1,enemy_skill_triggers!$1:$1,0)+1,FALSE)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262" s="42">
        <f ca="1">VLOOKUP($F262,OFFSET(enemy_skill_triggers!$A$1,0,0,COUNTA(enemy_skill_triggers!$A:$A),MATCH(O$1,enemy_skill_triggers!$1:$1,0)-MATCH($F$1,enemy_skill_triggers!$1:$1,0)+1),MATCH(O$1,enemy_skill_triggers!$1:$1,0)-MATCH($F$1,enemy_skill_triggers!$1:$1,0)+1,FALSE)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2" s="41"/>
      <c r="Q262" s="41"/>
      <c r="R262" s="41" t="s">
        <v>349</v>
      </c>
    </row>
    <row r="263" spans="1:18" ht="21" customHeight="1" x14ac:dyDescent="0.15">
      <c r="A263" s="33" t="str">
        <f t="shared" si="14"/>
        <v>39008011_39008033</v>
      </c>
      <c r="B263" s="102">
        <v>39008011</v>
      </c>
      <c r="C263" s="119">
        <v>39008033</v>
      </c>
      <c r="D263" s="40" t="str">
        <f ca="1">VLOOKUP($C263,OFFSET(enemy_skills!$A$1,0,0,COUNTA(enemy_skills!$A:$A),MATCH(D$1,enemy_skills!$1:$1,0)-MATCH("enemy_skill_id",enemy_skills!$1:$1,0)+1),MATCH(D$1,enemy_skills!$1:$1,0)-MATCH("enemy_skill_id",enemy_skills!$1:$1,0)+1,FALSE)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63" s="40" t="str">
        <f ca="1">VLOOKUP($C263,OFFSET(enemy_skills!$A$1,0,0,COUNTA(enemy_skills!$A:$A),MATCH(E$1,enemy_skills!$1:$1,0)-MATCH("enemy_skill_id",enemy_skills!$1:$1,0)+1),MATCH(E$1,enemy_skills!$1:$1,0)-MATCH("enemy_skill_id",enemy_skills!$1:$1,0)+1,FALSE)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63" s="122">
        <v>39008107</v>
      </c>
      <c r="G263" s="42">
        <f ca="1">VLOOKUP($F263,OFFSET(enemy_skill_triggers!$A$1,0,0,COUNTA(enemy_skill_triggers!$A:$A),MATCH(G$1,enemy_skill_triggers!$1:$1,0)-MATCH($F$1,enemy_skill_triggers!$1:$1,0)+1),MATCH(G$1,enemy_skill_triggers!$1:$1,0)-MATCH($F$1,enemy_skill_triggers!$1:$1,0)+1,FALSE)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3" s="42">
        <f ca="1">VLOOKUP($F263,OFFSET(enemy_skill_triggers!$A$1,0,0,COUNTA(enemy_skill_triggers!$A:$A),MATCH(H$1,enemy_skill_triggers!$1:$1,0)-MATCH($F$1,enemy_skill_triggers!$1:$1,0)+1),MATCH(H$1,enemy_skill_triggers!$1:$1,0)-MATCH($F$1,enemy_skill_triggers!$1:$1,0)+1,FALSE)</f>
        <v>924</v>
      </c>
      <c r="I263" s="42">
        <f ca="1">VLOOKUP($F263,OFFSET(enemy_skill_triggers!$A$1,0,0,COUNTA(enemy_skill_triggers!$A:$A),MATCH(I$1,enemy_skill_triggers!$1:$1,0)-MATCH($F$1,enemy_skill_triggers!$1:$1,0)+1),MATCH(I$1,enemy_skill_triggers!$1:$1,0)-MATCH($F$1,enemy_skill_triggers!$1:$1,0)+1,FALSE)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3" s="42" t="str">
        <f ca="1">VLOOKUP($F263,OFFSET(enemy_skill_triggers!$A$1,0,0,COUNTA(enemy_skill_triggers!$A:$A),MATCH(J$1,enemy_skill_triggers!$1:$1,0)-MATCH($F$1,enemy_skill_triggers!$1:$1,0)+1),MATCH(J$1,enemy_skill_triggers!$1:$1,0)-MATCH($F$1,enemy_skill_triggers!$1:$1,0)+1,FALSE)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3" s="42" t="str">
        <f ca="1">VLOOKUP($F263,OFFSET(enemy_skill_triggers!$A$1,0,0,COUNTA(enemy_skill_triggers!$A:$A),MATCH(K$1,enemy_skill_triggers!$1:$1,0)-MATCH($F$1,enemy_skill_triggers!$1:$1,0)+1),MATCH(K$1,enemy_skill_triggers!$1:$1,0)-MATCH($F$1,enemy_skill_triggers!$1:$1,0)+1,FALSE)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3" s="42">
        <f ca="1">VLOOKUP($F263,OFFSET(enemy_skill_triggers!$A$1,0,0,COUNTA(enemy_skill_triggers!$A:$A),MATCH(L$1,enemy_skill_triggers!$1:$1,0)-MATCH($F$1,enemy_skill_triggers!$1:$1,0)+1),MATCH(L$1,enemy_skill_triggers!$1:$1,0)-MATCH($F$1,enemy_skill_triggers!$1:$1,0)+1,FALSE)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3" s="42" t="str">
        <f ca="1">VLOOKUP($F263,OFFSET(enemy_skill_triggers!$A$1,0,0,COUNTA(enemy_skill_triggers!$A:$A),MATCH(M$1,enemy_skill_triggers!$1:$1,0)-MATCH($F$1,enemy_skill_triggers!$1:$1,0)+1),MATCH(M$1,enemy_skill_triggers!$1:$1,0)-MATCH($F$1,enemy_skill_triggers!$1:$1,0)+1,FALSE)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3" s="42">
        <f ca="1">VLOOKUP($F263,OFFSET(enemy_skill_triggers!$A$1,0,0,COUNTA(enemy_skill_triggers!$A:$A),MATCH(N$1,enemy_skill_triggers!$1:$1,0)-MATCH($F$1,enemy_skill_triggers!$1:$1,0)+1),MATCH(N$1,enemy_skill_triggers!$1:$1,0)-MATCH($F$1,enemy_skill_triggers!$1:$1,0)+1,FALSE)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263" s="42">
        <f ca="1">VLOOKUP($F263,OFFSET(enemy_skill_triggers!$A$1,0,0,COUNTA(enemy_skill_triggers!$A:$A),MATCH(O$1,enemy_skill_triggers!$1:$1,0)-MATCH($F$1,enemy_skill_triggers!$1:$1,0)+1),MATCH(O$1,enemy_skill_triggers!$1:$1,0)-MATCH($F$1,enemy_skill_triggers!$1:$1,0)+1,FALSE)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3" s="41"/>
      <c r="Q263" s="41"/>
      <c r="R263" s="41" t="s">
        <v>351</v>
      </c>
    </row>
    <row r="264" spans="1:18" ht="21" customHeight="1" x14ac:dyDescent="0.15">
      <c r="A264" s="33" t="str">
        <f t="shared" si="14"/>
        <v>39008011_39008033</v>
      </c>
      <c r="B264" s="102">
        <v>39008011</v>
      </c>
      <c r="C264" s="119">
        <v>39008033</v>
      </c>
      <c r="D264" s="40" t="str">
        <f ca="1">VLOOKUP($C264,OFFSET(enemy_skills!$A$1,0,0,COUNTA(enemy_skills!$A:$A),MATCH(D$1,enemy_skills!$1:$1,0)-MATCH("enemy_skill_id",enemy_skills!$1:$1,0)+1),MATCH(D$1,enemy_skills!$1:$1,0)-MATCH("enemy_skill_id",enemy_skills!$1:$1,0)+1,FALSE)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64" s="40" t="str">
        <f ca="1">VLOOKUP($C264,OFFSET(enemy_skills!$A$1,0,0,COUNTA(enemy_skills!$A:$A),MATCH(E$1,enemy_skills!$1:$1,0)-MATCH("enemy_skill_id",enemy_skills!$1:$1,0)+1),MATCH(E$1,enemy_skills!$1:$1,0)-MATCH("enemy_skill_id",enemy_skills!$1:$1,0)+1,FALSE)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64" s="122">
        <v>39008108</v>
      </c>
      <c r="G264" s="42">
        <f ca="1">VLOOKUP($F264,OFFSET(enemy_skill_triggers!$A$1,0,0,COUNTA(enemy_skill_triggers!$A:$A),MATCH(G$1,enemy_skill_triggers!$1:$1,0)-MATCH($F$1,enemy_skill_triggers!$1:$1,0)+1),MATCH(G$1,enemy_skill_triggers!$1:$1,0)-MATCH($F$1,enemy_skill_triggers!$1:$1,0)+1,FALSE)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4" s="42">
        <f ca="1">VLOOKUP($F264,OFFSET(enemy_skill_triggers!$A$1,0,0,COUNTA(enemy_skill_triggers!$A:$A),MATCH(H$1,enemy_skill_triggers!$1:$1,0)-MATCH($F$1,enemy_skill_triggers!$1:$1,0)+1),MATCH(H$1,enemy_skill_triggers!$1:$1,0)-MATCH($F$1,enemy_skill_triggers!$1:$1,0)+1,FALSE)</f>
        <v>923</v>
      </c>
      <c r="I264" s="42">
        <f ca="1">VLOOKUP($F264,OFFSET(enemy_skill_triggers!$A$1,0,0,COUNTA(enemy_skill_triggers!$A:$A),MATCH(I$1,enemy_skill_triggers!$1:$1,0)-MATCH($F$1,enemy_skill_triggers!$1:$1,0)+1),MATCH(I$1,enemy_skill_triggers!$1:$1,0)-MATCH($F$1,enemy_skill_triggers!$1:$1,0)+1,FALSE)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4" s="42" t="str">
        <f ca="1">VLOOKUP($F264,OFFSET(enemy_skill_triggers!$A$1,0,0,COUNTA(enemy_skill_triggers!$A:$A),MATCH(J$1,enemy_skill_triggers!$1:$1,0)-MATCH($F$1,enemy_skill_triggers!$1:$1,0)+1),MATCH(J$1,enemy_skill_triggers!$1:$1,0)-MATCH($F$1,enemy_skill_triggers!$1:$1,0)+1,FALSE)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4" s="42" t="str">
        <f ca="1">VLOOKUP($F264,OFFSET(enemy_skill_triggers!$A$1,0,0,COUNTA(enemy_skill_triggers!$A:$A),MATCH(K$1,enemy_skill_triggers!$1:$1,0)-MATCH($F$1,enemy_skill_triggers!$1:$1,0)+1),MATCH(K$1,enemy_skill_triggers!$1:$1,0)-MATCH($F$1,enemy_skill_triggers!$1:$1,0)+1,FALSE)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4" s="42">
        <f ca="1">VLOOKUP($F264,OFFSET(enemy_skill_triggers!$A$1,0,0,COUNTA(enemy_skill_triggers!$A:$A),MATCH(L$1,enemy_skill_triggers!$1:$1,0)-MATCH($F$1,enemy_skill_triggers!$1:$1,0)+1),MATCH(L$1,enemy_skill_triggers!$1:$1,0)-MATCH($F$1,enemy_skill_triggers!$1:$1,0)+1,FALSE)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4" s="42" t="str">
        <f ca="1">VLOOKUP($F264,OFFSET(enemy_skill_triggers!$A$1,0,0,COUNTA(enemy_skill_triggers!$A:$A),MATCH(M$1,enemy_skill_triggers!$1:$1,0)-MATCH($F$1,enemy_skill_triggers!$1:$1,0)+1),MATCH(M$1,enemy_skill_triggers!$1:$1,0)-MATCH($F$1,enemy_skill_triggers!$1:$1,0)+1,FALSE)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4" s="42">
        <f ca="1">VLOOKUP($F264,OFFSET(enemy_skill_triggers!$A$1,0,0,COUNTA(enemy_skill_triggers!$A:$A),MATCH(N$1,enemy_skill_triggers!$1:$1,0)-MATCH($F$1,enemy_skill_triggers!$1:$1,0)+1),MATCH(N$1,enemy_skill_triggers!$1:$1,0)-MATCH($F$1,enemy_skill_triggers!$1:$1,0)+1,FALSE)</f>
        <v>554</v>
      </c>
      <c r="O264" s="42">
        <f ca="1">VLOOKUP($F264,OFFSET(enemy_skill_triggers!$A$1,0,0,COUNTA(enemy_skill_triggers!$A:$A),MATCH(O$1,enemy_skill_triggers!$1:$1,0)-MATCH($F$1,enemy_skill_triggers!$1:$1,0)+1),MATCH(O$1,enemy_skill_triggers!$1:$1,0)-MATCH($F$1,enemy_skill_triggers!$1:$1,0)+1,FALSE)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4" s="41"/>
      <c r="Q264" s="41"/>
      <c r="R264" s="41" t="s">
        <v>352</v>
      </c>
    </row>
    <row r="265" spans="1:18" ht="21" customHeight="1" x14ac:dyDescent="0.15">
      <c r="A265" s="33" t="str">
        <f t="shared" si="14"/>
        <v>39008011_39008033</v>
      </c>
      <c r="B265" s="102">
        <v>39008011</v>
      </c>
      <c r="C265" s="119">
        <v>39008033</v>
      </c>
      <c r="D265" s="40" t="str">
        <f ca="1">VLOOKUP($C265,OFFSET(enemy_skills!$A$1,0,0,COUNTA(enemy_skills!$A:$A),MATCH(D$1,enemy_skills!$1:$1,0)-MATCH("enemy_skill_id",enemy_skills!$1:$1,0)+1),MATCH(D$1,enemy_skills!$1:$1,0)-MATCH("enemy_skill_id",enemy_skills!$1:$1,0)+1,FALSE)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65" s="40" t="str">
        <f ca="1">VLOOKUP($C265,OFFSET(enemy_skills!$A$1,0,0,COUNTA(enemy_skills!$A:$A),MATCH(E$1,enemy_skills!$1:$1,0)-MATCH("enemy_skill_id",enemy_skills!$1:$1,0)+1),MATCH(E$1,enemy_skills!$1:$1,0)-MATCH("enemy_skill_id",enemy_skills!$1:$1,0)+1,FALSE)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65" s="122">
        <v>39008109</v>
      </c>
      <c r="G265" s="42">
        <f ca="1">VLOOKUP($F265,OFFSET(enemy_skill_triggers!$A$1,0,0,COUNTA(enemy_skill_triggers!$A:$A),MATCH(G$1,enemy_skill_triggers!$1:$1,0)-MATCH($F$1,enemy_skill_triggers!$1:$1,0)+1),MATCH(G$1,enemy_skill_triggers!$1:$1,0)-MATCH($F$1,enemy_skill_triggers!$1:$1,0)+1,FALSE)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5" s="42">
        <f ca="1">VLOOKUP($F265,OFFSET(enemy_skill_triggers!$A$1,0,0,COUNTA(enemy_skill_triggers!$A:$A),MATCH(H$1,enemy_skill_triggers!$1:$1,0)-MATCH($F$1,enemy_skill_triggers!$1:$1,0)+1),MATCH(H$1,enemy_skill_triggers!$1:$1,0)-MATCH($F$1,enemy_skill_triggers!$1:$1,0)+1,FALSE)</f>
        <v>922</v>
      </c>
      <c r="I265" s="42">
        <f ca="1">VLOOKUP($F265,OFFSET(enemy_skill_triggers!$A$1,0,0,COUNTA(enemy_skill_triggers!$A:$A),MATCH(I$1,enemy_skill_triggers!$1:$1,0)-MATCH($F$1,enemy_skill_triggers!$1:$1,0)+1),MATCH(I$1,enemy_skill_triggers!$1:$1,0)-MATCH($F$1,enemy_skill_triggers!$1:$1,0)+1,FALSE)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5" s="42" t="str">
        <f ca="1">VLOOKUP($F265,OFFSET(enemy_skill_triggers!$A$1,0,0,COUNTA(enemy_skill_triggers!$A:$A),MATCH(J$1,enemy_skill_triggers!$1:$1,0)-MATCH($F$1,enemy_skill_triggers!$1:$1,0)+1),MATCH(J$1,enemy_skill_triggers!$1:$1,0)-MATCH($F$1,enemy_skill_triggers!$1:$1,0)+1,FALSE)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5" s="42" t="str">
        <f ca="1">VLOOKUP($F265,OFFSET(enemy_skill_triggers!$A$1,0,0,COUNTA(enemy_skill_triggers!$A:$A),MATCH(K$1,enemy_skill_triggers!$1:$1,0)-MATCH($F$1,enemy_skill_triggers!$1:$1,0)+1),MATCH(K$1,enemy_skill_triggers!$1:$1,0)-MATCH($F$1,enemy_skill_triggers!$1:$1,0)+1,FALSE)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5" s="42">
        <f ca="1">VLOOKUP($F265,OFFSET(enemy_skill_triggers!$A$1,0,0,COUNTA(enemy_skill_triggers!$A:$A),MATCH(L$1,enemy_skill_triggers!$1:$1,0)-MATCH($F$1,enemy_skill_triggers!$1:$1,0)+1),MATCH(L$1,enemy_skill_triggers!$1:$1,0)-MATCH($F$1,enemy_skill_triggers!$1:$1,0)+1,FALSE)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5" s="42" t="str">
        <f ca="1">VLOOKUP($F265,OFFSET(enemy_skill_triggers!$A$1,0,0,COUNTA(enemy_skill_triggers!$A:$A),MATCH(M$1,enemy_skill_triggers!$1:$1,0)-MATCH($F$1,enemy_skill_triggers!$1:$1,0)+1),MATCH(M$1,enemy_skill_triggers!$1:$1,0)-MATCH($F$1,enemy_skill_triggers!$1:$1,0)+1,FALSE)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5" s="42">
        <f ca="1">VLOOKUP($F265,OFFSET(enemy_skill_triggers!$A$1,0,0,COUNTA(enemy_skill_triggers!$A:$A),MATCH(N$1,enemy_skill_triggers!$1:$1,0)-MATCH($F$1,enemy_skill_triggers!$1:$1,0)+1),MATCH(N$1,enemy_skill_triggers!$1:$1,0)-MATCH($F$1,enemy_skill_triggers!$1:$1,0)+1,FALSE)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265" s="42">
        <f ca="1">VLOOKUP($F265,OFFSET(enemy_skill_triggers!$A$1,0,0,COUNTA(enemy_skill_triggers!$A:$A),MATCH(O$1,enemy_skill_triggers!$1:$1,0)-MATCH($F$1,enemy_skill_triggers!$1:$1,0)+1),MATCH(O$1,enemy_skill_triggers!$1:$1,0)-MATCH($F$1,enemy_skill_triggers!$1:$1,0)+1,FALSE)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5" s="41"/>
      <c r="Q265" s="41"/>
      <c r="R265" s="41" t="s">
        <v>353</v>
      </c>
    </row>
    <row r="266" spans="1:18" ht="21" customHeight="1" x14ac:dyDescent="0.15">
      <c r="A266" s="33" t="str">
        <f t="shared" si="14"/>
        <v>39008011_39008033</v>
      </c>
      <c r="B266" s="102">
        <v>39008011</v>
      </c>
      <c r="C266" s="119">
        <v>39008033</v>
      </c>
      <c r="D266" s="40" t="str">
        <f ca="1">VLOOKUP($C266,OFFSET(enemy_skills!$A$1,0,0,COUNTA(enemy_skills!$A:$A),MATCH(D$1,enemy_skills!$1:$1,0)-MATCH("enemy_skill_id",enemy_skills!$1:$1,0)+1),MATCH(D$1,enemy_skills!$1:$1,0)-MATCH("enemy_skill_id",enemy_skills!$1:$1,0)+1,FALSE)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66" s="40" t="str">
        <f ca="1">VLOOKUP($C266,OFFSET(enemy_skills!$A$1,0,0,COUNTA(enemy_skills!$A:$A),MATCH(E$1,enemy_skills!$1:$1,0)-MATCH("enemy_skill_id",enemy_skills!$1:$1,0)+1),MATCH(E$1,enemy_skills!$1:$1,0)-MATCH("enemy_skill_id",enemy_skills!$1:$1,0)+1,FALSE)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66" s="122">
        <v>39008110</v>
      </c>
      <c r="G266" s="42">
        <f ca="1">VLOOKUP($F266,OFFSET(enemy_skill_triggers!$A$1,0,0,COUNTA(enemy_skill_triggers!$A:$A),MATCH(G$1,enemy_skill_triggers!$1:$1,0)-MATCH($F$1,enemy_skill_triggers!$1:$1,0)+1),MATCH(G$1,enemy_skill_triggers!$1:$1,0)-MATCH($F$1,enemy_skill_triggers!$1:$1,0)+1,FALSE)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6" s="42">
        <f ca="1">VLOOKUP($F266,OFFSET(enemy_skill_triggers!$A$1,0,0,COUNTA(enemy_skill_triggers!$A:$A),MATCH(H$1,enemy_skill_triggers!$1:$1,0)-MATCH($F$1,enemy_skill_triggers!$1:$1,0)+1),MATCH(H$1,enemy_skill_triggers!$1:$1,0)-MATCH($F$1,enemy_skill_triggers!$1:$1,0)+1,FALSE)</f>
        <v>921</v>
      </c>
      <c r="I266" s="42">
        <f ca="1">VLOOKUP($F266,OFFSET(enemy_skill_triggers!$A$1,0,0,COUNTA(enemy_skill_triggers!$A:$A),MATCH(I$1,enemy_skill_triggers!$1:$1,0)-MATCH($F$1,enemy_skill_triggers!$1:$1,0)+1),MATCH(I$1,enemy_skill_triggers!$1:$1,0)-MATCH($F$1,enemy_skill_triggers!$1:$1,0)+1,FALSE)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6" s="42" t="str">
        <f ca="1">VLOOKUP($F266,OFFSET(enemy_skill_triggers!$A$1,0,0,COUNTA(enemy_skill_triggers!$A:$A),MATCH(J$1,enemy_skill_triggers!$1:$1,0)-MATCH($F$1,enemy_skill_triggers!$1:$1,0)+1),MATCH(J$1,enemy_skill_triggers!$1:$1,0)-MATCH($F$1,enemy_skill_triggers!$1:$1,0)+1,FALSE)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6" s="42" t="str">
        <f ca="1">VLOOKUP($F266,OFFSET(enemy_skill_triggers!$A$1,0,0,COUNTA(enemy_skill_triggers!$A:$A),MATCH(K$1,enemy_skill_triggers!$1:$1,0)-MATCH($F$1,enemy_skill_triggers!$1:$1,0)+1),MATCH(K$1,enemy_skill_triggers!$1:$1,0)-MATCH($F$1,enemy_skill_triggers!$1:$1,0)+1,FALSE)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6" s="42">
        <f ca="1">VLOOKUP($F266,OFFSET(enemy_skill_triggers!$A$1,0,0,COUNTA(enemy_skill_triggers!$A:$A),MATCH(L$1,enemy_skill_triggers!$1:$1,0)-MATCH($F$1,enemy_skill_triggers!$1:$1,0)+1),MATCH(L$1,enemy_skill_triggers!$1:$1,0)-MATCH($F$1,enemy_skill_triggers!$1:$1,0)+1,FALSE)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6" s="42" t="str">
        <f ca="1">VLOOKUP($F266,OFFSET(enemy_skill_triggers!$A$1,0,0,COUNTA(enemy_skill_triggers!$A:$A),MATCH(M$1,enemy_skill_triggers!$1:$1,0)-MATCH($F$1,enemy_skill_triggers!$1:$1,0)+1),MATCH(M$1,enemy_skill_triggers!$1:$1,0)-MATCH($F$1,enemy_skill_triggers!$1:$1,0)+1,FALSE)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6" s="42">
        <f ca="1">VLOOKUP($F266,OFFSET(enemy_skill_triggers!$A$1,0,0,COUNTA(enemy_skill_triggers!$A:$A),MATCH(N$1,enemy_skill_triggers!$1:$1,0)-MATCH($F$1,enemy_skill_triggers!$1:$1,0)+1),MATCH(N$1,enemy_skill_triggers!$1:$1,0)-MATCH($F$1,enemy_skill_triggers!$1:$1,0)+1,FALSE)</f>
        <v>556</v>
      </c>
      <c r="O266" s="42">
        <f ca="1">VLOOKUP($F266,OFFSET(enemy_skill_triggers!$A$1,0,0,COUNTA(enemy_skill_triggers!$A:$A),MATCH(O$1,enemy_skill_triggers!$1:$1,0)-MATCH($F$1,enemy_skill_triggers!$1:$1,0)+1),MATCH(O$1,enemy_skill_triggers!$1:$1,0)-MATCH($F$1,enemy_skill_triggers!$1:$1,0)+1,FALSE)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6" s="41"/>
      <c r="Q266" s="41"/>
      <c r="R266" s="41" t="s">
        <v>354</v>
      </c>
    </row>
    <row r="267" spans="1:18" ht="21" customHeight="1" x14ac:dyDescent="0.15">
      <c r="A267" s="33" t="str">
        <f t="shared" si="14"/>
        <v>39008011_39008035</v>
      </c>
      <c r="B267" s="102">
        <v>39008011</v>
      </c>
      <c r="C267" s="119">
        <v>39008035</v>
      </c>
      <c r="D267" s="40" t="str">
        <f ca="1">VLOOKUP($C267,OFFSET(enemy_skills!$A$1,0,0,COUNTA(enemy_skills!$A:$A),MATCH(D$1,enemy_skills!$1:$1,0)-MATCH("enemy_skill_id",enemy_skills!$1:$1,0)+1),MATCH(D$1,enemy_skills!$1:$1,0)-MATCH("enemy_skill_id",enemy_skills!$1:$1,0)+1,FALSE)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67" s="40" t="str">
        <f ca="1">VLOOKUP($C267,OFFSET(enemy_skills!$A$1,0,0,COUNTA(enemy_skills!$A:$A),MATCH(E$1,enemy_skills!$1:$1,0)-MATCH("enemy_skill_id",enemy_skills!$1:$1,0)+1),MATCH(E$1,enemy_skills!$1:$1,0)-MATCH("enemy_skill_id",enemy_skills!$1:$1,0)+1,FALSE)</f>
        <v>そっか！リンちゃんが助けてくれたんだね！ありがとうっ！</v>
      </c>
      <c r="F267" s="122">
        <v>39008111</v>
      </c>
      <c r="G267" s="42">
        <f ca="1">VLOOKUP($F267,OFFSET(enemy_skill_triggers!$A$1,0,0,COUNTA(enemy_skill_triggers!$A:$A),MATCH(G$1,enemy_skill_triggers!$1:$1,0)-MATCH($F$1,enemy_skill_triggers!$1:$1,0)+1),MATCH(G$1,enemy_skill_triggers!$1:$1,0)-MATCH($F$1,enemy_skill_triggers!$1:$1,0)+1,FALSE)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7" s="42">
        <f ca="1">VLOOKUP($F267,OFFSET(enemy_skill_triggers!$A$1,0,0,COUNTA(enemy_skill_triggers!$A:$A),MATCH(H$1,enemy_skill_triggers!$1:$1,0)-MATCH($F$1,enemy_skill_triggers!$1:$1,0)+1),MATCH(H$1,enemy_skill_triggers!$1:$1,0)-MATCH($F$1,enemy_skill_triggers!$1:$1,0)+1,FALSE)</f>
        <v>920</v>
      </c>
      <c r="I267" s="42">
        <f ca="1">VLOOKUP($F267,OFFSET(enemy_skill_triggers!$A$1,0,0,COUNTA(enemy_skill_triggers!$A:$A),MATCH(I$1,enemy_skill_triggers!$1:$1,0)-MATCH($F$1,enemy_skill_triggers!$1:$1,0)+1),MATCH(I$1,enemy_skill_triggers!$1:$1,0)-MATCH($F$1,enemy_skill_triggers!$1:$1,0)+1,FALSE)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7" s="42" t="str">
        <f ca="1">VLOOKUP($F267,OFFSET(enemy_skill_triggers!$A$1,0,0,COUNTA(enemy_skill_triggers!$A:$A),MATCH(J$1,enemy_skill_triggers!$1:$1,0)-MATCH($F$1,enemy_skill_triggers!$1:$1,0)+1),MATCH(J$1,enemy_skill_triggers!$1:$1,0)-MATCH($F$1,enemy_skill_triggers!$1:$1,0)+1,FALSE)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7" s="42" t="str">
        <f ca="1">VLOOKUP($F267,OFFSET(enemy_skill_triggers!$A$1,0,0,COUNTA(enemy_skill_triggers!$A:$A),MATCH(K$1,enemy_skill_triggers!$1:$1,0)-MATCH($F$1,enemy_skill_triggers!$1:$1,0)+1),MATCH(K$1,enemy_skill_triggers!$1:$1,0)-MATCH($F$1,enemy_skill_triggers!$1:$1,0)+1,FALSE)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7" s="42">
        <f ca="1">VLOOKUP($F267,OFFSET(enemy_skill_triggers!$A$1,0,0,COUNTA(enemy_skill_triggers!$A:$A),MATCH(L$1,enemy_skill_triggers!$1:$1,0)-MATCH($F$1,enemy_skill_triggers!$1:$1,0)+1),MATCH(L$1,enemy_skill_triggers!$1:$1,0)-MATCH($F$1,enemy_skill_triggers!$1:$1,0)+1,FALSE)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7" s="42" t="str">
        <f ca="1">VLOOKUP($F267,OFFSET(enemy_skill_triggers!$A$1,0,0,COUNTA(enemy_skill_triggers!$A:$A),MATCH(M$1,enemy_skill_triggers!$1:$1,0)-MATCH($F$1,enemy_skill_triggers!$1:$1,0)+1),MATCH(M$1,enemy_skill_triggers!$1:$1,0)-MATCH($F$1,enemy_skill_triggers!$1:$1,0)+1,FALSE)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7" s="42">
        <f ca="1">VLOOKUP($F267,OFFSET(enemy_skill_triggers!$A$1,0,0,COUNTA(enemy_skill_triggers!$A:$A),MATCH(N$1,enemy_skill_triggers!$1:$1,0)-MATCH($F$1,enemy_skill_triggers!$1:$1,0)+1),MATCH(N$1,enemy_skill_triggers!$1:$1,0)-MATCH($F$1,enemy_skill_triggers!$1:$1,0)+1,FALSE)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267" s="42">
        <f ca="1">VLOOKUP($F267,OFFSET(enemy_skill_triggers!$A$1,0,0,COUNTA(enemy_skill_triggers!$A:$A),MATCH(O$1,enemy_skill_triggers!$1:$1,0)-MATCH($F$1,enemy_skill_triggers!$1:$1,0)+1),MATCH(O$1,enemy_skill_triggers!$1:$1,0)-MATCH($F$1,enemy_skill_triggers!$1:$1,0)+1,FALSE)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7" s="41"/>
      <c r="Q267" s="41"/>
      <c r="R267" s="41" t="s">
        <v>355</v>
      </c>
    </row>
    <row r="268" spans="1:18" ht="21" customHeight="1" x14ac:dyDescent="0.15">
      <c r="A268" s="33" t="str">
        <f t="shared" si="14"/>
        <v>39008011_39008035</v>
      </c>
      <c r="B268" s="102">
        <v>39008011</v>
      </c>
      <c r="C268" s="119">
        <v>39008035</v>
      </c>
      <c r="D268" s="40" t="str">
        <f ca="1">VLOOKUP($C268,OFFSET(enemy_skills!$A$1,0,0,COUNTA(enemy_skills!$A:$A),MATCH(D$1,enemy_skills!$1:$1,0)-MATCH("enemy_skill_id",enemy_skills!$1:$1,0)+1),MATCH(D$1,enemy_skills!$1:$1,0)-MATCH("enemy_skill_id",enemy_skills!$1:$1,0)+1,FALSE)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68" s="40" t="str">
        <f ca="1">VLOOKUP($C268,OFFSET(enemy_skills!$A$1,0,0,COUNTA(enemy_skills!$A:$A),MATCH(E$1,enemy_skills!$1:$1,0)-MATCH("enemy_skill_id",enemy_skills!$1:$1,0)+1),MATCH(E$1,enemy_skills!$1:$1,0)-MATCH("enemy_skill_id",enemy_skills!$1:$1,0)+1,FALSE)</f>
        <v>そっか！リンちゃんが助けてくれたんだね！ありがとうっ！</v>
      </c>
      <c r="F268" s="122">
        <v>39008112</v>
      </c>
      <c r="G268" s="42">
        <f ca="1">VLOOKUP($F268,OFFSET(enemy_skill_triggers!$A$1,0,0,COUNTA(enemy_skill_triggers!$A:$A),MATCH(G$1,enemy_skill_triggers!$1:$1,0)-MATCH($F$1,enemy_skill_triggers!$1:$1,0)+1),MATCH(G$1,enemy_skill_triggers!$1:$1,0)-MATCH($F$1,enemy_skill_triggers!$1:$1,0)+1,FALSE)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8" s="42">
        <f ca="1">VLOOKUP($F268,OFFSET(enemy_skill_triggers!$A$1,0,0,COUNTA(enemy_skill_triggers!$A:$A),MATCH(H$1,enemy_skill_triggers!$1:$1,0)-MATCH($F$1,enemy_skill_triggers!$1:$1,0)+1),MATCH(H$1,enemy_skill_triggers!$1:$1,0)-MATCH($F$1,enemy_skill_triggers!$1:$1,0)+1,FALSE)</f>
        <v>919</v>
      </c>
      <c r="I268" s="42">
        <f ca="1">VLOOKUP($F268,OFFSET(enemy_skill_triggers!$A$1,0,0,COUNTA(enemy_skill_triggers!$A:$A),MATCH(I$1,enemy_skill_triggers!$1:$1,0)-MATCH($F$1,enemy_skill_triggers!$1:$1,0)+1),MATCH(I$1,enemy_skill_triggers!$1:$1,0)-MATCH($F$1,enemy_skill_triggers!$1:$1,0)+1,FALSE)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8" s="42" t="str">
        <f ca="1">VLOOKUP($F268,OFFSET(enemy_skill_triggers!$A$1,0,0,COUNTA(enemy_skill_triggers!$A:$A),MATCH(J$1,enemy_skill_triggers!$1:$1,0)-MATCH($F$1,enemy_skill_triggers!$1:$1,0)+1),MATCH(J$1,enemy_skill_triggers!$1:$1,0)-MATCH($F$1,enemy_skill_triggers!$1:$1,0)+1,FALSE)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8" s="42" t="str">
        <f ca="1">VLOOKUP($F268,OFFSET(enemy_skill_triggers!$A$1,0,0,COUNTA(enemy_skill_triggers!$A:$A),MATCH(K$1,enemy_skill_triggers!$1:$1,0)-MATCH($F$1,enemy_skill_triggers!$1:$1,0)+1),MATCH(K$1,enemy_skill_triggers!$1:$1,0)-MATCH($F$1,enemy_skill_triggers!$1:$1,0)+1,FALSE)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8" s="42">
        <f ca="1">VLOOKUP($F268,OFFSET(enemy_skill_triggers!$A$1,0,0,COUNTA(enemy_skill_triggers!$A:$A),MATCH(L$1,enemy_skill_triggers!$1:$1,0)-MATCH($F$1,enemy_skill_triggers!$1:$1,0)+1),MATCH(L$1,enemy_skill_triggers!$1:$1,0)-MATCH($F$1,enemy_skill_triggers!$1:$1,0)+1,FALSE)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8" s="42" t="str">
        <f ca="1">VLOOKUP($F268,OFFSET(enemy_skill_triggers!$A$1,0,0,COUNTA(enemy_skill_triggers!$A:$A),MATCH(M$1,enemy_skill_triggers!$1:$1,0)-MATCH($F$1,enemy_skill_triggers!$1:$1,0)+1),MATCH(M$1,enemy_skill_triggers!$1:$1,0)-MATCH($F$1,enemy_skill_triggers!$1:$1,0)+1,FALSE)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8" s="42">
        <f ca="1">VLOOKUP($F268,OFFSET(enemy_skill_triggers!$A$1,0,0,COUNTA(enemy_skill_triggers!$A:$A),MATCH(N$1,enemy_skill_triggers!$1:$1,0)-MATCH($F$1,enemy_skill_triggers!$1:$1,0)+1),MATCH(N$1,enemy_skill_triggers!$1:$1,0)-MATCH($F$1,enemy_skill_triggers!$1:$1,0)+1,FALSE)</f>
        <v>544</v>
      </c>
      <c r="O268" s="42">
        <f ca="1">VLOOKUP($F268,OFFSET(enemy_skill_triggers!$A$1,0,0,COUNTA(enemy_skill_triggers!$A:$A),MATCH(O$1,enemy_skill_triggers!$1:$1,0)-MATCH($F$1,enemy_skill_triggers!$1:$1,0)+1),MATCH(O$1,enemy_skill_triggers!$1:$1,0)-MATCH($F$1,enemy_skill_triggers!$1:$1,0)+1,FALSE)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8" s="41"/>
      <c r="Q268" s="41"/>
      <c r="R268" s="41" t="s">
        <v>355</v>
      </c>
    </row>
    <row r="269" spans="1:18" ht="21" customHeight="1" x14ac:dyDescent="0.15">
      <c r="A269" s="33" t="str">
        <f t="shared" si="14"/>
        <v>39008011_39008035</v>
      </c>
      <c r="B269" s="102">
        <v>39008011</v>
      </c>
      <c r="C269" s="119">
        <v>39008035</v>
      </c>
      <c r="D269" s="40" t="str">
        <f ca="1">VLOOKUP($C269,OFFSET(enemy_skills!$A$1,0,0,COUNTA(enemy_skills!$A:$A),MATCH(D$1,enemy_skills!$1:$1,0)-MATCH("enemy_skill_id",enemy_skills!$1:$1,0)+1),MATCH(D$1,enemy_skills!$1:$1,0)-MATCH("enemy_skill_id",enemy_skills!$1:$1,0)+1,FALSE)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69" s="40" t="str">
        <f ca="1">VLOOKUP($C269,OFFSET(enemy_skills!$A$1,0,0,COUNTA(enemy_skills!$A:$A),MATCH(E$1,enemy_skills!$1:$1,0)-MATCH("enemy_skill_id",enemy_skills!$1:$1,0)+1),MATCH(E$1,enemy_skills!$1:$1,0)-MATCH("enemy_skill_id",enemy_skills!$1:$1,0)+1,FALSE)</f>
        <v>そっか！リンちゃんが助けてくれたんだね！ありがとうっ！</v>
      </c>
      <c r="F269" s="122">
        <v>39008113</v>
      </c>
      <c r="G269" s="42">
        <f ca="1">VLOOKUP($F269,OFFSET(enemy_skill_triggers!$A$1,0,0,COUNTA(enemy_skill_triggers!$A:$A),MATCH(G$1,enemy_skill_triggers!$1:$1,0)-MATCH($F$1,enemy_skill_triggers!$1:$1,0)+1),MATCH(G$1,enemy_skill_triggers!$1:$1,0)-MATCH($F$1,enemy_skill_triggers!$1:$1,0)+1,FALSE)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9" s="42">
        <f ca="1">VLOOKUP($F269,OFFSET(enemy_skill_triggers!$A$1,0,0,COUNTA(enemy_skill_triggers!$A:$A),MATCH(H$1,enemy_skill_triggers!$1:$1,0)-MATCH($F$1,enemy_skill_triggers!$1:$1,0)+1),MATCH(H$1,enemy_skill_triggers!$1:$1,0)-MATCH($F$1,enemy_skill_triggers!$1:$1,0)+1,FALSE)</f>
        <v>918</v>
      </c>
      <c r="I269" s="42">
        <f ca="1">VLOOKUP($F269,OFFSET(enemy_skill_triggers!$A$1,0,0,COUNTA(enemy_skill_triggers!$A:$A),MATCH(I$1,enemy_skill_triggers!$1:$1,0)-MATCH($F$1,enemy_skill_triggers!$1:$1,0)+1),MATCH(I$1,enemy_skill_triggers!$1:$1,0)-MATCH($F$1,enemy_skill_triggers!$1:$1,0)+1,FALSE)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9" s="42" t="str">
        <f ca="1">VLOOKUP($F269,OFFSET(enemy_skill_triggers!$A$1,0,0,COUNTA(enemy_skill_triggers!$A:$A),MATCH(J$1,enemy_skill_triggers!$1:$1,0)-MATCH($F$1,enemy_skill_triggers!$1:$1,0)+1),MATCH(J$1,enemy_skill_triggers!$1:$1,0)-MATCH($F$1,enemy_skill_triggers!$1:$1,0)+1,FALSE)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9" s="42" t="str">
        <f ca="1">VLOOKUP($F269,OFFSET(enemy_skill_triggers!$A$1,0,0,COUNTA(enemy_skill_triggers!$A:$A),MATCH(K$1,enemy_skill_triggers!$1:$1,0)-MATCH($F$1,enemy_skill_triggers!$1:$1,0)+1),MATCH(K$1,enemy_skill_triggers!$1:$1,0)-MATCH($F$1,enemy_skill_triggers!$1:$1,0)+1,FALSE)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9" s="42">
        <f ca="1">VLOOKUP($F269,OFFSET(enemy_skill_triggers!$A$1,0,0,COUNTA(enemy_skill_triggers!$A:$A),MATCH(L$1,enemy_skill_triggers!$1:$1,0)-MATCH($F$1,enemy_skill_triggers!$1:$1,0)+1),MATCH(L$1,enemy_skill_triggers!$1:$1,0)-MATCH($F$1,enemy_skill_triggers!$1:$1,0)+1,FALSE)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9" s="42" t="str">
        <f ca="1">VLOOKUP($F269,OFFSET(enemy_skill_triggers!$A$1,0,0,COUNTA(enemy_skill_triggers!$A:$A),MATCH(M$1,enemy_skill_triggers!$1:$1,0)-MATCH($F$1,enemy_skill_triggers!$1:$1,0)+1),MATCH(M$1,enemy_skill_triggers!$1:$1,0)-MATCH($F$1,enemy_skill_triggers!$1:$1,0)+1,FALSE)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9" s="42">
        <f ca="1">VLOOKUP($F269,OFFSET(enemy_skill_triggers!$A$1,0,0,COUNTA(enemy_skill_triggers!$A:$A),MATCH(N$1,enemy_skill_triggers!$1:$1,0)-MATCH($F$1,enemy_skill_triggers!$1:$1,0)+1),MATCH(N$1,enemy_skill_triggers!$1:$1,0)-MATCH($F$1,enemy_skill_triggers!$1:$1,0)+1,FALSE)</f>
        <v>1311</v>
      </c>
      <c r="O269" s="42">
        <f ca="1">VLOOKUP($F269,OFFSET(enemy_skill_triggers!$A$1,0,0,COUNTA(enemy_skill_triggers!$A:$A),MATCH(O$1,enemy_skill_triggers!$1:$1,0)-MATCH($F$1,enemy_skill_triggers!$1:$1,0)+1),MATCH(O$1,enemy_skill_triggers!$1:$1,0)-MATCH($F$1,enemy_skill_triggers!$1:$1,0)+1,FALSE)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9" s="41"/>
      <c r="Q269" s="41"/>
      <c r="R269" s="41" t="s">
        <v>355</v>
      </c>
    </row>
    <row r="270" spans="1:18" ht="21" customHeight="1" x14ac:dyDescent="0.15">
      <c r="A270" s="33" t="str">
        <f t="shared" si="14"/>
        <v>39008011_39008036</v>
      </c>
      <c r="B270" s="102">
        <v>39008011</v>
      </c>
      <c r="C270" s="119">
        <v>39008036</v>
      </c>
      <c r="D270" s="40" t="str">
        <f ca="1">VLOOKUP($C270,OFFSET(enemy_skills!$A$1,0,0,COUNTA(enemy_skills!$A:$A),MATCH(D$1,enemy_skills!$1:$1,0)-MATCH("enemy_skill_id",enemy_skills!$1:$1,0)+1),MATCH(D$1,enemy_skills!$1:$1,0)-MATCH("enemy_skill_id",enemy_skills!$1:$1,0)+1,FALSE)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70" s="40" t="str">
        <f ca="1">VLOOKUP($C270,OFFSET(enemy_skills!$A$1,0,0,COUNTA(enemy_skills!$A:$A),MATCH(E$1,enemy_skills!$1:$1,0)-MATCH("enemy_skill_id",enemy_skills!$1:$1,0)+1),MATCH(E$1,enemy_skills!$1:$1,0)-MATCH("enemy_skill_id",enemy_skills!$1:$1,0)+1,FALSE)</f>
        <v>そっか！レンきゅんが助けてくれたんだね！ありがとうっ！</v>
      </c>
      <c r="F270" s="122">
        <v>39008114</v>
      </c>
      <c r="G270" s="42">
        <f ca="1">VLOOKUP($F270,OFFSET(enemy_skill_triggers!$A$1,0,0,COUNTA(enemy_skill_triggers!$A:$A),MATCH(G$1,enemy_skill_triggers!$1:$1,0)-MATCH($F$1,enemy_skill_triggers!$1:$1,0)+1),MATCH(G$1,enemy_skill_triggers!$1:$1,0)-MATCH($F$1,enemy_skill_triggers!$1:$1,0)+1,FALSE)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0" s="42">
        <f ca="1">VLOOKUP($F270,OFFSET(enemy_skill_triggers!$A$1,0,0,COUNTA(enemy_skill_triggers!$A:$A),MATCH(H$1,enemy_skill_triggers!$1:$1,0)-MATCH($F$1,enemy_skill_triggers!$1:$1,0)+1),MATCH(H$1,enemy_skill_triggers!$1:$1,0)-MATCH($F$1,enemy_skill_triggers!$1:$1,0)+1,FALSE)</f>
        <v>917</v>
      </c>
      <c r="I270" s="42">
        <f ca="1">VLOOKUP($F270,OFFSET(enemy_skill_triggers!$A$1,0,0,COUNTA(enemy_skill_triggers!$A:$A),MATCH(I$1,enemy_skill_triggers!$1:$1,0)-MATCH($F$1,enemy_skill_triggers!$1:$1,0)+1),MATCH(I$1,enemy_skill_triggers!$1:$1,0)-MATCH($F$1,enemy_skill_triggers!$1:$1,0)+1,FALSE)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0" s="42" t="str">
        <f ca="1">VLOOKUP($F270,OFFSET(enemy_skill_triggers!$A$1,0,0,COUNTA(enemy_skill_triggers!$A:$A),MATCH(J$1,enemy_skill_triggers!$1:$1,0)-MATCH($F$1,enemy_skill_triggers!$1:$1,0)+1),MATCH(J$1,enemy_skill_triggers!$1:$1,0)-MATCH($F$1,enemy_skill_triggers!$1:$1,0)+1,FALSE)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0" s="42" t="str">
        <f ca="1">VLOOKUP($F270,OFFSET(enemy_skill_triggers!$A$1,0,0,COUNTA(enemy_skill_triggers!$A:$A),MATCH(K$1,enemy_skill_triggers!$1:$1,0)-MATCH($F$1,enemy_skill_triggers!$1:$1,0)+1),MATCH(K$1,enemy_skill_triggers!$1:$1,0)-MATCH($F$1,enemy_skill_triggers!$1:$1,0)+1,FALSE)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0" s="42">
        <f ca="1">VLOOKUP($F270,OFFSET(enemy_skill_triggers!$A$1,0,0,COUNTA(enemy_skill_triggers!$A:$A),MATCH(L$1,enemy_skill_triggers!$1:$1,0)-MATCH($F$1,enemy_skill_triggers!$1:$1,0)+1),MATCH(L$1,enemy_skill_triggers!$1:$1,0)-MATCH($F$1,enemy_skill_triggers!$1:$1,0)+1,FALSE)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0" s="42" t="str">
        <f ca="1">VLOOKUP($F270,OFFSET(enemy_skill_triggers!$A$1,0,0,COUNTA(enemy_skill_triggers!$A:$A),MATCH(M$1,enemy_skill_triggers!$1:$1,0)-MATCH($F$1,enemy_skill_triggers!$1:$1,0)+1),MATCH(M$1,enemy_skill_triggers!$1:$1,0)-MATCH($F$1,enemy_skill_triggers!$1:$1,0)+1,FALSE)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0" s="42">
        <f ca="1">VLOOKUP($F270,OFFSET(enemy_skill_triggers!$A$1,0,0,COUNTA(enemy_skill_triggers!$A:$A),MATCH(N$1,enemy_skill_triggers!$1:$1,0)-MATCH($F$1,enemy_skill_triggers!$1:$1,0)+1),MATCH(N$1,enemy_skill_triggers!$1:$1,0)-MATCH($F$1,enemy_skill_triggers!$1:$1,0)+1,FALSE)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270" s="42">
        <f ca="1">VLOOKUP($F270,OFFSET(enemy_skill_triggers!$A$1,0,0,COUNTA(enemy_skill_triggers!$A:$A),MATCH(O$1,enemy_skill_triggers!$1:$1,0)-MATCH($F$1,enemy_skill_triggers!$1:$1,0)+1),MATCH(O$1,enemy_skill_triggers!$1:$1,0)-MATCH($F$1,enemy_skill_triggers!$1:$1,0)+1,FALSE)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0" s="41"/>
      <c r="Q270" s="41"/>
      <c r="R270" s="41" t="s">
        <v>358</v>
      </c>
    </row>
    <row r="271" spans="1:18" ht="21" customHeight="1" x14ac:dyDescent="0.15">
      <c r="A271" s="33" t="str">
        <f t="shared" si="14"/>
        <v>39008011_39008036</v>
      </c>
      <c r="B271" s="102">
        <v>39008011</v>
      </c>
      <c r="C271" s="119">
        <v>39008036</v>
      </c>
      <c r="D271" s="40" t="str">
        <f ca="1">VLOOKUP($C271,OFFSET(enemy_skills!$A$1,0,0,COUNTA(enemy_skills!$A:$A),MATCH(D$1,enemy_skills!$1:$1,0)-MATCH("enemy_skill_id",enemy_skills!$1:$1,0)+1),MATCH(D$1,enemy_skills!$1:$1,0)-MATCH("enemy_skill_id",enemy_skills!$1:$1,0)+1,FALSE)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71" s="40" t="str">
        <f ca="1">VLOOKUP($C271,OFFSET(enemy_skills!$A$1,0,0,COUNTA(enemy_skills!$A:$A),MATCH(E$1,enemy_skills!$1:$1,0)-MATCH("enemy_skill_id",enemy_skills!$1:$1,0)+1),MATCH(E$1,enemy_skills!$1:$1,0)-MATCH("enemy_skill_id",enemy_skills!$1:$1,0)+1,FALSE)</f>
        <v>そっか！レンきゅんが助けてくれたんだね！ありがとうっ！</v>
      </c>
      <c r="F271" s="122">
        <v>39008115</v>
      </c>
      <c r="G271" s="42">
        <f ca="1">VLOOKUP($F271,OFFSET(enemy_skill_triggers!$A$1,0,0,COUNTA(enemy_skill_triggers!$A:$A),MATCH(G$1,enemy_skill_triggers!$1:$1,0)-MATCH($F$1,enemy_skill_triggers!$1:$1,0)+1),MATCH(G$1,enemy_skill_triggers!$1:$1,0)-MATCH($F$1,enemy_skill_triggers!$1:$1,0)+1,FALSE)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1" s="42">
        <f ca="1">VLOOKUP($F271,OFFSET(enemy_skill_triggers!$A$1,0,0,COUNTA(enemy_skill_triggers!$A:$A),MATCH(H$1,enemy_skill_triggers!$1:$1,0)-MATCH($F$1,enemy_skill_triggers!$1:$1,0)+1),MATCH(H$1,enemy_skill_triggers!$1:$1,0)-MATCH($F$1,enemy_skill_triggers!$1:$1,0)+1,FALSE)</f>
        <v>916</v>
      </c>
      <c r="I271" s="42">
        <f ca="1">VLOOKUP($F271,OFFSET(enemy_skill_triggers!$A$1,0,0,COUNTA(enemy_skill_triggers!$A:$A),MATCH(I$1,enemy_skill_triggers!$1:$1,0)-MATCH($F$1,enemy_skill_triggers!$1:$1,0)+1),MATCH(I$1,enemy_skill_triggers!$1:$1,0)-MATCH($F$1,enemy_skill_triggers!$1:$1,0)+1,FALSE)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1" s="42" t="str">
        <f ca="1">VLOOKUP($F271,OFFSET(enemy_skill_triggers!$A$1,0,0,COUNTA(enemy_skill_triggers!$A:$A),MATCH(J$1,enemy_skill_triggers!$1:$1,0)-MATCH($F$1,enemy_skill_triggers!$1:$1,0)+1),MATCH(J$1,enemy_skill_triggers!$1:$1,0)-MATCH($F$1,enemy_skill_triggers!$1:$1,0)+1,FALSE)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1" s="42" t="str">
        <f ca="1">VLOOKUP($F271,OFFSET(enemy_skill_triggers!$A$1,0,0,COUNTA(enemy_skill_triggers!$A:$A),MATCH(K$1,enemy_skill_triggers!$1:$1,0)-MATCH($F$1,enemy_skill_triggers!$1:$1,0)+1),MATCH(K$1,enemy_skill_triggers!$1:$1,0)-MATCH($F$1,enemy_skill_triggers!$1:$1,0)+1,FALSE)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1" s="42">
        <f ca="1">VLOOKUP($F271,OFFSET(enemy_skill_triggers!$A$1,0,0,COUNTA(enemy_skill_triggers!$A:$A),MATCH(L$1,enemy_skill_triggers!$1:$1,0)-MATCH($F$1,enemy_skill_triggers!$1:$1,0)+1),MATCH(L$1,enemy_skill_triggers!$1:$1,0)-MATCH($F$1,enemy_skill_triggers!$1:$1,0)+1,FALSE)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1" s="42" t="str">
        <f ca="1">VLOOKUP($F271,OFFSET(enemy_skill_triggers!$A$1,0,0,COUNTA(enemy_skill_triggers!$A:$A),MATCH(M$1,enemy_skill_triggers!$1:$1,0)-MATCH($F$1,enemy_skill_triggers!$1:$1,0)+1),MATCH(M$1,enemy_skill_triggers!$1:$1,0)-MATCH($F$1,enemy_skill_triggers!$1:$1,0)+1,FALSE)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1" s="42">
        <f ca="1">VLOOKUP($F271,OFFSET(enemy_skill_triggers!$A$1,0,0,COUNTA(enemy_skill_triggers!$A:$A),MATCH(N$1,enemy_skill_triggers!$1:$1,0)-MATCH($F$1,enemy_skill_triggers!$1:$1,0)+1),MATCH(N$1,enemy_skill_triggers!$1:$1,0)-MATCH($F$1,enemy_skill_triggers!$1:$1,0)+1,FALSE)</f>
        <v>546</v>
      </c>
      <c r="O271" s="42">
        <f ca="1">VLOOKUP($F271,OFFSET(enemy_skill_triggers!$A$1,0,0,COUNTA(enemy_skill_triggers!$A:$A),MATCH(O$1,enemy_skill_triggers!$1:$1,0)-MATCH($F$1,enemy_skill_triggers!$1:$1,0)+1),MATCH(O$1,enemy_skill_triggers!$1:$1,0)-MATCH($F$1,enemy_skill_triggers!$1:$1,0)+1,FALSE)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1" s="41"/>
      <c r="Q271" s="41"/>
      <c r="R271" s="41" t="s">
        <v>358</v>
      </c>
    </row>
    <row r="272" spans="1:18" ht="21" customHeight="1" x14ac:dyDescent="0.15">
      <c r="A272" s="33" t="str">
        <f t="shared" si="14"/>
        <v>39008011_39008036</v>
      </c>
      <c r="B272" s="102">
        <v>39008011</v>
      </c>
      <c r="C272" s="119">
        <v>39008036</v>
      </c>
      <c r="D272" s="40" t="str">
        <f ca="1">VLOOKUP($C272,OFFSET(enemy_skills!$A$1,0,0,COUNTA(enemy_skills!$A:$A),MATCH(D$1,enemy_skills!$1:$1,0)-MATCH("enemy_skill_id",enemy_skills!$1:$1,0)+1),MATCH(D$1,enemy_skills!$1:$1,0)-MATCH("enemy_skill_id",enemy_skills!$1:$1,0)+1,FALSE)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72" s="40" t="str">
        <f ca="1">VLOOKUP($C272,OFFSET(enemy_skills!$A$1,0,0,COUNTA(enemy_skills!$A:$A),MATCH(E$1,enemy_skills!$1:$1,0)-MATCH("enemy_skill_id",enemy_skills!$1:$1,0)+1),MATCH(E$1,enemy_skills!$1:$1,0)-MATCH("enemy_skill_id",enemy_skills!$1:$1,0)+1,FALSE)</f>
        <v>そっか！レンきゅんが助けてくれたんだね！ありがとうっ！</v>
      </c>
      <c r="F272" s="122">
        <v>39008116</v>
      </c>
      <c r="G272" s="42">
        <f ca="1">VLOOKUP($F272,OFFSET(enemy_skill_triggers!$A$1,0,0,COUNTA(enemy_skill_triggers!$A:$A),MATCH(G$1,enemy_skill_triggers!$1:$1,0)-MATCH($F$1,enemy_skill_triggers!$1:$1,0)+1),MATCH(G$1,enemy_skill_triggers!$1:$1,0)-MATCH($F$1,enemy_skill_triggers!$1:$1,0)+1,FALSE)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2" s="42">
        <f ca="1">VLOOKUP($F272,OFFSET(enemy_skill_triggers!$A$1,0,0,COUNTA(enemy_skill_triggers!$A:$A),MATCH(H$1,enemy_skill_triggers!$1:$1,0)-MATCH($F$1,enemy_skill_triggers!$1:$1,0)+1),MATCH(H$1,enemy_skill_triggers!$1:$1,0)-MATCH($F$1,enemy_skill_triggers!$1:$1,0)+1,FALSE)</f>
        <v>915</v>
      </c>
      <c r="I272" s="42">
        <f ca="1">VLOOKUP($F272,OFFSET(enemy_skill_triggers!$A$1,0,0,COUNTA(enemy_skill_triggers!$A:$A),MATCH(I$1,enemy_skill_triggers!$1:$1,0)-MATCH($F$1,enemy_skill_triggers!$1:$1,0)+1),MATCH(I$1,enemy_skill_triggers!$1:$1,0)-MATCH($F$1,enemy_skill_triggers!$1:$1,0)+1,FALSE)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2" s="42" t="str">
        <f ca="1">VLOOKUP($F272,OFFSET(enemy_skill_triggers!$A$1,0,0,COUNTA(enemy_skill_triggers!$A:$A),MATCH(J$1,enemy_skill_triggers!$1:$1,0)-MATCH($F$1,enemy_skill_triggers!$1:$1,0)+1),MATCH(J$1,enemy_skill_triggers!$1:$1,0)-MATCH($F$1,enemy_skill_triggers!$1:$1,0)+1,FALSE)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2" s="42" t="str">
        <f ca="1">VLOOKUP($F272,OFFSET(enemy_skill_triggers!$A$1,0,0,COUNTA(enemy_skill_triggers!$A:$A),MATCH(K$1,enemy_skill_triggers!$1:$1,0)-MATCH($F$1,enemy_skill_triggers!$1:$1,0)+1),MATCH(K$1,enemy_skill_triggers!$1:$1,0)-MATCH($F$1,enemy_skill_triggers!$1:$1,0)+1,FALSE)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2" s="42">
        <f ca="1">VLOOKUP($F272,OFFSET(enemy_skill_triggers!$A$1,0,0,COUNTA(enemy_skill_triggers!$A:$A),MATCH(L$1,enemy_skill_triggers!$1:$1,0)-MATCH($F$1,enemy_skill_triggers!$1:$1,0)+1),MATCH(L$1,enemy_skill_triggers!$1:$1,0)-MATCH($F$1,enemy_skill_triggers!$1:$1,0)+1,FALSE)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2" s="42" t="str">
        <f ca="1">VLOOKUP($F272,OFFSET(enemy_skill_triggers!$A$1,0,0,COUNTA(enemy_skill_triggers!$A:$A),MATCH(M$1,enemy_skill_triggers!$1:$1,0)-MATCH($F$1,enemy_skill_triggers!$1:$1,0)+1),MATCH(M$1,enemy_skill_triggers!$1:$1,0)-MATCH($F$1,enemy_skill_triggers!$1:$1,0)+1,FALSE)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2" s="42">
        <f ca="1">VLOOKUP($F272,OFFSET(enemy_skill_triggers!$A$1,0,0,COUNTA(enemy_skill_triggers!$A:$A),MATCH(N$1,enemy_skill_triggers!$1:$1,0)-MATCH($F$1,enemy_skill_triggers!$1:$1,0)+1),MATCH(N$1,enemy_skill_triggers!$1:$1,0)-MATCH($F$1,enemy_skill_triggers!$1:$1,0)+1,FALSE)</f>
        <v>1312</v>
      </c>
      <c r="O272" s="42">
        <f ca="1">VLOOKUP($F272,OFFSET(enemy_skill_triggers!$A$1,0,0,COUNTA(enemy_skill_triggers!$A:$A),MATCH(O$1,enemy_skill_triggers!$1:$1,0)-MATCH($F$1,enemy_skill_triggers!$1:$1,0)+1),MATCH(O$1,enemy_skill_triggers!$1:$1,0)-MATCH($F$1,enemy_skill_triggers!$1:$1,0)+1,FALSE)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2" s="41"/>
      <c r="Q272" s="41"/>
      <c r="R272" s="41" t="s">
        <v>360</v>
      </c>
    </row>
    <row r="273" spans="1:18" ht="21" customHeight="1" x14ac:dyDescent="0.15">
      <c r="A273" s="33" t="str">
        <f t="shared" si="14"/>
        <v>39008011_39008033</v>
      </c>
      <c r="B273" s="102">
        <v>39008011</v>
      </c>
      <c r="C273" s="119">
        <v>39008033</v>
      </c>
      <c r="D273" s="40" t="str">
        <f ca="1">VLOOKUP($C273,OFFSET(enemy_skills!$A$1,0,0,COUNTA(enemy_skills!$A:$A),MATCH(D$1,enemy_skills!$1:$1,0)-MATCH("enemy_skill_id",enemy_skills!$1:$1,0)+1),MATCH(D$1,enemy_skills!$1:$1,0)-MATCH("enemy_skill_id",enemy_skills!$1:$1,0)+1,FALSE)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73" s="40" t="str">
        <f ca="1">VLOOKUP($C273,OFFSET(enemy_skills!$A$1,0,0,COUNTA(enemy_skills!$A:$A),MATCH(E$1,enemy_skills!$1:$1,0)-MATCH("enemy_skill_id",enemy_skills!$1:$1,0)+1),MATCH(E$1,enemy_skills!$1:$1,0)-MATCH("enemy_skill_id",enemy_skills!$1:$1,0)+1,FALSE)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73" s="122">
        <v>39008117</v>
      </c>
      <c r="G273" s="42">
        <f ca="1">VLOOKUP($F273,OFFSET(enemy_skill_triggers!$A$1,0,0,COUNTA(enemy_skill_triggers!$A:$A),MATCH(G$1,enemy_skill_triggers!$1:$1,0)-MATCH($F$1,enemy_skill_triggers!$1:$1,0)+1),MATCH(G$1,enemy_skill_triggers!$1:$1,0)-MATCH($F$1,enemy_skill_triggers!$1:$1,0)+1,FALSE)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3" s="42">
        <f ca="1">VLOOKUP($F273,OFFSET(enemy_skill_triggers!$A$1,0,0,COUNTA(enemy_skill_triggers!$A:$A),MATCH(H$1,enemy_skill_triggers!$1:$1,0)-MATCH($F$1,enemy_skill_triggers!$1:$1,0)+1),MATCH(H$1,enemy_skill_triggers!$1:$1,0)-MATCH($F$1,enemy_skill_triggers!$1:$1,0)+1,FALSE)</f>
        <v>914</v>
      </c>
      <c r="I273" s="42">
        <f ca="1">VLOOKUP($F273,OFFSET(enemy_skill_triggers!$A$1,0,0,COUNTA(enemy_skill_triggers!$A:$A),MATCH(I$1,enemy_skill_triggers!$1:$1,0)-MATCH($F$1,enemy_skill_triggers!$1:$1,0)+1),MATCH(I$1,enemy_skill_triggers!$1:$1,0)-MATCH($F$1,enemy_skill_triggers!$1:$1,0)+1,FALSE)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3" s="42" t="str">
        <f ca="1">VLOOKUP($F273,OFFSET(enemy_skill_triggers!$A$1,0,0,COUNTA(enemy_skill_triggers!$A:$A),MATCH(J$1,enemy_skill_triggers!$1:$1,0)-MATCH($F$1,enemy_skill_triggers!$1:$1,0)+1),MATCH(J$1,enemy_skill_triggers!$1:$1,0)-MATCH($F$1,enemy_skill_triggers!$1:$1,0)+1,FALSE)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3" s="42" t="str">
        <f ca="1">VLOOKUP($F273,OFFSET(enemy_skill_triggers!$A$1,0,0,COUNTA(enemy_skill_triggers!$A:$A),MATCH(K$1,enemy_skill_triggers!$1:$1,0)-MATCH($F$1,enemy_skill_triggers!$1:$1,0)+1),MATCH(K$1,enemy_skill_triggers!$1:$1,0)-MATCH($F$1,enemy_skill_triggers!$1:$1,0)+1,FALSE)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3" s="42">
        <f ca="1">VLOOKUP($F273,OFFSET(enemy_skill_triggers!$A$1,0,0,COUNTA(enemy_skill_triggers!$A:$A),MATCH(L$1,enemy_skill_triggers!$1:$1,0)-MATCH($F$1,enemy_skill_triggers!$1:$1,0)+1),MATCH(L$1,enemy_skill_triggers!$1:$1,0)-MATCH($F$1,enemy_skill_triggers!$1:$1,0)+1,FALSE)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3" s="42" t="str">
        <f ca="1">VLOOKUP($F273,OFFSET(enemy_skill_triggers!$A$1,0,0,COUNTA(enemy_skill_triggers!$A:$A),MATCH(M$1,enemy_skill_triggers!$1:$1,0)-MATCH($F$1,enemy_skill_triggers!$1:$1,0)+1),MATCH(M$1,enemy_skill_triggers!$1:$1,0)-MATCH($F$1,enemy_skill_triggers!$1:$1,0)+1,FALSE)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3" s="42">
        <f ca="1">VLOOKUP($F273,OFFSET(enemy_skill_triggers!$A$1,0,0,COUNTA(enemy_skill_triggers!$A:$A),MATCH(N$1,enemy_skill_triggers!$1:$1,0)-MATCH($F$1,enemy_skill_triggers!$1:$1,0)+1),MATCH(N$1,enemy_skill_triggers!$1:$1,0)-MATCH($F$1,enemy_skill_triggers!$1:$1,0)+1,FALSE)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273" s="42">
        <f ca="1">VLOOKUP($F273,OFFSET(enemy_skill_triggers!$A$1,0,0,COUNTA(enemy_skill_triggers!$A:$A),MATCH(O$1,enemy_skill_triggers!$1:$1,0)-MATCH($F$1,enemy_skill_triggers!$1:$1,0)+1),MATCH(O$1,enemy_skill_triggers!$1:$1,0)-MATCH($F$1,enemy_skill_triggers!$1:$1,0)+1,FALSE)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3" s="41"/>
      <c r="Q273" s="41"/>
      <c r="R273" s="41" t="s">
        <v>340</v>
      </c>
    </row>
    <row r="274" spans="1:18" ht="21" customHeight="1" x14ac:dyDescent="0.15">
      <c r="A274" s="33" t="str">
        <f t="shared" si="14"/>
        <v>39008011_39008033</v>
      </c>
      <c r="B274" s="102">
        <v>39008011</v>
      </c>
      <c r="C274" s="119">
        <v>39008033</v>
      </c>
      <c r="D274" s="40" t="str">
        <f ca="1">VLOOKUP($C274,OFFSET(enemy_skills!$A$1,0,0,COUNTA(enemy_skills!$A:$A),MATCH(D$1,enemy_skills!$1:$1,0)-MATCH("enemy_skill_id",enemy_skills!$1:$1,0)+1),MATCH(D$1,enemy_skills!$1:$1,0)-MATCH("enemy_skill_id",enemy_skills!$1:$1,0)+1,FALSE)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74" s="40" t="str">
        <f ca="1">VLOOKUP($C274,OFFSET(enemy_skills!$A$1,0,0,COUNTA(enemy_skills!$A:$A),MATCH(E$1,enemy_skills!$1:$1,0)-MATCH("enemy_skill_id",enemy_skills!$1:$1,0)+1),MATCH(E$1,enemy_skills!$1:$1,0)-MATCH("enemy_skill_id",enemy_skills!$1:$1,0)+1,FALSE)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74" s="122">
        <v>39008118</v>
      </c>
      <c r="G274" s="42">
        <f ca="1">VLOOKUP($F274,OFFSET(enemy_skill_triggers!$A$1,0,0,COUNTA(enemy_skill_triggers!$A:$A),MATCH(G$1,enemy_skill_triggers!$1:$1,0)-MATCH($F$1,enemy_skill_triggers!$1:$1,0)+1),MATCH(G$1,enemy_skill_triggers!$1:$1,0)-MATCH($F$1,enemy_skill_triggers!$1:$1,0)+1,FALSE)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4" s="42">
        <f ca="1">VLOOKUP($F274,OFFSET(enemy_skill_triggers!$A$1,0,0,COUNTA(enemy_skill_triggers!$A:$A),MATCH(H$1,enemy_skill_triggers!$1:$1,0)-MATCH($F$1,enemy_skill_triggers!$1:$1,0)+1),MATCH(H$1,enemy_skill_triggers!$1:$1,0)-MATCH($F$1,enemy_skill_triggers!$1:$1,0)+1,FALSE)</f>
        <v>913</v>
      </c>
      <c r="I274" s="42">
        <f ca="1">VLOOKUP($F274,OFFSET(enemy_skill_triggers!$A$1,0,0,COUNTA(enemy_skill_triggers!$A:$A),MATCH(I$1,enemy_skill_triggers!$1:$1,0)-MATCH($F$1,enemy_skill_triggers!$1:$1,0)+1),MATCH(I$1,enemy_skill_triggers!$1:$1,0)-MATCH($F$1,enemy_skill_triggers!$1:$1,0)+1,FALSE)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4" s="42" t="str">
        <f ca="1">VLOOKUP($F274,OFFSET(enemy_skill_triggers!$A$1,0,0,COUNTA(enemy_skill_triggers!$A:$A),MATCH(J$1,enemy_skill_triggers!$1:$1,0)-MATCH($F$1,enemy_skill_triggers!$1:$1,0)+1),MATCH(J$1,enemy_skill_triggers!$1:$1,0)-MATCH($F$1,enemy_skill_triggers!$1:$1,0)+1,FALSE)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4" s="42" t="str">
        <f ca="1">VLOOKUP($F274,OFFSET(enemy_skill_triggers!$A$1,0,0,COUNTA(enemy_skill_triggers!$A:$A),MATCH(K$1,enemy_skill_triggers!$1:$1,0)-MATCH($F$1,enemy_skill_triggers!$1:$1,0)+1),MATCH(K$1,enemy_skill_triggers!$1:$1,0)-MATCH($F$1,enemy_skill_triggers!$1:$1,0)+1,FALSE)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4" s="42">
        <f ca="1">VLOOKUP($F274,OFFSET(enemy_skill_triggers!$A$1,0,0,COUNTA(enemy_skill_triggers!$A:$A),MATCH(L$1,enemy_skill_triggers!$1:$1,0)-MATCH($F$1,enemy_skill_triggers!$1:$1,0)+1),MATCH(L$1,enemy_skill_triggers!$1:$1,0)-MATCH($F$1,enemy_skill_triggers!$1:$1,0)+1,FALSE)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4" s="42" t="str">
        <f ca="1">VLOOKUP($F274,OFFSET(enemy_skill_triggers!$A$1,0,0,COUNTA(enemy_skill_triggers!$A:$A),MATCH(M$1,enemy_skill_triggers!$1:$1,0)-MATCH($F$1,enemy_skill_triggers!$1:$1,0)+1),MATCH(M$1,enemy_skill_triggers!$1:$1,0)-MATCH($F$1,enemy_skill_triggers!$1:$1,0)+1,FALSE)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4" s="42">
        <f ca="1">VLOOKUP($F274,OFFSET(enemy_skill_triggers!$A$1,0,0,COUNTA(enemy_skill_triggers!$A:$A),MATCH(N$1,enemy_skill_triggers!$1:$1,0)-MATCH($F$1,enemy_skill_triggers!$1:$1,0)+1),MATCH(N$1,enemy_skill_triggers!$1:$1,0)-MATCH($F$1,enemy_skill_triggers!$1:$1,0)+1,FALSE)</f>
        <v>528</v>
      </c>
      <c r="O274" s="42">
        <f ca="1">VLOOKUP($F274,OFFSET(enemy_skill_triggers!$A$1,0,0,COUNTA(enemy_skill_triggers!$A:$A),MATCH(O$1,enemy_skill_triggers!$1:$1,0)-MATCH($F$1,enemy_skill_triggers!$1:$1,0)+1),MATCH(O$1,enemy_skill_triggers!$1:$1,0)-MATCH($F$1,enemy_skill_triggers!$1:$1,0)+1,FALSE)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4" s="41"/>
      <c r="Q274" s="41"/>
      <c r="R274" s="41" t="s">
        <v>354</v>
      </c>
    </row>
    <row r="275" spans="1:18" ht="21" customHeight="1" x14ac:dyDescent="0.15">
      <c r="A275" s="33" t="str">
        <f t="shared" si="14"/>
        <v>39008011_39008033</v>
      </c>
      <c r="B275" s="102">
        <v>39008011</v>
      </c>
      <c r="C275" s="119">
        <v>39008033</v>
      </c>
      <c r="D275" s="40" t="str">
        <f ca="1">VLOOKUP($C275,OFFSET(enemy_skills!$A$1,0,0,COUNTA(enemy_skills!$A:$A),MATCH(D$1,enemy_skills!$1:$1,0)-MATCH("enemy_skill_id",enemy_skills!$1:$1,0)+1),MATCH(D$1,enemy_skills!$1:$1,0)-MATCH("enemy_skill_id",enemy_skills!$1:$1,0)+1,FALSE)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75" s="40" t="str">
        <f ca="1">VLOOKUP($C275,OFFSET(enemy_skills!$A$1,0,0,COUNTA(enemy_skills!$A:$A),MATCH(E$1,enemy_skills!$1:$1,0)-MATCH("enemy_skill_id",enemy_skills!$1:$1,0)+1),MATCH(E$1,enemy_skills!$1:$1,0)-MATCH("enemy_skill_id",enemy_skills!$1:$1,0)+1,FALSE)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75" s="122">
        <v>39008119</v>
      </c>
      <c r="G275" s="42">
        <f ca="1">VLOOKUP($F275,OFFSET(enemy_skill_triggers!$A$1,0,0,COUNTA(enemy_skill_triggers!$A:$A),MATCH(G$1,enemy_skill_triggers!$1:$1,0)-MATCH($F$1,enemy_skill_triggers!$1:$1,0)+1),MATCH(G$1,enemy_skill_triggers!$1:$1,0)-MATCH($F$1,enemy_skill_triggers!$1:$1,0)+1,FALSE)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5" s="42">
        <f ca="1">VLOOKUP($F275,OFFSET(enemy_skill_triggers!$A$1,0,0,COUNTA(enemy_skill_triggers!$A:$A),MATCH(H$1,enemy_skill_triggers!$1:$1,0)-MATCH($F$1,enemy_skill_triggers!$1:$1,0)+1),MATCH(H$1,enemy_skill_triggers!$1:$1,0)-MATCH($F$1,enemy_skill_triggers!$1:$1,0)+1,FALSE)</f>
        <v>912</v>
      </c>
      <c r="I275" s="42">
        <f ca="1">VLOOKUP($F275,OFFSET(enemy_skill_triggers!$A$1,0,0,COUNTA(enemy_skill_triggers!$A:$A),MATCH(I$1,enemy_skill_triggers!$1:$1,0)-MATCH($F$1,enemy_skill_triggers!$1:$1,0)+1),MATCH(I$1,enemy_skill_triggers!$1:$1,0)-MATCH($F$1,enemy_skill_triggers!$1:$1,0)+1,FALSE)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5" s="42" t="str">
        <f ca="1">VLOOKUP($F275,OFFSET(enemy_skill_triggers!$A$1,0,0,COUNTA(enemy_skill_triggers!$A:$A),MATCH(J$1,enemy_skill_triggers!$1:$1,0)-MATCH($F$1,enemy_skill_triggers!$1:$1,0)+1),MATCH(J$1,enemy_skill_triggers!$1:$1,0)-MATCH($F$1,enemy_skill_triggers!$1:$1,0)+1,FALSE)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5" s="42" t="str">
        <f ca="1">VLOOKUP($F275,OFFSET(enemy_skill_triggers!$A$1,0,0,COUNTA(enemy_skill_triggers!$A:$A),MATCH(K$1,enemy_skill_triggers!$1:$1,0)-MATCH($F$1,enemy_skill_triggers!$1:$1,0)+1),MATCH(K$1,enemy_skill_triggers!$1:$1,0)-MATCH($F$1,enemy_skill_triggers!$1:$1,0)+1,FALSE)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5" s="42">
        <f ca="1">VLOOKUP($F275,OFFSET(enemy_skill_triggers!$A$1,0,0,COUNTA(enemy_skill_triggers!$A:$A),MATCH(L$1,enemy_skill_triggers!$1:$1,0)-MATCH($F$1,enemy_skill_triggers!$1:$1,0)+1),MATCH(L$1,enemy_skill_triggers!$1:$1,0)-MATCH($F$1,enemy_skill_triggers!$1:$1,0)+1,FALSE)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5" s="42" t="str">
        <f ca="1">VLOOKUP($F275,OFFSET(enemy_skill_triggers!$A$1,0,0,COUNTA(enemy_skill_triggers!$A:$A),MATCH(M$1,enemy_skill_triggers!$1:$1,0)-MATCH($F$1,enemy_skill_triggers!$1:$1,0)+1),MATCH(M$1,enemy_skill_triggers!$1:$1,0)-MATCH($F$1,enemy_skill_triggers!$1:$1,0)+1,FALSE)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5" s="42">
        <f ca="1">VLOOKUP($F275,OFFSET(enemy_skill_triggers!$A$1,0,0,COUNTA(enemy_skill_triggers!$A:$A),MATCH(N$1,enemy_skill_triggers!$1:$1,0)-MATCH($F$1,enemy_skill_triggers!$1:$1,0)+1),MATCH(N$1,enemy_skill_triggers!$1:$1,0)-MATCH($F$1,enemy_skill_triggers!$1:$1,0)+1,FALSE)</f>
        <v>1299</v>
      </c>
      <c r="O275" s="42">
        <f ca="1">VLOOKUP($F275,OFFSET(enemy_skill_triggers!$A$1,0,0,COUNTA(enemy_skill_triggers!$A:$A),MATCH(O$1,enemy_skill_triggers!$1:$1,0)-MATCH($F$1,enemy_skill_triggers!$1:$1,0)+1),MATCH(O$1,enemy_skill_triggers!$1:$1,0)-MATCH($F$1,enemy_skill_triggers!$1:$1,0)+1,FALSE)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5" s="41"/>
      <c r="Q275" s="41"/>
      <c r="R275" s="41" t="s">
        <v>353</v>
      </c>
    </row>
    <row r="276" spans="1:18" ht="21" customHeight="1" x14ac:dyDescent="0.15">
      <c r="A276" s="33" t="str">
        <f t="shared" si="14"/>
        <v>39008011_39008035</v>
      </c>
      <c r="B276" s="102">
        <v>39008011</v>
      </c>
      <c r="C276" s="119">
        <v>39008035</v>
      </c>
      <c r="D276" s="40" t="str">
        <f ca="1">VLOOKUP($C276,OFFSET(enemy_skills!$A$1,0,0,COUNTA(enemy_skills!$A:$A),MATCH(D$1,enemy_skills!$1:$1,0)-MATCH("enemy_skill_id",enemy_skills!$1:$1,0)+1),MATCH(D$1,enemy_skills!$1:$1,0)-MATCH("enemy_skill_id",enemy_skills!$1:$1,0)+1,FALSE)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76" s="40" t="str">
        <f ca="1">VLOOKUP($C276,OFFSET(enemy_skills!$A$1,0,0,COUNTA(enemy_skills!$A:$A),MATCH(E$1,enemy_skills!$1:$1,0)-MATCH("enemy_skill_id",enemy_skills!$1:$1,0)+1),MATCH(E$1,enemy_skills!$1:$1,0)-MATCH("enemy_skill_id",enemy_skills!$1:$1,0)+1,FALSE)</f>
        <v>そっか！リンちゃんが助けてくれたんだね！ありがとうっ！</v>
      </c>
      <c r="F276" s="122">
        <v>39008120</v>
      </c>
      <c r="G276" s="42">
        <f ca="1">VLOOKUP($F276,OFFSET(enemy_skill_triggers!$A$1,0,0,COUNTA(enemy_skill_triggers!$A:$A),MATCH(G$1,enemy_skill_triggers!$1:$1,0)-MATCH($F$1,enemy_skill_triggers!$1:$1,0)+1),MATCH(G$1,enemy_skill_triggers!$1:$1,0)-MATCH($F$1,enemy_skill_triggers!$1:$1,0)+1,FALSE)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6" s="42">
        <f ca="1">VLOOKUP($F276,OFFSET(enemy_skill_triggers!$A$1,0,0,COUNTA(enemy_skill_triggers!$A:$A),MATCH(H$1,enemy_skill_triggers!$1:$1,0)-MATCH($F$1,enemy_skill_triggers!$1:$1,0)+1),MATCH(H$1,enemy_skill_triggers!$1:$1,0)-MATCH($F$1,enemy_skill_triggers!$1:$1,0)+1,FALSE)</f>
        <v>911</v>
      </c>
      <c r="I276" s="42">
        <f ca="1">VLOOKUP($F276,OFFSET(enemy_skill_triggers!$A$1,0,0,COUNTA(enemy_skill_triggers!$A:$A),MATCH(I$1,enemy_skill_triggers!$1:$1,0)-MATCH($F$1,enemy_skill_triggers!$1:$1,0)+1),MATCH(I$1,enemy_skill_triggers!$1:$1,0)-MATCH($F$1,enemy_skill_triggers!$1:$1,0)+1,FALSE)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6" s="42" t="str">
        <f ca="1">VLOOKUP($F276,OFFSET(enemy_skill_triggers!$A$1,0,0,COUNTA(enemy_skill_triggers!$A:$A),MATCH(J$1,enemy_skill_triggers!$1:$1,0)-MATCH($F$1,enemy_skill_triggers!$1:$1,0)+1),MATCH(J$1,enemy_skill_triggers!$1:$1,0)-MATCH($F$1,enemy_skill_triggers!$1:$1,0)+1,FALSE)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6" s="42" t="str">
        <f ca="1">VLOOKUP($F276,OFFSET(enemy_skill_triggers!$A$1,0,0,COUNTA(enemy_skill_triggers!$A:$A),MATCH(K$1,enemy_skill_triggers!$1:$1,0)-MATCH($F$1,enemy_skill_triggers!$1:$1,0)+1),MATCH(K$1,enemy_skill_triggers!$1:$1,0)-MATCH($F$1,enemy_skill_triggers!$1:$1,0)+1,FALSE)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6" s="42">
        <f ca="1">VLOOKUP($F276,OFFSET(enemy_skill_triggers!$A$1,0,0,COUNTA(enemy_skill_triggers!$A:$A),MATCH(L$1,enemy_skill_triggers!$1:$1,0)-MATCH($F$1,enemy_skill_triggers!$1:$1,0)+1),MATCH(L$1,enemy_skill_triggers!$1:$1,0)-MATCH($F$1,enemy_skill_triggers!$1:$1,0)+1,FALSE)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6" s="42" t="str">
        <f ca="1">VLOOKUP($F276,OFFSET(enemy_skill_triggers!$A$1,0,0,COUNTA(enemy_skill_triggers!$A:$A),MATCH(M$1,enemy_skill_triggers!$1:$1,0)-MATCH($F$1,enemy_skill_triggers!$1:$1,0)+1),MATCH(M$1,enemy_skill_triggers!$1:$1,0)-MATCH($F$1,enemy_skill_triggers!$1:$1,0)+1,FALSE)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6" s="42">
        <f ca="1">VLOOKUP($F276,OFFSET(enemy_skill_triggers!$A$1,0,0,COUNTA(enemy_skill_triggers!$A:$A),MATCH(N$1,enemy_skill_triggers!$1:$1,0)-MATCH($F$1,enemy_skill_triggers!$1:$1,0)+1),MATCH(N$1,enemy_skill_triggers!$1:$1,0)-MATCH($F$1,enemy_skill_triggers!$1:$1,0)+1,FALSE)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276" s="42">
        <f ca="1">VLOOKUP($F276,OFFSET(enemy_skill_triggers!$A$1,0,0,COUNTA(enemy_skill_triggers!$A:$A),MATCH(O$1,enemy_skill_triggers!$1:$1,0)-MATCH($F$1,enemy_skill_triggers!$1:$1,0)+1),MATCH(O$1,enemy_skill_triggers!$1:$1,0)-MATCH($F$1,enemy_skill_triggers!$1:$1,0)+1,FALSE)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6" s="41"/>
      <c r="Q276" s="41"/>
      <c r="R276" s="41" t="s">
        <v>355</v>
      </c>
    </row>
    <row r="277" spans="1:18" ht="21" customHeight="1" x14ac:dyDescent="0.15">
      <c r="A277" s="33" t="str">
        <f t="shared" si="14"/>
        <v>39008011_39008035</v>
      </c>
      <c r="B277" s="102">
        <v>39008011</v>
      </c>
      <c r="C277" s="119">
        <v>39008035</v>
      </c>
      <c r="D277" s="40" t="str">
        <f ca="1">VLOOKUP($C277,OFFSET(enemy_skills!$A$1,0,0,COUNTA(enemy_skills!$A:$A),MATCH(D$1,enemy_skills!$1:$1,0)-MATCH("enemy_skill_id",enemy_skills!$1:$1,0)+1),MATCH(D$1,enemy_skills!$1:$1,0)-MATCH("enemy_skill_id",enemy_skills!$1:$1,0)+1,FALSE)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77" s="40" t="str">
        <f ca="1">VLOOKUP($C277,OFFSET(enemy_skills!$A$1,0,0,COUNTA(enemy_skills!$A:$A),MATCH(E$1,enemy_skills!$1:$1,0)-MATCH("enemy_skill_id",enemy_skills!$1:$1,0)+1),MATCH(E$1,enemy_skills!$1:$1,0)-MATCH("enemy_skill_id",enemy_skills!$1:$1,0)+1,FALSE)</f>
        <v>そっか！リンちゃんが助けてくれたんだね！ありがとうっ！</v>
      </c>
      <c r="F277" s="122">
        <v>39008121</v>
      </c>
      <c r="G277" s="42">
        <f ca="1">VLOOKUP($F277,OFFSET(enemy_skill_triggers!$A$1,0,0,COUNTA(enemy_skill_triggers!$A:$A),MATCH(G$1,enemy_skill_triggers!$1:$1,0)-MATCH($F$1,enemy_skill_triggers!$1:$1,0)+1),MATCH(G$1,enemy_skill_triggers!$1:$1,0)-MATCH($F$1,enemy_skill_triggers!$1:$1,0)+1,FALSE)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7" s="42">
        <f ca="1">VLOOKUP($F277,OFFSET(enemy_skill_triggers!$A$1,0,0,COUNTA(enemy_skill_triggers!$A:$A),MATCH(H$1,enemy_skill_triggers!$1:$1,0)-MATCH($F$1,enemy_skill_triggers!$1:$1,0)+1),MATCH(H$1,enemy_skill_triggers!$1:$1,0)-MATCH($F$1,enemy_skill_triggers!$1:$1,0)+1,FALSE)</f>
        <v>910</v>
      </c>
      <c r="I277" s="42">
        <f ca="1">VLOOKUP($F277,OFFSET(enemy_skill_triggers!$A$1,0,0,COUNTA(enemy_skill_triggers!$A:$A),MATCH(I$1,enemy_skill_triggers!$1:$1,0)-MATCH($F$1,enemy_skill_triggers!$1:$1,0)+1),MATCH(I$1,enemy_skill_triggers!$1:$1,0)-MATCH($F$1,enemy_skill_triggers!$1:$1,0)+1,FALSE)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7" s="42" t="str">
        <f ca="1">VLOOKUP($F277,OFFSET(enemy_skill_triggers!$A$1,0,0,COUNTA(enemy_skill_triggers!$A:$A),MATCH(J$1,enemy_skill_triggers!$1:$1,0)-MATCH($F$1,enemy_skill_triggers!$1:$1,0)+1),MATCH(J$1,enemy_skill_triggers!$1:$1,0)-MATCH($F$1,enemy_skill_triggers!$1:$1,0)+1,FALSE)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7" s="42" t="str">
        <f ca="1">VLOOKUP($F277,OFFSET(enemy_skill_triggers!$A$1,0,0,COUNTA(enemy_skill_triggers!$A:$A),MATCH(K$1,enemy_skill_triggers!$1:$1,0)-MATCH($F$1,enemy_skill_triggers!$1:$1,0)+1),MATCH(K$1,enemy_skill_triggers!$1:$1,0)-MATCH($F$1,enemy_skill_triggers!$1:$1,0)+1,FALSE)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7" s="42">
        <f ca="1">VLOOKUP($F277,OFFSET(enemy_skill_triggers!$A$1,0,0,COUNTA(enemy_skill_triggers!$A:$A),MATCH(L$1,enemy_skill_triggers!$1:$1,0)-MATCH($F$1,enemy_skill_triggers!$1:$1,0)+1),MATCH(L$1,enemy_skill_triggers!$1:$1,0)-MATCH($F$1,enemy_skill_triggers!$1:$1,0)+1,FALSE)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7" s="42" t="str">
        <f ca="1">VLOOKUP($F277,OFFSET(enemy_skill_triggers!$A$1,0,0,COUNTA(enemy_skill_triggers!$A:$A),MATCH(M$1,enemy_skill_triggers!$1:$1,0)-MATCH($F$1,enemy_skill_triggers!$1:$1,0)+1),MATCH(M$1,enemy_skill_triggers!$1:$1,0)-MATCH($F$1,enemy_skill_triggers!$1:$1,0)+1,FALSE)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7" s="42">
        <f ca="1">VLOOKUP($F277,OFFSET(enemy_skill_triggers!$A$1,0,0,COUNTA(enemy_skill_triggers!$A:$A),MATCH(N$1,enemy_skill_triggers!$1:$1,0)-MATCH($F$1,enemy_skill_triggers!$1:$1,0)+1),MATCH(N$1,enemy_skill_triggers!$1:$1,0)-MATCH($F$1,enemy_skill_triggers!$1:$1,0)+1,FALSE)</f>
        <v>1319</v>
      </c>
      <c r="O277" s="42">
        <f ca="1">VLOOKUP($F277,OFFSET(enemy_skill_triggers!$A$1,0,0,COUNTA(enemy_skill_triggers!$A:$A),MATCH(O$1,enemy_skill_triggers!$1:$1,0)-MATCH($F$1,enemy_skill_triggers!$1:$1,0)+1),MATCH(O$1,enemy_skill_triggers!$1:$1,0)-MATCH($F$1,enemy_skill_triggers!$1:$1,0)+1,FALSE)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7" s="41"/>
      <c r="Q277" s="41"/>
      <c r="R277" s="41" t="s">
        <v>364</v>
      </c>
    </row>
    <row r="278" spans="1:18" ht="21" customHeight="1" x14ac:dyDescent="0.15">
      <c r="A278" s="33" t="str">
        <f t="shared" si="14"/>
        <v>39008011_39008036</v>
      </c>
      <c r="B278" s="102">
        <v>39008011</v>
      </c>
      <c r="C278" s="119">
        <v>39008036</v>
      </c>
      <c r="D278" s="40" t="str">
        <f ca="1">VLOOKUP($C278,OFFSET(enemy_skills!$A$1,0,0,COUNTA(enemy_skills!$A:$A),MATCH(D$1,enemy_skills!$1:$1,0)-MATCH("enemy_skill_id",enemy_skills!$1:$1,0)+1),MATCH(D$1,enemy_skills!$1:$1,0)-MATCH("enemy_skill_id",enemy_skills!$1:$1,0)+1,FALSE)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78" s="40" t="str">
        <f ca="1">VLOOKUP($C278,OFFSET(enemy_skills!$A$1,0,0,COUNTA(enemy_skills!$A:$A),MATCH(E$1,enemy_skills!$1:$1,0)-MATCH("enemy_skill_id",enemy_skills!$1:$1,0)+1),MATCH(E$1,enemy_skills!$1:$1,0)-MATCH("enemy_skill_id",enemy_skills!$1:$1,0)+1,FALSE)</f>
        <v>そっか！レンきゅんが助けてくれたんだね！ありがとうっ！</v>
      </c>
      <c r="F278" s="122">
        <v>39008122</v>
      </c>
      <c r="G278" s="42">
        <f ca="1">VLOOKUP($F278,OFFSET(enemy_skill_triggers!$A$1,0,0,COUNTA(enemy_skill_triggers!$A:$A),MATCH(G$1,enemy_skill_triggers!$1:$1,0)-MATCH($F$1,enemy_skill_triggers!$1:$1,0)+1),MATCH(G$1,enemy_skill_triggers!$1:$1,0)-MATCH($F$1,enemy_skill_triggers!$1:$1,0)+1,FALSE)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8" s="42">
        <f ca="1">VLOOKUP($F278,OFFSET(enemy_skill_triggers!$A$1,0,0,COUNTA(enemy_skill_triggers!$A:$A),MATCH(H$1,enemy_skill_triggers!$1:$1,0)-MATCH($F$1,enemy_skill_triggers!$1:$1,0)+1),MATCH(H$1,enemy_skill_triggers!$1:$1,0)-MATCH($F$1,enemy_skill_triggers!$1:$1,0)+1,FALSE)</f>
        <v>909</v>
      </c>
      <c r="I278" s="42">
        <f ca="1">VLOOKUP($F278,OFFSET(enemy_skill_triggers!$A$1,0,0,COUNTA(enemy_skill_triggers!$A:$A),MATCH(I$1,enemy_skill_triggers!$1:$1,0)-MATCH($F$1,enemy_skill_triggers!$1:$1,0)+1),MATCH(I$1,enemy_skill_triggers!$1:$1,0)-MATCH($F$1,enemy_skill_triggers!$1:$1,0)+1,FALSE)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8" s="42" t="str">
        <f ca="1">VLOOKUP($F278,OFFSET(enemy_skill_triggers!$A$1,0,0,COUNTA(enemy_skill_triggers!$A:$A),MATCH(J$1,enemy_skill_triggers!$1:$1,0)-MATCH($F$1,enemy_skill_triggers!$1:$1,0)+1),MATCH(J$1,enemy_skill_triggers!$1:$1,0)-MATCH($F$1,enemy_skill_triggers!$1:$1,0)+1,FALSE)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8" s="42" t="str">
        <f ca="1">VLOOKUP($F278,OFFSET(enemy_skill_triggers!$A$1,0,0,COUNTA(enemy_skill_triggers!$A:$A),MATCH(K$1,enemy_skill_triggers!$1:$1,0)-MATCH($F$1,enemy_skill_triggers!$1:$1,0)+1),MATCH(K$1,enemy_skill_triggers!$1:$1,0)-MATCH($F$1,enemy_skill_triggers!$1:$1,0)+1,FALSE)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8" s="42">
        <f ca="1">VLOOKUP($F278,OFFSET(enemy_skill_triggers!$A$1,0,0,COUNTA(enemy_skill_triggers!$A:$A),MATCH(L$1,enemy_skill_triggers!$1:$1,0)-MATCH($F$1,enemy_skill_triggers!$1:$1,0)+1),MATCH(L$1,enemy_skill_triggers!$1:$1,0)-MATCH($F$1,enemy_skill_triggers!$1:$1,0)+1,FALSE)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8" s="42" t="str">
        <f ca="1">VLOOKUP($F278,OFFSET(enemy_skill_triggers!$A$1,0,0,COUNTA(enemy_skill_triggers!$A:$A),MATCH(M$1,enemy_skill_triggers!$1:$1,0)-MATCH($F$1,enemy_skill_triggers!$1:$1,0)+1),MATCH(M$1,enemy_skill_triggers!$1:$1,0)-MATCH($F$1,enemy_skill_triggers!$1:$1,0)+1,FALSE)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8" s="42">
        <f ca="1">VLOOKUP($F278,OFFSET(enemy_skill_triggers!$A$1,0,0,COUNTA(enemy_skill_triggers!$A:$A),MATCH(N$1,enemy_skill_triggers!$1:$1,0)-MATCH($F$1,enemy_skill_triggers!$1:$1,0)+1),MATCH(N$1,enemy_skill_triggers!$1:$1,0)-MATCH($F$1,enemy_skill_triggers!$1:$1,0)+1,FALSE)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278" s="42">
        <f ca="1">VLOOKUP($F278,OFFSET(enemy_skill_triggers!$A$1,0,0,COUNTA(enemy_skill_triggers!$A:$A),MATCH(O$1,enemy_skill_triggers!$1:$1,0)-MATCH($F$1,enemy_skill_triggers!$1:$1,0)+1),MATCH(O$1,enemy_skill_triggers!$1:$1,0)-MATCH($F$1,enemy_skill_triggers!$1:$1,0)+1,FALSE)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8" s="41"/>
      <c r="Q278" s="41"/>
      <c r="R278" s="41" t="s">
        <v>358</v>
      </c>
    </row>
    <row r="279" spans="1:18" ht="21" customHeight="1" x14ac:dyDescent="0.15">
      <c r="A279" s="33" t="str">
        <f t="shared" si="14"/>
        <v>39008011_39008036</v>
      </c>
      <c r="B279" s="102">
        <v>39008011</v>
      </c>
      <c r="C279" s="119">
        <v>39008036</v>
      </c>
      <c r="D279" s="40" t="str">
        <f ca="1">VLOOKUP($C279,OFFSET(enemy_skills!$A$1,0,0,COUNTA(enemy_skills!$A:$A),MATCH(D$1,enemy_skills!$1:$1,0)-MATCH("enemy_skill_id",enemy_skills!$1:$1,0)+1),MATCH(D$1,enemy_skills!$1:$1,0)-MATCH("enemy_skill_id",enemy_skills!$1:$1,0)+1,FALSE)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79" s="40" t="str">
        <f ca="1">VLOOKUP($C279,OFFSET(enemy_skills!$A$1,0,0,COUNTA(enemy_skills!$A:$A),MATCH(E$1,enemy_skills!$1:$1,0)-MATCH("enemy_skill_id",enemy_skills!$1:$1,0)+1),MATCH(E$1,enemy_skills!$1:$1,0)-MATCH("enemy_skill_id",enemy_skills!$1:$1,0)+1,FALSE)</f>
        <v>そっか！レンきゅんが助けてくれたんだね！ありがとうっ！</v>
      </c>
      <c r="F279" s="122">
        <v>39008123</v>
      </c>
      <c r="G279" s="42">
        <f ca="1">VLOOKUP($F279,OFFSET(enemy_skill_triggers!$A$1,0,0,COUNTA(enemy_skill_triggers!$A:$A),MATCH(G$1,enemy_skill_triggers!$1:$1,0)-MATCH($F$1,enemy_skill_triggers!$1:$1,0)+1),MATCH(G$1,enemy_skill_triggers!$1:$1,0)-MATCH($F$1,enemy_skill_triggers!$1:$1,0)+1,FALSE)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9" s="42">
        <f ca="1">VLOOKUP($F279,OFFSET(enemy_skill_triggers!$A$1,0,0,COUNTA(enemy_skill_triggers!$A:$A),MATCH(H$1,enemy_skill_triggers!$1:$1,0)-MATCH($F$1,enemy_skill_triggers!$1:$1,0)+1),MATCH(H$1,enemy_skill_triggers!$1:$1,0)-MATCH($F$1,enemy_skill_triggers!$1:$1,0)+1,FALSE)</f>
        <v>908</v>
      </c>
      <c r="I279" s="42">
        <f ca="1">VLOOKUP($F279,OFFSET(enemy_skill_triggers!$A$1,0,0,COUNTA(enemy_skill_triggers!$A:$A),MATCH(I$1,enemy_skill_triggers!$1:$1,0)-MATCH($F$1,enemy_skill_triggers!$1:$1,0)+1),MATCH(I$1,enemy_skill_triggers!$1:$1,0)-MATCH($F$1,enemy_skill_triggers!$1:$1,0)+1,FALSE)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9" s="42" t="str">
        <f ca="1">VLOOKUP($F279,OFFSET(enemy_skill_triggers!$A$1,0,0,COUNTA(enemy_skill_triggers!$A:$A),MATCH(J$1,enemy_skill_triggers!$1:$1,0)-MATCH($F$1,enemy_skill_triggers!$1:$1,0)+1),MATCH(J$1,enemy_skill_triggers!$1:$1,0)-MATCH($F$1,enemy_skill_triggers!$1:$1,0)+1,FALSE)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9" s="42" t="str">
        <f ca="1">VLOOKUP($F279,OFFSET(enemy_skill_triggers!$A$1,0,0,COUNTA(enemy_skill_triggers!$A:$A),MATCH(K$1,enemy_skill_triggers!$1:$1,0)-MATCH($F$1,enemy_skill_triggers!$1:$1,0)+1),MATCH(K$1,enemy_skill_triggers!$1:$1,0)-MATCH($F$1,enemy_skill_triggers!$1:$1,0)+1,FALSE)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9" s="42">
        <f ca="1">VLOOKUP($F279,OFFSET(enemy_skill_triggers!$A$1,0,0,COUNTA(enemy_skill_triggers!$A:$A),MATCH(L$1,enemy_skill_triggers!$1:$1,0)-MATCH($F$1,enemy_skill_triggers!$1:$1,0)+1),MATCH(L$1,enemy_skill_triggers!$1:$1,0)-MATCH($F$1,enemy_skill_triggers!$1:$1,0)+1,FALSE)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9" s="42" t="str">
        <f ca="1">VLOOKUP($F279,OFFSET(enemy_skill_triggers!$A$1,0,0,COUNTA(enemy_skill_triggers!$A:$A),MATCH(M$1,enemy_skill_triggers!$1:$1,0)-MATCH($F$1,enemy_skill_triggers!$1:$1,0)+1),MATCH(M$1,enemy_skill_triggers!$1:$1,0)-MATCH($F$1,enemy_skill_triggers!$1:$1,0)+1,FALSE)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9" s="42">
        <f ca="1">VLOOKUP($F279,OFFSET(enemy_skill_triggers!$A$1,0,0,COUNTA(enemy_skill_triggers!$A:$A),MATCH(N$1,enemy_skill_triggers!$1:$1,0)-MATCH($F$1,enemy_skill_triggers!$1:$1,0)+1),MATCH(N$1,enemy_skill_triggers!$1:$1,0)-MATCH($F$1,enemy_skill_triggers!$1:$1,0)+1,FALSE)</f>
        <v>1321</v>
      </c>
      <c r="O279" s="42">
        <f ca="1">VLOOKUP($F279,OFFSET(enemy_skill_triggers!$A$1,0,0,COUNTA(enemy_skill_triggers!$A:$A),MATCH(O$1,enemy_skill_triggers!$1:$1,0)-MATCH($F$1,enemy_skill_triggers!$1:$1,0)+1),MATCH(O$1,enemy_skill_triggers!$1:$1,0)-MATCH($F$1,enemy_skill_triggers!$1:$1,0)+1,FALSE)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9" s="41"/>
      <c r="Q279" s="41"/>
      <c r="R279" s="41" t="s">
        <v>358</v>
      </c>
    </row>
    <row r="280" spans="1:18" ht="21" customHeight="1" x14ac:dyDescent="0.15">
      <c r="A280" s="33" t="str">
        <f t="shared" si="14"/>
        <v>39008011_39008032</v>
      </c>
      <c r="B280" s="102">
        <v>39008011</v>
      </c>
      <c r="C280" s="41">
        <v>39008032</v>
      </c>
      <c r="D280" s="40" t="str">
        <f ca="1">VLOOKUP($C280,OFFSET(enemy_skills!$A$1,0,0,COUNTA(enemy_skills!$A:$A),MATCH(D$1,enemy_skills!$1:$1,0)-MATCH("enemy_skill_id",enemy_skills!$1:$1,0)+1),MATCH(D$1,enemy_skills!$1:$1,0)-MATCH("enemy_skill_id",enemy_skills!$1:$1,0)+1,FALSE)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80" s="40" t="str">
        <f ca="1">VLOOKUP($C280,OFFSET(enemy_skills!$A$1,0,0,COUNTA(enemy_skills!$A:$A),MATCH(E$1,enemy_skills!$1:$1,0)-MATCH("enemy_skill_id",enemy_skills!$1:$1,0)+1),MATCH(E$1,enemy_skills!$1:$1,0)-MATCH("enemy_skill_id",enemy_skills!$1:$1,0)+1,FALSE)</f>
        <v>そっか！アナタが助けてくれたんだね！ありがとうっ！</v>
      </c>
      <c r="F280" s="122">
        <v>39008132</v>
      </c>
      <c r="G280" s="42">
        <f ca="1">VLOOKUP($F280,OFFSET(enemy_skill_triggers!$A$1,0,0,COUNTA(enemy_skill_triggers!$A:$A),MATCH(G$1,enemy_skill_triggers!$1:$1,0)-MATCH($F$1,enemy_skill_triggers!$1:$1,0)+1),MATCH(G$1,enemy_skill_triggers!$1:$1,0)-MATCH($F$1,enemy_skill_triggers!$1:$1,0)+1,FALSE)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0" s="42">
        <f ca="1">VLOOKUP($F280,OFFSET(enemy_skill_triggers!$A$1,0,0,COUNTA(enemy_skill_triggers!$A:$A),MATCH(H$1,enemy_skill_triggers!$1:$1,0)-MATCH($F$1,enemy_skill_triggers!$1:$1,0)+1),MATCH(H$1,enemy_skill_triggers!$1:$1,0)-MATCH($F$1,enemy_skill_triggers!$1:$1,0)+1,FALSE)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80" s="42">
        <f ca="1">VLOOKUP($F280,OFFSET(enemy_skill_triggers!$A$1,0,0,COUNTA(enemy_skill_triggers!$A:$A),MATCH(I$1,enemy_skill_triggers!$1:$1,0)-MATCH($F$1,enemy_skill_triggers!$1:$1,0)+1),MATCH(I$1,enemy_skill_triggers!$1:$1,0)-MATCH($F$1,enemy_skill_triggers!$1:$1,0)+1,FALSE)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0" s="42" t="str">
        <f ca="1">VLOOKUP($F280,OFFSET(enemy_skill_triggers!$A$1,0,0,COUNTA(enemy_skill_triggers!$A:$A),MATCH(J$1,enemy_skill_triggers!$1:$1,0)-MATCH($F$1,enemy_skill_triggers!$1:$1,0)+1),MATCH(J$1,enemy_skill_triggers!$1:$1,0)-MATCH($F$1,enemy_skill_triggers!$1:$1,0)+1,FALSE)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0" s="42" t="str">
        <f ca="1">VLOOKUP($F280,OFFSET(enemy_skill_triggers!$A$1,0,0,COUNTA(enemy_skill_triggers!$A:$A),MATCH(K$1,enemy_skill_triggers!$1:$1,0)-MATCH($F$1,enemy_skill_triggers!$1:$1,0)+1),MATCH(K$1,enemy_skill_triggers!$1:$1,0)-MATCH($F$1,enemy_skill_triggers!$1:$1,0)+1,FALSE)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0" s="42">
        <f ca="1">VLOOKUP($F280,OFFSET(enemy_skill_triggers!$A$1,0,0,COUNTA(enemy_skill_triggers!$A:$A),MATCH(L$1,enemy_skill_triggers!$1:$1,0)-MATCH($F$1,enemy_skill_triggers!$1:$1,0)+1),MATCH(L$1,enemy_skill_triggers!$1:$1,0)-MATCH($F$1,enemy_skill_triggers!$1:$1,0)+1,FALSE)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0" s="42" t="str">
        <f ca="1">VLOOKUP($F280,OFFSET(enemy_skill_triggers!$A$1,0,0,COUNTA(enemy_skill_triggers!$A:$A),MATCH(M$1,enemy_skill_triggers!$1:$1,0)-MATCH($F$1,enemy_skill_triggers!$1:$1,0)+1),MATCH(M$1,enemy_skill_triggers!$1:$1,0)-MATCH($F$1,enemy_skill_triggers!$1:$1,0)+1,FALSE)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0" s="42">
        <f ca="1">VLOOKUP($F280,OFFSET(enemy_skill_triggers!$A$1,0,0,COUNTA(enemy_skill_triggers!$A:$A),MATCH(N$1,enemy_skill_triggers!$1:$1,0)-MATCH($F$1,enemy_skill_triggers!$1:$1,0)+1),MATCH(N$1,enemy_skill_triggers!$1:$1,0)-MATCH($F$1,enemy_skill_triggers!$1:$1,0)+1,FALSE)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80" s="42">
        <f ca="1">VLOOKUP($F280,OFFSET(enemy_skill_triggers!$A$1,0,0,COUNTA(enemy_skill_triggers!$A:$A),MATCH(O$1,enemy_skill_triggers!$1:$1,0)-MATCH($F$1,enemy_skill_triggers!$1:$1,0)+1),MATCH(O$1,enemy_skill_triggers!$1:$1,0)-MATCH($F$1,enemy_skill_triggers!$1:$1,0)+1,FALSE)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0" s="41"/>
      <c r="Q280" s="41"/>
      <c r="R280" s="41"/>
    </row>
    <row r="281" spans="1:18" ht="21" customHeight="1" x14ac:dyDescent="0.15">
      <c r="A281" s="33" t="str">
        <f t="shared" ref="A281:A331" si="15">B281&amp;"_"&amp;C281</f>
        <v>39008013_39008013</v>
      </c>
      <c r="B281" s="110">
        <v>39008013</v>
      </c>
      <c r="C281" s="41">
        <v>39008013</v>
      </c>
      <c r="D281" s="40" t="str">
        <f ca="1">VLOOKUP($C281,OFFSET(enemy_skills!$A$1,0,0,COUNTA(enemy_skills!$A:$A),MATCH(D$1,enemy_skills!$1:$1,0)-MATCH("enemy_skill_id",enemy_skills!$1:$1,0)+1),MATCH(D$1,enemy_skills!$1:$1,0)-MATCH("enemy_skill_id",enemy_skills!$1:$1,0)+1,FALSE)</f>
        <v>ユキネみっけ！_x000D_本番はこれからだよ！</v>
      </c>
      <c r="E281" s="40" t="str">
        <f ca="1">VLOOKUP($C281,OFFSET(enemy_skills!$A$1,0,0,COUNTA(enemy_skills!$A:$A),MATCH(E$1,enemy_skills!$1:$1,0)-MATCH("enemy_skill_id",enemy_skills!$1:$1,0)+1),MATCH(E$1,enemy_skills!$1:$1,0)-MATCH("enemy_skill_id",enemy_skills!$1:$1,0)+1,FALSE)</f>
        <v>8ターンハートパネル無効</v>
      </c>
      <c r="F281" s="122">
        <v>39008017</v>
      </c>
      <c r="G281" s="42">
        <f ca="1">VLOOKUP($F281,OFFSET(enemy_skill_triggers!$A$1,0,0,COUNTA(enemy_skill_triggers!$A:$A),MATCH(G$1,enemy_skill_triggers!$1:$1,0)-MATCH($F$1,enemy_skill_triggers!$1:$1,0)+1),MATCH(G$1,enemy_skill_triggers!$1:$1,0)-MATCH($F$1,enemy_skill_triggers!$1:$1,0)+1,FALSE)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1" s="42" t="str">
        <f ca="1">VLOOKUP($F281,OFFSET(enemy_skill_triggers!$A$1,0,0,COUNTA(enemy_skill_triggers!$A:$A),MATCH(H$1,enemy_skill_triggers!$1:$1,0)-MATCH($F$1,enemy_skill_triggers!$1:$1,0)+1),MATCH(H$1,enemy_skill_triggers!$1:$1,0)-MATCH($F$1,enemy_skill_triggers!$1:$1,0)+1,FALSE)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1" s="42">
        <f ca="1">VLOOKUP($F281,OFFSET(enemy_skill_triggers!$A$1,0,0,COUNTA(enemy_skill_triggers!$A:$A),MATCH(I$1,enemy_skill_triggers!$1:$1,0)-MATCH($F$1,enemy_skill_triggers!$1:$1,0)+1),MATCH(I$1,enemy_skill_triggers!$1:$1,0)-MATCH($F$1,enemy_skill_triggers!$1:$1,0)+1,FALSE)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1" s="42" t="str">
        <f ca="1">VLOOKUP($F281,OFFSET(enemy_skill_triggers!$A$1,0,0,COUNTA(enemy_skill_triggers!$A:$A),MATCH(J$1,enemy_skill_triggers!$1:$1,0)-MATCH($F$1,enemy_skill_triggers!$1:$1,0)+1),MATCH(J$1,enemy_skill_triggers!$1:$1,0)-MATCH($F$1,enemy_skill_triggers!$1:$1,0)+1,FALSE)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1" s="42" t="str">
        <f ca="1">VLOOKUP($F281,OFFSET(enemy_skill_triggers!$A$1,0,0,COUNTA(enemy_skill_triggers!$A:$A),MATCH(K$1,enemy_skill_triggers!$1:$1,0)-MATCH($F$1,enemy_skill_triggers!$1:$1,0)+1),MATCH(K$1,enemy_skill_triggers!$1:$1,0)-MATCH($F$1,enemy_skill_triggers!$1:$1,0)+1,FALSE)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1" s="42">
        <f ca="1">VLOOKUP($F281,OFFSET(enemy_skill_triggers!$A$1,0,0,COUNTA(enemy_skill_triggers!$A:$A),MATCH(L$1,enemy_skill_triggers!$1:$1,0)-MATCH($F$1,enemy_skill_triggers!$1:$1,0)+1),MATCH(L$1,enemy_skill_triggers!$1:$1,0)-MATCH($F$1,enemy_skill_triggers!$1:$1,0)+1,FALSE)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1" s="42" t="str">
        <f ca="1">VLOOKUP($F281,OFFSET(enemy_skill_triggers!$A$1,0,0,COUNTA(enemy_skill_triggers!$A:$A),MATCH(M$1,enemy_skill_triggers!$1:$1,0)-MATCH($F$1,enemy_skill_triggers!$1:$1,0)+1),MATCH(M$1,enemy_skill_triggers!$1:$1,0)-MATCH($F$1,enemy_skill_triggers!$1:$1,0)+1,FALSE)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1" s="42" t="str">
        <f ca="1">VLOOKUP($F281,OFFSET(enemy_skill_triggers!$A$1,0,0,COUNTA(enemy_skill_triggers!$A:$A),MATCH(N$1,enemy_skill_triggers!$1:$1,0)-MATCH($F$1,enemy_skill_triggers!$1:$1,0)+1),MATCH(N$1,enemy_skill_triggers!$1:$1,0)-MATCH($F$1,enemy_skill_triggers!$1:$1,0)+1,FALSE)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1" s="42">
        <f ca="1">VLOOKUP($F281,OFFSET(enemy_skill_triggers!$A$1,0,0,COUNTA(enemy_skill_triggers!$A:$A),MATCH(O$1,enemy_skill_triggers!$1:$1,0)-MATCH($F$1,enemy_skill_triggers!$1:$1,0)+1),MATCH(O$1,enemy_skill_triggers!$1:$1,0)-MATCH($F$1,enemy_skill_triggers!$1:$1,0)+1,FALSE)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1" s="41"/>
      <c r="Q281" s="41"/>
      <c r="R281" s="41"/>
    </row>
    <row r="282" spans="1:18" ht="21" customHeight="1" x14ac:dyDescent="0.15">
      <c r="A282" s="33" t="str">
        <f t="shared" si="15"/>
        <v>39008013_39008014</v>
      </c>
      <c r="B282" s="110">
        <v>39008013</v>
      </c>
      <c r="C282" s="41">
        <v>39008014</v>
      </c>
      <c r="D282" s="40" t="str">
        <f ca="1">VLOOKUP($C282,OFFSET(enemy_skills!$A$1,0,0,COUNTA(enemy_skills!$A:$A),MATCH(D$1,enemy_skills!$1:$1,0)-MATCH("enemy_skill_id",enemy_skills!$1:$1,0)+1),MATCH(D$1,enemy_skills!$1:$1,0)-MATCH("enemy_skill_id",enemy_skills!$1:$1,0)+1,FALSE)</f>
        <v>クレイジーターンアタック</v>
      </c>
      <c r="E282" s="40" t="str">
        <f ca="1">VLOOKUP($C282,OFFSET(enemy_skills!$A$1,0,0,COUNTA(enemy_skills!$A:$A),MATCH(E$1,enemy_skills!$1:$1,0)-MATCH("enemy_skill_id",enemy_skills!$1:$1,0)+1),MATCH(E$1,enemy_skills!$1:$1,0)-MATCH("enemy_skill_id",enemy_skills!$1:$1,0)+1,FALSE)</f>
        <v>3ターン回復力100%DOWN+_x000D_単体攻撃</v>
      </c>
      <c r="F282" s="122">
        <v>39008018</v>
      </c>
      <c r="G282" s="42">
        <f ca="1">VLOOKUP($F282,OFFSET(enemy_skill_triggers!$A$1,0,0,COUNTA(enemy_skill_triggers!$A:$A),MATCH(G$1,enemy_skill_triggers!$1:$1,0)-MATCH($F$1,enemy_skill_triggers!$1:$1,0)+1),MATCH(G$1,enemy_skill_triggers!$1:$1,0)-MATCH($F$1,enemy_skill_triggers!$1:$1,0)+1,FALSE)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2" s="42">
        <f ca="1">VLOOKUP($F282,OFFSET(enemy_skill_triggers!$A$1,0,0,COUNTA(enemy_skill_triggers!$A:$A),MATCH(H$1,enemy_skill_triggers!$1:$1,0)-MATCH($F$1,enemy_skill_triggers!$1:$1,0)+1),MATCH(H$1,enemy_skill_triggers!$1:$1,0)-MATCH($F$1,enemy_skill_triggers!$1:$1,0)+1,FALSE)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82" s="42">
        <f ca="1">VLOOKUP($F282,OFFSET(enemy_skill_triggers!$A$1,0,0,COUNTA(enemy_skill_triggers!$A:$A),MATCH(I$1,enemy_skill_triggers!$1:$1,0)-MATCH($F$1,enemy_skill_triggers!$1:$1,0)+1),MATCH(I$1,enemy_skill_triggers!$1:$1,0)-MATCH($F$1,enemy_skill_triggers!$1:$1,0)+1,FALSE)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82" s="42" t="str">
        <f ca="1">VLOOKUP($F282,OFFSET(enemy_skill_triggers!$A$1,0,0,COUNTA(enemy_skill_triggers!$A:$A),MATCH(J$1,enemy_skill_triggers!$1:$1,0)-MATCH($F$1,enemy_skill_triggers!$1:$1,0)+1),MATCH(J$1,enemy_skill_triggers!$1:$1,0)-MATCH($F$1,enemy_skill_triggers!$1:$1,0)+1,FALSE)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2" s="42" t="str">
        <f ca="1">VLOOKUP($F282,OFFSET(enemy_skill_triggers!$A$1,0,0,COUNTA(enemy_skill_triggers!$A:$A),MATCH(K$1,enemy_skill_triggers!$1:$1,0)-MATCH($F$1,enemy_skill_triggers!$1:$1,0)+1),MATCH(K$1,enemy_skill_triggers!$1:$1,0)-MATCH($F$1,enemy_skill_triggers!$1:$1,0)+1,FALSE)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2" s="42">
        <f ca="1">VLOOKUP($F282,OFFSET(enemy_skill_triggers!$A$1,0,0,COUNTA(enemy_skill_triggers!$A:$A),MATCH(L$1,enemy_skill_triggers!$1:$1,0)-MATCH($F$1,enemy_skill_triggers!$1:$1,0)+1),MATCH(L$1,enemy_skill_triggers!$1:$1,0)-MATCH($F$1,enemy_skill_triggers!$1:$1,0)+1,FALSE)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2" s="42" t="str">
        <f ca="1">VLOOKUP($F282,OFFSET(enemy_skill_triggers!$A$1,0,0,COUNTA(enemy_skill_triggers!$A:$A),MATCH(M$1,enemy_skill_triggers!$1:$1,0)-MATCH($F$1,enemy_skill_triggers!$1:$1,0)+1),MATCH(M$1,enemy_skill_triggers!$1:$1,0)-MATCH($F$1,enemy_skill_triggers!$1:$1,0)+1,FALSE)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2" s="42" t="str">
        <f ca="1">VLOOKUP($F282,OFFSET(enemy_skill_triggers!$A$1,0,0,COUNTA(enemy_skill_triggers!$A:$A),MATCH(N$1,enemy_skill_triggers!$1:$1,0)-MATCH($F$1,enemy_skill_triggers!$1:$1,0)+1),MATCH(N$1,enemy_skill_triggers!$1:$1,0)-MATCH($F$1,enemy_skill_triggers!$1:$1,0)+1,FALSE)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2" s="42">
        <f ca="1">VLOOKUP($F282,OFFSET(enemy_skill_triggers!$A$1,0,0,COUNTA(enemy_skill_triggers!$A:$A),MATCH(O$1,enemy_skill_triggers!$1:$1,0)-MATCH($F$1,enemy_skill_triggers!$1:$1,0)+1),MATCH(O$1,enemy_skill_triggers!$1:$1,0)-MATCH($F$1,enemy_skill_triggers!$1:$1,0)+1,FALSE)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82" s="41"/>
      <c r="Q282" s="41"/>
      <c r="R282" s="41"/>
    </row>
    <row r="283" spans="1:18" ht="21" customHeight="1" x14ac:dyDescent="0.15">
      <c r="A283" s="33" t="str">
        <f t="shared" si="15"/>
        <v>39008013_39008015</v>
      </c>
      <c r="B283" s="110">
        <v>39008013</v>
      </c>
      <c r="C283" s="41">
        <v>39008015</v>
      </c>
      <c r="D283" s="40" t="str">
        <f ca="1">VLOOKUP($C283,OFFSET(enemy_skills!$A$1,0,0,COUNTA(enemy_skills!$A:$A),MATCH(D$1,enemy_skills!$1:$1,0)-MATCH("enemy_skill_id",enemy_skills!$1:$1,0)+1),MATCH(D$1,enemy_skills!$1:$1,0)-MATCH("enemy_skill_id",enemy_skills!$1:$1,0)+1,FALSE)</f>
        <v>コンビネーションエッジ</v>
      </c>
      <c r="E283" s="40" t="str">
        <f ca="1">VLOOKUP($C283,OFFSET(enemy_skills!$A$1,0,0,COUNTA(enemy_skills!$A:$A),MATCH(E$1,enemy_skills!$1:$1,0)-MATCH("enemy_skill_id",enemy_skills!$1:$1,0)+1),MATCH(E$1,enemy_skills!$1:$1,0)-MATCH("enemy_skill_id",enemy_skills!$1:$1,0)+1,FALSE)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83" s="122">
        <v>39008019</v>
      </c>
      <c r="G283" s="42">
        <f ca="1">VLOOKUP($F283,OFFSET(enemy_skill_triggers!$A$1,0,0,COUNTA(enemy_skill_triggers!$A:$A),MATCH(G$1,enemy_skill_triggers!$1:$1,0)-MATCH($F$1,enemy_skill_triggers!$1:$1,0)+1),MATCH(G$1,enemy_skill_triggers!$1:$1,0)-MATCH($F$1,enemy_skill_triggers!$1:$1,0)+1,FALSE)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3" s="42">
        <f ca="1">VLOOKUP($F283,OFFSET(enemy_skill_triggers!$A$1,0,0,COUNTA(enemy_skill_triggers!$A:$A),MATCH(H$1,enemy_skill_triggers!$1:$1,0)-MATCH($F$1,enemy_skill_triggers!$1:$1,0)+1),MATCH(H$1,enemy_skill_triggers!$1:$1,0)-MATCH($F$1,enemy_skill_triggers!$1:$1,0)+1,FALSE)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83" s="42">
        <f ca="1">VLOOKUP($F283,OFFSET(enemy_skill_triggers!$A$1,0,0,COUNTA(enemy_skill_triggers!$A:$A),MATCH(I$1,enemy_skill_triggers!$1:$1,0)-MATCH($F$1,enemy_skill_triggers!$1:$1,0)+1),MATCH(I$1,enemy_skill_triggers!$1:$1,0)-MATCH($F$1,enemy_skill_triggers!$1:$1,0)+1,FALSE)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83" s="42" t="str">
        <f ca="1">VLOOKUP($F283,OFFSET(enemy_skill_triggers!$A$1,0,0,COUNTA(enemy_skill_triggers!$A:$A),MATCH(J$1,enemy_skill_triggers!$1:$1,0)-MATCH($F$1,enemy_skill_triggers!$1:$1,0)+1),MATCH(J$1,enemy_skill_triggers!$1:$1,0)-MATCH($F$1,enemy_skill_triggers!$1:$1,0)+1,FALSE)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3" s="42" t="str">
        <f ca="1">VLOOKUP($F283,OFFSET(enemy_skill_triggers!$A$1,0,0,COUNTA(enemy_skill_triggers!$A:$A),MATCH(K$1,enemy_skill_triggers!$1:$1,0)-MATCH($F$1,enemy_skill_triggers!$1:$1,0)+1),MATCH(K$1,enemy_skill_triggers!$1:$1,0)-MATCH($F$1,enemy_skill_triggers!$1:$1,0)+1,FALSE)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3" s="42" t="str">
        <f ca="1">VLOOKUP($F283,OFFSET(enemy_skill_triggers!$A$1,0,0,COUNTA(enemy_skill_triggers!$A:$A),MATCH(L$1,enemy_skill_triggers!$1:$1,0)-MATCH($F$1,enemy_skill_triggers!$1:$1,0)+1),MATCH(L$1,enemy_skill_triggers!$1:$1,0)-MATCH($F$1,enemy_skill_triggers!$1:$1,0)+1,FALSE)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3" s="42" t="str">
        <f ca="1">VLOOKUP($F283,OFFSET(enemy_skill_triggers!$A$1,0,0,COUNTA(enemy_skill_triggers!$A:$A),MATCH(M$1,enemy_skill_triggers!$1:$1,0)-MATCH($F$1,enemy_skill_triggers!$1:$1,0)+1),MATCH(M$1,enemy_skill_triggers!$1:$1,0)-MATCH($F$1,enemy_skill_triggers!$1:$1,0)+1,FALSE)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3" s="42" t="str">
        <f ca="1">VLOOKUP($F283,OFFSET(enemy_skill_triggers!$A$1,0,0,COUNTA(enemy_skill_triggers!$A:$A),MATCH(N$1,enemy_skill_triggers!$1:$1,0)-MATCH($F$1,enemy_skill_triggers!$1:$1,0)+1),MATCH(N$1,enemy_skill_triggers!$1:$1,0)-MATCH($F$1,enemy_skill_triggers!$1:$1,0)+1,FALSE)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3" s="42">
        <f ca="1">VLOOKUP($F283,OFFSET(enemy_skill_triggers!$A$1,0,0,COUNTA(enemy_skill_triggers!$A:$A),MATCH(O$1,enemy_skill_triggers!$1:$1,0)-MATCH($F$1,enemy_skill_triggers!$1:$1,0)+1),MATCH(O$1,enemy_skill_triggers!$1:$1,0)-MATCH($F$1,enemy_skill_triggers!$1:$1,0)+1,FALSE)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83" s="41"/>
      <c r="Q283" s="41"/>
      <c r="R283" s="41"/>
    </row>
    <row r="284" spans="1:18" ht="21" customHeight="1" x14ac:dyDescent="0.15">
      <c r="A284" s="33" t="str">
        <f t="shared" si="15"/>
        <v>39008013_39008016</v>
      </c>
      <c r="B284" s="110">
        <v>39008013</v>
      </c>
      <c r="C284" s="41">
        <v>39008016</v>
      </c>
      <c r="D284" s="40" t="str">
        <f ca="1">VLOOKUP($C284,OFFSET(enemy_skills!$A$1,0,0,COUNTA(enemy_skills!$A:$A),MATCH(D$1,enemy_skills!$1:$1,0)-MATCH("enemy_skill_id",enemy_skills!$1:$1,0)+1),MATCH(D$1,enemy_skills!$1:$1,0)-MATCH("enemy_skill_id",enemy_skills!$1:$1,0)+1,FALSE)</f>
        <v>ラピッドファイヤーエッジ</v>
      </c>
      <c r="E284" s="40" t="str">
        <f ca="1">VLOOKUP($C284,OFFSET(enemy_skills!$A$1,0,0,COUNTA(enemy_skills!$A:$A),MATCH(E$1,enemy_skills!$1:$1,0)-MATCH("enemy_skill_id",enemy_skills!$1:$1,0)+1),MATCH(E$1,enemy_skills!$1:$1,0)-MATCH("enemy_skill_id",enemy_skills!$1:$1,0)+1,FALSE)</f>
        <v>3ターン自身の攻撃力UP+_x000D_2回連続攻撃</v>
      </c>
      <c r="F284" s="122">
        <v>39008020</v>
      </c>
      <c r="G284" s="42">
        <f ca="1">VLOOKUP($F284,OFFSET(enemy_skill_triggers!$A$1,0,0,COUNTA(enemy_skill_triggers!$A:$A),MATCH(G$1,enemy_skill_triggers!$1:$1,0)-MATCH($F$1,enemy_skill_triggers!$1:$1,0)+1),MATCH(G$1,enemy_skill_triggers!$1:$1,0)-MATCH($F$1,enemy_skill_triggers!$1:$1,0)+1,FALSE)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4" s="42">
        <f ca="1">VLOOKUP($F284,OFFSET(enemy_skill_triggers!$A$1,0,0,COUNTA(enemy_skill_triggers!$A:$A),MATCH(H$1,enemy_skill_triggers!$1:$1,0)-MATCH($F$1,enemy_skill_triggers!$1:$1,0)+1),MATCH(H$1,enemy_skill_triggers!$1:$1,0)-MATCH($F$1,enemy_skill_triggers!$1:$1,0)+1,FALSE)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84" s="42">
        <f ca="1">VLOOKUP($F284,OFFSET(enemy_skill_triggers!$A$1,0,0,COUNTA(enemy_skill_triggers!$A:$A),MATCH(I$1,enemy_skill_triggers!$1:$1,0)-MATCH($F$1,enemy_skill_triggers!$1:$1,0)+1),MATCH(I$1,enemy_skill_triggers!$1:$1,0)-MATCH($F$1,enemy_skill_triggers!$1:$1,0)+1,FALSE)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4" s="42">
        <f ca="1">VLOOKUP($F284,OFFSET(enemy_skill_triggers!$A$1,0,0,COUNTA(enemy_skill_triggers!$A:$A),MATCH(J$1,enemy_skill_triggers!$1:$1,0)-MATCH($F$1,enemy_skill_triggers!$1:$1,0)+1),MATCH(J$1,enemy_skill_triggers!$1:$1,0)-MATCH($F$1,enemy_skill_triggers!$1:$1,0)+1,FALSE)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84" s="42" t="str">
        <f ca="1">VLOOKUP($F284,OFFSET(enemy_skill_triggers!$A$1,0,0,COUNTA(enemy_skill_triggers!$A:$A),MATCH(K$1,enemy_skill_triggers!$1:$1,0)-MATCH($F$1,enemy_skill_triggers!$1:$1,0)+1),MATCH(K$1,enemy_skill_triggers!$1:$1,0)-MATCH($F$1,enemy_skill_triggers!$1:$1,0)+1,FALSE)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4" s="42">
        <f ca="1">VLOOKUP($F284,OFFSET(enemy_skill_triggers!$A$1,0,0,COUNTA(enemy_skill_triggers!$A:$A),MATCH(L$1,enemy_skill_triggers!$1:$1,0)-MATCH($F$1,enemy_skill_triggers!$1:$1,0)+1),MATCH(L$1,enemy_skill_triggers!$1:$1,0)-MATCH($F$1,enemy_skill_triggers!$1:$1,0)+1,FALSE)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4" s="42" t="str">
        <f ca="1">VLOOKUP($F284,OFFSET(enemy_skill_triggers!$A$1,0,0,COUNTA(enemy_skill_triggers!$A:$A),MATCH(M$1,enemy_skill_triggers!$1:$1,0)-MATCH($F$1,enemy_skill_triggers!$1:$1,0)+1),MATCH(M$1,enemy_skill_triggers!$1:$1,0)-MATCH($F$1,enemy_skill_triggers!$1:$1,0)+1,FALSE)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4" s="42" t="str">
        <f ca="1">VLOOKUP($F284,OFFSET(enemy_skill_triggers!$A$1,0,0,COUNTA(enemy_skill_triggers!$A:$A),MATCH(N$1,enemy_skill_triggers!$1:$1,0)-MATCH($F$1,enemy_skill_triggers!$1:$1,0)+1),MATCH(N$1,enemy_skill_triggers!$1:$1,0)-MATCH($F$1,enemy_skill_triggers!$1:$1,0)+1,FALSE)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4" s="42">
        <f ca="1">VLOOKUP($F284,OFFSET(enemy_skill_triggers!$A$1,0,0,COUNTA(enemy_skill_triggers!$A:$A),MATCH(O$1,enemy_skill_triggers!$1:$1,0)-MATCH($F$1,enemy_skill_triggers!$1:$1,0)+1),MATCH(O$1,enemy_skill_triggers!$1:$1,0)-MATCH($F$1,enemy_skill_triggers!$1:$1,0)+1,FALSE)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4" s="41"/>
      <c r="Q284" s="41"/>
      <c r="R284" s="41"/>
    </row>
    <row r="285" spans="1:18" ht="20" customHeight="1" x14ac:dyDescent="0.15">
      <c r="A285" s="33" t="str">
        <f t="shared" si="15"/>
        <v>39008013_39008037</v>
      </c>
      <c r="B285" s="110">
        <v>39008013</v>
      </c>
      <c r="C285" s="119">
        <v>39008037</v>
      </c>
      <c r="D285" s="40" t="str">
        <f ca="1">VLOOKUP($C285,OFFSET(enemy_skills!$A$1,0,0,COUNTA(enemy_skills!$A:$A),MATCH(D$1,enemy_skills!$1:$1,0)-MATCH("enemy_skill_id",enemy_skills!$1:$1,0)+1),MATCH(D$1,enemy_skills!$1:$1,0)-MATCH("enemy_skill_id",enemy_skills!$1:$1,0)+1,FALSE)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85" s="40" t="str">
        <f ca="1">VLOOKUP($C285,OFFSET(enemy_skills!$A$1,0,0,COUNTA(enemy_skills!$A:$A),MATCH(E$1,enemy_skills!$1:$1,0)-MATCH("enemy_skill_id",enemy_skills!$1:$1,0)+1),MATCH(E$1,enemy_skills!$1:$1,0)-MATCH("enemy_skill_id",enemy_skills!$1:$1,0)+1,FALSE)</f>
        <v>そっか！ルカねぇが助けてくれたんだね！ありがとうっ！</v>
      </c>
      <c r="F285" s="122">
        <v>39008078</v>
      </c>
      <c r="G285" s="42">
        <f ca="1">VLOOKUP($F285,OFFSET(enemy_skill_triggers!$A$1,0,0,COUNTA(enemy_skill_triggers!$A:$A),MATCH(G$1,enemy_skill_triggers!$1:$1,0)-MATCH($F$1,enemy_skill_triggers!$1:$1,0)+1),MATCH(G$1,enemy_skill_triggers!$1:$1,0)-MATCH($F$1,enemy_skill_triggers!$1:$1,0)+1,FALSE)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5" s="42">
        <f ca="1">VLOOKUP($F285,OFFSET(enemy_skill_triggers!$A$1,0,0,COUNTA(enemy_skill_triggers!$A:$A),MATCH(H$1,enemy_skill_triggers!$1:$1,0)-MATCH($F$1,enemy_skill_triggers!$1:$1,0)+1),MATCH(H$1,enemy_skill_triggers!$1:$1,0)-MATCH($F$1,enemy_skill_triggers!$1:$1,0)+1,FALSE)</f>
        <v>953</v>
      </c>
      <c r="I285" s="42">
        <f ca="1">VLOOKUP($F285,OFFSET(enemy_skill_triggers!$A$1,0,0,COUNTA(enemy_skill_triggers!$A:$A),MATCH(I$1,enemy_skill_triggers!$1:$1,0)-MATCH($F$1,enemy_skill_triggers!$1:$1,0)+1),MATCH(I$1,enemy_skill_triggers!$1:$1,0)-MATCH($F$1,enemy_skill_triggers!$1:$1,0)+1,FALSE)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5" s="42" t="str">
        <f ca="1">VLOOKUP($F285,OFFSET(enemy_skill_triggers!$A$1,0,0,COUNTA(enemy_skill_triggers!$A:$A),MATCH(J$1,enemy_skill_triggers!$1:$1,0)-MATCH($F$1,enemy_skill_triggers!$1:$1,0)+1),MATCH(J$1,enemy_skill_triggers!$1:$1,0)-MATCH($F$1,enemy_skill_triggers!$1:$1,0)+1,FALSE)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5" s="42" t="str">
        <f ca="1">VLOOKUP($F285,OFFSET(enemy_skill_triggers!$A$1,0,0,COUNTA(enemy_skill_triggers!$A:$A),MATCH(K$1,enemy_skill_triggers!$1:$1,0)-MATCH($F$1,enemy_skill_triggers!$1:$1,0)+1),MATCH(K$1,enemy_skill_triggers!$1:$1,0)-MATCH($F$1,enemy_skill_triggers!$1:$1,0)+1,FALSE)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5" s="42">
        <f ca="1">VLOOKUP($F285,OFFSET(enemy_skill_triggers!$A$1,0,0,COUNTA(enemy_skill_triggers!$A:$A),MATCH(L$1,enemy_skill_triggers!$1:$1,0)-MATCH($F$1,enemy_skill_triggers!$1:$1,0)+1),MATCH(L$1,enemy_skill_triggers!$1:$1,0)-MATCH($F$1,enemy_skill_triggers!$1:$1,0)+1,FALSE)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5" s="42" t="str">
        <f ca="1">VLOOKUP($F285,OFFSET(enemy_skill_triggers!$A$1,0,0,COUNTA(enemy_skill_triggers!$A:$A),MATCH(M$1,enemy_skill_triggers!$1:$1,0)-MATCH($F$1,enemy_skill_triggers!$1:$1,0)+1),MATCH(M$1,enemy_skill_triggers!$1:$1,0)-MATCH($F$1,enemy_skill_triggers!$1:$1,0)+1,FALSE)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5" s="42">
        <f ca="1">VLOOKUP($F285,OFFSET(enemy_skill_triggers!$A$1,0,0,COUNTA(enemy_skill_triggers!$A:$A),MATCH(N$1,enemy_skill_triggers!$1:$1,0)-MATCH($F$1,enemy_skill_triggers!$1:$1,0)+1),MATCH(N$1,enemy_skill_triggers!$1:$1,0)-MATCH($F$1,enemy_skill_triggers!$1:$1,0)+1,FALSE)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285" s="42">
        <f ca="1">VLOOKUP($F285,OFFSET(enemy_skill_triggers!$A$1,0,0,COUNTA(enemy_skill_triggers!$A:$A),MATCH(O$1,enemy_skill_triggers!$1:$1,0)-MATCH($F$1,enemy_skill_triggers!$1:$1,0)+1),MATCH(O$1,enemy_skill_triggers!$1:$1,0)-MATCH($F$1,enemy_skill_triggers!$1:$1,0)+1,FALSE)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5" s="41"/>
      <c r="Q285" s="41"/>
      <c r="R285" s="41" t="s">
        <v>332</v>
      </c>
    </row>
    <row r="286" spans="1:18" ht="21" customHeight="1" x14ac:dyDescent="0.15">
      <c r="A286" s="33" t="str">
        <f t="shared" si="15"/>
        <v>39008013_39008037</v>
      </c>
      <c r="B286" s="110">
        <v>39008013</v>
      </c>
      <c r="C286" s="119">
        <v>39008037</v>
      </c>
      <c r="D286" s="40" t="str">
        <f ca="1">VLOOKUP($C286,OFFSET(enemy_skills!$A$1,0,0,COUNTA(enemy_skills!$A:$A),MATCH(D$1,enemy_skills!$1:$1,0)-MATCH("enemy_skill_id",enemy_skills!$1:$1,0)+1),MATCH(D$1,enemy_skills!$1:$1,0)-MATCH("enemy_skill_id",enemy_skills!$1:$1,0)+1,FALSE)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86" s="40" t="str">
        <f ca="1">VLOOKUP($C286,OFFSET(enemy_skills!$A$1,0,0,COUNTA(enemy_skills!$A:$A),MATCH(E$1,enemy_skills!$1:$1,0)-MATCH("enemy_skill_id",enemy_skills!$1:$1,0)+1),MATCH(E$1,enemy_skills!$1:$1,0)-MATCH("enemy_skill_id",enemy_skills!$1:$1,0)+1,FALSE)</f>
        <v>そっか！ルカねぇが助けてくれたんだね！ありがとうっ！</v>
      </c>
      <c r="F286" s="122">
        <v>39008079</v>
      </c>
      <c r="G286" s="42">
        <f ca="1">VLOOKUP($F286,OFFSET(enemy_skill_triggers!$A$1,0,0,COUNTA(enemy_skill_triggers!$A:$A),MATCH(G$1,enemy_skill_triggers!$1:$1,0)-MATCH($F$1,enemy_skill_triggers!$1:$1,0)+1),MATCH(G$1,enemy_skill_triggers!$1:$1,0)-MATCH($F$1,enemy_skill_triggers!$1:$1,0)+1,FALSE)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6" s="42">
        <f ca="1">VLOOKUP($F286,OFFSET(enemy_skill_triggers!$A$1,0,0,COUNTA(enemy_skill_triggers!$A:$A),MATCH(H$1,enemy_skill_triggers!$1:$1,0)-MATCH($F$1,enemy_skill_triggers!$1:$1,0)+1),MATCH(H$1,enemy_skill_triggers!$1:$1,0)-MATCH($F$1,enemy_skill_triggers!$1:$1,0)+1,FALSE)</f>
        <v>952</v>
      </c>
      <c r="I286" s="42">
        <f ca="1">VLOOKUP($F286,OFFSET(enemy_skill_triggers!$A$1,0,0,COUNTA(enemy_skill_triggers!$A:$A),MATCH(I$1,enemy_skill_triggers!$1:$1,0)-MATCH($F$1,enemy_skill_triggers!$1:$1,0)+1),MATCH(I$1,enemy_skill_triggers!$1:$1,0)-MATCH($F$1,enemy_skill_triggers!$1:$1,0)+1,FALSE)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6" s="42" t="str">
        <f ca="1">VLOOKUP($F286,OFFSET(enemy_skill_triggers!$A$1,0,0,COUNTA(enemy_skill_triggers!$A:$A),MATCH(J$1,enemy_skill_triggers!$1:$1,0)-MATCH($F$1,enemy_skill_triggers!$1:$1,0)+1),MATCH(J$1,enemy_skill_triggers!$1:$1,0)-MATCH($F$1,enemy_skill_triggers!$1:$1,0)+1,FALSE)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6" s="42" t="str">
        <f ca="1">VLOOKUP($F286,OFFSET(enemy_skill_triggers!$A$1,0,0,COUNTA(enemy_skill_triggers!$A:$A),MATCH(K$1,enemy_skill_triggers!$1:$1,0)-MATCH($F$1,enemy_skill_triggers!$1:$1,0)+1),MATCH(K$1,enemy_skill_triggers!$1:$1,0)-MATCH($F$1,enemy_skill_triggers!$1:$1,0)+1,FALSE)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6" s="42">
        <f ca="1">VLOOKUP($F286,OFFSET(enemy_skill_triggers!$A$1,0,0,COUNTA(enemy_skill_triggers!$A:$A),MATCH(L$1,enemy_skill_triggers!$1:$1,0)-MATCH($F$1,enemy_skill_triggers!$1:$1,0)+1),MATCH(L$1,enemy_skill_triggers!$1:$1,0)-MATCH($F$1,enemy_skill_triggers!$1:$1,0)+1,FALSE)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6" s="42" t="str">
        <f ca="1">VLOOKUP($F286,OFFSET(enemy_skill_triggers!$A$1,0,0,COUNTA(enemy_skill_triggers!$A:$A),MATCH(M$1,enemy_skill_triggers!$1:$1,0)-MATCH($F$1,enemy_skill_triggers!$1:$1,0)+1),MATCH(M$1,enemy_skill_triggers!$1:$1,0)-MATCH($F$1,enemy_skill_triggers!$1:$1,0)+1,FALSE)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6" s="42">
        <f ca="1">VLOOKUP($F286,OFFSET(enemy_skill_triggers!$A$1,0,0,COUNTA(enemy_skill_triggers!$A:$A),MATCH(N$1,enemy_skill_triggers!$1:$1,0)-MATCH($F$1,enemy_skill_triggers!$1:$1,0)+1),MATCH(N$1,enemy_skill_triggers!$1:$1,0)-MATCH($F$1,enemy_skill_triggers!$1:$1,0)+1,FALSE)</f>
        <v>548</v>
      </c>
      <c r="O286" s="42">
        <f ca="1">VLOOKUP($F286,OFFSET(enemy_skill_triggers!$A$1,0,0,COUNTA(enemy_skill_triggers!$A:$A),MATCH(O$1,enemy_skill_triggers!$1:$1,0)-MATCH($F$1,enemy_skill_triggers!$1:$1,0)+1),MATCH(O$1,enemy_skill_triggers!$1:$1,0)-MATCH($F$1,enemy_skill_triggers!$1:$1,0)+1,FALSE)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6" s="41"/>
      <c r="Q286" s="41"/>
      <c r="R286" s="41" t="s">
        <v>333</v>
      </c>
    </row>
    <row r="287" spans="1:18" ht="21" customHeight="1" x14ac:dyDescent="0.15">
      <c r="A287" s="33" t="str">
        <f t="shared" si="15"/>
        <v>39008013_39008037</v>
      </c>
      <c r="B287" s="110">
        <v>39008013</v>
      </c>
      <c r="C287" s="119">
        <v>39008037</v>
      </c>
      <c r="D287" s="40" t="str">
        <f ca="1">VLOOKUP($C287,OFFSET(enemy_skills!$A$1,0,0,COUNTA(enemy_skills!$A:$A),MATCH(D$1,enemy_skills!$1:$1,0)-MATCH("enemy_skill_id",enemy_skills!$1:$1,0)+1),MATCH(D$1,enemy_skills!$1:$1,0)-MATCH("enemy_skill_id",enemy_skills!$1:$1,0)+1,FALSE)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87" s="40" t="str">
        <f ca="1">VLOOKUP($C287,OFFSET(enemy_skills!$A$1,0,0,COUNTA(enemy_skills!$A:$A),MATCH(E$1,enemy_skills!$1:$1,0)-MATCH("enemy_skill_id",enemy_skills!$1:$1,0)+1),MATCH(E$1,enemy_skills!$1:$1,0)-MATCH("enemy_skill_id",enemy_skills!$1:$1,0)+1,FALSE)</f>
        <v>そっか！ルカねぇが助けてくれたんだね！ありがとうっ！</v>
      </c>
      <c r="F287" s="122">
        <v>39008080</v>
      </c>
      <c r="G287" s="42">
        <f ca="1">VLOOKUP($F287,OFFSET(enemy_skill_triggers!$A$1,0,0,COUNTA(enemy_skill_triggers!$A:$A),MATCH(G$1,enemy_skill_triggers!$1:$1,0)-MATCH($F$1,enemy_skill_triggers!$1:$1,0)+1),MATCH(G$1,enemy_skill_triggers!$1:$1,0)-MATCH($F$1,enemy_skill_triggers!$1:$1,0)+1,FALSE)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7" s="42">
        <f ca="1">VLOOKUP($F287,OFFSET(enemy_skill_triggers!$A$1,0,0,COUNTA(enemy_skill_triggers!$A:$A),MATCH(H$1,enemy_skill_triggers!$1:$1,0)-MATCH($F$1,enemy_skill_triggers!$1:$1,0)+1),MATCH(H$1,enemy_skill_triggers!$1:$1,0)-MATCH($F$1,enemy_skill_triggers!$1:$1,0)+1,FALSE)</f>
        <v>951</v>
      </c>
      <c r="I287" s="42">
        <f ca="1">VLOOKUP($F287,OFFSET(enemy_skill_triggers!$A$1,0,0,COUNTA(enemy_skill_triggers!$A:$A),MATCH(I$1,enemy_skill_triggers!$1:$1,0)-MATCH($F$1,enemy_skill_triggers!$1:$1,0)+1),MATCH(I$1,enemy_skill_triggers!$1:$1,0)-MATCH($F$1,enemy_skill_triggers!$1:$1,0)+1,FALSE)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7" s="42" t="str">
        <f ca="1">VLOOKUP($F287,OFFSET(enemy_skill_triggers!$A$1,0,0,COUNTA(enemy_skill_triggers!$A:$A),MATCH(J$1,enemy_skill_triggers!$1:$1,0)-MATCH($F$1,enemy_skill_triggers!$1:$1,0)+1),MATCH(J$1,enemy_skill_triggers!$1:$1,0)-MATCH($F$1,enemy_skill_triggers!$1:$1,0)+1,FALSE)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7" s="42" t="str">
        <f ca="1">VLOOKUP($F287,OFFSET(enemy_skill_triggers!$A$1,0,0,COUNTA(enemy_skill_triggers!$A:$A),MATCH(K$1,enemy_skill_triggers!$1:$1,0)-MATCH($F$1,enemy_skill_triggers!$1:$1,0)+1),MATCH(K$1,enemy_skill_triggers!$1:$1,0)-MATCH($F$1,enemy_skill_triggers!$1:$1,0)+1,FALSE)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7" s="42">
        <f ca="1">VLOOKUP($F287,OFFSET(enemy_skill_triggers!$A$1,0,0,COUNTA(enemy_skill_triggers!$A:$A),MATCH(L$1,enemy_skill_triggers!$1:$1,0)-MATCH($F$1,enemy_skill_triggers!$1:$1,0)+1),MATCH(L$1,enemy_skill_triggers!$1:$1,0)-MATCH($F$1,enemy_skill_triggers!$1:$1,0)+1,FALSE)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7" s="42" t="str">
        <f ca="1">VLOOKUP($F287,OFFSET(enemy_skill_triggers!$A$1,0,0,COUNTA(enemy_skill_triggers!$A:$A),MATCH(M$1,enemy_skill_triggers!$1:$1,0)-MATCH($F$1,enemy_skill_triggers!$1:$1,0)+1),MATCH(M$1,enemy_skill_triggers!$1:$1,0)-MATCH($F$1,enemy_skill_triggers!$1:$1,0)+1,FALSE)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7" s="42">
        <f ca="1">VLOOKUP($F287,OFFSET(enemy_skill_triggers!$A$1,0,0,COUNTA(enemy_skill_triggers!$A:$A),MATCH(N$1,enemy_skill_triggers!$1:$1,0)-MATCH($F$1,enemy_skill_triggers!$1:$1,0)+1),MATCH(N$1,enemy_skill_triggers!$1:$1,0)-MATCH($F$1,enemy_skill_triggers!$1:$1,0)+1,FALSE)</f>
        <v>1313</v>
      </c>
      <c r="O287" s="42">
        <f ca="1">VLOOKUP($F287,OFFSET(enemy_skill_triggers!$A$1,0,0,COUNTA(enemy_skill_triggers!$A:$A),MATCH(O$1,enemy_skill_triggers!$1:$1,0)-MATCH($F$1,enemy_skill_triggers!$1:$1,0)+1),MATCH(O$1,enemy_skill_triggers!$1:$1,0)-MATCH($F$1,enemy_skill_triggers!$1:$1,0)+1,FALSE)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7" s="41"/>
      <c r="Q287" s="41"/>
      <c r="R287" s="41" t="s">
        <v>332</v>
      </c>
    </row>
    <row r="288" spans="1:18" ht="21" customHeight="1" x14ac:dyDescent="0.15">
      <c r="A288" s="33" t="str">
        <f t="shared" si="15"/>
        <v>39008013_39008038</v>
      </c>
      <c r="B288" s="110">
        <v>39008013</v>
      </c>
      <c r="C288" s="119">
        <v>39008038</v>
      </c>
      <c r="D288" s="40" t="str">
        <f ca="1">VLOOKUP($C288,OFFSET(enemy_skills!$A$1,0,0,COUNTA(enemy_skills!$A:$A),MATCH(D$1,enemy_skills!$1:$1,0)-MATCH("enemy_skill_id",enemy_skills!$1:$1,0)+1),MATCH(D$1,enemy_skills!$1:$1,0)-MATCH("enemy_skill_id",enemy_skills!$1:$1,0)+1,FALSE)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88" s="40" t="str">
        <f ca="1">VLOOKUP($C288,OFFSET(enemy_skills!$A$1,0,0,COUNTA(enemy_skills!$A:$A),MATCH(E$1,enemy_skills!$1:$1,0)-MATCH("enemy_skill_id",enemy_skills!$1:$1,0)+1),MATCH(E$1,enemy_skills!$1:$1,0)-MATCH("enemy_skill_id",enemy_skills!$1:$1,0)+1,FALSE)</f>
        <v>そっか！めーちゃんが助けてくれたんだね！ありがとうっ！</v>
      </c>
      <c r="F288" s="122">
        <v>39008081</v>
      </c>
      <c r="G288" s="42">
        <f ca="1">VLOOKUP($F288,OFFSET(enemy_skill_triggers!$A$1,0,0,COUNTA(enemy_skill_triggers!$A:$A),MATCH(G$1,enemy_skill_triggers!$1:$1,0)-MATCH($F$1,enemy_skill_triggers!$1:$1,0)+1),MATCH(G$1,enemy_skill_triggers!$1:$1,0)-MATCH($F$1,enemy_skill_triggers!$1:$1,0)+1,FALSE)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8" s="42">
        <f ca="1">VLOOKUP($F288,OFFSET(enemy_skill_triggers!$A$1,0,0,COUNTA(enemy_skill_triggers!$A:$A),MATCH(H$1,enemy_skill_triggers!$1:$1,0)-MATCH($F$1,enemy_skill_triggers!$1:$1,0)+1),MATCH(H$1,enemy_skill_triggers!$1:$1,0)-MATCH($F$1,enemy_skill_triggers!$1:$1,0)+1,FALSE)</f>
        <v>950</v>
      </c>
      <c r="I288" s="42">
        <f ca="1">VLOOKUP($F288,OFFSET(enemy_skill_triggers!$A$1,0,0,COUNTA(enemy_skill_triggers!$A:$A),MATCH(I$1,enemy_skill_triggers!$1:$1,0)-MATCH($F$1,enemy_skill_triggers!$1:$1,0)+1),MATCH(I$1,enemy_skill_triggers!$1:$1,0)-MATCH($F$1,enemy_skill_triggers!$1:$1,0)+1,FALSE)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8" s="42" t="str">
        <f ca="1">VLOOKUP($F288,OFFSET(enemy_skill_triggers!$A$1,0,0,COUNTA(enemy_skill_triggers!$A:$A),MATCH(J$1,enemy_skill_triggers!$1:$1,0)-MATCH($F$1,enemy_skill_triggers!$1:$1,0)+1),MATCH(J$1,enemy_skill_triggers!$1:$1,0)-MATCH($F$1,enemy_skill_triggers!$1:$1,0)+1,FALSE)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8" s="42" t="str">
        <f ca="1">VLOOKUP($F288,OFFSET(enemy_skill_triggers!$A$1,0,0,COUNTA(enemy_skill_triggers!$A:$A),MATCH(K$1,enemy_skill_triggers!$1:$1,0)-MATCH($F$1,enemy_skill_triggers!$1:$1,0)+1),MATCH(K$1,enemy_skill_triggers!$1:$1,0)-MATCH($F$1,enemy_skill_triggers!$1:$1,0)+1,FALSE)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8" s="42">
        <f ca="1">VLOOKUP($F288,OFFSET(enemy_skill_triggers!$A$1,0,0,COUNTA(enemy_skill_triggers!$A:$A),MATCH(L$1,enemy_skill_triggers!$1:$1,0)-MATCH($F$1,enemy_skill_triggers!$1:$1,0)+1),MATCH(L$1,enemy_skill_triggers!$1:$1,0)-MATCH($F$1,enemy_skill_triggers!$1:$1,0)+1,FALSE)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8" s="42" t="str">
        <f ca="1">VLOOKUP($F288,OFFSET(enemy_skill_triggers!$A$1,0,0,COUNTA(enemy_skill_triggers!$A:$A),MATCH(M$1,enemy_skill_triggers!$1:$1,0)-MATCH($F$1,enemy_skill_triggers!$1:$1,0)+1),MATCH(M$1,enemy_skill_triggers!$1:$1,0)-MATCH($F$1,enemy_skill_triggers!$1:$1,0)+1,FALSE)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8" s="42">
        <f ca="1">VLOOKUP($F288,OFFSET(enemy_skill_triggers!$A$1,0,0,COUNTA(enemy_skill_triggers!$A:$A),MATCH(N$1,enemy_skill_triggers!$1:$1,0)-MATCH($F$1,enemy_skill_triggers!$1:$1,0)+1),MATCH(N$1,enemy_skill_triggers!$1:$1,0)-MATCH($F$1,enemy_skill_triggers!$1:$1,0)+1,FALSE)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288" s="42">
        <f ca="1">VLOOKUP($F288,OFFSET(enemy_skill_triggers!$A$1,0,0,COUNTA(enemy_skill_triggers!$A:$A),MATCH(O$1,enemy_skill_triggers!$1:$1,0)-MATCH($F$1,enemy_skill_triggers!$1:$1,0)+1),MATCH(O$1,enemy_skill_triggers!$1:$1,0)-MATCH($F$1,enemy_skill_triggers!$1:$1,0)+1,FALSE)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8" s="41"/>
      <c r="Q288" s="41"/>
      <c r="R288" s="41" t="s">
        <v>336</v>
      </c>
    </row>
    <row r="289" spans="1:18" ht="21" customHeight="1" x14ac:dyDescent="0.15">
      <c r="A289" s="33" t="str">
        <f t="shared" si="15"/>
        <v>39008013_39008038</v>
      </c>
      <c r="B289" s="110">
        <v>39008013</v>
      </c>
      <c r="C289" s="119">
        <v>39008038</v>
      </c>
      <c r="D289" s="40" t="str">
        <f ca="1">VLOOKUP($C289,OFFSET(enemy_skills!$A$1,0,0,COUNTA(enemy_skills!$A:$A),MATCH(D$1,enemy_skills!$1:$1,0)-MATCH("enemy_skill_id",enemy_skills!$1:$1,0)+1),MATCH(D$1,enemy_skills!$1:$1,0)-MATCH("enemy_skill_id",enemy_skills!$1:$1,0)+1,FALSE)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89" s="40" t="str">
        <f ca="1">VLOOKUP($C289,OFFSET(enemy_skills!$A$1,0,0,COUNTA(enemy_skills!$A:$A),MATCH(E$1,enemy_skills!$1:$1,0)-MATCH("enemy_skill_id",enemy_skills!$1:$1,0)+1),MATCH(E$1,enemy_skills!$1:$1,0)-MATCH("enemy_skill_id",enemy_skills!$1:$1,0)+1,FALSE)</f>
        <v>そっか！めーちゃんが助けてくれたんだね！ありがとうっ！</v>
      </c>
      <c r="F289" s="122">
        <v>39008082</v>
      </c>
      <c r="G289" s="42">
        <f ca="1">VLOOKUP($F289,OFFSET(enemy_skill_triggers!$A$1,0,0,COUNTA(enemy_skill_triggers!$A:$A),MATCH(G$1,enemy_skill_triggers!$1:$1,0)-MATCH($F$1,enemy_skill_triggers!$1:$1,0)+1),MATCH(G$1,enemy_skill_triggers!$1:$1,0)-MATCH($F$1,enemy_skill_triggers!$1:$1,0)+1,FALSE)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9" s="42">
        <f ca="1">VLOOKUP($F289,OFFSET(enemy_skill_triggers!$A$1,0,0,COUNTA(enemy_skill_triggers!$A:$A),MATCH(H$1,enemy_skill_triggers!$1:$1,0)-MATCH($F$1,enemy_skill_triggers!$1:$1,0)+1),MATCH(H$1,enemy_skill_triggers!$1:$1,0)-MATCH($F$1,enemy_skill_triggers!$1:$1,0)+1,FALSE)</f>
        <v>949</v>
      </c>
      <c r="I289" s="42">
        <f ca="1">VLOOKUP($F289,OFFSET(enemy_skill_triggers!$A$1,0,0,COUNTA(enemy_skill_triggers!$A:$A),MATCH(I$1,enemy_skill_triggers!$1:$1,0)-MATCH($F$1,enemy_skill_triggers!$1:$1,0)+1),MATCH(I$1,enemy_skill_triggers!$1:$1,0)-MATCH($F$1,enemy_skill_triggers!$1:$1,0)+1,FALSE)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9" s="42" t="str">
        <f ca="1">VLOOKUP($F289,OFFSET(enemy_skill_triggers!$A$1,0,0,COUNTA(enemy_skill_triggers!$A:$A),MATCH(J$1,enemy_skill_triggers!$1:$1,0)-MATCH($F$1,enemy_skill_triggers!$1:$1,0)+1),MATCH(J$1,enemy_skill_triggers!$1:$1,0)-MATCH($F$1,enemy_skill_triggers!$1:$1,0)+1,FALSE)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9" s="42" t="str">
        <f ca="1">VLOOKUP($F289,OFFSET(enemy_skill_triggers!$A$1,0,0,COUNTA(enemy_skill_triggers!$A:$A),MATCH(K$1,enemy_skill_triggers!$1:$1,0)-MATCH($F$1,enemy_skill_triggers!$1:$1,0)+1),MATCH(K$1,enemy_skill_triggers!$1:$1,0)-MATCH($F$1,enemy_skill_triggers!$1:$1,0)+1,FALSE)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9" s="42">
        <f ca="1">VLOOKUP($F289,OFFSET(enemy_skill_triggers!$A$1,0,0,COUNTA(enemy_skill_triggers!$A:$A),MATCH(L$1,enemy_skill_triggers!$1:$1,0)-MATCH($F$1,enemy_skill_triggers!$1:$1,0)+1),MATCH(L$1,enemy_skill_triggers!$1:$1,0)-MATCH($F$1,enemy_skill_triggers!$1:$1,0)+1,FALSE)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9" s="42" t="str">
        <f ca="1">VLOOKUP($F289,OFFSET(enemy_skill_triggers!$A$1,0,0,COUNTA(enemy_skill_triggers!$A:$A),MATCH(M$1,enemy_skill_triggers!$1:$1,0)-MATCH($F$1,enemy_skill_triggers!$1:$1,0)+1),MATCH(M$1,enemy_skill_triggers!$1:$1,0)-MATCH($F$1,enemy_skill_triggers!$1:$1,0)+1,FALSE)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9" s="42">
        <f ca="1">VLOOKUP($F289,OFFSET(enemy_skill_triggers!$A$1,0,0,COUNTA(enemy_skill_triggers!$A:$A),MATCH(N$1,enemy_skill_triggers!$1:$1,0)-MATCH($F$1,enemy_skill_triggers!$1:$1,0)+1),MATCH(N$1,enemy_skill_triggers!$1:$1,0)-MATCH($F$1,enemy_skill_triggers!$1:$1,0)+1,FALSE)</f>
        <v>550</v>
      </c>
      <c r="O289" s="42">
        <f ca="1">VLOOKUP($F289,OFFSET(enemy_skill_triggers!$A$1,0,0,COUNTA(enemy_skill_triggers!$A:$A),MATCH(O$1,enemy_skill_triggers!$1:$1,0)-MATCH($F$1,enemy_skill_triggers!$1:$1,0)+1),MATCH(O$1,enemy_skill_triggers!$1:$1,0)-MATCH($F$1,enemy_skill_triggers!$1:$1,0)+1,FALSE)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9" s="41"/>
      <c r="Q289" s="41"/>
      <c r="R289" s="41" t="s">
        <v>337</v>
      </c>
    </row>
    <row r="290" spans="1:18" ht="21" customHeight="1" x14ac:dyDescent="0.15">
      <c r="A290" s="33" t="str">
        <f t="shared" si="15"/>
        <v>39008013_39008038</v>
      </c>
      <c r="B290" s="110">
        <v>39008013</v>
      </c>
      <c r="C290" s="119">
        <v>39008038</v>
      </c>
      <c r="D290" s="40" t="str">
        <f ca="1">VLOOKUP($C290,OFFSET(enemy_skills!$A$1,0,0,COUNTA(enemy_skills!$A:$A),MATCH(D$1,enemy_skills!$1:$1,0)-MATCH("enemy_skill_id",enemy_skills!$1:$1,0)+1),MATCH(D$1,enemy_skills!$1:$1,0)-MATCH("enemy_skill_id",enemy_skills!$1:$1,0)+1,FALSE)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90" s="40" t="str">
        <f ca="1">VLOOKUP($C290,OFFSET(enemy_skills!$A$1,0,0,COUNTA(enemy_skills!$A:$A),MATCH(E$1,enemy_skills!$1:$1,0)-MATCH("enemy_skill_id",enemy_skills!$1:$1,0)+1),MATCH(E$1,enemy_skills!$1:$1,0)-MATCH("enemy_skill_id",enemy_skills!$1:$1,0)+1,FALSE)</f>
        <v>そっか！めーちゃんが助けてくれたんだね！ありがとうっ！</v>
      </c>
      <c r="F290" s="122">
        <v>39008083</v>
      </c>
      <c r="G290" s="42">
        <f ca="1">VLOOKUP($F290,OFFSET(enemy_skill_triggers!$A$1,0,0,COUNTA(enemy_skill_triggers!$A:$A),MATCH(G$1,enemy_skill_triggers!$1:$1,0)-MATCH($F$1,enemy_skill_triggers!$1:$1,0)+1),MATCH(G$1,enemy_skill_triggers!$1:$1,0)-MATCH($F$1,enemy_skill_triggers!$1:$1,0)+1,FALSE)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0" s="42">
        <f ca="1">VLOOKUP($F290,OFFSET(enemy_skill_triggers!$A$1,0,0,COUNTA(enemy_skill_triggers!$A:$A),MATCH(H$1,enemy_skill_triggers!$1:$1,0)-MATCH($F$1,enemy_skill_triggers!$1:$1,0)+1),MATCH(H$1,enemy_skill_triggers!$1:$1,0)-MATCH($F$1,enemy_skill_triggers!$1:$1,0)+1,FALSE)</f>
        <v>948</v>
      </c>
      <c r="I290" s="42">
        <f ca="1">VLOOKUP($F290,OFFSET(enemy_skill_triggers!$A$1,0,0,COUNTA(enemy_skill_triggers!$A:$A),MATCH(I$1,enemy_skill_triggers!$1:$1,0)-MATCH($F$1,enemy_skill_triggers!$1:$1,0)+1),MATCH(I$1,enemy_skill_triggers!$1:$1,0)-MATCH($F$1,enemy_skill_triggers!$1:$1,0)+1,FALSE)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0" s="42" t="str">
        <f ca="1">VLOOKUP($F290,OFFSET(enemy_skill_triggers!$A$1,0,0,COUNTA(enemy_skill_triggers!$A:$A),MATCH(J$1,enemy_skill_triggers!$1:$1,0)-MATCH($F$1,enemy_skill_triggers!$1:$1,0)+1),MATCH(J$1,enemy_skill_triggers!$1:$1,0)-MATCH($F$1,enemy_skill_triggers!$1:$1,0)+1,FALSE)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0" s="42" t="str">
        <f ca="1">VLOOKUP($F290,OFFSET(enemy_skill_triggers!$A$1,0,0,COUNTA(enemy_skill_triggers!$A:$A),MATCH(K$1,enemy_skill_triggers!$1:$1,0)-MATCH($F$1,enemy_skill_triggers!$1:$1,0)+1),MATCH(K$1,enemy_skill_triggers!$1:$1,0)-MATCH($F$1,enemy_skill_triggers!$1:$1,0)+1,FALSE)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0" s="42">
        <f ca="1">VLOOKUP($F290,OFFSET(enemy_skill_triggers!$A$1,0,0,COUNTA(enemy_skill_triggers!$A:$A),MATCH(L$1,enemy_skill_triggers!$1:$1,0)-MATCH($F$1,enemy_skill_triggers!$1:$1,0)+1),MATCH(L$1,enemy_skill_triggers!$1:$1,0)-MATCH($F$1,enemy_skill_triggers!$1:$1,0)+1,FALSE)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0" s="42" t="str">
        <f ca="1">VLOOKUP($F290,OFFSET(enemy_skill_triggers!$A$1,0,0,COUNTA(enemy_skill_triggers!$A:$A),MATCH(M$1,enemy_skill_triggers!$1:$1,0)-MATCH($F$1,enemy_skill_triggers!$1:$1,0)+1),MATCH(M$1,enemy_skill_triggers!$1:$1,0)-MATCH($F$1,enemy_skill_triggers!$1:$1,0)+1,FALSE)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0" s="42">
        <f ca="1">VLOOKUP($F290,OFFSET(enemy_skill_triggers!$A$1,0,0,COUNTA(enemy_skill_triggers!$A:$A),MATCH(N$1,enemy_skill_triggers!$1:$1,0)-MATCH($F$1,enemy_skill_triggers!$1:$1,0)+1),MATCH(N$1,enemy_skill_triggers!$1:$1,0)-MATCH($F$1,enemy_skill_triggers!$1:$1,0)+1,FALSE)</f>
        <v>1314</v>
      </c>
      <c r="O290" s="42">
        <f ca="1">VLOOKUP($F290,OFFSET(enemy_skill_triggers!$A$1,0,0,COUNTA(enemy_skill_triggers!$A:$A),MATCH(O$1,enemy_skill_triggers!$1:$1,0)-MATCH($F$1,enemy_skill_triggers!$1:$1,0)+1),MATCH(O$1,enemy_skill_triggers!$1:$1,0)-MATCH($F$1,enemy_skill_triggers!$1:$1,0)+1,FALSE)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0" s="41"/>
      <c r="Q290" s="41"/>
      <c r="R290" s="41" t="s">
        <v>334</v>
      </c>
    </row>
    <row r="291" spans="1:18" ht="21" customHeight="1" x14ac:dyDescent="0.15">
      <c r="A291" s="33" t="str">
        <f t="shared" si="15"/>
        <v>39008013_39008037</v>
      </c>
      <c r="B291" s="110">
        <v>39008013</v>
      </c>
      <c r="C291" s="119">
        <v>39008037</v>
      </c>
      <c r="D291" s="40" t="str">
        <f ca="1">VLOOKUP($C291,OFFSET(enemy_skills!$A$1,0,0,COUNTA(enemy_skills!$A:$A),MATCH(D$1,enemy_skills!$1:$1,0)-MATCH("enemy_skill_id",enemy_skills!$1:$1,0)+1),MATCH(D$1,enemy_skills!$1:$1,0)-MATCH("enemy_skill_id",enemy_skills!$1:$1,0)+1,FALSE)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91" s="40" t="str">
        <f ca="1">VLOOKUP($C291,OFFSET(enemy_skills!$A$1,0,0,COUNTA(enemy_skills!$A:$A),MATCH(E$1,enemy_skills!$1:$1,0)-MATCH("enemy_skill_id",enemy_skills!$1:$1,0)+1),MATCH(E$1,enemy_skills!$1:$1,0)-MATCH("enemy_skill_id",enemy_skills!$1:$1,0)+1,FALSE)</f>
        <v>そっか！ルカねぇが助けてくれたんだね！ありがとうっ！</v>
      </c>
      <c r="F291" s="122">
        <v>39008084</v>
      </c>
      <c r="G291" s="42">
        <f ca="1">VLOOKUP($F291,OFFSET(enemy_skill_triggers!$A$1,0,0,COUNTA(enemy_skill_triggers!$A:$A),MATCH(G$1,enemy_skill_triggers!$1:$1,0)-MATCH($F$1,enemy_skill_triggers!$1:$1,0)+1),MATCH(G$1,enemy_skill_triggers!$1:$1,0)-MATCH($F$1,enemy_skill_triggers!$1:$1,0)+1,FALSE)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1" s="42">
        <f ca="1">VLOOKUP($F291,OFFSET(enemy_skill_triggers!$A$1,0,0,COUNTA(enemy_skill_triggers!$A:$A),MATCH(H$1,enemy_skill_triggers!$1:$1,0)-MATCH($F$1,enemy_skill_triggers!$1:$1,0)+1),MATCH(H$1,enemy_skill_triggers!$1:$1,0)-MATCH($F$1,enemy_skill_triggers!$1:$1,0)+1,FALSE)</f>
        <v>947</v>
      </c>
      <c r="I291" s="42">
        <f ca="1">VLOOKUP($F291,OFFSET(enemy_skill_triggers!$A$1,0,0,COUNTA(enemy_skill_triggers!$A:$A),MATCH(I$1,enemy_skill_triggers!$1:$1,0)-MATCH($F$1,enemy_skill_triggers!$1:$1,0)+1),MATCH(I$1,enemy_skill_triggers!$1:$1,0)-MATCH($F$1,enemy_skill_triggers!$1:$1,0)+1,FALSE)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1" s="42" t="str">
        <f ca="1">VLOOKUP($F291,OFFSET(enemy_skill_triggers!$A$1,0,0,COUNTA(enemy_skill_triggers!$A:$A),MATCH(J$1,enemy_skill_triggers!$1:$1,0)-MATCH($F$1,enemy_skill_triggers!$1:$1,0)+1),MATCH(J$1,enemy_skill_triggers!$1:$1,0)-MATCH($F$1,enemy_skill_triggers!$1:$1,0)+1,FALSE)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1" s="42" t="str">
        <f ca="1">VLOOKUP($F291,OFFSET(enemy_skill_triggers!$A$1,0,0,COUNTA(enemy_skill_triggers!$A:$A),MATCH(K$1,enemy_skill_triggers!$1:$1,0)-MATCH($F$1,enemy_skill_triggers!$1:$1,0)+1),MATCH(K$1,enemy_skill_triggers!$1:$1,0)-MATCH($F$1,enemy_skill_triggers!$1:$1,0)+1,FALSE)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1" s="42">
        <f ca="1">VLOOKUP($F291,OFFSET(enemy_skill_triggers!$A$1,0,0,COUNTA(enemy_skill_triggers!$A:$A),MATCH(L$1,enemy_skill_triggers!$1:$1,0)-MATCH($F$1,enemy_skill_triggers!$1:$1,0)+1),MATCH(L$1,enemy_skill_triggers!$1:$1,0)-MATCH($F$1,enemy_skill_triggers!$1:$1,0)+1,FALSE)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1" s="42" t="str">
        <f ca="1">VLOOKUP($F291,OFFSET(enemy_skill_triggers!$A$1,0,0,COUNTA(enemy_skill_triggers!$A:$A),MATCH(M$1,enemy_skill_triggers!$1:$1,0)-MATCH($F$1,enemy_skill_triggers!$1:$1,0)+1),MATCH(M$1,enemy_skill_triggers!$1:$1,0)-MATCH($F$1,enemy_skill_triggers!$1:$1,0)+1,FALSE)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1" s="42">
        <f ca="1">VLOOKUP($F291,OFFSET(enemy_skill_triggers!$A$1,0,0,COUNTA(enemy_skill_triggers!$A:$A),MATCH(N$1,enemy_skill_triggers!$1:$1,0)-MATCH($F$1,enemy_skill_triggers!$1:$1,0)+1),MATCH(N$1,enemy_skill_triggers!$1:$1,0)-MATCH($F$1,enemy_skill_triggers!$1:$1,0)+1,FALSE)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291" s="42">
        <f ca="1">VLOOKUP($F291,OFFSET(enemy_skill_triggers!$A$1,0,0,COUNTA(enemy_skill_triggers!$A:$A),MATCH(O$1,enemy_skill_triggers!$1:$1,0)-MATCH($F$1,enemy_skill_triggers!$1:$1,0)+1),MATCH(O$1,enemy_skill_triggers!$1:$1,0)-MATCH($F$1,enemy_skill_triggers!$1:$1,0)+1,FALSE)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1" s="41"/>
      <c r="Q291" s="41"/>
      <c r="R291" s="41" t="s">
        <v>338</v>
      </c>
    </row>
    <row r="292" spans="1:18" ht="21" customHeight="1" x14ac:dyDescent="0.15">
      <c r="A292" s="33" t="str">
        <f t="shared" si="15"/>
        <v>39008013_39008037</v>
      </c>
      <c r="B292" s="110">
        <v>39008013</v>
      </c>
      <c r="C292" s="119">
        <v>39008037</v>
      </c>
      <c r="D292" s="40" t="str">
        <f ca="1">VLOOKUP($C292,OFFSET(enemy_skills!$A$1,0,0,COUNTA(enemy_skills!$A:$A),MATCH(D$1,enemy_skills!$1:$1,0)-MATCH("enemy_skill_id",enemy_skills!$1:$1,0)+1),MATCH(D$1,enemy_skills!$1:$1,0)-MATCH("enemy_skill_id",enemy_skills!$1:$1,0)+1,FALSE)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92" s="40" t="str">
        <f ca="1">VLOOKUP($C292,OFFSET(enemy_skills!$A$1,0,0,COUNTA(enemy_skills!$A:$A),MATCH(E$1,enemy_skills!$1:$1,0)-MATCH("enemy_skill_id",enemy_skills!$1:$1,0)+1),MATCH(E$1,enemy_skills!$1:$1,0)-MATCH("enemy_skill_id",enemy_skills!$1:$1,0)+1,FALSE)</f>
        <v>そっか！ルカねぇが助けてくれたんだね！ありがとうっ！</v>
      </c>
      <c r="F292" s="122">
        <v>39008085</v>
      </c>
      <c r="G292" s="42">
        <f ca="1">VLOOKUP($F292,OFFSET(enemy_skill_triggers!$A$1,0,0,COUNTA(enemy_skill_triggers!$A:$A),MATCH(G$1,enemy_skill_triggers!$1:$1,0)-MATCH($F$1,enemy_skill_triggers!$1:$1,0)+1),MATCH(G$1,enemy_skill_triggers!$1:$1,0)-MATCH($F$1,enemy_skill_triggers!$1:$1,0)+1,FALSE)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2" s="42">
        <f ca="1">VLOOKUP($F292,OFFSET(enemy_skill_triggers!$A$1,0,0,COUNTA(enemy_skill_triggers!$A:$A),MATCH(H$1,enemy_skill_triggers!$1:$1,0)-MATCH($F$1,enemy_skill_triggers!$1:$1,0)+1),MATCH(H$1,enemy_skill_triggers!$1:$1,0)-MATCH($F$1,enemy_skill_triggers!$1:$1,0)+1,FALSE)</f>
        <v>946</v>
      </c>
      <c r="I292" s="42">
        <f ca="1">VLOOKUP($F292,OFFSET(enemy_skill_triggers!$A$1,0,0,COUNTA(enemy_skill_triggers!$A:$A),MATCH(I$1,enemy_skill_triggers!$1:$1,0)-MATCH($F$1,enemy_skill_triggers!$1:$1,0)+1),MATCH(I$1,enemy_skill_triggers!$1:$1,0)-MATCH($F$1,enemy_skill_triggers!$1:$1,0)+1,FALSE)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2" s="42" t="str">
        <f ca="1">VLOOKUP($F292,OFFSET(enemy_skill_triggers!$A$1,0,0,COUNTA(enemy_skill_triggers!$A:$A),MATCH(J$1,enemy_skill_triggers!$1:$1,0)-MATCH($F$1,enemy_skill_triggers!$1:$1,0)+1),MATCH(J$1,enemy_skill_triggers!$1:$1,0)-MATCH($F$1,enemy_skill_triggers!$1:$1,0)+1,FALSE)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2" s="42" t="str">
        <f ca="1">VLOOKUP($F292,OFFSET(enemy_skill_triggers!$A$1,0,0,COUNTA(enemy_skill_triggers!$A:$A),MATCH(K$1,enemy_skill_triggers!$1:$1,0)-MATCH($F$1,enemy_skill_triggers!$1:$1,0)+1),MATCH(K$1,enemy_skill_triggers!$1:$1,0)-MATCH($F$1,enemy_skill_triggers!$1:$1,0)+1,FALSE)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2" s="42">
        <f ca="1">VLOOKUP($F292,OFFSET(enemy_skill_triggers!$A$1,0,0,COUNTA(enemy_skill_triggers!$A:$A),MATCH(L$1,enemy_skill_triggers!$1:$1,0)-MATCH($F$1,enemy_skill_triggers!$1:$1,0)+1),MATCH(L$1,enemy_skill_triggers!$1:$1,0)-MATCH($F$1,enemy_skill_triggers!$1:$1,0)+1,FALSE)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2" s="42" t="str">
        <f ca="1">VLOOKUP($F292,OFFSET(enemy_skill_triggers!$A$1,0,0,COUNTA(enemy_skill_triggers!$A:$A),MATCH(M$1,enemy_skill_triggers!$1:$1,0)-MATCH($F$1,enemy_skill_triggers!$1:$1,0)+1),MATCH(M$1,enemy_skill_triggers!$1:$1,0)-MATCH($F$1,enemy_skill_triggers!$1:$1,0)+1,FALSE)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2" s="42">
        <f ca="1">VLOOKUP($F292,OFFSET(enemy_skill_triggers!$A$1,0,0,COUNTA(enemy_skill_triggers!$A:$A),MATCH(N$1,enemy_skill_triggers!$1:$1,0)-MATCH($F$1,enemy_skill_triggers!$1:$1,0)+1),MATCH(N$1,enemy_skill_triggers!$1:$1,0)-MATCH($F$1,enemy_skill_triggers!$1:$1,0)+1,FALSE)</f>
        <v>1323</v>
      </c>
      <c r="O292" s="42">
        <f ca="1">VLOOKUP($F292,OFFSET(enemy_skill_triggers!$A$1,0,0,COUNTA(enemy_skill_triggers!$A:$A),MATCH(O$1,enemy_skill_triggers!$1:$1,0)-MATCH($F$1,enemy_skill_triggers!$1:$1,0)+1),MATCH(O$1,enemy_skill_triggers!$1:$1,0)-MATCH($F$1,enemy_skill_triggers!$1:$1,0)+1,FALSE)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2" s="41"/>
      <c r="Q292" s="41"/>
      <c r="R292" s="41" t="s">
        <v>339</v>
      </c>
    </row>
    <row r="293" spans="1:18" ht="21" customHeight="1" x14ac:dyDescent="0.15">
      <c r="A293" s="33" t="str">
        <f t="shared" si="15"/>
        <v>39008013_39008033</v>
      </c>
      <c r="B293" s="110">
        <v>39008013</v>
      </c>
      <c r="C293" s="119">
        <v>39008033</v>
      </c>
      <c r="D293" s="40" t="str">
        <f ca="1">VLOOKUP($C293,OFFSET(enemy_skills!$A$1,0,0,COUNTA(enemy_skills!$A:$A),MATCH(D$1,enemy_skills!$1:$1,0)-MATCH("enemy_skill_id",enemy_skills!$1:$1,0)+1),MATCH(D$1,enemy_skills!$1:$1,0)-MATCH("enemy_skill_id",enemy_skills!$1:$1,0)+1,FALSE)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93" s="40" t="str">
        <f ca="1">VLOOKUP($C293,OFFSET(enemy_skills!$A$1,0,0,COUNTA(enemy_skills!$A:$A),MATCH(E$1,enemy_skills!$1:$1,0)-MATCH("enemy_skill_id",enemy_skills!$1:$1,0)+1),MATCH(E$1,enemy_skills!$1:$1,0)-MATCH("enemy_skill_id",enemy_skills!$1:$1,0)+1,FALSE)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93" s="122">
        <v>39008086</v>
      </c>
      <c r="G293" s="42">
        <f ca="1">VLOOKUP($F293,OFFSET(enemy_skill_triggers!$A$1,0,0,COUNTA(enemy_skill_triggers!$A:$A),MATCH(G$1,enemy_skill_triggers!$1:$1,0)-MATCH($F$1,enemy_skill_triggers!$1:$1,0)+1),MATCH(G$1,enemy_skill_triggers!$1:$1,0)-MATCH($F$1,enemy_skill_triggers!$1:$1,0)+1,FALSE)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3" s="42">
        <f ca="1">VLOOKUP($F293,OFFSET(enemy_skill_triggers!$A$1,0,0,COUNTA(enemy_skill_triggers!$A:$A),MATCH(H$1,enemy_skill_triggers!$1:$1,0)-MATCH($F$1,enemy_skill_triggers!$1:$1,0)+1),MATCH(H$1,enemy_skill_triggers!$1:$1,0)-MATCH($F$1,enemy_skill_triggers!$1:$1,0)+1,FALSE)</f>
        <v>945</v>
      </c>
      <c r="I293" s="42">
        <f ca="1">VLOOKUP($F293,OFFSET(enemy_skill_triggers!$A$1,0,0,COUNTA(enemy_skill_triggers!$A:$A),MATCH(I$1,enemy_skill_triggers!$1:$1,0)-MATCH($F$1,enemy_skill_triggers!$1:$1,0)+1),MATCH(I$1,enemy_skill_triggers!$1:$1,0)-MATCH($F$1,enemy_skill_triggers!$1:$1,0)+1,FALSE)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3" s="42" t="str">
        <f ca="1">VLOOKUP($F293,OFFSET(enemy_skill_triggers!$A$1,0,0,COUNTA(enemy_skill_triggers!$A:$A),MATCH(J$1,enemy_skill_triggers!$1:$1,0)-MATCH($F$1,enemy_skill_triggers!$1:$1,0)+1),MATCH(J$1,enemy_skill_triggers!$1:$1,0)-MATCH($F$1,enemy_skill_triggers!$1:$1,0)+1,FALSE)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3" s="42" t="str">
        <f ca="1">VLOOKUP($F293,OFFSET(enemy_skill_triggers!$A$1,0,0,COUNTA(enemy_skill_triggers!$A:$A),MATCH(K$1,enemy_skill_triggers!$1:$1,0)-MATCH($F$1,enemy_skill_triggers!$1:$1,0)+1),MATCH(K$1,enemy_skill_triggers!$1:$1,0)-MATCH($F$1,enemy_skill_triggers!$1:$1,0)+1,FALSE)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3" s="42">
        <f ca="1">VLOOKUP($F293,OFFSET(enemy_skill_triggers!$A$1,0,0,COUNTA(enemy_skill_triggers!$A:$A),MATCH(L$1,enemy_skill_triggers!$1:$1,0)-MATCH($F$1,enemy_skill_triggers!$1:$1,0)+1),MATCH(L$1,enemy_skill_triggers!$1:$1,0)-MATCH($F$1,enemy_skill_triggers!$1:$1,0)+1,FALSE)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3" s="42" t="str">
        <f ca="1">VLOOKUP($F293,OFFSET(enemy_skill_triggers!$A$1,0,0,COUNTA(enemy_skill_triggers!$A:$A),MATCH(M$1,enemy_skill_triggers!$1:$1,0)-MATCH($F$1,enemy_skill_triggers!$1:$1,0)+1),MATCH(M$1,enemy_skill_triggers!$1:$1,0)-MATCH($F$1,enemy_skill_triggers!$1:$1,0)+1,FALSE)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3" s="42">
        <f ca="1">VLOOKUP($F293,OFFSET(enemy_skill_triggers!$A$1,0,0,COUNTA(enemy_skill_triggers!$A:$A),MATCH(N$1,enemy_skill_triggers!$1:$1,0)-MATCH($F$1,enemy_skill_triggers!$1:$1,0)+1),MATCH(N$1,enemy_skill_triggers!$1:$1,0)-MATCH($F$1,enemy_skill_triggers!$1:$1,0)+1,FALSE)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293" s="42">
        <f ca="1">VLOOKUP($F293,OFFSET(enemy_skill_triggers!$A$1,0,0,COUNTA(enemy_skill_triggers!$A:$A),MATCH(O$1,enemy_skill_triggers!$1:$1,0)-MATCH($F$1,enemy_skill_triggers!$1:$1,0)+1),MATCH(O$1,enemy_skill_triggers!$1:$1,0)-MATCH($F$1,enemy_skill_triggers!$1:$1,0)+1,FALSE)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3" s="41"/>
      <c r="Q293" s="41"/>
      <c r="R293" s="41" t="s">
        <v>340</v>
      </c>
    </row>
    <row r="294" spans="1:18" ht="21" customHeight="1" x14ac:dyDescent="0.15">
      <c r="A294" s="33" t="str">
        <f t="shared" si="15"/>
        <v>39008013_39008033</v>
      </c>
      <c r="B294" s="110">
        <v>39008013</v>
      </c>
      <c r="C294" s="119">
        <v>39008033</v>
      </c>
      <c r="D294" s="40" t="str">
        <f ca="1">VLOOKUP($C294,OFFSET(enemy_skills!$A$1,0,0,COUNTA(enemy_skills!$A:$A),MATCH(D$1,enemy_skills!$1:$1,0)-MATCH("enemy_skill_id",enemy_skills!$1:$1,0)+1),MATCH(D$1,enemy_skills!$1:$1,0)-MATCH("enemy_skill_id",enemy_skills!$1:$1,0)+1,FALSE)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94" s="40" t="str">
        <f ca="1">VLOOKUP($C294,OFFSET(enemy_skills!$A$1,0,0,COUNTA(enemy_skills!$A:$A),MATCH(E$1,enemy_skills!$1:$1,0)-MATCH("enemy_skill_id",enemy_skills!$1:$1,0)+1),MATCH(E$1,enemy_skills!$1:$1,0)-MATCH("enemy_skill_id",enemy_skills!$1:$1,0)+1,FALSE)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94" s="122">
        <v>39008087</v>
      </c>
      <c r="G294" s="42">
        <f ca="1">VLOOKUP($F294,OFFSET(enemy_skill_triggers!$A$1,0,0,COUNTA(enemy_skill_triggers!$A:$A),MATCH(G$1,enemy_skill_triggers!$1:$1,0)-MATCH($F$1,enemy_skill_triggers!$1:$1,0)+1),MATCH(G$1,enemy_skill_triggers!$1:$1,0)-MATCH($F$1,enemy_skill_triggers!$1:$1,0)+1,FALSE)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4" s="42">
        <f ca="1">VLOOKUP($F294,OFFSET(enemy_skill_triggers!$A$1,0,0,COUNTA(enemy_skill_triggers!$A:$A),MATCH(H$1,enemy_skill_triggers!$1:$1,0)-MATCH($F$1,enemy_skill_triggers!$1:$1,0)+1),MATCH(H$1,enemy_skill_triggers!$1:$1,0)-MATCH($F$1,enemy_skill_triggers!$1:$1,0)+1,FALSE)</f>
        <v>944</v>
      </c>
      <c r="I294" s="42">
        <f ca="1">VLOOKUP($F294,OFFSET(enemy_skill_triggers!$A$1,0,0,COUNTA(enemy_skill_triggers!$A:$A),MATCH(I$1,enemy_skill_triggers!$1:$1,0)-MATCH($F$1,enemy_skill_triggers!$1:$1,0)+1),MATCH(I$1,enemy_skill_triggers!$1:$1,0)-MATCH($F$1,enemy_skill_triggers!$1:$1,0)+1,FALSE)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4" s="42" t="str">
        <f ca="1">VLOOKUP($F294,OFFSET(enemy_skill_triggers!$A$1,0,0,COUNTA(enemy_skill_triggers!$A:$A),MATCH(J$1,enemy_skill_triggers!$1:$1,0)-MATCH($F$1,enemy_skill_triggers!$1:$1,0)+1),MATCH(J$1,enemy_skill_triggers!$1:$1,0)-MATCH($F$1,enemy_skill_triggers!$1:$1,0)+1,FALSE)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4" s="42" t="str">
        <f ca="1">VLOOKUP($F294,OFFSET(enemy_skill_triggers!$A$1,0,0,COUNTA(enemy_skill_triggers!$A:$A),MATCH(K$1,enemy_skill_triggers!$1:$1,0)-MATCH($F$1,enemy_skill_triggers!$1:$1,0)+1),MATCH(K$1,enemy_skill_triggers!$1:$1,0)-MATCH($F$1,enemy_skill_triggers!$1:$1,0)+1,FALSE)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4" s="42">
        <f ca="1">VLOOKUP($F294,OFFSET(enemy_skill_triggers!$A$1,0,0,COUNTA(enemy_skill_triggers!$A:$A),MATCH(L$1,enemy_skill_triggers!$1:$1,0)-MATCH($F$1,enemy_skill_triggers!$1:$1,0)+1),MATCH(L$1,enemy_skill_triggers!$1:$1,0)-MATCH($F$1,enemy_skill_triggers!$1:$1,0)+1,FALSE)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4" s="42" t="str">
        <f ca="1">VLOOKUP($F294,OFFSET(enemy_skill_triggers!$A$1,0,0,COUNTA(enemy_skill_triggers!$A:$A),MATCH(M$1,enemy_skill_triggers!$1:$1,0)-MATCH($F$1,enemy_skill_triggers!$1:$1,0)+1),MATCH(M$1,enemy_skill_triggers!$1:$1,0)-MATCH($F$1,enemy_skill_triggers!$1:$1,0)+1,FALSE)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4" s="42">
        <f ca="1">VLOOKUP($F294,OFFSET(enemy_skill_triggers!$A$1,0,0,COUNTA(enemy_skill_triggers!$A:$A),MATCH(N$1,enemy_skill_triggers!$1:$1,0)-MATCH($F$1,enemy_skill_triggers!$1:$1,0)+1),MATCH(N$1,enemy_skill_triggers!$1:$1,0)-MATCH($F$1,enemy_skill_triggers!$1:$1,0)+1,FALSE)</f>
        <v>540</v>
      </c>
      <c r="O294" s="42">
        <f ca="1">VLOOKUP($F294,OFFSET(enemy_skill_triggers!$A$1,0,0,COUNTA(enemy_skill_triggers!$A:$A),MATCH(O$1,enemy_skill_triggers!$1:$1,0)-MATCH($F$1,enemy_skill_triggers!$1:$1,0)+1),MATCH(O$1,enemy_skill_triggers!$1:$1,0)-MATCH($F$1,enemy_skill_triggers!$1:$1,0)+1,FALSE)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4" s="41"/>
      <c r="Q294" s="41"/>
      <c r="R294" s="41" t="s">
        <v>340</v>
      </c>
    </row>
    <row r="295" spans="1:18" ht="21" customHeight="1" x14ac:dyDescent="0.15">
      <c r="A295" s="33" t="str">
        <f t="shared" si="15"/>
        <v>39008013_39008033</v>
      </c>
      <c r="B295" s="110">
        <v>39008013</v>
      </c>
      <c r="C295" s="119">
        <v>39008033</v>
      </c>
      <c r="D295" s="40" t="str">
        <f ca="1">VLOOKUP($C295,OFFSET(enemy_skills!$A$1,0,0,COUNTA(enemy_skills!$A:$A),MATCH(D$1,enemy_skills!$1:$1,0)-MATCH("enemy_skill_id",enemy_skills!$1:$1,0)+1),MATCH(D$1,enemy_skills!$1:$1,0)-MATCH("enemy_skill_id",enemy_skills!$1:$1,0)+1,FALSE)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95" s="40" t="str">
        <f ca="1">VLOOKUP($C295,OFFSET(enemy_skills!$A$1,0,0,COUNTA(enemy_skills!$A:$A),MATCH(E$1,enemy_skills!$1:$1,0)-MATCH("enemy_skill_id",enemy_skills!$1:$1,0)+1),MATCH(E$1,enemy_skills!$1:$1,0)-MATCH("enemy_skill_id",enemy_skills!$1:$1,0)+1,FALSE)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95" s="122">
        <v>39008088</v>
      </c>
      <c r="G295" s="42">
        <f ca="1">VLOOKUP($F295,OFFSET(enemy_skill_triggers!$A$1,0,0,COUNTA(enemy_skill_triggers!$A:$A),MATCH(G$1,enemy_skill_triggers!$1:$1,0)-MATCH($F$1,enemy_skill_triggers!$1:$1,0)+1),MATCH(G$1,enemy_skill_triggers!$1:$1,0)-MATCH($F$1,enemy_skill_triggers!$1:$1,0)+1,FALSE)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5" s="42">
        <f ca="1">VLOOKUP($F295,OFFSET(enemy_skill_triggers!$A$1,0,0,COUNTA(enemy_skill_triggers!$A:$A),MATCH(H$1,enemy_skill_triggers!$1:$1,0)-MATCH($F$1,enemy_skill_triggers!$1:$1,0)+1),MATCH(H$1,enemy_skill_triggers!$1:$1,0)-MATCH($F$1,enemy_skill_triggers!$1:$1,0)+1,FALSE)</f>
        <v>943</v>
      </c>
      <c r="I295" s="42">
        <f ca="1">VLOOKUP($F295,OFFSET(enemy_skill_triggers!$A$1,0,0,COUNTA(enemy_skill_triggers!$A:$A),MATCH(I$1,enemy_skill_triggers!$1:$1,0)-MATCH($F$1,enemy_skill_triggers!$1:$1,0)+1),MATCH(I$1,enemy_skill_triggers!$1:$1,0)-MATCH($F$1,enemy_skill_triggers!$1:$1,0)+1,FALSE)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5" s="42" t="str">
        <f ca="1">VLOOKUP($F295,OFFSET(enemy_skill_triggers!$A$1,0,0,COUNTA(enemy_skill_triggers!$A:$A),MATCH(J$1,enemy_skill_triggers!$1:$1,0)-MATCH($F$1,enemy_skill_triggers!$1:$1,0)+1),MATCH(J$1,enemy_skill_triggers!$1:$1,0)-MATCH($F$1,enemy_skill_triggers!$1:$1,0)+1,FALSE)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5" s="42" t="str">
        <f ca="1">VLOOKUP($F295,OFFSET(enemy_skill_triggers!$A$1,0,0,COUNTA(enemy_skill_triggers!$A:$A),MATCH(K$1,enemy_skill_triggers!$1:$1,0)-MATCH($F$1,enemy_skill_triggers!$1:$1,0)+1),MATCH(K$1,enemy_skill_triggers!$1:$1,0)-MATCH($F$1,enemy_skill_triggers!$1:$1,0)+1,FALSE)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5" s="42">
        <f ca="1">VLOOKUP($F295,OFFSET(enemy_skill_triggers!$A$1,0,0,COUNTA(enemy_skill_triggers!$A:$A),MATCH(L$1,enemy_skill_triggers!$1:$1,0)-MATCH($F$1,enemy_skill_triggers!$1:$1,0)+1),MATCH(L$1,enemy_skill_triggers!$1:$1,0)-MATCH($F$1,enemy_skill_triggers!$1:$1,0)+1,FALSE)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5" s="42" t="str">
        <f ca="1">VLOOKUP($F295,OFFSET(enemy_skill_triggers!$A$1,0,0,COUNTA(enemy_skill_triggers!$A:$A),MATCH(M$1,enemy_skill_triggers!$1:$1,0)-MATCH($F$1,enemy_skill_triggers!$1:$1,0)+1),MATCH(M$1,enemy_skill_triggers!$1:$1,0)-MATCH($F$1,enemy_skill_triggers!$1:$1,0)+1,FALSE)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5" s="42">
        <f ca="1">VLOOKUP($F295,OFFSET(enemy_skill_triggers!$A$1,0,0,COUNTA(enemy_skill_triggers!$A:$A),MATCH(N$1,enemy_skill_triggers!$1:$1,0)-MATCH($F$1,enemy_skill_triggers!$1:$1,0)+1),MATCH(N$1,enemy_skill_triggers!$1:$1,0)-MATCH($F$1,enemy_skill_triggers!$1:$1,0)+1,FALSE)</f>
        <v>1309</v>
      </c>
      <c r="O295" s="42">
        <f ca="1">VLOOKUP($F295,OFFSET(enemy_skill_triggers!$A$1,0,0,COUNTA(enemy_skill_triggers!$A:$A),MATCH(O$1,enemy_skill_triggers!$1:$1,0)-MATCH($F$1,enemy_skill_triggers!$1:$1,0)+1),MATCH(O$1,enemy_skill_triggers!$1:$1,0)-MATCH($F$1,enemy_skill_triggers!$1:$1,0)+1,FALSE)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5" s="41"/>
      <c r="Q295" s="41"/>
      <c r="R295" s="41" t="s">
        <v>340</v>
      </c>
    </row>
    <row r="296" spans="1:18" ht="21" customHeight="1" x14ac:dyDescent="0.15">
      <c r="A296" s="33" t="str">
        <f t="shared" si="15"/>
        <v>39008013_39008033</v>
      </c>
      <c r="B296" s="110">
        <v>39008013</v>
      </c>
      <c r="C296" s="119">
        <v>39008033</v>
      </c>
      <c r="D296" s="40" t="str">
        <f ca="1">VLOOKUP($C296,OFFSET(enemy_skills!$A$1,0,0,COUNTA(enemy_skills!$A:$A),MATCH(D$1,enemy_skills!$1:$1,0)-MATCH("enemy_skill_id",enemy_skills!$1:$1,0)+1),MATCH(D$1,enemy_skills!$1:$1,0)-MATCH("enemy_skill_id",enemy_skills!$1:$1,0)+1,FALSE)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96" s="40" t="str">
        <f ca="1">VLOOKUP($C296,OFFSET(enemy_skills!$A$1,0,0,COUNTA(enemy_skills!$A:$A),MATCH(E$1,enemy_skills!$1:$1,0)-MATCH("enemy_skill_id",enemy_skills!$1:$1,0)+1),MATCH(E$1,enemy_skills!$1:$1,0)-MATCH("enemy_skill_id",enemy_skills!$1:$1,0)+1,FALSE)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96" s="122">
        <v>39008089</v>
      </c>
      <c r="G296" s="42">
        <f ca="1">VLOOKUP($F296,OFFSET(enemy_skill_triggers!$A$1,0,0,COUNTA(enemy_skill_triggers!$A:$A),MATCH(G$1,enemy_skill_triggers!$1:$1,0)-MATCH($F$1,enemy_skill_triggers!$1:$1,0)+1),MATCH(G$1,enemy_skill_triggers!$1:$1,0)-MATCH($F$1,enemy_skill_triggers!$1:$1,0)+1,FALSE)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6" s="42">
        <f ca="1">VLOOKUP($F296,OFFSET(enemy_skill_triggers!$A$1,0,0,COUNTA(enemy_skill_triggers!$A:$A),MATCH(H$1,enemy_skill_triggers!$1:$1,0)-MATCH($F$1,enemy_skill_triggers!$1:$1,0)+1),MATCH(H$1,enemy_skill_triggers!$1:$1,0)-MATCH($F$1,enemy_skill_triggers!$1:$1,0)+1,FALSE)</f>
        <v>942</v>
      </c>
      <c r="I296" s="42">
        <f ca="1">VLOOKUP($F296,OFFSET(enemy_skill_triggers!$A$1,0,0,COUNTA(enemy_skill_triggers!$A:$A),MATCH(I$1,enemy_skill_triggers!$1:$1,0)-MATCH($F$1,enemy_skill_triggers!$1:$1,0)+1),MATCH(I$1,enemy_skill_triggers!$1:$1,0)-MATCH($F$1,enemy_skill_triggers!$1:$1,0)+1,FALSE)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6" s="42" t="str">
        <f ca="1">VLOOKUP($F296,OFFSET(enemy_skill_triggers!$A$1,0,0,COUNTA(enemy_skill_triggers!$A:$A),MATCH(J$1,enemy_skill_triggers!$1:$1,0)-MATCH($F$1,enemy_skill_triggers!$1:$1,0)+1),MATCH(J$1,enemy_skill_triggers!$1:$1,0)-MATCH($F$1,enemy_skill_triggers!$1:$1,0)+1,FALSE)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6" s="42" t="str">
        <f ca="1">VLOOKUP($F296,OFFSET(enemy_skill_triggers!$A$1,0,0,COUNTA(enemy_skill_triggers!$A:$A),MATCH(K$1,enemy_skill_triggers!$1:$1,0)-MATCH($F$1,enemy_skill_triggers!$1:$1,0)+1),MATCH(K$1,enemy_skill_triggers!$1:$1,0)-MATCH($F$1,enemy_skill_triggers!$1:$1,0)+1,FALSE)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6" s="42">
        <f ca="1">VLOOKUP($F296,OFFSET(enemy_skill_triggers!$A$1,0,0,COUNTA(enemy_skill_triggers!$A:$A),MATCH(L$1,enemy_skill_triggers!$1:$1,0)-MATCH($F$1,enemy_skill_triggers!$1:$1,0)+1),MATCH(L$1,enemy_skill_triggers!$1:$1,0)-MATCH($F$1,enemy_skill_triggers!$1:$1,0)+1,FALSE)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6" s="42" t="str">
        <f ca="1">VLOOKUP($F296,OFFSET(enemy_skill_triggers!$A$1,0,0,COUNTA(enemy_skill_triggers!$A:$A),MATCH(M$1,enemy_skill_triggers!$1:$1,0)-MATCH($F$1,enemy_skill_triggers!$1:$1,0)+1),MATCH(M$1,enemy_skill_triggers!$1:$1,0)-MATCH($F$1,enemy_skill_triggers!$1:$1,0)+1,FALSE)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6" s="42">
        <f ca="1">VLOOKUP($F296,OFFSET(enemy_skill_triggers!$A$1,0,0,COUNTA(enemy_skill_triggers!$A:$A),MATCH(N$1,enemy_skill_triggers!$1:$1,0)-MATCH($F$1,enemy_skill_triggers!$1:$1,0)+1),MATCH(N$1,enemy_skill_triggers!$1:$1,0)-MATCH($F$1,enemy_skill_triggers!$1:$1,0)+1,FALSE)</f>
        <v>1310</v>
      </c>
      <c r="O296" s="42">
        <f ca="1">VLOOKUP($F296,OFFSET(enemy_skill_triggers!$A$1,0,0,COUNTA(enemy_skill_triggers!$A:$A),MATCH(O$1,enemy_skill_triggers!$1:$1,0)-MATCH($F$1,enemy_skill_triggers!$1:$1,0)+1),MATCH(O$1,enemy_skill_triggers!$1:$1,0)-MATCH($F$1,enemy_skill_triggers!$1:$1,0)+1,FALSE)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6" s="41"/>
      <c r="Q296" s="41"/>
      <c r="R296" s="41" t="s">
        <v>340</v>
      </c>
    </row>
    <row r="297" spans="1:18" ht="21" customHeight="1" x14ac:dyDescent="0.15">
      <c r="A297" s="33" t="str">
        <f t="shared" si="15"/>
        <v>39008013_39008033</v>
      </c>
      <c r="B297" s="110">
        <v>39008013</v>
      </c>
      <c r="C297" s="119">
        <v>39008033</v>
      </c>
      <c r="D297" s="40" t="str">
        <f ca="1">VLOOKUP($C297,OFFSET(enemy_skills!$A$1,0,0,COUNTA(enemy_skills!$A:$A),MATCH(D$1,enemy_skills!$1:$1,0)-MATCH("enemy_skill_id",enemy_skills!$1:$1,0)+1),MATCH(D$1,enemy_skills!$1:$1,0)-MATCH("enemy_skill_id",enemy_skills!$1:$1,0)+1,FALSE)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97" s="40" t="str">
        <f ca="1">VLOOKUP($C297,OFFSET(enemy_skills!$A$1,0,0,COUNTA(enemy_skills!$A:$A),MATCH(E$1,enemy_skills!$1:$1,0)-MATCH("enemy_skill_id",enemy_skills!$1:$1,0)+1),MATCH(E$1,enemy_skills!$1:$1,0)-MATCH("enemy_skill_id",enemy_skills!$1:$1,0)+1,FALSE)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97" s="122">
        <v>39008090</v>
      </c>
      <c r="G297" s="42">
        <f ca="1">VLOOKUP($F297,OFFSET(enemy_skill_triggers!$A$1,0,0,COUNTA(enemy_skill_triggers!$A:$A),MATCH(G$1,enemy_skill_triggers!$1:$1,0)-MATCH($F$1,enemy_skill_triggers!$1:$1,0)+1),MATCH(G$1,enemy_skill_triggers!$1:$1,0)-MATCH($F$1,enemy_skill_triggers!$1:$1,0)+1,FALSE)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7" s="42">
        <f ca="1">VLOOKUP($F297,OFFSET(enemy_skill_triggers!$A$1,0,0,COUNTA(enemy_skill_triggers!$A:$A),MATCH(H$1,enemy_skill_triggers!$1:$1,0)-MATCH($F$1,enemy_skill_triggers!$1:$1,0)+1),MATCH(H$1,enemy_skill_triggers!$1:$1,0)-MATCH($F$1,enemy_skill_triggers!$1:$1,0)+1,FALSE)</f>
        <v>941</v>
      </c>
      <c r="I297" s="42">
        <f ca="1">VLOOKUP($F297,OFFSET(enemy_skill_triggers!$A$1,0,0,COUNTA(enemy_skill_triggers!$A:$A),MATCH(I$1,enemy_skill_triggers!$1:$1,0)-MATCH($F$1,enemy_skill_triggers!$1:$1,0)+1),MATCH(I$1,enemy_skill_triggers!$1:$1,0)-MATCH($F$1,enemy_skill_triggers!$1:$1,0)+1,FALSE)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7" s="42" t="str">
        <f ca="1">VLOOKUP($F297,OFFSET(enemy_skill_triggers!$A$1,0,0,COUNTA(enemy_skill_triggers!$A:$A),MATCH(J$1,enemy_skill_triggers!$1:$1,0)-MATCH($F$1,enemy_skill_triggers!$1:$1,0)+1),MATCH(J$1,enemy_skill_triggers!$1:$1,0)-MATCH($F$1,enemy_skill_triggers!$1:$1,0)+1,FALSE)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7" s="42" t="str">
        <f ca="1">VLOOKUP($F297,OFFSET(enemy_skill_triggers!$A$1,0,0,COUNTA(enemy_skill_triggers!$A:$A),MATCH(K$1,enemy_skill_triggers!$1:$1,0)-MATCH($F$1,enemy_skill_triggers!$1:$1,0)+1),MATCH(K$1,enemy_skill_triggers!$1:$1,0)-MATCH($F$1,enemy_skill_triggers!$1:$1,0)+1,FALSE)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7" s="42">
        <f ca="1">VLOOKUP($F297,OFFSET(enemy_skill_triggers!$A$1,0,0,COUNTA(enemy_skill_triggers!$A:$A),MATCH(L$1,enemy_skill_triggers!$1:$1,0)-MATCH($F$1,enemy_skill_triggers!$1:$1,0)+1),MATCH(L$1,enemy_skill_triggers!$1:$1,0)-MATCH($F$1,enemy_skill_triggers!$1:$1,0)+1,FALSE)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7" s="42" t="str">
        <f ca="1">VLOOKUP($F297,OFFSET(enemy_skill_triggers!$A$1,0,0,COUNTA(enemy_skill_triggers!$A:$A),MATCH(M$1,enemy_skill_triggers!$1:$1,0)-MATCH($F$1,enemy_skill_triggers!$1:$1,0)+1),MATCH(M$1,enemy_skill_triggers!$1:$1,0)-MATCH($F$1,enemy_skill_triggers!$1:$1,0)+1,FALSE)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7" s="42">
        <f ca="1">VLOOKUP($F297,OFFSET(enemy_skill_triggers!$A$1,0,0,COUNTA(enemy_skill_triggers!$A:$A),MATCH(N$1,enemy_skill_triggers!$1:$1,0)-MATCH($F$1,enemy_skill_triggers!$1:$1,0)+1),MATCH(N$1,enemy_skill_triggers!$1:$1,0)-MATCH($F$1,enemy_skill_triggers!$1:$1,0)+1,FALSE)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297" s="42">
        <f ca="1">VLOOKUP($F297,OFFSET(enemy_skill_triggers!$A$1,0,0,COUNTA(enemy_skill_triggers!$A:$A),MATCH(O$1,enemy_skill_triggers!$1:$1,0)-MATCH($F$1,enemy_skill_triggers!$1:$1,0)+1),MATCH(O$1,enemy_skill_triggers!$1:$1,0)-MATCH($F$1,enemy_skill_triggers!$1:$1,0)+1,FALSE)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7" s="41"/>
      <c r="Q297" s="41"/>
      <c r="R297" s="41" t="s">
        <v>340</v>
      </c>
    </row>
    <row r="298" spans="1:18" ht="21" customHeight="1" x14ac:dyDescent="0.15">
      <c r="A298" s="33" t="str">
        <f t="shared" si="15"/>
        <v>39008013_39008033</v>
      </c>
      <c r="B298" s="110">
        <v>39008013</v>
      </c>
      <c r="C298" s="119">
        <v>39008033</v>
      </c>
      <c r="D298" s="40" t="str">
        <f ca="1">VLOOKUP($C298,OFFSET(enemy_skills!$A$1,0,0,COUNTA(enemy_skills!$A:$A),MATCH(D$1,enemy_skills!$1:$1,0)-MATCH("enemy_skill_id",enemy_skills!$1:$1,0)+1),MATCH(D$1,enemy_skills!$1:$1,0)-MATCH("enemy_skill_id",enemy_skills!$1:$1,0)+1,FALSE)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98" s="40" t="str">
        <f ca="1">VLOOKUP($C298,OFFSET(enemy_skills!$A$1,0,0,COUNTA(enemy_skills!$A:$A),MATCH(E$1,enemy_skills!$1:$1,0)-MATCH("enemy_skill_id",enemy_skills!$1:$1,0)+1),MATCH(E$1,enemy_skills!$1:$1,0)-MATCH("enemy_skill_id",enemy_skills!$1:$1,0)+1,FALSE)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98" s="122">
        <v>39008091</v>
      </c>
      <c r="G298" s="42">
        <f ca="1">VLOOKUP($F298,OFFSET(enemy_skill_triggers!$A$1,0,0,COUNTA(enemy_skill_triggers!$A:$A),MATCH(G$1,enemy_skill_triggers!$1:$1,0)-MATCH($F$1,enemy_skill_triggers!$1:$1,0)+1),MATCH(G$1,enemy_skill_triggers!$1:$1,0)-MATCH($F$1,enemy_skill_triggers!$1:$1,0)+1,FALSE)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8" s="42">
        <f ca="1">VLOOKUP($F298,OFFSET(enemy_skill_triggers!$A$1,0,0,COUNTA(enemy_skill_triggers!$A:$A),MATCH(H$1,enemy_skill_triggers!$1:$1,0)-MATCH($F$1,enemy_skill_triggers!$1:$1,0)+1),MATCH(H$1,enemy_skill_triggers!$1:$1,0)-MATCH($F$1,enemy_skill_triggers!$1:$1,0)+1,FALSE)</f>
        <v>940</v>
      </c>
      <c r="I298" s="42">
        <f ca="1">VLOOKUP($F298,OFFSET(enemy_skill_triggers!$A$1,0,0,COUNTA(enemy_skill_triggers!$A:$A),MATCH(I$1,enemy_skill_triggers!$1:$1,0)-MATCH($F$1,enemy_skill_triggers!$1:$1,0)+1),MATCH(I$1,enemy_skill_triggers!$1:$1,0)-MATCH($F$1,enemy_skill_triggers!$1:$1,0)+1,FALSE)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8" s="42" t="str">
        <f ca="1">VLOOKUP($F298,OFFSET(enemy_skill_triggers!$A$1,0,0,COUNTA(enemy_skill_triggers!$A:$A),MATCH(J$1,enemy_skill_triggers!$1:$1,0)-MATCH($F$1,enemy_skill_triggers!$1:$1,0)+1),MATCH(J$1,enemy_skill_triggers!$1:$1,0)-MATCH($F$1,enemy_skill_triggers!$1:$1,0)+1,FALSE)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8" s="42" t="str">
        <f ca="1">VLOOKUP($F298,OFFSET(enemy_skill_triggers!$A$1,0,0,COUNTA(enemy_skill_triggers!$A:$A),MATCH(K$1,enemy_skill_triggers!$1:$1,0)-MATCH($F$1,enemy_skill_triggers!$1:$1,0)+1),MATCH(K$1,enemy_skill_triggers!$1:$1,0)-MATCH($F$1,enemy_skill_triggers!$1:$1,0)+1,FALSE)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8" s="42">
        <f ca="1">VLOOKUP($F298,OFFSET(enemy_skill_triggers!$A$1,0,0,COUNTA(enemy_skill_triggers!$A:$A),MATCH(L$1,enemy_skill_triggers!$1:$1,0)-MATCH($F$1,enemy_skill_triggers!$1:$1,0)+1),MATCH(L$1,enemy_skill_triggers!$1:$1,0)-MATCH($F$1,enemy_skill_triggers!$1:$1,0)+1,FALSE)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8" s="42" t="str">
        <f ca="1">VLOOKUP($F298,OFFSET(enemy_skill_triggers!$A$1,0,0,COUNTA(enemy_skill_triggers!$A:$A),MATCH(M$1,enemy_skill_triggers!$1:$1,0)-MATCH($F$1,enemy_skill_triggers!$1:$1,0)+1),MATCH(M$1,enemy_skill_triggers!$1:$1,0)-MATCH($F$1,enemy_skill_triggers!$1:$1,0)+1,FALSE)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8" s="42">
        <f ca="1">VLOOKUP($F298,OFFSET(enemy_skill_triggers!$A$1,0,0,COUNTA(enemy_skill_triggers!$A:$A),MATCH(N$1,enemy_skill_triggers!$1:$1,0)-MATCH($F$1,enemy_skill_triggers!$1:$1,0)+1),MATCH(N$1,enemy_skill_triggers!$1:$1,0)-MATCH($F$1,enemy_skill_triggers!$1:$1,0)+1,FALSE)</f>
        <v>542</v>
      </c>
      <c r="O298" s="42">
        <f ca="1">VLOOKUP($F298,OFFSET(enemy_skill_triggers!$A$1,0,0,COUNTA(enemy_skill_triggers!$A:$A),MATCH(O$1,enemy_skill_triggers!$1:$1,0)-MATCH($F$1,enemy_skill_triggers!$1:$1,0)+1),MATCH(O$1,enemy_skill_triggers!$1:$1,0)-MATCH($F$1,enemy_skill_triggers!$1:$1,0)+1,FALSE)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8" s="41"/>
      <c r="Q298" s="41"/>
      <c r="R298" s="41" t="s">
        <v>340</v>
      </c>
    </row>
    <row r="299" spans="1:18" ht="21" customHeight="1" x14ac:dyDescent="0.15">
      <c r="A299" s="33" t="str">
        <f t="shared" si="15"/>
        <v>39008013_39008033</v>
      </c>
      <c r="B299" s="110">
        <v>39008013</v>
      </c>
      <c r="C299" s="119">
        <v>39008033</v>
      </c>
      <c r="D299" s="40" t="str">
        <f ca="1">VLOOKUP($C299,OFFSET(enemy_skills!$A$1,0,0,COUNTA(enemy_skills!$A:$A),MATCH(D$1,enemy_skills!$1:$1,0)-MATCH("enemy_skill_id",enemy_skills!$1:$1,0)+1),MATCH(D$1,enemy_skills!$1:$1,0)-MATCH("enemy_skill_id",enemy_skills!$1:$1,0)+1,FALSE)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299" s="40" t="str">
        <f ca="1">VLOOKUP($C299,OFFSET(enemy_skills!$A$1,0,0,COUNTA(enemy_skills!$A:$A),MATCH(E$1,enemy_skills!$1:$1,0)-MATCH("enemy_skill_id",enemy_skills!$1:$1,0)+1),MATCH(E$1,enemy_skills!$1:$1,0)-MATCH("enemy_skill_id",enemy_skills!$1:$1,0)+1,FALSE)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299" s="122">
        <v>39008092</v>
      </c>
      <c r="G299" s="42">
        <f ca="1">VLOOKUP($F299,OFFSET(enemy_skill_triggers!$A$1,0,0,COUNTA(enemy_skill_triggers!$A:$A),MATCH(G$1,enemy_skill_triggers!$1:$1,0)-MATCH($F$1,enemy_skill_triggers!$1:$1,0)+1),MATCH(G$1,enemy_skill_triggers!$1:$1,0)-MATCH($F$1,enemy_skill_triggers!$1:$1,0)+1,FALSE)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9" s="42">
        <f ca="1">VLOOKUP($F299,OFFSET(enemy_skill_triggers!$A$1,0,0,COUNTA(enemy_skill_triggers!$A:$A),MATCH(H$1,enemy_skill_triggers!$1:$1,0)-MATCH($F$1,enemy_skill_triggers!$1:$1,0)+1),MATCH(H$1,enemy_skill_triggers!$1:$1,0)-MATCH($F$1,enemy_skill_triggers!$1:$1,0)+1,FALSE)</f>
        <v>939</v>
      </c>
      <c r="I299" s="42">
        <f ca="1">VLOOKUP($F299,OFFSET(enemy_skill_triggers!$A$1,0,0,COUNTA(enemy_skill_triggers!$A:$A),MATCH(I$1,enemy_skill_triggers!$1:$1,0)-MATCH($F$1,enemy_skill_triggers!$1:$1,0)+1),MATCH(I$1,enemy_skill_triggers!$1:$1,0)-MATCH($F$1,enemy_skill_triggers!$1:$1,0)+1,FALSE)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9" s="42" t="str">
        <f ca="1">VLOOKUP($F299,OFFSET(enemy_skill_triggers!$A$1,0,0,COUNTA(enemy_skill_triggers!$A:$A),MATCH(J$1,enemy_skill_triggers!$1:$1,0)-MATCH($F$1,enemy_skill_triggers!$1:$1,0)+1),MATCH(J$1,enemy_skill_triggers!$1:$1,0)-MATCH($F$1,enemy_skill_triggers!$1:$1,0)+1,FALSE)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9" s="42" t="str">
        <f ca="1">VLOOKUP($F299,OFFSET(enemy_skill_triggers!$A$1,0,0,COUNTA(enemy_skill_triggers!$A:$A),MATCH(K$1,enemy_skill_triggers!$1:$1,0)-MATCH($F$1,enemy_skill_triggers!$1:$1,0)+1),MATCH(K$1,enemy_skill_triggers!$1:$1,0)-MATCH($F$1,enemy_skill_triggers!$1:$1,0)+1,FALSE)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9" s="42">
        <f ca="1">VLOOKUP($F299,OFFSET(enemy_skill_triggers!$A$1,0,0,COUNTA(enemy_skill_triggers!$A:$A),MATCH(L$1,enemy_skill_triggers!$1:$1,0)-MATCH($F$1,enemy_skill_triggers!$1:$1,0)+1),MATCH(L$1,enemy_skill_triggers!$1:$1,0)-MATCH($F$1,enemy_skill_triggers!$1:$1,0)+1,FALSE)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9" s="42" t="str">
        <f ca="1">VLOOKUP($F299,OFFSET(enemy_skill_triggers!$A$1,0,0,COUNTA(enemy_skill_triggers!$A:$A),MATCH(M$1,enemy_skill_triggers!$1:$1,0)-MATCH($F$1,enemy_skill_triggers!$1:$1,0)+1),MATCH(M$1,enemy_skill_triggers!$1:$1,0)-MATCH($F$1,enemy_skill_triggers!$1:$1,0)+1,FALSE)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9" s="42">
        <f ca="1">VLOOKUP($F299,OFFSET(enemy_skill_triggers!$A$1,0,0,COUNTA(enemy_skill_triggers!$A:$A),MATCH(N$1,enemy_skill_triggers!$1:$1,0)-MATCH($F$1,enemy_skill_triggers!$1:$1,0)+1),MATCH(N$1,enemy_skill_triggers!$1:$1,0)-MATCH($F$1,enemy_skill_triggers!$1:$1,0)+1,FALSE)</f>
        <v>1308</v>
      </c>
      <c r="O299" s="42">
        <f ca="1">VLOOKUP($F299,OFFSET(enemy_skill_triggers!$A$1,0,0,COUNTA(enemy_skill_triggers!$A:$A),MATCH(O$1,enemy_skill_triggers!$1:$1,0)-MATCH($F$1,enemy_skill_triggers!$1:$1,0)+1),MATCH(O$1,enemy_skill_triggers!$1:$1,0)-MATCH($F$1,enemy_skill_triggers!$1:$1,0)+1,FALSE)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9" s="41"/>
      <c r="Q299" s="41"/>
      <c r="R299" s="41" t="s">
        <v>340</v>
      </c>
    </row>
    <row r="300" spans="1:18" ht="21" customHeight="1" x14ac:dyDescent="0.15">
      <c r="A300" s="33" t="str">
        <f t="shared" si="15"/>
        <v>39008013_39008033</v>
      </c>
      <c r="B300" s="110">
        <v>39008013</v>
      </c>
      <c r="C300" s="119">
        <v>39008033</v>
      </c>
      <c r="D300" s="40" t="str">
        <f ca="1">VLOOKUP($C300,OFFSET(enemy_skills!$A$1,0,0,COUNTA(enemy_skills!$A:$A),MATCH(D$1,enemy_skills!$1:$1,0)-MATCH("enemy_skill_id",enemy_skills!$1:$1,0)+1),MATCH(D$1,enemy_skills!$1:$1,0)-MATCH("enemy_skill_id",enemy_skills!$1:$1,0)+1,FALSE)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00" s="40" t="str">
        <f ca="1">VLOOKUP($C300,OFFSET(enemy_skills!$A$1,0,0,COUNTA(enemy_skills!$A:$A),MATCH(E$1,enemy_skills!$1:$1,0)-MATCH("enemy_skill_id",enemy_skills!$1:$1,0)+1),MATCH(E$1,enemy_skills!$1:$1,0)-MATCH("enemy_skill_id",enemy_skills!$1:$1,0)+1,FALSE)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300" s="122">
        <v>39008093</v>
      </c>
      <c r="G300" s="42">
        <f ca="1">VLOOKUP($F300,OFFSET(enemy_skill_triggers!$A$1,0,0,COUNTA(enemy_skill_triggers!$A:$A),MATCH(G$1,enemy_skill_triggers!$1:$1,0)-MATCH($F$1,enemy_skill_triggers!$1:$1,0)+1),MATCH(G$1,enemy_skill_triggers!$1:$1,0)-MATCH($F$1,enemy_skill_triggers!$1:$1,0)+1,FALSE)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0" s="42">
        <f ca="1">VLOOKUP($F300,OFFSET(enemy_skill_triggers!$A$1,0,0,COUNTA(enemy_skill_triggers!$A:$A),MATCH(H$1,enemy_skill_triggers!$1:$1,0)-MATCH($F$1,enemy_skill_triggers!$1:$1,0)+1),MATCH(H$1,enemy_skill_triggers!$1:$1,0)-MATCH($F$1,enemy_skill_triggers!$1:$1,0)+1,FALSE)</f>
        <v>938</v>
      </c>
      <c r="I300" s="42">
        <f ca="1">VLOOKUP($F300,OFFSET(enemy_skill_triggers!$A$1,0,0,COUNTA(enemy_skill_triggers!$A:$A),MATCH(I$1,enemy_skill_triggers!$1:$1,0)-MATCH($F$1,enemy_skill_triggers!$1:$1,0)+1),MATCH(I$1,enemy_skill_triggers!$1:$1,0)-MATCH($F$1,enemy_skill_triggers!$1:$1,0)+1,FALSE)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0" s="42" t="str">
        <f ca="1">VLOOKUP($F300,OFFSET(enemy_skill_triggers!$A$1,0,0,COUNTA(enemy_skill_triggers!$A:$A),MATCH(J$1,enemy_skill_triggers!$1:$1,0)-MATCH($F$1,enemy_skill_triggers!$1:$1,0)+1),MATCH(J$1,enemy_skill_triggers!$1:$1,0)-MATCH($F$1,enemy_skill_triggers!$1:$1,0)+1,FALSE)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0" s="42" t="str">
        <f ca="1">VLOOKUP($F300,OFFSET(enemy_skill_triggers!$A$1,0,0,COUNTA(enemy_skill_triggers!$A:$A),MATCH(K$1,enemy_skill_triggers!$1:$1,0)-MATCH($F$1,enemy_skill_triggers!$1:$1,0)+1),MATCH(K$1,enemy_skill_triggers!$1:$1,0)-MATCH($F$1,enemy_skill_triggers!$1:$1,0)+1,FALSE)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0" s="42">
        <f ca="1">VLOOKUP($F300,OFFSET(enemy_skill_triggers!$A$1,0,0,COUNTA(enemy_skill_triggers!$A:$A),MATCH(L$1,enemy_skill_triggers!$1:$1,0)-MATCH($F$1,enemy_skill_triggers!$1:$1,0)+1),MATCH(L$1,enemy_skill_triggers!$1:$1,0)-MATCH($F$1,enemy_skill_triggers!$1:$1,0)+1,FALSE)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0" s="42" t="str">
        <f ca="1">VLOOKUP($F300,OFFSET(enemy_skill_triggers!$A$1,0,0,COUNTA(enemy_skill_triggers!$A:$A),MATCH(M$1,enemy_skill_triggers!$1:$1,0)-MATCH($F$1,enemy_skill_triggers!$1:$1,0)+1),MATCH(M$1,enemy_skill_triggers!$1:$1,0)-MATCH($F$1,enemy_skill_triggers!$1:$1,0)+1,FALSE)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0" s="42">
        <f ca="1">VLOOKUP($F300,OFFSET(enemy_skill_triggers!$A$1,0,0,COUNTA(enemy_skill_triggers!$A:$A),MATCH(N$1,enemy_skill_triggers!$1:$1,0)-MATCH($F$1,enemy_skill_triggers!$1:$1,0)+1),MATCH(N$1,enemy_skill_triggers!$1:$1,0)-MATCH($F$1,enemy_skill_triggers!$1:$1,0)+1,FALSE)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300" s="42">
        <f ca="1">VLOOKUP($F300,OFFSET(enemy_skill_triggers!$A$1,0,0,COUNTA(enemy_skill_triggers!$A:$A),MATCH(O$1,enemy_skill_triggers!$1:$1,0)-MATCH($F$1,enemy_skill_triggers!$1:$1,0)+1),MATCH(O$1,enemy_skill_triggers!$1:$1,0)-MATCH($F$1,enemy_skill_triggers!$1:$1,0)+1,FALSE)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0" s="41"/>
      <c r="Q300" s="41"/>
      <c r="R300" s="41" t="s">
        <v>340</v>
      </c>
    </row>
    <row r="301" spans="1:18" ht="21" customHeight="1" x14ac:dyDescent="0.15">
      <c r="A301" s="33" t="str">
        <f t="shared" si="15"/>
        <v>39008013_39008033</v>
      </c>
      <c r="B301" s="110">
        <v>39008013</v>
      </c>
      <c r="C301" s="119">
        <v>39008033</v>
      </c>
      <c r="D301" s="40" t="str">
        <f ca="1">VLOOKUP($C301,OFFSET(enemy_skills!$A$1,0,0,COUNTA(enemy_skills!$A:$A),MATCH(D$1,enemy_skills!$1:$1,0)-MATCH("enemy_skill_id",enemy_skills!$1:$1,0)+1),MATCH(D$1,enemy_skills!$1:$1,0)-MATCH("enemy_skill_id",enemy_skills!$1:$1,0)+1,FALSE)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01" s="40" t="str">
        <f ca="1">VLOOKUP($C301,OFFSET(enemy_skills!$A$1,0,0,COUNTA(enemy_skills!$A:$A),MATCH(E$1,enemy_skills!$1:$1,0)-MATCH("enemy_skill_id",enemy_skills!$1:$1,0)+1),MATCH(E$1,enemy_skills!$1:$1,0)-MATCH("enemy_skill_id",enemy_skills!$1:$1,0)+1,FALSE)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301" s="122">
        <v>39008094</v>
      </c>
      <c r="G301" s="42">
        <f ca="1">VLOOKUP($F301,OFFSET(enemy_skill_triggers!$A$1,0,0,COUNTA(enemy_skill_triggers!$A:$A),MATCH(G$1,enemy_skill_triggers!$1:$1,0)-MATCH($F$1,enemy_skill_triggers!$1:$1,0)+1),MATCH(G$1,enemy_skill_triggers!$1:$1,0)-MATCH($F$1,enemy_skill_triggers!$1:$1,0)+1,FALSE)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1" s="42">
        <f ca="1">VLOOKUP($F301,OFFSET(enemy_skill_triggers!$A$1,0,0,COUNTA(enemy_skill_triggers!$A:$A),MATCH(H$1,enemy_skill_triggers!$1:$1,0)-MATCH($F$1,enemy_skill_triggers!$1:$1,0)+1),MATCH(H$1,enemy_skill_triggers!$1:$1,0)-MATCH($F$1,enemy_skill_triggers!$1:$1,0)+1,FALSE)</f>
        <v>937</v>
      </c>
      <c r="I301" s="42">
        <f ca="1">VLOOKUP($F301,OFFSET(enemy_skill_triggers!$A$1,0,0,COUNTA(enemy_skill_triggers!$A:$A),MATCH(I$1,enemy_skill_triggers!$1:$1,0)-MATCH($F$1,enemy_skill_triggers!$1:$1,0)+1),MATCH(I$1,enemy_skill_triggers!$1:$1,0)-MATCH($F$1,enemy_skill_triggers!$1:$1,0)+1,FALSE)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1" s="42" t="str">
        <f ca="1">VLOOKUP($F301,OFFSET(enemy_skill_triggers!$A$1,0,0,COUNTA(enemy_skill_triggers!$A:$A),MATCH(J$1,enemy_skill_triggers!$1:$1,0)-MATCH($F$1,enemy_skill_triggers!$1:$1,0)+1),MATCH(J$1,enemy_skill_triggers!$1:$1,0)-MATCH($F$1,enemy_skill_triggers!$1:$1,0)+1,FALSE)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1" s="42" t="str">
        <f ca="1">VLOOKUP($F301,OFFSET(enemy_skill_triggers!$A$1,0,0,COUNTA(enemy_skill_triggers!$A:$A),MATCH(K$1,enemy_skill_triggers!$1:$1,0)-MATCH($F$1,enemy_skill_triggers!$1:$1,0)+1),MATCH(K$1,enemy_skill_triggers!$1:$1,0)-MATCH($F$1,enemy_skill_triggers!$1:$1,0)+1,FALSE)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1" s="42">
        <f ca="1">VLOOKUP($F301,OFFSET(enemy_skill_triggers!$A$1,0,0,COUNTA(enemy_skill_triggers!$A:$A),MATCH(L$1,enemy_skill_triggers!$1:$1,0)-MATCH($F$1,enemy_skill_triggers!$1:$1,0)+1),MATCH(L$1,enemy_skill_triggers!$1:$1,0)-MATCH($F$1,enemy_skill_triggers!$1:$1,0)+1,FALSE)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1" s="42" t="str">
        <f ca="1">VLOOKUP($F301,OFFSET(enemy_skill_triggers!$A$1,0,0,COUNTA(enemy_skill_triggers!$A:$A),MATCH(M$1,enemy_skill_triggers!$1:$1,0)-MATCH($F$1,enemy_skill_triggers!$1:$1,0)+1),MATCH(M$1,enemy_skill_triggers!$1:$1,0)-MATCH($F$1,enemy_skill_triggers!$1:$1,0)+1,FALSE)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1" s="42">
        <f ca="1">VLOOKUP($F301,OFFSET(enemy_skill_triggers!$A$1,0,0,COUNTA(enemy_skill_triggers!$A:$A),MATCH(N$1,enemy_skill_triggers!$1:$1,0)-MATCH($F$1,enemy_skill_triggers!$1:$1,0)+1),MATCH(N$1,enemy_skill_triggers!$1:$1,0)-MATCH($F$1,enemy_skill_triggers!$1:$1,0)+1,FALSE)</f>
        <v>1298</v>
      </c>
      <c r="O301" s="42">
        <f ca="1">VLOOKUP($F301,OFFSET(enemy_skill_triggers!$A$1,0,0,COUNTA(enemy_skill_triggers!$A:$A),MATCH(O$1,enemy_skill_triggers!$1:$1,0)-MATCH($F$1,enemy_skill_triggers!$1:$1,0)+1),MATCH(O$1,enemy_skill_triggers!$1:$1,0)-MATCH($F$1,enemy_skill_triggers!$1:$1,0)+1,FALSE)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1" s="41"/>
      <c r="Q301" s="41"/>
      <c r="R301" s="41" t="s">
        <v>340</v>
      </c>
    </row>
    <row r="302" spans="1:18" ht="21" customHeight="1" x14ac:dyDescent="0.15">
      <c r="A302" s="33" t="str">
        <f t="shared" si="15"/>
        <v>39008013_39008033</v>
      </c>
      <c r="B302" s="110">
        <v>39008013</v>
      </c>
      <c r="C302" s="119">
        <v>39008033</v>
      </c>
      <c r="D302" s="40" t="str">
        <f ca="1">VLOOKUP($C302,OFFSET(enemy_skills!$A$1,0,0,COUNTA(enemy_skills!$A:$A),MATCH(D$1,enemy_skills!$1:$1,0)-MATCH("enemy_skill_id",enemy_skills!$1:$1,0)+1),MATCH(D$1,enemy_skills!$1:$1,0)-MATCH("enemy_skill_id",enemy_skills!$1:$1,0)+1,FALSE)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02" s="40" t="str">
        <f ca="1">VLOOKUP($C302,OFFSET(enemy_skills!$A$1,0,0,COUNTA(enemy_skills!$A:$A),MATCH(E$1,enemy_skills!$1:$1,0)-MATCH("enemy_skill_id",enemy_skills!$1:$1,0)+1),MATCH(E$1,enemy_skills!$1:$1,0)-MATCH("enemy_skill_id",enemy_skills!$1:$1,0)+1,FALSE)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302" s="122">
        <v>39008095</v>
      </c>
      <c r="G302" s="42">
        <f ca="1">VLOOKUP($F302,OFFSET(enemy_skill_triggers!$A$1,0,0,COUNTA(enemy_skill_triggers!$A:$A),MATCH(G$1,enemy_skill_triggers!$1:$1,0)-MATCH($F$1,enemy_skill_triggers!$1:$1,0)+1),MATCH(G$1,enemy_skill_triggers!$1:$1,0)-MATCH($F$1,enemy_skill_triggers!$1:$1,0)+1,FALSE)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2" s="42">
        <f ca="1">VLOOKUP($F302,OFFSET(enemy_skill_triggers!$A$1,0,0,COUNTA(enemy_skill_triggers!$A:$A),MATCH(H$1,enemy_skill_triggers!$1:$1,0)-MATCH($F$1,enemy_skill_triggers!$1:$1,0)+1),MATCH(H$1,enemy_skill_triggers!$1:$1,0)-MATCH($F$1,enemy_skill_triggers!$1:$1,0)+1,FALSE)</f>
        <v>936</v>
      </c>
      <c r="I302" s="42">
        <f ca="1">VLOOKUP($F302,OFFSET(enemy_skill_triggers!$A$1,0,0,COUNTA(enemy_skill_triggers!$A:$A),MATCH(I$1,enemy_skill_triggers!$1:$1,0)-MATCH($F$1,enemy_skill_triggers!$1:$1,0)+1),MATCH(I$1,enemy_skill_triggers!$1:$1,0)-MATCH($F$1,enemy_skill_triggers!$1:$1,0)+1,FALSE)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2" s="42" t="str">
        <f ca="1">VLOOKUP($F302,OFFSET(enemy_skill_triggers!$A$1,0,0,COUNTA(enemy_skill_triggers!$A:$A),MATCH(J$1,enemy_skill_triggers!$1:$1,0)-MATCH($F$1,enemy_skill_triggers!$1:$1,0)+1),MATCH(J$1,enemy_skill_triggers!$1:$1,0)-MATCH($F$1,enemy_skill_triggers!$1:$1,0)+1,FALSE)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2" s="42" t="str">
        <f ca="1">VLOOKUP($F302,OFFSET(enemy_skill_triggers!$A$1,0,0,COUNTA(enemy_skill_triggers!$A:$A),MATCH(K$1,enemy_skill_triggers!$1:$1,0)-MATCH($F$1,enemy_skill_triggers!$1:$1,0)+1),MATCH(K$1,enemy_skill_triggers!$1:$1,0)-MATCH($F$1,enemy_skill_triggers!$1:$1,0)+1,FALSE)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2" s="42">
        <f ca="1">VLOOKUP($F302,OFFSET(enemy_skill_triggers!$A$1,0,0,COUNTA(enemy_skill_triggers!$A:$A),MATCH(L$1,enemy_skill_triggers!$1:$1,0)-MATCH($F$1,enemy_skill_triggers!$1:$1,0)+1),MATCH(L$1,enemy_skill_triggers!$1:$1,0)-MATCH($F$1,enemy_skill_triggers!$1:$1,0)+1,FALSE)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2" s="42" t="str">
        <f ca="1">VLOOKUP($F302,OFFSET(enemy_skill_triggers!$A$1,0,0,COUNTA(enemy_skill_triggers!$A:$A),MATCH(M$1,enemy_skill_triggers!$1:$1,0)-MATCH($F$1,enemy_skill_triggers!$1:$1,0)+1),MATCH(M$1,enemy_skill_triggers!$1:$1,0)-MATCH($F$1,enemy_skill_triggers!$1:$1,0)+1,FALSE)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2" s="42">
        <f ca="1">VLOOKUP($F302,OFFSET(enemy_skill_triggers!$A$1,0,0,COUNTA(enemy_skill_triggers!$A:$A),MATCH(N$1,enemy_skill_triggers!$1:$1,0)-MATCH($F$1,enemy_skill_triggers!$1:$1,0)+1),MATCH(N$1,enemy_skill_triggers!$1:$1,0)-MATCH($F$1,enemy_skill_triggers!$1:$1,0)+1,FALSE)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302" s="42">
        <f ca="1">VLOOKUP($F302,OFFSET(enemy_skill_triggers!$A$1,0,0,COUNTA(enemy_skill_triggers!$A:$A),MATCH(O$1,enemy_skill_triggers!$1:$1,0)-MATCH($F$1,enemy_skill_triggers!$1:$1,0)+1),MATCH(O$1,enemy_skill_triggers!$1:$1,0)-MATCH($F$1,enemy_skill_triggers!$1:$1,0)+1,FALSE)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2" s="41"/>
      <c r="Q302" s="41"/>
      <c r="R302" s="41" t="s">
        <v>340</v>
      </c>
    </row>
    <row r="303" spans="1:18" ht="21" customHeight="1" x14ac:dyDescent="0.15">
      <c r="A303" s="33" t="str">
        <f t="shared" si="15"/>
        <v>39008013_39008033</v>
      </c>
      <c r="B303" s="110">
        <v>39008013</v>
      </c>
      <c r="C303" s="119">
        <v>39008033</v>
      </c>
      <c r="D303" s="40" t="str">
        <f ca="1">VLOOKUP($C303,OFFSET(enemy_skills!$A$1,0,0,COUNTA(enemy_skills!$A:$A),MATCH(D$1,enemy_skills!$1:$1,0)-MATCH("enemy_skill_id",enemy_skills!$1:$1,0)+1),MATCH(D$1,enemy_skills!$1:$1,0)-MATCH("enemy_skill_id",enemy_skills!$1:$1,0)+1,FALSE)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03" s="40" t="str">
        <f ca="1">VLOOKUP($C303,OFFSET(enemy_skills!$A$1,0,0,COUNTA(enemy_skills!$A:$A),MATCH(E$1,enemy_skills!$1:$1,0)-MATCH("enemy_skill_id",enemy_skills!$1:$1,0)+1),MATCH(E$1,enemy_skills!$1:$1,0)-MATCH("enemy_skill_id",enemy_skills!$1:$1,0)+1,FALSE)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303" s="122">
        <v>39008096</v>
      </c>
      <c r="G303" s="42">
        <f ca="1">VLOOKUP($F303,OFFSET(enemy_skill_triggers!$A$1,0,0,COUNTA(enemy_skill_triggers!$A:$A),MATCH(G$1,enemy_skill_triggers!$1:$1,0)-MATCH($F$1,enemy_skill_triggers!$1:$1,0)+1),MATCH(G$1,enemy_skill_triggers!$1:$1,0)-MATCH($F$1,enemy_skill_triggers!$1:$1,0)+1,FALSE)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3" s="42">
        <f ca="1">VLOOKUP($F303,OFFSET(enemy_skill_triggers!$A$1,0,0,COUNTA(enemy_skill_triggers!$A:$A),MATCH(H$1,enemy_skill_triggers!$1:$1,0)-MATCH($F$1,enemy_skill_triggers!$1:$1,0)+1),MATCH(H$1,enemy_skill_triggers!$1:$1,0)-MATCH($F$1,enemy_skill_triggers!$1:$1,0)+1,FALSE)</f>
        <v>935</v>
      </c>
      <c r="I303" s="42">
        <f ca="1">VLOOKUP($F303,OFFSET(enemy_skill_triggers!$A$1,0,0,COUNTA(enemy_skill_triggers!$A:$A),MATCH(I$1,enemy_skill_triggers!$1:$1,0)-MATCH($F$1,enemy_skill_triggers!$1:$1,0)+1),MATCH(I$1,enemy_skill_triggers!$1:$1,0)-MATCH($F$1,enemy_skill_triggers!$1:$1,0)+1,FALSE)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3" s="42" t="str">
        <f ca="1">VLOOKUP($F303,OFFSET(enemy_skill_triggers!$A$1,0,0,COUNTA(enemy_skill_triggers!$A:$A),MATCH(J$1,enemy_skill_triggers!$1:$1,0)-MATCH($F$1,enemy_skill_triggers!$1:$1,0)+1),MATCH(J$1,enemy_skill_triggers!$1:$1,0)-MATCH($F$1,enemy_skill_triggers!$1:$1,0)+1,FALSE)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3" s="42" t="str">
        <f ca="1">VLOOKUP($F303,OFFSET(enemy_skill_triggers!$A$1,0,0,COUNTA(enemy_skill_triggers!$A:$A),MATCH(K$1,enemy_skill_triggers!$1:$1,0)-MATCH($F$1,enemy_skill_triggers!$1:$1,0)+1),MATCH(K$1,enemy_skill_triggers!$1:$1,0)-MATCH($F$1,enemy_skill_triggers!$1:$1,0)+1,FALSE)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3" s="42">
        <f ca="1">VLOOKUP($F303,OFFSET(enemy_skill_triggers!$A$1,0,0,COUNTA(enemy_skill_triggers!$A:$A),MATCH(L$1,enemy_skill_triggers!$1:$1,0)-MATCH($F$1,enemy_skill_triggers!$1:$1,0)+1),MATCH(L$1,enemy_skill_triggers!$1:$1,0)-MATCH($F$1,enemy_skill_triggers!$1:$1,0)+1,FALSE)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3" s="42" t="str">
        <f ca="1">VLOOKUP($F303,OFFSET(enemy_skill_triggers!$A$1,0,0,COUNTA(enemy_skill_triggers!$A:$A),MATCH(M$1,enemy_skill_triggers!$1:$1,0)-MATCH($F$1,enemy_skill_triggers!$1:$1,0)+1),MATCH(M$1,enemy_skill_triggers!$1:$1,0)-MATCH($F$1,enemy_skill_triggers!$1:$1,0)+1,FALSE)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3" s="42">
        <f ca="1">VLOOKUP($F303,OFFSET(enemy_skill_triggers!$A$1,0,0,COUNTA(enemy_skill_triggers!$A:$A),MATCH(N$1,enemy_skill_triggers!$1:$1,0)-MATCH($F$1,enemy_skill_triggers!$1:$1,0)+1),MATCH(N$1,enemy_skill_triggers!$1:$1,0)-MATCH($F$1,enemy_skill_triggers!$1:$1,0)+1,FALSE)</f>
        <v>1317</v>
      </c>
      <c r="O303" s="42">
        <f ca="1">VLOOKUP($F303,OFFSET(enemy_skill_triggers!$A$1,0,0,COUNTA(enemy_skill_triggers!$A:$A),MATCH(O$1,enemy_skill_triggers!$1:$1,0)-MATCH($F$1,enemy_skill_triggers!$1:$1,0)+1),MATCH(O$1,enemy_skill_triggers!$1:$1,0)-MATCH($F$1,enemy_skill_triggers!$1:$1,0)+1,FALSE)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3" s="41"/>
      <c r="Q303" s="41"/>
      <c r="R303" s="41" t="s">
        <v>340</v>
      </c>
    </row>
    <row r="304" spans="1:18" ht="21" customHeight="1" x14ac:dyDescent="0.15">
      <c r="A304" s="33" t="str">
        <f t="shared" si="15"/>
        <v>39008013_39008039</v>
      </c>
      <c r="B304" s="110">
        <v>39008013</v>
      </c>
      <c r="C304" s="119">
        <v>39008039</v>
      </c>
      <c r="D304" s="40" t="str">
        <f ca="1">VLOOKUP($C304,OFFSET(enemy_skills!$A$1,0,0,COUNTA(enemy_skills!$A:$A),MATCH(D$1,enemy_skills!$1:$1,0)-MATCH("enemy_skill_id",enemy_skills!$1:$1,0)+1),MATCH(D$1,enemy_skills!$1:$1,0)-MATCH("enemy_skill_id",enemy_skills!$1:$1,0)+1,FALSE)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04" s="40" t="str">
        <f ca="1">VLOOKUP($C304,OFFSET(enemy_skills!$A$1,0,0,COUNTA(enemy_skills!$A:$A),MATCH(E$1,enemy_skills!$1:$1,0)-MATCH("enemy_skill_id",enemy_skills!$1:$1,0)+1),MATCH(E$1,enemy_skills!$1:$1,0)-MATCH("enemy_skill_id",enemy_skills!$1:$1,0)+1,FALSE)</f>
        <v>そっか！KAITOにぃが助けてくれたんだね！ありがとうっ！</v>
      </c>
      <c r="F304" s="122">
        <v>39008097</v>
      </c>
      <c r="G304" s="42">
        <f ca="1">VLOOKUP($F304,OFFSET(enemy_skill_triggers!$A$1,0,0,COUNTA(enemy_skill_triggers!$A:$A),MATCH(G$1,enemy_skill_triggers!$1:$1,0)-MATCH($F$1,enemy_skill_triggers!$1:$1,0)+1),MATCH(G$1,enemy_skill_triggers!$1:$1,0)-MATCH($F$1,enemy_skill_triggers!$1:$1,0)+1,FALSE)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4" s="42">
        <f ca="1">VLOOKUP($F304,OFFSET(enemy_skill_triggers!$A$1,0,0,COUNTA(enemy_skill_triggers!$A:$A),MATCH(H$1,enemy_skill_triggers!$1:$1,0)-MATCH($F$1,enemy_skill_triggers!$1:$1,0)+1),MATCH(H$1,enemy_skill_triggers!$1:$1,0)-MATCH($F$1,enemy_skill_triggers!$1:$1,0)+1,FALSE)</f>
        <v>934</v>
      </c>
      <c r="I304" s="42">
        <f ca="1">VLOOKUP($F304,OFFSET(enemy_skill_triggers!$A$1,0,0,COUNTA(enemy_skill_triggers!$A:$A),MATCH(I$1,enemy_skill_triggers!$1:$1,0)-MATCH($F$1,enemy_skill_triggers!$1:$1,0)+1),MATCH(I$1,enemy_skill_triggers!$1:$1,0)-MATCH($F$1,enemy_skill_triggers!$1:$1,0)+1,FALSE)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4" s="42" t="str">
        <f ca="1">VLOOKUP($F304,OFFSET(enemy_skill_triggers!$A$1,0,0,COUNTA(enemy_skill_triggers!$A:$A),MATCH(J$1,enemy_skill_triggers!$1:$1,0)-MATCH($F$1,enemy_skill_triggers!$1:$1,0)+1),MATCH(J$1,enemy_skill_triggers!$1:$1,0)-MATCH($F$1,enemy_skill_triggers!$1:$1,0)+1,FALSE)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4" s="42" t="str">
        <f ca="1">VLOOKUP($F304,OFFSET(enemy_skill_triggers!$A$1,0,0,COUNTA(enemy_skill_triggers!$A:$A),MATCH(K$1,enemy_skill_triggers!$1:$1,0)-MATCH($F$1,enemy_skill_triggers!$1:$1,0)+1),MATCH(K$1,enemy_skill_triggers!$1:$1,0)-MATCH($F$1,enemy_skill_triggers!$1:$1,0)+1,FALSE)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4" s="42">
        <f ca="1">VLOOKUP($F304,OFFSET(enemy_skill_triggers!$A$1,0,0,COUNTA(enemy_skill_triggers!$A:$A),MATCH(L$1,enemy_skill_triggers!$1:$1,0)-MATCH($F$1,enemy_skill_triggers!$1:$1,0)+1),MATCH(L$1,enemy_skill_triggers!$1:$1,0)-MATCH($F$1,enemy_skill_triggers!$1:$1,0)+1,FALSE)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4" s="42" t="str">
        <f ca="1">VLOOKUP($F304,OFFSET(enemy_skill_triggers!$A$1,0,0,COUNTA(enemy_skill_triggers!$A:$A),MATCH(M$1,enemy_skill_triggers!$1:$1,0)-MATCH($F$1,enemy_skill_triggers!$1:$1,0)+1),MATCH(M$1,enemy_skill_triggers!$1:$1,0)-MATCH($F$1,enemy_skill_triggers!$1:$1,0)+1,FALSE)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4" s="42">
        <f ca="1">VLOOKUP($F304,OFFSET(enemy_skill_triggers!$A$1,0,0,COUNTA(enemy_skill_triggers!$A:$A),MATCH(N$1,enemy_skill_triggers!$1:$1,0)-MATCH($F$1,enemy_skill_triggers!$1:$1,0)+1),MATCH(N$1,enemy_skill_triggers!$1:$1,0)-MATCH($F$1,enemy_skill_triggers!$1:$1,0)+1,FALSE)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304" s="42">
        <f ca="1">VLOOKUP($F304,OFFSET(enemy_skill_triggers!$A$1,0,0,COUNTA(enemy_skill_triggers!$A:$A),MATCH(O$1,enemy_skill_triggers!$1:$1,0)-MATCH($F$1,enemy_skill_triggers!$1:$1,0)+1),MATCH(O$1,enemy_skill_triggers!$1:$1,0)-MATCH($F$1,enemy_skill_triggers!$1:$1,0)+1,FALSE)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4" s="41"/>
      <c r="Q304" s="41"/>
      <c r="R304" s="41" t="s">
        <v>341</v>
      </c>
    </row>
    <row r="305" spans="1:18" ht="21" customHeight="1" x14ac:dyDescent="0.15">
      <c r="A305" s="33" t="str">
        <f t="shared" si="15"/>
        <v>39008013_39008039</v>
      </c>
      <c r="B305" s="110">
        <v>39008013</v>
      </c>
      <c r="C305" s="119">
        <v>39008039</v>
      </c>
      <c r="D305" s="40" t="str">
        <f ca="1">VLOOKUP($C305,OFFSET(enemy_skills!$A$1,0,0,COUNTA(enemy_skills!$A:$A),MATCH(D$1,enemy_skills!$1:$1,0)-MATCH("enemy_skill_id",enemy_skills!$1:$1,0)+1),MATCH(D$1,enemy_skills!$1:$1,0)-MATCH("enemy_skill_id",enemy_skills!$1:$1,0)+1,FALSE)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05" s="40" t="str">
        <f ca="1">VLOOKUP($C305,OFFSET(enemy_skills!$A$1,0,0,COUNTA(enemy_skills!$A:$A),MATCH(E$1,enemy_skills!$1:$1,0)-MATCH("enemy_skill_id",enemy_skills!$1:$1,0)+1),MATCH(E$1,enemy_skills!$1:$1,0)-MATCH("enemy_skill_id",enemy_skills!$1:$1,0)+1,FALSE)</f>
        <v>そっか！KAITOにぃが助けてくれたんだね！ありがとうっ！</v>
      </c>
      <c r="F305" s="122">
        <v>39008098</v>
      </c>
      <c r="G305" s="42">
        <f ca="1">VLOOKUP($F305,OFFSET(enemy_skill_triggers!$A$1,0,0,COUNTA(enemy_skill_triggers!$A:$A),MATCH(G$1,enemy_skill_triggers!$1:$1,0)-MATCH($F$1,enemy_skill_triggers!$1:$1,0)+1),MATCH(G$1,enemy_skill_triggers!$1:$1,0)-MATCH($F$1,enemy_skill_triggers!$1:$1,0)+1,FALSE)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5" s="42">
        <f ca="1">VLOOKUP($F305,OFFSET(enemy_skill_triggers!$A$1,0,0,COUNTA(enemy_skill_triggers!$A:$A),MATCH(H$1,enemy_skill_triggers!$1:$1,0)-MATCH($F$1,enemy_skill_triggers!$1:$1,0)+1),MATCH(H$1,enemy_skill_triggers!$1:$1,0)-MATCH($F$1,enemy_skill_triggers!$1:$1,0)+1,FALSE)</f>
        <v>933</v>
      </c>
      <c r="I305" s="42">
        <f ca="1">VLOOKUP($F305,OFFSET(enemy_skill_triggers!$A$1,0,0,COUNTA(enemy_skill_triggers!$A:$A),MATCH(I$1,enemy_skill_triggers!$1:$1,0)-MATCH($F$1,enemy_skill_triggers!$1:$1,0)+1),MATCH(I$1,enemy_skill_triggers!$1:$1,0)-MATCH($F$1,enemy_skill_triggers!$1:$1,0)+1,FALSE)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5" s="42" t="str">
        <f ca="1">VLOOKUP($F305,OFFSET(enemy_skill_triggers!$A$1,0,0,COUNTA(enemy_skill_triggers!$A:$A),MATCH(J$1,enemy_skill_triggers!$1:$1,0)-MATCH($F$1,enemy_skill_triggers!$1:$1,0)+1),MATCH(J$1,enemy_skill_triggers!$1:$1,0)-MATCH($F$1,enemy_skill_triggers!$1:$1,0)+1,FALSE)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5" s="42" t="str">
        <f ca="1">VLOOKUP($F305,OFFSET(enemy_skill_triggers!$A$1,0,0,COUNTA(enemy_skill_triggers!$A:$A),MATCH(K$1,enemy_skill_triggers!$1:$1,0)-MATCH($F$1,enemy_skill_triggers!$1:$1,0)+1),MATCH(K$1,enemy_skill_triggers!$1:$1,0)-MATCH($F$1,enemy_skill_triggers!$1:$1,0)+1,FALSE)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5" s="42">
        <f ca="1">VLOOKUP($F305,OFFSET(enemy_skill_triggers!$A$1,0,0,COUNTA(enemy_skill_triggers!$A:$A),MATCH(L$1,enemy_skill_triggers!$1:$1,0)-MATCH($F$1,enemy_skill_triggers!$1:$1,0)+1),MATCH(L$1,enemy_skill_triggers!$1:$1,0)-MATCH($F$1,enemy_skill_triggers!$1:$1,0)+1,FALSE)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5" s="42" t="str">
        <f ca="1">VLOOKUP($F305,OFFSET(enemy_skill_triggers!$A$1,0,0,COUNTA(enemy_skill_triggers!$A:$A),MATCH(M$1,enemy_skill_triggers!$1:$1,0)-MATCH($F$1,enemy_skill_triggers!$1:$1,0)+1),MATCH(M$1,enemy_skill_triggers!$1:$1,0)-MATCH($F$1,enemy_skill_triggers!$1:$1,0)+1,FALSE)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5" s="42">
        <f ca="1">VLOOKUP($F305,OFFSET(enemy_skill_triggers!$A$1,0,0,COUNTA(enemy_skill_triggers!$A:$A),MATCH(N$1,enemy_skill_triggers!$1:$1,0)-MATCH($F$1,enemy_skill_triggers!$1:$1,0)+1),MATCH(N$1,enemy_skill_triggers!$1:$1,0)-MATCH($F$1,enemy_skill_triggers!$1:$1,0)+1,FALSE)</f>
        <v>552</v>
      </c>
      <c r="O305" s="42">
        <f ca="1">VLOOKUP($F305,OFFSET(enemy_skill_triggers!$A$1,0,0,COUNTA(enemy_skill_triggers!$A:$A),MATCH(O$1,enemy_skill_triggers!$1:$1,0)-MATCH($F$1,enemy_skill_triggers!$1:$1,0)+1),MATCH(O$1,enemy_skill_triggers!$1:$1,0)-MATCH($F$1,enemy_skill_triggers!$1:$1,0)+1,FALSE)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5" s="41"/>
      <c r="Q305" s="41"/>
      <c r="R305" s="41" t="s">
        <v>342</v>
      </c>
    </row>
    <row r="306" spans="1:18" ht="21" customHeight="1" x14ac:dyDescent="0.15">
      <c r="A306" s="33" t="str">
        <f t="shared" si="15"/>
        <v>39008013_39008039</v>
      </c>
      <c r="B306" s="110">
        <v>39008013</v>
      </c>
      <c r="C306" s="119">
        <v>39008039</v>
      </c>
      <c r="D306" s="40" t="str">
        <f ca="1">VLOOKUP($C306,OFFSET(enemy_skills!$A$1,0,0,COUNTA(enemy_skills!$A:$A),MATCH(D$1,enemy_skills!$1:$1,0)-MATCH("enemy_skill_id",enemy_skills!$1:$1,0)+1),MATCH(D$1,enemy_skills!$1:$1,0)-MATCH("enemy_skill_id",enemy_skills!$1:$1,0)+1,FALSE)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06" s="40" t="str">
        <f ca="1">VLOOKUP($C306,OFFSET(enemy_skills!$A$1,0,0,COUNTA(enemy_skills!$A:$A),MATCH(E$1,enemy_skills!$1:$1,0)-MATCH("enemy_skill_id",enemy_skills!$1:$1,0)+1),MATCH(E$1,enemy_skills!$1:$1,0)-MATCH("enemy_skill_id",enemy_skills!$1:$1,0)+1,FALSE)</f>
        <v>そっか！KAITOにぃが助けてくれたんだね！ありがとうっ！</v>
      </c>
      <c r="F306" s="122">
        <v>39008099</v>
      </c>
      <c r="G306" s="42">
        <f ca="1">VLOOKUP($F306,OFFSET(enemy_skill_triggers!$A$1,0,0,COUNTA(enemy_skill_triggers!$A:$A),MATCH(G$1,enemy_skill_triggers!$1:$1,0)-MATCH($F$1,enemy_skill_triggers!$1:$1,0)+1),MATCH(G$1,enemy_skill_triggers!$1:$1,0)-MATCH($F$1,enemy_skill_triggers!$1:$1,0)+1,FALSE)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6" s="42">
        <f ca="1">VLOOKUP($F306,OFFSET(enemy_skill_triggers!$A$1,0,0,COUNTA(enemy_skill_triggers!$A:$A),MATCH(H$1,enemy_skill_triggers!$1:$1,0)-MATCH($F$1,enemy_skill_triggers!$1:$1,0)+1),MATCH(H$1,enemy_skill_triggers!$1:$1,0)-MATCH($F$1,enemy_skill_triggers!$1:$1,0)+1,FALSE)</f>
        <v>932</v>
      </c>
      <c r="I306" s="42">
        <f ca="1">VLOOKUP($F306,OFFSET(enemy_skill_triggers!$A$1,0,0,COUNTA(enemy_skill_triggers!$A:$A),MATCH(I$1,enemy_skill_triggers!$1:$1,0)-MATCH($F$1,enemy_skill_triggers!$1:$1,0)+1),MATCH(I$1,enemy_skill_triggers!$1:$1,0)-MATCH($F$1,enemy_skill_triggers!$1:$1,0)+1,FALSE)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6" s="42" t="str">
        <f ca="1">VLOOKUP($F306,OFFSET(enemy_skill_triggers!$A$1,0,0,COUNTA(enemy_skill_triggers!$A:$A),MATCH(J$1,enemy_skill_triggers!$1:$1,0)-MATCH($F$1,enemy_skill_triggers!$1:$1,0)+1),MATCH(J$1,enemy_skill_triggers!$1:$1,0)-MATCH($F$1,enemy_skill_triggers!$1:$1,0)+1,FALSE)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6" s="42" t="str">
        <f ca="1">VLOOKUP($F306,OFFSET(enemy_skill_triggers!$A$1,0,0,COUNTA(enemy_skill_triggers!$A:$A),MATCH(K$1,enemy_skill_triggers!$1:$1,0)-MATCH($F$1,enemy_skill_triggers!$1:$1,0)+1),MATCH(K$1,enemy_skill_triggers!$1:$1,0)-MATCH($F$1,enemy_skill_triggers!$1:$1,0)+1,FALSE)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6" s="42">
        <f ca="1">VLOOKUP($F306,OFFSET(enemy_skill_triggers!$A$1,0,0,COUNTA(enemy_skill_triggers!$A:$A),MATCH(L$1,enemy_skill_triggers!$1:$1,0)-MATCH($F$1,enemy_skill_triggers!$1:$1,0)+1),MATCH(L$1,enemy_skill_triggers!$1:$1,0)-MATCH($F$1,enemy_skill_triggers!$1:$1,0)+1,FALSE)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6" s="42" t="str">
        <f ca="1">VLOOKUP($F306,OFFSET(enemy_skill_triggers!$A$1,0,0,COUNTA(enemy_skill_triggers!$A:$A),MATCH(M$1,enemy_skill_triggers!$1:$1,0)-MATCH($F$1,enemy_skill_triggers!$1:$1,0)+1),MATCH(M$1,enemy_skill_triggers!$1:$1,0)-MATCH($F$1,enemy_skill_triggers!$1:$1,0)+1,FALSE)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6" s="42">
        <f ca="1">VLOOKUP($F306,OFFSET(enemy_skill_triggers!$A$1,0,0,COUNTA(enemy_skill_triggers!$A:$A),MATCH(N$1,enemy_skill_triggers!$1:$1,0)-MATCH($F$1,enemy_skill_triggers!$1:$1,0)+1),MATCH(N$1,enemy_skill_triggers!$1:$1,0)-MATCH($F$1,enemy_skill_triggers!$1:$1,0)+1,FALSE)</f>
        <v>1315</v>
      </c>
      <c r="O306" s="42">
        <f ca="1">VLOOKUP($F306,OFFSET(enemy_skill_triggers!$A$1,0,0,COUNTA(enemy_skill_triggers!$A:$A),MATCH(O$1,enemy_skill_triggers!$1:$1,0)-MATCH($F$1,enemy_skill_triggers!$1:$1,0)+1),MATCH(O$1,enemy_skill_triggers!$1:$1,0)-MATCH($F$1,enemy_skill_triggers!$1:$1,0)+1,FALSE)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6" s="41"/>
      <c r="Q306" s="41"/>
      <c r="R306" s="41" t="s">
        <v>343</v>
      </c>
    </row>
    <row r="307" spans="1:18" ht="21" customHeight="1" x14ac:dyDescent="0.15">
      <c r="A307" s="33" t="str">
        <f t="shared" si="15"/>
        <v>39008013_39008034</v>
      </c>
      <c r="B307" s="110">
        <v>39008013</v>
      </c>
      <c r="C307" s="119">
        <v>39008034</v>
      </c>
      <c r="D307" s="40" t="str">
        <f ca="1">VLOOKUP($C307,OFFSET(enemy_skills!$A$1,0,0,COUNTA(enemy_skills!$A:$A),MATCH(D$1,enemy_skills!$1:$1,0)-MATCH("enemy_skill_id",enemy_skills!$1:$1,0)+1),MATCH(D$1,enemy_skills!$1:$1,0)-MATCH("enemy_skill_id",enemy_skills!$1:$1,0)+1,FALSE)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07" s="40" t="str">
        <f ca="1">VLOOKUP($C307,OFFSET(enemy_skills!$A$1,0,0,COUNTA(enemy_skills!$A:$A),MATCH(E$1,enemy_skills!$1:$1,0)-MATCH("enemy_skill_id",enemy_skills!$1:$1,0)+1),MATCH(E$1,enemy_skills!$1:$1,0)-MATCH("enemy_skill_id",enemy_skills!$1:$1,0)+1,FALSE)</f>
        <v>そっかー！ユキネが助けてくれたんだねー！すっごーい！</v>
      </c>
      <c r="F307" s="122">
        <v>39008100</v>
      </c>
      <c r="G307" s="42">
        <f ca="1">VLOOKUP($F307,OFFSET(enemy_skill_triggers!$A$1,0,0,COUNTA(enemy_skill_triggers!$A:$A),MATCH(G$1,enemy_skill_triggers!$1:$1,0)-MATCH($F$1,enemy_skill_triggers!$1:$1,0)+1),MATCH(G$1,enemy_skill_triggers!$1:$1,0)-MATCH($F$1,enemy_skill_triggers!$1:$1,0)+1,FALSE)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7" s="42">
        <f ca="1">VLOOKUP($F307,OFFSET(enemy_skill_triggers!$A$1,0,0,COUNTA(enemy_skill_triggers!$A:$A),MATCH(H$1,enemy_skill_triggers!$1:$1,0)-MATCH($F$1,enemy_skill_triggers!$1:$1,0)+1),MATCH(H$1,enemy_skill_triggers!$1:$1,0)-MATCH($F$1,enemy_skill_triggers!$1:$1,0)+1,FALSE)</f>
        <v>931</v>
      </c>
      <c r="I307" s="42">
        <f ca="1">VLOOKUP($F307,OFFSET(enemy_skill_triggers!$A$1,0,0,COUNTA(enemy_skill_triggers!$A:$A),MATCH(I$1,enemy_skill_triggers!$1:$1,0)-MATCH($F$1,enemy_skill_triggers!$1:$1,0)+1),MATCH(I$1,enemy_skill_triggers!$1:$1,0)-MATCH($F$1,enemy_skill_triggers!$1:$1,0)+1,FALSE)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7" s="42" t="str">
        <f ca="1">VLOOKUP($F307,OFFSET(enemy_skill_triggers!$A$1,0,0,COUNTA(enemy_skill_triggers!$A:$A),MATCH(J$1,enemy_skill_triggers!$1:$1,0)-MATCH($F$1,enemy_skill_triggers!$1:$1,0)+1),MATCH(J$1,enemy_skill_triggers!$1:$1,0)-MATCH($F$1,enemy_skill_triggers!$1:$1,0)+1,FALSE)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7" s="42" t="str">
        <f ca="1">VLOOKUP($F307,OFFSET(enemy_skill_triggers!$A$1,0,0,COUNTA(enemy_skill_triggers!$A:$A),MATCH(K$1,enemy_skill_triggers!$1:$1,0)-MATCH($F$1,enemy_skill_triggers!$1:$1,0)+1),MATCH(K$1,enemy_skill_triggers!$1:$1,0)-MATCH($F$1,enemy_skill_triggers!$1:$1,0)+1,FALSE)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7" s="42">
        <f ca="1">VLOOKUP($F307,OFFSET(enemy_skill_triggers!$A$1,0,0,COUNTA(enemy_skill_triggers!$A:$A),MATCH(L$1,enemy_skill_triggers!$1:$1,0)-MATCH($F$1,enemy_skill_triggers!$1:$1,0)+1),MATCH(L$1,enemy_skill_triggers!$1:$1,0)-MATCH($F$1,enemy_skill_triggers!$1:$1,0)+1,FALSE)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7" s="42" t="str">
        <f ca="1">VLOOKUP($F307,OFFSET(enemy_skill_triggers!$A$1,0,0,COUNTA(enemy_skill_triggers!$A:$A),MATCH(M$1,enemy_skill_triggers!$1:$1,0)-MATCH($F$1,enemy_skill_triggers!$1:$1,0)+1),MATCH(M$1,enemy_skill_triggers!$1:$1,0)-MATCH($F$1,enemy_skill_triggers!$1:$1,0)+1,FALSE)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7" s="42">
        <f ca="1">VLOOKUP($F307,OFFSET(enemy_skill_triggers!$A$1,0,0,COUNTA(enemy_skill_triggers!$A:$A),MATCH(N$1,enemy_skill_triggers!$1:$1,0)-MATCH($F$1,enemy_skill_triggers!$1:$1,0)+1),MATCH(N$1,enemy_skill_triggers!$1:$1,0)-MATCH($F$1,enemy_skill_triggers!$1:$1,0)+1,FALSE)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307" s="42">
        <f ca="1">VLOOKUP($F307,OFFSET(enemy_skill_triggers!$A$1,0,0,COUNTA(enemy_skill_triggers!$A:$A),MATCH(O$1,enemy_skill_triggers!$1:$1,0)-MATCH($F$1,enemy_skill_triggers!$1:$1,0)+1),MATCH(O$1,enemy_skill_triggers!$1:$1,0)-MATCH($F$1,enemy_skill_triggers!$1:$1,0)+1,FALSE)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7" s="41"/>
      <c r="Q307" s="41"/>
      <c r="R307" s="41" t="s">
        <v>344</v>
      </c>
    </row>
    <row r="308" spans="1:18" ht="21" customHeight="1" x14ac:dyDescent="0.15">
      <c r="A308" s="33" t="str">
        <f t="shared" si="15"/>
        <v>39008013_39008034</v>
      </c>
      <c r="B308" s="110">
        <v>39008013</v>
      </c>
      <c r="C308" s="119">
        <v>39008034</v>
      </c>
      <c r="D308" s="40" t="str">
        <f ca="1">VLOOKUP($C308,OFFSET(enemy_skills!$A$1,0,0,COUNTA(enemy_skills!$A:$A),MATCH(D$1,enemy_skills!$1:$1,0)-MATCH("enemy_skill_id",enemy_skills!$1:$1,0)+1),MATCH(D$1,enemy_skills!$1:$1,0)-MATCH("enemy_skill_id",enemy_skills!$1:$1,0)+1,FALSE)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08" s="40" t="str">
        <f ca="1">VLOOKUP($C308,OFFSET(enemy_skills!$A$1,0,0,COUNTA(enemy_skills!$A:$A),MATCH(E$1,enemy_skills!$1:$1,0)-MATCH("enemy_skill_id",enemy_skills!$1:$1,0)+1),MATCH(E$1,enemy_skills!$1:$1,0)-MATCH("enemy_skill_id",enemy_skills!$1:$1,0)+1,FALSE)</f>
        <v>そっかー！ユキネが助けてくれたんだねー！すっごーい！</v>
      </c>
      <c r="F308" s="122">
        <v>39008101</v>
      </c>
      <c r="G308" s="42">
        <f ca="1">VLOOKUP($F308,OFFSET(enemy_skill_triggers!$A$1,0,0,COUNTA(enemy_skill_triggers!$A:$A),MATCH(G$1,enemy_skill_triggers!$1:$1,0)-MATCH($F$1,enemy_skill_triggers!$1:$1,0)+1),MATCH(G$1,enemy_skill_triggers!$1:$1,0)-MATCH($F$1,enemy_skill_triggers!$1:$1,0)+1,FALSE)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8" s="42">
        <f ca="1">VLOOKUP($F308,OFFSET(enemy_skill_triggers!$A$1,0,0,COUNTA(enemy_skill_triggers!$A:$A),MATCH(H$1,enemy_skill_triggers!$1:$1,0)-MATCH($F$1,enemy_skill_triggers!$1:$1,0)+1),MATCH(H$1,enemy_skill_triggers!$1:$1,0)-MATCH($F$1,enemy_skill_triggers!$1:$1,0)+1,FALSE)</f>
        <v>930</v>
      </c>
      <c r="I308" s="42">
        <f ca="1">VLOOKUP($F308,OFFSET(enemy_skill_triggers!$A$1,0,0,COUNTA(enemy_skill_triggers!$A:$A),MATCH(I$1,enemy_skill_triggers!$1:$1,0)-MATCH($F$1,enemy_skill_triggers!$1:$1,0)+1),MATCH(I$1,enemy_skill_triggers!$1:$1,0)-MATCH($F$1,enemy_skill_triggers!$1:$1,0)+1,FALSE)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8" s="42" t="str">
        <f ca="1">VLOOKUP($F308,OFFSET(enemy_skill_triggers!$A$1,0,0,COUNTA(enemy_skill_triggers!$A:$A),MATCH(J$1,enemy_skill_triggers!$1:$1,0)-MATCH($F$1,enemy_skill_triggers!$1:$1,0)+1),MATCH(J$1,enemy_skill_triggers!$1:$1,0)-MATCH($F$1,enemy_skill_triggers!$1:$1,0)+1,FALSE)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8" s="42" t="str">
        <f ca="1">VLOOKUP($F308,OFFSET(enemy_skill_triggers!$A$1,0,0,COUNTA(enemy_skill_triggers!$A:$A),MATCH(K$1,enemy_skill_triggers!$1:$1,0)-MATCH($F$1,enemy_skill_triggers!$1:$1,0)+1),MATCH(K$1,enemy_skill_triggers!$1:$1,0)-MATCH($F$1,enemy_skill_triggers!$1:$1,0)+1,FALSE)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8" s="42">
        <f ca="1">VLOOKUP($F308,OFFSET(enemy_skill_triggers!$A$1,0,0,COUNTA(enemy_skill_triggers!$A:$A),MATCH(L$1,enemy_skill_triggers!$1:$1,0)-MATCH($F$1,enemy_skill_triggers!$1:$1,0)+1),MATCH(L$1,enemy_skill_triggers!$1:$1,0)-MATCH($F$1,enemy_skill_triggers!$1:$1,0)+1,FALSE)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8" s="42" t="str">
        <f ca="1">VLOOKUP($F308,OFFSET(enemy_skill_triggers!$A$1,0,0,COUNTA(enemy_skill_triggers!$A:$A),MATCH(M$1,enemy_skill_triggers!$1:$1,0)-MATCH($F$1,enemy_skill_triggers!$1:$1,0)+1),MATCH(M$1,enemy_skill_triggers!$1:$1,0)-MATCH($F$1,enemy_skill_triggers!$1:$1,0)+1,FALSE)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8" s="42">
        <f ca="1">VLOOKUP($F308,OFFSET(enemy_skill_triggers!$A$1,0,0,COUNTA(enemy_skill_triggers!$A:$A),MATCH(N$1,enemy_skill_triggers!$1:$1,0)-MATCH($F$1,enemy_skill_triggers!$1:$1,0)+1),MATCH(N$1,enemy_skill_triggers!$1:$1,0)-MATCH($F$1,enemy_skill_triggers!$1:$1,0)+1,FALSE)</f>
        <v>558</v>
      </c>
      <c r="O308" s="42">
        <f ca="1">VLOOKUP($F308,OFFSET(enemy_skill_triggers!$A$1,0,0,COUNTA(enemy_skill_triggers!$A:$A),MATCH(O$1,enemy_skill_triggers!$1:$1,0)-MATCH($F$1,enemy_skill_triggers!$1:$1,0)+1),MATCH(O$1,enemy_skill_triggers!$1:$1,0)-MATCH($F$1,enemy_skill_triggers!$1:$1,0)+1,FALSE)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8" s="41"/>
      <c r="Q308" s="41"/>
      <c r="R308" s="41" t="s">
        <v>344</v>
      </c>
    </row>
    <row r="309" spans="1:18" ht="21" customHeight="1" x14ac:dyDescent="0.15">
      <c r="A309" s="33" t="str">
        <f t="shared" si="15"/>
        <v>39008013_39008034</v>
      </c>
      <c r="B309" s="110">
        <v>39008013</v>
      </c>
      <c r="C309" s="119">
        <v>39008034</v>
      </c>
      <c r="D309" s="40" t="str">
        <f ca="1">VLOOKUP($C309,OFFSET(enemy_skills!$A$1,0,0,COUNTA(enemy_skills!$A:$A),MATCH(D$1,enemy_skills!$1:$1,0)-MATCH("enemy_skill_id",enemy_skills!$1:$1,0)+1),MATCH(D$1,enemy_skills!$1:$1,0)-MATCH("enemy_skill_id",enemy_skills!$1:$1,0)+1,FALSE)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09" s="40" t="str">
        <f ca="1">VLOOKUP($C309,OFFSET(enemy_skills!$A$1,0,0,COUNTA(enemy_skills!$A:$A),MATCH(E$1,enemy_skills!$1:$1,0)-MATCH("enemy_skill_id",enemy_skills!$1:$1,0)+1),MATCH(E$1,enemy_skills!$1:$1,0)-MATCH("enemy_skill_id",enemy_skills!$1:$1,0)+1,FALSE)</f>
        <v>そっかー！ユキネが助けてくれたんだねー！すっごーい！</v>
      </c>
      <c r="F309" s="122">
        <v>39008102</v>
      </c>
      <c r="G309" s="42">
        <f ca="1">VLOOKUP($F309,OFFSET(enemy_skill_triggers!$A$1,0,0,COUNTA(enemy_skill_triggers!$A:$A),MATCH(G$1,enemy_skill_triggers!$1:$1,0)-MATCH($F$1,enemy_skill_triggers!$1:$1,0)+1),MATCH(G$1,enemy_skill_triggers!$1:$1,0)-MATCH($F$1,enemy_skill_triggers!$1:$1,0)+1,FALSE)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9" s="42">
        <f ca="1">VLOOKUP($F309,OFFSET(enemy_skill_triggers!$A$1,0,0,COUNTA(enemy_skill_triggers!$A:$A),MATCH(H$1,enemy_skill_triggers!$1:$1,0)-MATCH($F$1,enemy_skill_triggers!$1:$1,0)+1),MATCH(H$1,enemy_skill_triggers!$1:$1,0)-MATCH($F$1,enemy_skill_triggers!$1:$1,0)+1,FALSE)</f>
        <v>929</v>
      </c>
      <c r="I309" s="42">
        <f ca="1">VLOOKUP($F309,OFFSET(enemy_skill_triggers!$A$1,0,0,COUNTA(enemy_skill_triggers!$A:$A),MATCH(I$1,enemy_skill_triggers!$1:$1,0)-MATCH($F$1,enemy_skill_triggers!$1:$1,0)+1),MATCH(I$1,enemy_skill_triggers!$1:$1,0)-MATCH($F$1,enemy_skill_triggers!$1:$1,0)+1,FALSE)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9" s="42" t="str">
        <f ca="1">VLOOKUP($F309,OFFSET(enemy_skill_triggers!$A$1,0,0,COUNTA(enemy_skill_triggers!$A:$A),MATCH(J$1,enemy_skill_triggers!$1:$1,0)-MATCH($F$1,enemy_skill_triggers!$1:$1,0)+1),MATCH(J$1,enemy_skill_triggers!$1:$1,0)-MATCH($F$1,enemy_skill_triggers!$1:$1,0)+1,FALSE)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9" s="42" t="str">
        <f ca="1">VLOOKUP($F309,OFFSET(enemy_skill_triggers!$A$1,0,0,COUNTA(enemy_skill_triggers!$A:$A),MATCH(K$1,enemy_skill_triggers!$1:$1,0)-MATCH($F$1,enemy_skill_triggers!$1:$1,0)+1),MATCH(K$1,enemy_skill_triggers!$1:$1,0)-MATCH($F$1,enemy_skill_triggers!$1:$1,0)+1,FALSE)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9" s="42">
        <f ca="1">VLOOKUP($F309,OFFSET(enemy_skill_triggers!$A$1,0,0,COUNTA(enemy_skill_triggers!$A:$A),MATCH(L$1,enemy_skill_triggers!$1:$1,0)-MATCH($F$1,enemy_skill_triggers!$1:$1,0)+1),MATCH(L$1,enemy_skill_triggers!$1:$1,0)-MATCH($F$1,enemy_skill_triggers!$1:$1,0)+1,FALSE)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9" s="42" t="str">
        <f ca="1">VLOOKUP($F309,OFFSET(enemy_skill_triggers!$A$1,0,0,COUNTA(enemy_skill_triggers!$A:$A),MATCH(M$1,enemy_skill_triggers!$1:$1,0)-MATCH($F$1,enemy_skill_triggers!$1:$1,0)+1),MATCH(M$1,enemy_skill_triggers!$1:$1,0)-MATCH($F$1,enemy_skill_triggers!$1:$1,0)+1,FALSE)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9" s="42">
        <f ca="1">VLOOKUP($F309,OFFSET(enemy_skill_triggers!$A$1,0,0,COUNTA(enemy_skill_triggers!$A:$A),MATCH(N$1,enemy_skill_triggers!$1:$1,0)-MATCH($F$1,enemy_skill_triggers!$1:$1,0)+1),MATCH(N$1,enemy_skill_triggers!$1:$1,0)-MATCH($F$1,enemy_skill_triggers!$1:$1,0)+1,FALSE)</f>
        <v>559</v>
      </c>
      <c r="O309" s="42">
        <f ca="1">VLOOKUP($F309,OFFSET(enemy_skill_triggers!$A$1,0,0,COUNTA(enemy_skill_triggers!$A:$A),MATCH(O$1,enemy_skill_triggers!$1:$1,0)-MATCH($F$1,enemy_skill_triggers!$1:$1,0)+1),MATCH(O$1,enemy_skill_triggers!$1:$1,0)-MATCH($F$1,enemy_skill_triggers!$1:$1,0)+1,FALSE)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9" s="41"/>
      <c r="Q309" s="41"/>
      <c r="R309" s="41" t="s">
        <v>344</v>
      </c>
    </row>
    <row r="310" spans="1:18" ht="21" customHeight="1" x14ac:dyDescent="0.15">
      <c r="A310" s="33" t="str">
        <f t="shared" si="15"/>
        <v>39008013_39008034</v>
      </c>
      <c r="B310" s="110">
        <v>39008013</v>
      </c>
      <c r="C310" s="119">
        <v>39008034</v>
      </c>
      <c r="D310" s="40" t="str">
        <f ca="1">VLOOKUP($C310,OFFSET(enemy_skills!$A$1,0,0,COUNTA(enemy_skills!$A:$A),MATCH(D$1,enemy_skills!$1:$1,0)-MATCH("enemy_skill_id",enemy_skills!$1:$1,0)+1),MATCH(D$1,enemy_skills!$1:$1,0)-MATCH("enemy_skill_id",enemy_skills!$1:$1,0)+1,FALSE)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10" s="40" t="str">
        <f ca="1">VLOOKUP($C310,OFFSET(enemy_skills!$A$1,0,0,COUNTA(enemy_skills!$A:$A),MATCH(E$1,enemy_skills!$1:$1,0)-MATCH("enemy_skill_id",enemy_skills!$1:$1,0)+1),MATCH(E$1,enemy_skills!$1:$1,0)-MATCH("enemy_skill_id",enemy_skills!$1:$1,0)+1,FALSE)</f>
        <v>そっかー！ユキネが助けてくれたんだねー！すっごーい！</v>
      </c>
      <c r="F310" s="122">
        <v>39008103</v>
      </c>
      <c r="G310" s="42">
        <f ca="1">VLOOKUP($F310,OFFSET(enemy_skill_triggers!$A$1,0,0,COUNTA(enemy_skill_triggers!$A:$A),MATCH(G$1,enemy_skill_triggers!$1:$1,0)-MATCH($F$1,enemy_skill_triggers!$1:$1,0)+1),MATCH(G$1,enemy_skill_triggers!$1:$1,0)-MATCH($F$1,enemy_skill_triggers!$1:$1,0)+1,FALSE)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0" s="42">
        <f ca="1">VLOOKUP($F310,OFFSET(enemy_skill_triggers!$A$1,0,0,COUNTA(enemy_skill_triggers!$A:$A),MATCH(H$1,enemy_skill_triggers!$1:$1,0)-MATCH($F$1,enemy_skill_triggers!$1:$1,0)+1),MATCH(H$1,enemy_skill_triggers!$1:$1,0)-MATCH($F$1,enemy_skill_triggers!$1:$1,0)+1,FALSE)</f>
        <v>928</v>
      </c>
      <c r="I310" s="42">
        <f ca="1">VLOOKUP($F310,OFFSET(enemy_skill_triggers!$A$1,0,0,COUNTA(enemy_skill_triggers!$A:$A),MATCH(I$1,enemy_skill_triggers!$1:$1,0)-MATCH($F$1,enemy_skill_triggers!$1:$1,0)+1),MATCH(I$1,enemy_skill_triggers!$1:$1,0)-MATCH($F$1,enemy_skill_triggers!$1:$1,0)+1,FALSE)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0" s="42" t="str">
        <f ca="1">VLOOKUP($F310,OFFSET(enemy_skill_triggers!$A$1,0,0,COUNTA(enemy_skill_triggers!$A:$A),MATCH(J$1,enemy_skill_triggers!$1:$1,0)-MATCH($F$1,enemy_skill_triggers!$1:$1,0)+1),MATCH(J$1,enemy_skill_triggers!$1:$1,0)-MATCH($F$1,enemy_skill_triggers!$1:$1,0)+1,FALSE)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0" s="42" t="str">
        <f ca="1">VLOOKUP($F310,OFFSET(enemy_skill_triggers!$A$1,0,0,COUNTA(enemy_skill_triggers!$A:$A),MATCH(K$1,enemy_skill_triggers!$1:$1,0)-MATCH($F$1,enemy_skill_triggers!$1:$1,0)+1),MATCH(K$1,enemy_skill_triggers!$1:$1,0)-MATCH($F$1,enemy_skill_triggers!$1:$1,0)+1,FALSE)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0" s="42">
        <f ca="1">VLOOKUP($F310,OFFSET(enemy_skill_triggers!$A$1,0,0,COUNTA(enemy_skill_triggers!$A:$A),MATCH(L$1,enemy_skill_triggers!$1:$1,0)-MATCH($F$1,enemy_skill_triggers!$1:$1,0)+1),MATCH(L$1,enemy_skill_triggers!$1:$1,0)-MATCH($F$1,enemy_skill_triggers!$1:$1,0)+1,FALSE)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0" s="42" t="str">
        <f ca="1">VLOOKUP($F310,OFFSET(enemy_skill_triggers!$A$1,0,0,COUNTA(enemy_skill_triggers!$A:$A),MATCH(M$1,enemy_skill_triggers!$1:$1,0)-MATCH($F$1,enemy_skill_triggers!$1:$1,0)+1),MATCH(M$1,enemy_skill_triggers!$1:$1,0)-MATCH($F$1,enemy_skill_triggers!$1:$1,0)+1,FALSE)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0" s="42">
        <f ca="1">VLOOKUP($F310,OFFSET(enemy_skill_triggers!$A$1,0,0,COUNTA(enemy_skill_triggers!$A:$A),MATCH(N$1,enemy_skill_triggers!$1:$1,0)-MATCH($F$1,enemy_skill_triggers!$1:$1,0)+1),MATCH(N$1,enemy_skill_triggers!$1:$1,0)-MATCH($F$1,enemy_skill_triggers!$1:$1,0)+1,FALSE)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310" s="42">
        <f ca="1">VLOOKUP($F310,OFFSET(enemy_skill_triggers!$A$1,0,0,COUNTA(enemy_skill_triggers!$A:$A),MATCH(O$1,enemy_skill_triggers!$1:$1,0)-MATCH($F$1,enemy_skill_triggers!$1:$1,0)+1),MATCH(O$1,enemy_skill_triggers!$1:$1,0)-MATCH($F$1,enemy_skill_triggers!$1:$1,0)+1,FALSE)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0" s="41"/>
      <c r="Q310" s="41"/>
      <c r="R310" s="41" t="s">
        <v>344</v>
      </c>
    </row>
    <row r="311" spans="1:18" ht="21" customHeight="1" x14ac:dyDescent="0.15">
      <c r="A311" s="33" t="str">
        <f t="shared" si="15"/>
        <v>39008013_39008034</v>
      </c>
      <c r="B311" s="110">
        <v>39008013</v>
      </c>
      <c r="C311" s="119">
        <v>39008034</v>
      </c>
      <c r="D311" s="40" t="str">
        <f ca="1">VLOOKUP($C311,OFFSET(enemy_skills!$A$1,0,0,COUNTA(enemy_skills!$A:$A),MATCH(D$1,enemy_skills!$1:$1,0)-MATCH("enemy_skill_id",enemy_skills!$1:$1,0)+1),MATCH(D$1,enemy_skills!$1:$1,0)-MATCH("enemy_skill_id",enemy_skills!$1:$1,0)+1,FALSE)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11" s="40" t="str">
        <f ca="1">VLOOKUP($C311,OFFSET(enemy_skills!$A$1,0,0,COUNTA(enemy_skills!$A:$A),MATCH(E$1,enemy_skills!$1:$1,0)-MATCH("enemy_skill_id",enemy_skills!$1:$1,0)+1),MATCH(E$1,enemy_skills!$1:$1,0)-MATCH("enemy_skill_id",enemy_skills!$1:$1,0)+1,FALSE)</f>
        <v>そっかー！ユキネが助けてくれたんだねー！すっごーい！</v>
      </c>
      <c r="F311" s="122">
        <v>39008104</v>
      </c>
      <c r="G311" s="42">
        <f ca="1">VLOOKUP($F311,OFFSET(enemy_skill_triggers!$A$1,0,0,COUNTA(enemy_skill_triggers!$A:$A),MATCH(G$1,enemy_skill_triggers!$1:$1,0)-MATCH($F$1,enemy_skill_triggers!$1:$1,0)+1),MATCH(G$1,enemy_skill_triggers!$1:$1,0)-MATCH($F$1,enemy_skill_triggers!$1:$1,0)+1,FALSE)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1" s="42">
        <f ca="1">VLOOKUP($F311,OFFSET(enemy_skill_triggers!$A$1,0,0,COUNTA(enemy_skill_triggers!$A:$A),MATCH(H$1,enemy_skill_triggers!$1:$1,0)-MATCH($F$1,enemy_skill_triggers!$1:$1,0)+1),MATCH(H$1,enemy_skill_triggers!$1:$1,0)-MATCH($F$1,enemy_skill_triggers!$1:$1,0)+1,FALSE)</f>
        <v>927</v>
      </c>
      <c r="I311" s="42">
        <f ca="1">VLOOKUP($F311,OFFSET(enemy_skill_triggers!$A$1,0,0,COUNTA(enemy_skill_triggers!$A:$A),MATCH(I$1,enemy_skill_triggers!$1:$1,0)-MATCH($F$1,enemy_skill_triggers!$1:$1,0)+1),MATCH(I$1,enemy_skill_triggers!$1:$1,0)-MATCH($F$1,enemy_skill_triggers!$1:$1,0)+1,FALSE)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1" s="42" t="str">
        <f ca="1">VLOOKUP($F311,OFFSET(enemy_skill_triggers!$A$1,0,0,COUNTA(enemy_skill_triggers!$A:$A),MATCH(J$1,enemy_skill_triggers!$1:$1,0)-MATCH($F$1,enemy_skill_triggers!$1:$1,0)+1),MATCH(J$1,enemy_skill_triggers!$1:$1,0)-MATCH($F$1,enemy_skill_triggers!$1:$1,0)+1,FALSE)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1" s="42" t="str">
        <f ca="1">VLOOKUP($F311,OFFSET(enemy_skill_triggers!$A$1,0,0,COUNTA(enemy_skill_triggers!$A:$A),MATCH(K$1,enemy_skill_triggers!$1:$1,0)-MATCH($F$1,enemy_skill_triggers!$1:$1,0)+1),MATCH(K$1,enemy_skill_triggers!$1:$1,0)-MATCH($F$1,enemy_skill_triggers!$1:$1,0)+1,FALSE)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1" s="42">
        <f ca="1">VLOOKUP($F311,OFFSET(enemy_skill_triggers!$A$1,0,0,COUNTA(enemy_skill_triggers!$A:$A),MATCH(L$1,enemy_skill_triggers!$1:$1,0)-MATCH($F$1,enemy_skill_triggers!$1:$1,0)+1),MATCH(L$1,enemy_skill_triggers!$1:$1,0)-MATCH($F$1,enemy_skill_triggers!$1:$1,0)+1,FALSE)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1" s="42" t="str">
        <f ca="1">VLOOKUP($F311,OFFSET(enemy_skill_triggers!$A$1,0,0,COUNTA(enemy_skill_triggers!$A:$A),MATCH(M$1,enemy_skill_triggers!$1:$1,0)-MATCH($F$1,enemy_skill_triggers!$1:$1,0)+1),MATCH(M$1,enemy_skill_triggers!$1:$1,0)-MATCH($F$1,enemy_skill_triggers!$1:$1,0)+1,FALSE)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1" s="42">
        <f ca="1">VLOOKUP($F311,OFFSET(enemy_skill_triggers!$A$1,0,0,COUNTA(enemy_skill_triggers!$A:$A),MATCH(N$1,enemy_skill_triggers!$1:$1,0)-MATCH($F$1,enemy_skill_triggers!$1:$1,0)+1),MATCH(N$1,enemy_skill_triggers!$1:$1,0)-MATCH($F$1,enemy_skill_triggers!$1:$1,0)+1,FALSE)</f>
        <v>1296</v>
      </c>
      <c r="O311" s="42">
        <f ca="1">VLOOKUP($F311,OFFSET(enemy_skill_triggers!$A$1,0,0,COUNTA(enemy_skill_triggers!$A:$A),MATCH(O$1,enemy_skill_triggers!$1:$1,0)-MATCH($F$1,enemy_skill_triggers!$1:$1,0)+1),MATCH(O$1,enemy_skill_triggers!$1:$1,0)-MATCH($F$1,enemy_skill_triggers!$1:$1,0)+1,FALSE)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1" s="41"/>
      <c r="Q311" s="41"/>
      <c r="R311" s="41" t="s">
        <v>344</v>
      </c>
    </row>
    <row r="312" spans="1:18" ht="21" customHeight="1" x14ac:dyDescent="0.15">
      <c r="A312" s="33" t="str">
        <f t="shared" si="15"/>
        <v>39008013_39008033</v>
      </c>
      <c r="B312" s="110">
        <v>39008013</v>
      </c>
      <c r="C312" s="119">
        <v>39008033</v>
      </c>
      <c r="D312" s="40" t="str">
        <f ca="1">VLOOKUP($C312,OFFSET(enemy_skills!$A$1,0,0,COUNTA(enemy_skills!$A:$A),MATCH(D$1,enemy_skills!$1:$1,0)-MATCH("enemy_skill_id",enemy_skills!$1:$1,0)+1),MATCH(D$1,enemy_skills!$1:$1,0)-MATCH("enemy_skill_id",enemy_skills!$1:$1,0)+1,FALSE)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12" s="40" t="str">
        <f ca="1">VLOOKUP($C312,OFFSET(enemy_skills!$A$1,0,0,COUNTA(enemy_skills!$A:$A),MATCH(E$1,enemy_skills!$1:$1,0)-MATCH("enemy_skill_id",enemy_skills!$1:$1,0)+1),MATCH(E$1,enemy_skills!$1:$1,0)-MATCH("enemy_skill_id",enemy_skills!$1:$1,0)+1,FALSE)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312" s="122">
        <v>39008105</v>
      </c>
      <c r="G312" s="42">
        <f ca="1">VLOOKUP($F312,OFFSET(enemy_skill_triggers!$A$1,0,0,COUNTA(enemy_skill_triggers!$A:$A),MATCH(G$1,enemy_skill_triggers!$1:$1,0)-MATCH($F$1,enemy_skill_triggers!$1:$1,0)+1),MATCH(G$1,enemy_skill_triggers!$1:$1,0)-MATCH($F$1,enemy_skill_triggers!$1:$1,0)+1,FALSE)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2" s="42">
        <f ca="1">VLOOKUP($F312,OFFSET(enemy_skill_triggers!$A$1,0,0,COUNTA(enemy_skill_triggers!$A:$A),MATCH(H$1,enemy_skill_triggers!$1:$1,0)-MATCH($F$1,enemy_skill_triggers!$1:$1,0)+1),MATCH(H$1,enemy_skill_triggers!$1:$1,0)-MATCH($F$1,enemy_skill_triggers!$1:$1,0)+1,FALSE)</f>
        <v>926</v>
      </c>
      <c r="I312" s="42">
        <f ca="1">VLOOKUP($F312,OFFSET(enemy_skill_triggers!$A$1,0,0,COUNTA(enemy_skill_triggers!$A:$A),MATCH(I$1,enemy_skill_triggers!$1:$1,0)-MATCH($F$1,enemy_skill_triggers!$1:$1,0)+1),MATCH(I$1,enemy_skill_triggers!$1:$1,0)-MATCH($F$1,enemy_skill_triggers!$1:$1,0)+1,FALSE)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2" s="42" t="str">
        <f ca="1">VLOOKUP($F312,OFFSET(enemy_skill_triggers!$A$1,0,0,COUNTA(enemy_skill_triggers!$A:$A),MATCH(J$1,enemy_skill_triggers!$1:$1,0)-MATCH($F$1,enemy_skill_triggers!$1:$1,0)+1),MATCH(J$1,enemy_skill_triggers!$1:$1,0)-MATCH($F$1,enemy_skill_triggers!$1:$1,0)+1,FALSE)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2" s="42" t="str">
        <f ca="1">VLOOKUP($F312,OFFSET(enemy_skill_triggers!$A$1,0,0,COUNTA(enemy_skill_triggers!$A:$A),MATCH(K$1,enemy_skill_triggers!$1:$1,0)-MATCH($F$1,enemy_skill_triggers!$1:$1,0)+1),MATCH(K$1,enemy_skill_triggers!$1:$1,0)-MATCH($F$1,enemy_skill_triggers!$1:$1,0)+1,FALSE)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2" s="42">
        <f ca="1">VLOOKUP($F312,OFFSET(enemy_skill_triggers!$A$1,0,0,COUNTA(enemy_skill_triggers!$A:$A),MATCH(L$1,enemy_skill_triggers!$1:$1,0)-MATCH($F$1,enemy_skill_triggers!$1:$1,0)+1),MATCH(L$1,enemy_skill_triggers!$1:$1,0)-MATCH($F$1,enemy_skill_triggers!$1:$1,0)+1,FALSE)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2" s="42" t="str">
        <f ca="1">VLOOKUP($F312,OFFSET(enemy_skill_triggers!$A$1,0,0,COUNTA(enemy_skill_triggers!$A:$A),MATCH(M$1,enemy_skill_triggers!$1:$1,0)-MATCH($F$1,enemy_skill_triggers!$1:$1,0)+1),MATCH(M$1,enemy_skill_triggers!$1:$1,0)-MATCH($F$1,enemy_skill_triggers!$1:$1,0)+1,FALSE)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2" s="42">
        <f ca="1">VLOOKUP($F312,OFFSET(enemy_skill_triggers!$A$1,0,0,COUNTA(enemy_skill_triggers!$A:$A),MATCH(N$1,enemy_skill_triggers!$1:$1,0)-MATCH($F$1,enemy_skill_triggers!$1:$1,0)+1),MATCH(N$1,enemy_skill_triggers!$1:$1,0)-MATCH($F$1,enemy_skill_triggers!$1:$1,0)+1,FALSE)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312" s="42">
        <f ca="1">VLOOKUP($F312,OFFSET(enemy_skill_triggers!$A$1,0,0,COUNTA(enemy_skill_triggers!$A:$A),MATCH(O$1,enemy_skill_triggers!$1:$1,0)-MATCH($F$1,enemy_skill_triggers!$1:$1,0)+1),MATCH(O$1,enemy_skill_triggers!$1:$1,0)-MATCH($F$1,enemy_skill_triggers!$1:$1,0)+1,FALSE)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2" s="41"/>
      <c r="Q312" s="41"/>
      <c r="R312" s="41" t="s">
        <v>349</v>
      </c>
    </row>
    <row r="313" spans="1:18" ht="21" customHeight="1" x14ac:dyDescent="0.15">
      <c r="A313" s="33" t="str">
        <f t="shared" si="15"/>
        <v>39008013_39008033</v>
      </c>
      <c r="B313" s="110">
        <v>39008013</v>
      </c>
      <c r="C313" s="119">
        <v>39008033</v>
      </c>
      <c r="D313" s="40" t="str">
        <f ca="1">VLOOKUP($C313,OFFSET(enemy_skills!$A$1,0,0,COUNTA(enemy_skills!$A:$A),MATCH(D$1,enemy_skills!$1:$1,0)-MATCH("enemy_skill_id",enemy_skills!$1:$1,0)+1),MATCH(D$1,enemy_skills!$1:$1,0)-MATCH("enemy_skill_id",enemy_skills!$1:$1,0)+1,FALSE)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13" s="40" t="str">
        <f ca="1">VLOOKUP($C313,OFFSET(enemy_skills!$A$1,0,0,COUNTA(enemy_skills!$A:$A),MATCH(E$1,enemy_skills!$1:$1,0)-MATCH("enemy_skill_id",enemy_skills!$1:$1,0)+1),MATCH(E$1,enemy_skills!$1:$1,0)-MATCH("enemy_skill_id",enemy_skills!$1:$1,0)+1,FALSE)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313" s="122">
        <v>39008106</v>
      </c>
      <c r="G313" s="42">
        <f ca="1">VLOOKUP($F313,OFFSET(enemy_skill_triggers!$A$1,0,0,COUNTA(enemy_skill_triggers!$A:$A),MATCH(G$1,enemy_skill_triggers!$1:$1,0)-MATCH($F$1,enemy_skill_triggers!$1:$1,0)+1),MATCH(G$1,enemy_skill_triggers!$1:$1,0)-MATCH($F$1,enemy_skill_triggers!$1:$1,0)+1,FALSE)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3" s="42">
        <f ca="1">VLOOKUP($F313,OFFSET(enemy_skill_triggers!$A$1,0,0,COUNTA(enemy_skill_triggers!$A:$A),MATCH(H$1,enemy_skill_triggers!$1:$1,0)-MATCH($F$1,enemy_skill_triggers!$1:$1,0)+1),MATCH(H$1,enemy_skill_triggers!$1:$1,0)-MATCH($F$1,enemy_skill_triggers!$1:$1,0)+1,FALSE)</f>
        <v>925</v>
      </c>
      <c r="I313" s="42">
        <f ca="1">VLOOKUP($F313,OFFSET(enemy_skill_triggers!$A$1,0,0,COUNTA(enemy_skill_triggers!$A:$A),MATCH(I$1,enemy_skill_triggers!$1:$1,0)-MATCH($F$1,enemy_skill_triggers!$1:$1,0)+1),MATCH(I$1,enemy_skill_triggers!$1:$1,0)-MATCH($F$1,enemy_skill_triggers!$1:$1,0)+1,FALSE)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3" s="42" t="str">
        <f ca="1">VLOOKUP($F313,OFFSET(enemy_skill_triggers!$A$1,0,0,COUNTA(enemy_skill_triggers!$A:$A),MATCH(J$1,enemy_skill_triggers!$1:$1,0)-MATCH($F$1,enemy_skill_triggers!$1:$1,0)+1),MATCH(J$1,enemy_skill_triggers!$1:$1,0)-MATCH($F$1,enemy_skill_triggers!$1:$1,0)+1,FALSE)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3" s="42" t="str">
        <f ca="1">VLOOKUP($F313,OFFSET(enemy_skill_triggers!$A$1,0,0,COUNTA(enemy_skill_triggers!$A:$A),MATCH(K$1,enemy_skill_triggers!$1:$1,0)-MATCH($F$1,enemy_skill_triggers!$1:$1,0)+1),MATCH(K$1,enemy_skill_triggers!$1:$1,0)-MATCH($F$1,enemy_skill_triggers!$1:$1,0)+1,FALSE)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3" s="42">
        <f ca="1">VLOOKUP($F313,OFFSET(enemy_skill_triggers!$A$1,0,0,COUNTA(enemy_skill_triggers!$A:$A),MATCH(L$1,enemy_skill_triggers!$1:$1,0)-MATCH($F$1,enemy_skill_triggers!$1:$1,0)+1),MATCH(L$1,enemy_skill_triggers!$1:$1,0)-MATCH($F$1,enemy_skill_triggers!$1:$1,0)+1,FALSE)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3" s="42" t="str">
        <f ca="1">VLOOKUP($F313,OFFSET(enemy_skill_triggers!$A$1,0,0,COUNTA(enemy_skill_triggers!$A:$A),MATCH(M$1,enemy_skill_triggers!$1:$1,0)-MATCH($F$1,enemy_skill_triggers!$1:$1,0)+1),MATCH(M$1,enemy_skill_triggers!$1:$1,0)-MATCH($F$1,enemy_skill_triggers!$1:$1,0)+1,FALSE)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3" s="42">
        <f ca="1">VLOOKUP($F313,OFFSET(enemy_skill_triggers!$A$1,0,0,COUNTA(enemy_skill_triggers!$A:$A),MATCH(N$1,enemy_skill_triggers!$1:$1,0)-MATCH($F$1,enemy_skill_triggers!$1:$1,0)+1),MATCH(N$1,enemy_skill_triggers!$1:$1,0)-MATCH($F$1,enemy_skill_triggers!$1:$1,0)+1,FALSE)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313" s="42">
        <f ca="1">VLOOKUP($F313,OFFSET(enemy_skill_triggers!$A$1,0,0,COUNTA(enemy_skill_triggers!$A:$A),MATCH(O$1,enemy_skill_triggers!$1:$1,0)-MATCH($F$1,enemy_skill_triggers!$1:$1,0)+1),MATCH(O$1,enemy_skill_triggers!$1:$1,0)-MATCH($F$1,enemy_skill_triggers!$1:$1,0)+1,FALSE)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3" s="41"/>
      <c r="Q313" s="41"/>
      <c r="R313" s="41" t="s">
        <v>349</v>
      </c>
    </row>
    <row r="314" spans="1:18" ht="21" customHeight="1" x14ac:dyDescent="0.15">
      <c r="A314" s="33" t="str">
        <f t="shared" si="15"/>
        <v>39008013_39008033</v>
      </c>
      <c r="B314" s="110">
        <v>39008013</v>
      </c>
      <c r="C314" s="119">
        <v>39008033</v>
      </c>
      <c r="D314" s="40" t="str">
        <f ca="1">VLOOKUP($C314,OFFSET(enemy_skills!$A$1,0,0,COUNTA(enemy_skills!$A:$A),MATCH(D$1,enemy_skills!$1:$1,0)-MATCH("enemy_skill_id",enemy_skills!$1:$1,0)+1),MATCH(D$1,enemy_skills!$1:$1,0)-MATCH("enemy_skill_id",enemy_skills!$1:$1,0)+1,FALSE)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14" s="40" t="str">
        <f ca="1">VLOOKUP($C314,OFFSET(enemy_skills!$A$1,0,0,COUNTA(enemy_skills!$A:$A),MATCH(E$1,enemy_skills!$1:$1,0)-MATCH("enemy_skill_id",enemy_skills!$1:$1,0)+1),MATCH(E$1,enemy_skills!$1:$1,0)-MATCH("enemy_skill_id",enemy_skills!$1:$1,0)+1,FALSE)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314" s="122">
        <v>39008107</v>
      </c>
      <c r="G314" s="42">
        <f ca="1">VLOOKUP($F314,OFFSET(enemy_skill_triggers!$A$1,0,0,COUNTA(enemy_skill_triggers!$A:$A),MATCH(G$1,enemy_skill_triggers!$1:$1,0)-MATCH($F$1,enemy_skill_triggers!$1:$1,0)+1),MATCH(G$1,enemy_skill_triggers!$1:$1,0)-MATCH($F$1,enemy_skill_triggers!$1:$1,0)+1,FALSE)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4" s="42">
        <f ca="1">VLOOKUP($F314,OFFSET(enemy_skill_triggers!$A$1,0,0,COUNTA(enemy_skill_triggers!$A:$A),MATCH(H$1,enemy_skill_triggers!$1:$1,0)-MATCH($F$1,enemy_skill_triggers!$1:$1,0)+1),MATCH(H$1,enemy_skill_triggers!$1:$1,0)-MATCH($F$1,enemy_skill_triggers!$1:$1,0)+1,FALSE)</f>
        <v>924</v>
      </c>
      <c r="I314" s="42">
        <f ca="1">VLOOKUP($F314,OFFSET(enemy_skill_triggers!$A$1,0,0,COUNTA(enemy_skill_triggers!$A:$A),MATCH(I$1,enemy_skill_triggers!$1:$1,0)-MATCH($F$1,enemy_skill_triggers!$1:$1,0)+1),MATCH(I$1,enemy_skill_triggers!$1:$1,0)-MATCH($F$1,enemy_skill_triggers!$1:$1,0)+1,FALSE)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4" s="42" t="str">
        <f ca="1">VLOOKUP($F314,OFFSET(enemy_skill_triggers!$A$1,0,0,COUNTA(enemy_skill_triggers!$A:$A),MATCH(J$1,enemy_skill_triggers!$1:$1,0)-MATCH($F$1,enemy_skill_triggers!$1:$1,0)+1),MATCH(J$1,enemy_skill_triggers!$1:$1,0)-MATCH($F$1,enemy_skill_triggers!$1:$1,0)+1,FALSE)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4" s="42" t="str">
        <f ca="1">VLOOKUP($F314,OFFSET(enemy_skill_triggers!$A$1,0,0,COUNTA(enemy_skill_triggers!$A:$A),MATCH(K$1,enemy_skill_triggers!$1:$1,0)-MATCH($F$1,enemy_skill_triggers!$1:$1,0)+1),MATCH(K$1,enemy_skill_triggers!$1:$1,0)-MATCH($F$1,enemy_skill_triggers!$1:$1,0)+1,FALSE)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4" s="42">
        <f ca="1">VLOOKUP($F314,OFFSET(enemy_skill_triggers!$A$1,0,0,COUNTA(enemy_skill_triggers!$A:$A),MATCH(L$1,enemy_skill_triggers!$1:$1,0)-MATCH($F$1,enemy_skill_triggers!$1:$1,0)+1),MATCH(L$1,enemy_skill_triggers!$1:$1,0)-MATCH($F$1,enemy_skill_triggers!$1:$1,0)+1,FALSE)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4" s="42" t="str">
        <f ca="1">VLOOKUP($F314,OFFSET(enemy_skill_triggers!$A$1,0,0,COUNTA(enemy_skill_triggers!$A:$A),MATCH(M$1,enemy_skill_triggers!$1:$1,0)-MATCH($F$1,enemy_skill_triggers!$1:$1,0)+1),MATCH(M$1,enemy_skill_triggers!$1:$1,0)-MATCH($F$1,enemy_skill_triggers!$1:$1,0)+1,FALSE)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4" s="42">
        <f ca="1">VLOOKUP($F314,OFFSET(enemy_skill_triggers!$A$1,0,0,COUNTA(enemy_skill_triggers!$A:$A),MATCH(N$1,enemy_skill_triggers!$1:$1,0)-MATCH($F$1,enemy_skill_triggers!$1:$1,0)+1),MATCH(N$1,enemy_skill_triggers!$1:$1,0)-MATCH($F$1,enemy_skill_triggers!$1:$1,0)+1,FALSE)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314" s="42">
        <f ca="1">VLOOKUP($F314,OFFSET(enemy_skill_triggers!$A$1,0,0,COUNTA(enemy_skill_triggers!$A:$A),MATCH(O$1,enemy_skill_triggers!$1:$1,0)-MATCH($F$1,enemy_skill_triggers!$1:$1,0)+1),MATCH(O$1,enemy_skill_triggers!$1:$1,0)-MATCH($F$1,enemy_skill_triggers!$1:$1,0)+1,FALSE)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4" s="41"/>
      <c r="Q314" s="41"/>
      <c r="R314" s="41" t="s">
        <v>351</v>
      </c>
    </row>
    <row r="315" spans="1:18" ht="21" customHeight="1" x14ac:dyDescent="0.15">
      <c r="A315" s="33" t="str">
        <f t="shared" si="15"/>
        <v>39008013_39008033</v>
      </c>
      <c r="B315" s="110">
        <v>39008013</v>
      </c>
      <c r="C315" s="119">
        <v>39008033</v>
      </c>
      <c r="D315" s="40" t="str">
        <f ca="1">VLOOKUP($C315,OFFSET(enemy_skills!$A$1,0,0,COUNTA(enemy_skills!$A:$A),MATCH(D$1,enemy_skills!$1:$1,0)-MATCH("enemy_skill_id",enemy_skills!$1:$1,0)+1),MATCH(D$1,enemy_skills!$1:$1,0)-MATCH("enemy_skill_id",enemy_skills!$1:$1,0)+1,FALSE)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15" s="40" t="str">
        <f ca="1">VLOOKUP($C315,OFFSET(enemy_skills!$A$1,0,0,COUNTA(enemy_skills!$A:$A),MATCH(E$1,enemy_skills!$1:$1,0)-MATCH("enemy_skill_id",enemy_skills!$1:$1,0)+1),MATCH(E$1,enemy_skills!$1:$1,0)-MATCH("enemy_skill_id",enemy_skills!$1:$1,0)+1,FALSE)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315" s="122">
        <v>39008108</v>
      </c>
      <c r="G315" s="42">
        <f ca="1">VLOOKUP($F315,OFFSET(enemy_skill_triggers!$A$1,0,0,COUNTA(enemy_skill_triggers!$A:$A),MATCH(G$1,enemy_skill_triggers!$1:$1,0)-MATCH($F$1,enemy_skill_triggers!$1:$1,0)+1),MATCH(G$1,enemy_skill_triggers!$1:$1,0)-MATCH($F$1,enemy_skill_triggers!$1:$1,0)+1,FALSE)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5" s="42">
        <f ca="1">VLOOKUP($F315,OFFSET(enemy_skill_triggers!$A$1,0,0,COUNTA(enemy_skill_triggers!$A:$A),MATCH(H$1,enemy_skill_triggers!$1:$1,0)-MATCH($F$1,enemy_skill_triggers!$1:$1,0)+1),MATCH(H$1,enemy_skill_triggers!$1:$1,0)-MATCH($F$1,enemy_skill_triggers!$1:$1,0)+1,FALSE)</f>
        <v>923</v>
      </c>
      <c r="I315" s="42">
        <f ca="1">VLOOKUP($F315,OFFSET(enemy_skill_triggers!$A$1,0,0,COUNTA(enemy_skill_triggers!$A:$A),MATCH(I$1,enemy_skill_triggers!$1:$1,0)-MATCH($F$1,enemy_skill_triggers!$1:$1,0)+1),MATCH(I$1,enemy_skill_triggers!$1:$1,0)-MATCH($F$1,enemy_skill_triggers!$1:$1,0)+1,FALSE)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5" s="42" t="str">
        <f ca="1">VLOOKUP($F315,OFFSET(enemy_skill_triggers!$A$1,0,0,COUNTA(enemy_skill_triggers!$A:$A),MATCH(J$1,enemy_skill_triggers!$1:$1,0)-MATCH($F$1,enemy_skill_triggers!$1:$1,0)+1),MATCH(J$1,enemy_skill_triggers!$1:$1,0)-MATCH($F$1,enemy_skill_triggers!$1:$1,0)+1,FALSE)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5" s="42" t="str">
        <f ca="1">VLOOKUP($F315,OFFSET(enemy_skill_triggers!$A$1,0,0,COUNTA(enemy_skill_triggers!$A:$A),MATCH(K$1,enemy_skill_triggers!$1:$1,0)-MATCH($F$1,enemy_skill_triggers!$1:$1,0)+1),MATCH(K$1,enemy_skill_triggers!$1:$1,0)-MATCH($F$1,enemy_skill_triggers!$1:$1,0)+1,FALSE)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5" s="42">
        <f ca="1">VLOOKUP($F315,OFFSET(enemy_skill_triggers!$A$1,0,0,COUNTA(enemy_skill_triggers!$A:$A),MATCH(L$1,enemy_skill_triggers!$1:$1,0)-MATCH($F$1,enemy_skill_triggers!$1:$1,0)+1),MATCH(L$1,enemy_skill_triggers!$1:$1,0)-MATCH($F$1,enemy_skill_triggers!$1:$1,0)+1,FALSE)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5" s="42" t="str">
        <f ca="1">VLOOKUP($F315,OFFSET(enemy_skill_triggers!$A$1,0,0,COUNTA(enemy_skill_triggers!$A:$A),MATCH(M$1,enemy_skill_triggers!$1:$1,0)-MATCH($F$1,enemy_skill_triggers!$1:$1,0)+1),MATCH(M$1,enemy_skill_triggers!$1:$1,0)-MATCH($F$1,enemy_skill_triggers!$1:$1,0)+1,FALSE)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5" s="42">
        <f ca="1">VLOOKUP($F315,OFFSET(enemy_skill_triggers!$A$1,0,0,COUNTA(enemy_skill_triggers!$A:$A),MATCH(N$1,enemy_skill_triggers!$1:$1,0)-MATCH($F$1,enemy_skill_triggers!$1:$1,0)+1),MATCH(N$1,enemy_skill_triggers!$1:$1,0)-MATCH($F$1,enemy_skill_triggers!$1:$1,0)+1,FALSE)</f>
        <v>554</v>
      </c>
      <c r="O315" s="42">
        <f ca="1">VLOOKUP($F315,OFFSET(enemy_skill_triggers!$A$1,0,0,COUNTA(enemy_skill_triggers!$A:$A),MATCH(O$1,enemy_skill_triggers!$1:$1,0)-MATCH($F$1,enemy_skill_triggers!$1:$1,0)+1),MATCH(O$1,enemy_skill_triggers!$1:$1,0)-MATCH($F$1,enemy_skill_triggers!$1:$1,0)+1,FALSE)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5" s="41"/>
      <c r="Q315" s="41"/>
      <c r="R315" s="41" t="s">
        <v>352</v>
      </c>
    </row>
    <row r="316" spans="1:18" ht="21" customHeight="1" x14ac:dyDescent="0.15">
      <c r="A316" s="33" t="str">
        <f t="shared" si="15"/>
        <v>39008013_39008033</v>
      </c>
      <c r="B316" s="110">
        <v>39008013</v>
      </c>
      <c r="C316" s="119">
        <v>39008033</v>
      </c>
      <c r="D316" s="40" t="str">
        <f ca="1">VLOOKUP($C316,OFFSET(enemy_skills!$A$1,0,0,COUNTA(enemy_skills!$A:$A),MATCH(D$1,enemy_skills!$1:$1,0)-MATCH("enemy_skill_id",enemy_skills!$1:$1,0)+1),MATCH(D$1,enemy_skills!$1:$1,0)-MATCH("enemy_skill_id",enemy_skills!$1:$1,0)+1,FALSE)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16" s="40" t="str">
        <f ca="1">VLOOKUP($C316,OFFSET(enemy_skills!$A$1,0,0,COUNTA(enemy_skills!$A:$A),MATCH(E$1,enemy_skills!$1:$1,0)-MATCH("enemy_skill_id",enemy_skills!$1:$1,0)+1),MATCH(E$1,enemy_skills!$1:$1,0)-MATCH("enemy_skill_id",enemy_skills!$1:$1,0)+1,FALSE)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316" s="122">
        <v>39008109</v>
      </c>
      <c r="G316" s="42">
        <f ca="1">VLOOKUP($F316,OFFSET(enemy_skill_triggers!$A$1,0,0,COUNTA(enemy_skill_triggers!$A:$A),MATCH(G$1,enemy_skill_triggers!$1:$1,0)-MATCH($F$1,enemy_skill_triggers!$1:$1,0)+1),MATCH(G$1,enemy_skill_triggers!$1:$1,0)-MATCH($F$1,enemy_skill_triggers!$1:$1,0)+1,FALSE)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6" s="42">
        <f ca="1">VLOOKUP($F316,OFFSET(enemy_skill_triggers!$A$1,0,0,COUNTA(enemy_skill_triggers!$A:$A),MATCH(H$1,enemy_skill_triggers!$1:$1,0)-MATCH($F$1,enemy_skill_triggers!$1:$1,0)+1),MATCH(H$1,enemy_skill_triggers!$1:$1,0)-MATCH($F$1,enemy_skill_triggers!$1:$1,0)+1,FALSE)</f>
        <v>922</v>
      </c>
      <c r="I316" s="42">
        <f ca="1">VLOOKUP($F316,OFFSET(enemy_skill_triggers!$A$1,0,0,COUNTA(enemy_skill_triggers!$A:$A),MATCH(I$1,enemy_skill_triggers!$1:$1,0)-MATCH($F$1,enemy_skill_triggers!$1:$1,0)+1),MATCH(I$1,enemy_skill_triggers!$1:$1,0)-MATCH($F$1,enemy_skill_triggers!$1:$1,0)+1,FALSE)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6" s="42" t="str">
        <f ca="1">VLOOKUP($F316,OFFSET(enemy_skill_triggers!$A$1,0,0,COUNTA(enemy_skill_triggers!$A:$A),MATCH(J$1,enemy_skill_triggers!$1:$1,0)-MATCH($F$1,enemy_skill_triggers!$1:$1,0)+1),MATCH(J$1,enemy_skill_triggers!$1:$1,0)-MATCH($F$1,enemy_skill_triggers!$1:$1,0)+1,FALSE)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6" s="42" t="str">
        <f ca="1">VLOOKUP($F316,OFFSET(enemy_skill_triggers!$A$1,0,0,COUNTA(enemy_skill_triggers!$A:$A),MATCH(K$1,enemy_skill_triggers!$1:$1,0)-MATCH($F$1,enemy_skill_triggers!$1:$1,0)+1),MATCH(K$1,enemy_skill_triggers!$1:$1,0)-MATCH($F$1,enemy_skill_triggers!$1:$1,0)+1,FALSE)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6" s="42">
        <f ca="1">VLOOKUP($F316,OFFSET(enemy_skill_triggers!$A$1,0,0,COUNTA(enemy_skill_triggers!$A:$A),MATCH(L$1,enemy_skill_triggers!$1:$1,0)-MATCH($F$1,enemy_skill_triggers!$1:$1,0)+1),MATCH(L$1,enemy_skill_triggers!$1:$1,0)-MATCH($F$1,enemy_skill_triggers!$1:$1,0)+1,FALSE)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6" s="42" t="str">
        <f ca="1">VLOOKUP($F316,OFFSET(enemy_skill_triggers!$A$1,0,0,COUNTA(enemy_skill_triggers!$A:$A),MATCH(M$1,enemy_skill_triggers!$1:$1,0)-MATCH($F$1,enemy_skill_triggers!$1:$1,0)+1),MATCH(M$1,enemy_skill_triggers!$1:$1,0)-MATCH($F$1,enemy_skill_triggers!$1:$1,0)+1,FALSE)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6" s="42">
        <f ca="1">VLOOKUP($F316,OFFSET(enemy_skill_triggers!$A$1,0,0,COUNTA(enemy_skill_triggers!$A:$A),MATCH(N$1,enemy_skill_triggers!$1:$1,0)-MATCH($F$1,enemy_skill_triggers!$1:$1,0)+1),MATCH(N$1,enemy_skill_triggers!$1:$1,0)-MATCH($F$1,enemy_skill_triggers!$1:$1,0)+1,FALSE)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316" s="42">
        <f ca="1">VLOOKUP($F316,OFFSET(enemy_skill_triggers!$A$1,0,0,COUNTA(enemy_skill_triggers!$A:$A),MATCH(O$1,enemy_skill_triggers!$1:$1,0)-MATCH($F$1,enemy_skill_triggers!$1:$1,0)+1),MATCH(O$1,enemy_skill_triggers!$1:$1,0)-MATCH($F$1,enemy_skill_triggers!$1:$1,0)+1,FALSE)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6" s="41"/>
      <c r="Q316" s="41"/>
      <c r="R316" s="41" t="s">
        <v>353</v>
      </c>
    </row>
    <row r="317" spans="1:18" ht="21" customHeight="1" x14ac:dyDescent="0.15">
      <c r="A317" s="33" t="str">
        <f t="shared" si="15"/>
        <v>39008013_39008033</v>
      </c>
      <c r="B317" s="110">
        <v>39008013</v>
      </c>
      <c r="C317" s="119">
        <v>39008033</v>
      </c>
      <c r="D317" s="40" t="str">
        <f ca="1">VLOOKUP($C317,OFFSET(enemy_skills!$A$1,0,0,COUNTA(enemy_skills!$A:$A),MATCH(D$1,enemy_skills!$1:$1,0)-MATCH("enemy_skill_id",enemy_skills!$1:$1,0)+1),MATCH(D$1,enemy_skills!$1:$1,0)-MATCH("enemy_skill_id",enemy_skills!$1:$1,0)+1,FALSE)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17" s="40" t="str">
        <f ca="1">VLOOKUP($C317,OFFSET(enemy_skills!$A$1,0,0,COUNTA(enemy_skills!$A:$A),MATCH(E$1,enemy_skills!$1:$1,0)-MATCH("enemy_skill_id",enemy_skills!$1:$1,0)+1),MATCH(E$1,enemy_skills!$1:$1,0)-MATCH("enemy_skill_id",enemy_skills!$1:$1,0)+1,FALSE)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317" s="122">
        <v>39008110</v>
      </c>
      <c r="G317" s="42">
        <f ca="1">VLOOKUP($F317,OFFSET(enemy_skill_triggers!$A$1,0,0,COUNTA(enemy_skill_triggers!$A:$A),MATCH(G$1,enemy_skill_triggers!$1:$1,0)-MATCH($F$1,enemy_skill_triggers!$1:$1,0)+1),MATCH(G$1,enemy_skill_triggers!$1:$1,0)-MATCH($F$1,enemy_skill_triggers!$1:$1,0)+1,FALSE)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7" s="42">
        <f ca="1">VLOOKUP($F317,OFFSET(enemy_skill_triggers!$A$1,0,0,COUNTA(enemy_skill_triggers!$A:$A),MATCH(H$1,enemy_skill_triggers!$1:$1,0)-MATCH($F$1,enemy_skill_triggers!$1:$1,0)+1),MATCH(H$1,enemy_skill_triggers!$1:$1,0)-MATCH($F$1,enemy_skill_triggers!$1:$1,0)+1,FALSE)</f>
        <v>921</v>
      </c>
      <c r="I317" s="42">
        <f ca="1">VLOOKUP($F317,OFFSET(enemy_skill_triggers!$A$1,0,0,COUNTA(enemy_skill_triggers!$A:$A),MATCH(I$1,enemy_skill_triggers!$1:$1,0)-MATCH($F$1,enemy_skill_triggers!$1:$1,0)+1),MATCH(I$1,enemy_skill_triggers!$1:$1,0)-MATCH($F$1,enemy_skill_triggers!$1:$1,0)+1,FALSE)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7" s="42" t="str">
        <f ca="1">VLOOKUP($F317,OFFSET(enemy_skill_triggers!$A$1,0,0,COUNTA(enemy_skill_triggers!$A:$A),MATCH(J$1,enemy_skill_triggers!$1:$1,0)-MATCH($F$1,enemy_skill_triggers!$1:$1,0)+1),MATCH(J$1,enemy_skill_triggers!$1:$1,0)-MATCH($F$1,enemy_skill_triggers!$1:$1,0)+1,FALSE)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7" s="42" t="str">
        <f ca="1">VLOOKUP($F317,OFFSET(enemy_skill_triggers!$A$1,0,0,COUNTA(enemy_skill_triggers!$A:$A),MATCH(K$1,enemy_skill_triggers!$1:$1,0)-MATCH($F$1,enemy_skill_triggers!$1:$1,0)+1),MATCH(K$1,enemy_skill_triggers!$1:$1,0)-MATCH($F$1,enemy_skill_triggers!$1:$1,0)+1,FALSE)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7" s="42">
        <f ca="1">VLOOKUP($F317,OFFSET(enemy_skill_triggers!$A$1,0,0,COUNTA(enemy_skill_triggers!$A:$A),MATCH(L$1,enemy_skill_triggers!$1:$1,0)-MATCH($F$1,enemy_skill_triggers!$1:$1,0)+1),MATCH(L$1,enemy_skill_triggers!$1:$1,0)-MATCH($F$1,enemy_skill_triggers!$1:$1,0)+1,FALSE)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7" s="42" t="str">
        <f ca="1">VLOOKUP($F317,OFFSET(enemy_skill_triggers!$A$1,0,0,COUNTA(enemy_skill_triggers!$A:$A),MATCH(M$1,enemy_skill_triggers!$1:$1,0)-MATCH($F$1,enemy_skill_triggers!$1:$1,0)+1),MATCH(M$1,enemy_skill_triggers!$1:$1,0)-MATCH($F$1,enemy_skill_triggers!$1:$1,0)+1,FALSE)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7" s="42">
        <f ca="1">VLOOKUP($F317,OFFSET(enemy_skill_triggers!$A$1,0,0,COUNTA(enemy_skill_triggers!$A:$A),MATCH(N$1,enemy_skill_triggers!$1:$1,0)-MATCH($F$1,enemy_skill_triggers!$1:$1,0)+1),MATCH(N$1,enemy_skill_triggers!$1:$1,0)-MATCH($F$1,enemy_skill_triggers!$1:$1,0)+1,FALSE)</f>
        <v>556</v>
      </c>
      <c r="O317" s="42">
        <f ca="1">VLOOKUP($F317,OFFSET(enemy_skill_triggers!$A$1,0,0,COUNTA(enemy_skill_triggers!$A:$A),MATCH(O$1,enemy_skill_triggers!$1:$1,0)-MATCH($F$1,enemy_skill_triggers!$1:$1,0)+1),MATCH(O$1,enemy_skill_triggers!$1:$1,0)-MATCH($F$1,enemy_skill_triggers!$1:$1,0)+1,FALSE)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7" s="41"/>
      <c r="Q317" s="41"/>
      <c r="R317" s="41" t="s">
        <v>354</v>
      </c>
    </row>
    <row r="318" spans="1:18" ht="21" customHeight="1" x14ac:dyDescent="0.15">
      <c r="A318" s="33" t="str">
        <f t="shared" si="15"/>
        <v>39008013_39008035</v>
      </c>
      <c r="B318" s="110">
        <v>39008013</v>
      </c>
      <c r="C318" s="119">
        <v>39008035</v>
      </c>
      <c r="D318" s="40" t="str">
        <f ca="1">VLOOKUP($C318,OFFSET(enemy_skills!$A$1,0,0,COUNTA(enemy_skills!$A:$A),MATCH(D$1,enemy_skills!$1:$1,0)-MATCH("enemy_skill_id",enemy_skills!$1:$1,0)+1),MATCH(D$1,enemy_skills!$1:$1,0)-MATCH("enemy_skill_id",enemy_skills!$1:$1,0)+1,FALSE)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18" s="40" t="str">
        <f ca="1">VLOOKUP($C318,OFFSET(enemy_skills!$A$1,0,0,COUNTA(enemy_skills!$A:$A),MATCH(E$1,enemy_skills!$1:$1,0)-MATCH("enemy_skill_id",enemy_skills!$1:$1,0)+1),MATCH(E$1,enemy_skills!$1:$1,0)-MATCH("enemy_skill_id",enemy_skills!$1:$1,0)+1,FALSE)</f>
        <v>そっか！リンちゃんが助けてくれたんだね！ありがとうっ！</v>
      </c>
      <c r="F318" s="122">
        <v>39008111</v>
      </c>
      <c r="G318" s="42">
        <f ca="1">VLOOKUP($F318,OFFSET(enemy_skill_triggers!$A$1,0,0,COUNTA(enemy_skill_triggers!$A:$A),MATCH(G$1,enemy_skill_triggers!$1:$1,0)-MATCH($F$1,enemy_skill_triggers!$1:$1,0)+1),MATCH(G$1,enemy_skill_triggers!$1:$1,0)-MATCH($F$1,enemy_skill_triggers!$1:$1,0)+1,FALSE)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8" s="42">
        <f ca="1">VLOOKUP($F318,OFFSET(enemy_skill_triggers!$A$1,0,0,COUNTA(enemy_skill_triggers!$A:$A),MATCH(H$1,enemy_skill_triggers!$1:$1,0)-MATCH($F$1,enemy_skill_triggers!$1:$1,0)+1),MATCH(H$1,enemy_skill_triggers!$1:$1,0)-MATCH($F$1,enemy_skill_triggers!$1:$1,0)+1,FALSE)</f>
        <v>920</v>
      </c>
      <c r="I318" s="42">
        <f ca="1">VLOOKUP($F318,OFFSET(enemy_skill_triggers!$A$1,0,0,COUNTA(enemy_skill_triggers!$A:$A),MATCH(I$1,enemy_skill_triggers!$1:$1,0)-MATCH($F$1,enemy_skill_triggers!$1:$1,0)+1),MATCH(I$1,enemy_skill_triggers!$1:$1,0)-MATCH($F$1,enemy_skill_triggers!$1:$1,0)+1,FALSE)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8" s="42" t="str">
        <f ca="1">VLOOKUP($F318,OFFSET(enemy_skill_triggers!$A$1,0,0,COUNTA(enemy_skill_triggers!$A:$A),MATCH(J$1,enemy_skill_triggers!$1:$1,0)-MATCH($F$1,enemy_skill_triggers!$1:$1,0)+1),MATCH(J$1,enemy_skill_triggers!$1:$1,0)-MATCH($F$1,enemy_skill_triggers!$1:$1,0)+1,FALSE)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8" s="42" t="str">
        <f ca="1">VLOOKUP($F318,OFFSET(enemy_skill_triggers!$A$1,0,0,COUNTA(enemy_skill_triggers!$A:$A),MATCH(K$1,enemy_skill_triggers!$1:$1,0)-MATCH($F$1,enemy_skill_triggers!$1:$1,0)+1),MATCH(K$1,enemy_skill_triggers!$1:$1,0)-MATCH($F$1,enemy_skill_triggers!$1:$1,0)+1,FALSE)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8" s="42">
        <f ca="1">VLOOKUP($F318,OFFSET(enemy_skill_triggers!$A$1,0,0,COUNTA(enemy_skill_triggers!$A:$A),MATCH(L$1,enemy_skill_triggers!$1:$1,0)-MATCH($F$1,enemy_skill_triggers!$1:$1,0)+1),MATCH(L$1,enemy_skill_triggers!$1:$1,0)-MATCH($F$1,enemy_skill_triggers!$1:$1,0)+1,FALSE)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8" s="42" t="str">
        <f ca="1">VLOOKUP($F318,OFFSET(enemy_skill_triggers!$A$1,0,0,COUNTA(enemy_skill_triggers!$A:$A),MATCH(M$1,enemy_skill_triggers!$1:$1,0)-MATCH($F$1,enemy_skill_triggers!$1:$1,0)+1),MATCH(M$1,enemy_skill_triggers!$1:$1,0)-MATCH($F$1,enemy_skill_triggers!$1:$1,0)+1,FALSE)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8" s="42">
        <f ca="1">VLOOKUP($F318,OFFSET(enemy_skill_triggers!$A$1,0,0,COUNTA(enemy_skill_triggers!$A:$A),MATCH(N$1,enemy_skill_triggers!$1:$1,0)-MATCH($F$1,enemy_skill_triggers!$1:$1,0)+1),MATCH(N$1,enemy_skill_triggers!$1:$1,0)-MATCH($F$1,enemy_skill_triggers!$1:$1,0)+1,FALSE)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318" s="42">
        <f ca="1">VLOOKUP($F318,OFFSET(enemy_skill_triggers!$A$1,0,0,COUNTA(enemy_skill_triggers!$A:$A),MATCH(O$1,enemy_skill_triggers!$1:$1,0)-MATCH($F$1,enemy_skill_triggers!$1:$1,0)+1),MATCH(O$1,enemy_skill_triggers!$1:$1,0)-MATCH($F$1,enemy_skill_triggers!$1:$1,0)+1,FALSE)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8" s="41"/>
      <c r="Q318" s="41"/>
      <c r="R318" s="41" t="s">
        <v>355</v>
      </c>
    </row>
    <row r="319" spans="1:18" ht="21" customHeight="1" x14ac:dyDescent="0.15">
      <c r="A319" s="33" t="str">
        <f t="shared" si="15"/>
        <v>39008013_39008035</v>
      </c>
      <c r="B319" s="110">
        <v>39008013</v>
      </c>
      <c r="C319" s="119">
        <v>39008035</v>
      </c>
      <c r="D319" s="40" t="str">
        <f ca="1">VLOOKUP($C319,OFFSET(enemy_skills!$A$1,0,0,COUNTA(enemy_skills!$A:$A),MATCH(D$1,enemy_skills!$1:$1,0)-MATCH("enemy_skill_id",enemy_skills!$1:$1,0)+1),MATCH(D$1,enemy_skills!$1:$1,0)-MATCH("enemy_skill_id",enemy_skills!$1:$1,0)+1,FALSE)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19" s="40" t="str">
        <f ca="1">VLOOKUP($C319,OFFSET(enemy_skills!$A$1,0,0,COUNTA(enemy_skills!$A:$A),MATCH(E$1,enemy_skills!$1:$1,0)-MATCH("enemy_skill_id",enemy_skills!$1:$1,0)+1),MATCH(E$1,enemy_skills!$1:$1,0)-MATCH("enemy_skill_id",enemy_skills!$1:$1,0)+1,FALSE)</f>
        <v>そっか！リンちゃんが助けてくれたんだね！ありがとうっ！</v>
      </c>
      <c r="F319" s="122">
        <v>39008112</v>
      </c>
      <c r="G319" s="42">
        <f ca="1">VLOOKUP($F319,OFFSET(enemy_skill_triggers!$A$1,0,0,COUNTA(enemy_skill_triggers!$A:$A),MATCH(G$1,enemy_skill_triggers!$1:$1,0)-MATCH($F$1,enemy_skill_triggers!$1:$1,0)+1),MATCH(G$1,enemy_skill_triggers!$1:$1,0)-MATCH($F$1,enemy_skill_triggers!$1:$1,0)+1,FALSE)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9" s="42">
        <f ca="1">VLOOKUP($F319,OFFSET(enemy_skill_triggers!$A$1,0,0,COUNTA(enemy_skill_triggers!$A:$A),MATCH(H$1,enemy_skill_triggers!$1:$1,0)-MATCH($F$1,enemy_skill_triggers!$1:$1,0)+1),MATCH(H$1,enemy_skill_triggers!$1:$1,0)-MATCH($F$1,enemy_skill_triggers!$1:$1,0)+1,FALSE)</f>
        <v>919</v>
      </c>
      <c r="I319" s="42">
        <f ca="1">VLOOKUP($F319,OFFSET(enemy_skill_triggers!$A$1,0,0,COUNTA(enemy_skill_triggers!$A:$A),MATCH(I$1,enemy_skill_triggers!$1:$1,0)-MATCH($F$1,enemy_skill_triggers!$1:$1,0)+1),MATCH(I$1,enemy_skill_triggers!$1:$1,0)-MATCH($F$1,enemy_skill_triggers!$1:$1,0)+1,FALSE)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9" s="42" t="str">
        <f ca="1">VLOOKUP($F319,OFFSET(enemy_skill_triggers!$A$1,0,0,COUNTA(enemy_skill_triggers!$A:$A),MATCH(J$1,enemy_skill_triggers!$1:$1,0)-MATCH($F$1,enemy_skill_triggers!$1:$1,0)+1),MATCH(J$1,enemy_skill_triggers!$1:$1,0)-MATCH($F$1,enemy_skill_triggers!$1:$1,0)+1,FALSE)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9" s="42" t="str">
        <f ca="1">VLOOKUP($F319,OFFSET(enemy_skill_triggers!$A$1,0,0,COUNTA(enemy_skill_triggers!$A:$A),MATCH(K$1,enemy_skill_triggers!$1:$1,0)-MATCH($F$1,enemy_skill_triggers!$1:$1,0)+1),MATCH(K$1,enemy_skill_triggers!$1:$1,0)-MATCH($F$1,enemy_skill_triggers!$1:$1,0)+1,FALSE)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9" s="42">
        <f ca="1">VLOOKUP($F319,OFFSET(enemy_skill_triggers!$A$1,0,0,COUNTA(enemy_skill_triggers!$A:$A),MATCH(L$1,enemy_skill_triggers!$1:$1,0)-MATCH($F$1,enemy_skill_triggers!$1:$1,0)+1),MATCH(L$1,enemy_skill_triggers!$1:$1,0)-MATCH($F$1,enemy_skill_triggers!$1:$1,0)+1,FALSE)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9" s="42" t="str">
        <f ca="1">VLOOKUP($F319,OFFSET(enemy_skill_triggers!$A$1,0,0,COUNTA(enemy_skill_triggers!$A:$A),MATCH(M$1,enemy_skill_triggers!$1:$1,0)-MATCH($F$1,enemy_skill_triggers!$1:$1,0)+1),MATCH(M$1,enemy_skill_triggers!$1:$1,0)-MATCH($F$1,enemy_skill_triggers!$1:$1,0)+1,FALSE)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9" s="42">
        <f ca="1">VLOOKUP($F319,OFFSET(enemy_skill_triggers!$A$1,0,0,COUNTA(enemy_skill_triggers!$A:$A),MATCH(N$1,enemy_skill_triggers!$1:$1,0)-MATCH($F$1,enemy_skill_triggers!$1:$1,0)+1),MATCH(N$1,enemy_skill_triggers!$1:$1,0)-MATCH($F$1,enemy_skill_triggers!$1:$1,0)+1,FALSE)</f>
        <v>544</v>
      </c>
      <c r="O319" s="42">
        <f ca="1">VLOOKUP($F319,OFFSET(enemy_skill_triggers!$A$1,0,0,COUNTA(enemy_skill_triggers!$A:$A),MATCH(O$1,enemy_skill_triggers!$1:$1,0)-MATCH($F$1,enemy_skill_triggers!$1:$1,0)+1),MATCH(O$1,enemy_skill_triggers!$1:$1,0)-MATCH($F$1,enemy_skill_triggers!$1:$1,0)+1,FALSE)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9" s="41"/>
      <c r="Q319" s="41"/>
      <c r="R319" s="41" t="s">
        <v>355</v>
      </c>
    </row>
    <row r="320" spans="1:18" ht="21" customHeight="1" x14ac:dyDescent="0.15">
      <c r="A320" s="33" t="str">
        <f t="shared" si="15"/>
        <v>39008013_39008035</v>
      </c>
      <c r="B320" s="110">
        <v>39008013</v>
      </c>
      <c r="C320" s="119">
        <v>39008035</v>
      </c>
      <c r="D320" s="40" t="str">
        <f ca="1">VLOOKUP($C320,OFFSET(enemy_skills!$A$1,0,0,COUNTA(enemy_skills!$A:$A),MATCH(D$1,enemy_skills!$1:$1,0)-MATCH("enemy_skill_id",enemy_skills!$1:$1,0)+1),MATCH(D$1,enemy_skills!$1:$1,0)-MATCH("enemy_skill_id",enemy_skills!$1:$1,0)+1,FALSE)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20" s="40" t="str">
        <f ca="1">VLOOKUP($C320,OFFSET(enemy_skills!$A$1,0,0,COUNTA(enemy_skills!$A:$A),MATCH(E$1,enemy_skills!$1:$1,0)-MATCH("enemy_skill_id",enemy_skills!$1:$1,0)+1),MATCH(E$1,enemy_skills!$1:$1,0)-MATCH("enemy_skill_id",enemy_skills!$1:$1,0)+1,FALSE)</f>
        <v>そっか！リンちゃんが助けてくれたんだね！ありがとうっ！</v>
      </c>
      <c r="F320" s="122">
        <v>39008113</v>
      </c>
      <c r="G320" s="42">
        <f ca="1">VLOOKUP($F320,OFFSET(enemy_skill_triggers!$A$1,0,0,COUNTA(enemy_skill_triggers!$A:$A),MATCH(G$1,enemy_skill_triggers!$1:$1,0)-MATCH($F$1,enemy_skill_triggers!$1:$1,0)+1),MATCH(G$1,enemy_skill_triggers!$1:$1,0)-MATCH($F$1,enemy_skill_triggers!$1:$1,0)+1,FALSE)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0" s="42">
        <f ca="1">VLOOKUP($F320,OFFSET(enemy_skill_triggers!$A$1,0,0,COUNTA(enemy_skill_triggers!$A:$A),MATCH(H$1,enemy_skill_triggers!$1:$1,0)-MATCH($F$1,enemy_skill_triggers!$1:$1,0)+1),MATCH(H$1,enemy_skill_triggers!$1:$1,0)-MATCH($F$1,enemy_skill_triggers!$1:$1,0)+1,FALSE)</f>
        <v>918</v>
      </c>
      <c r="I320" s="42">
        <f ca="1">VLOOKUP($F320,OFFSET(enemy_skill_triggers!$A$1,0,0,COUNTA(enemy_skill_triggers!$A:$A),MATCH(I$1,enemy_skill_triggers!$1:$1,0)-MATCH($F$1,enemy_skill_triggers!$1:$1,0)+1),MATCH(I$1,enemy_skill_triggers!$1:$1,0)-MATCH($F$1,enemy_skill_triggers!$1:$1,0)+1,FALSE)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0" s="42" t="str">
        <f ca="1">VLOOKUP($F320,OFFSET(enemy_skill_triggers!$A$1,0,0,COUNTA(enemy_skill_triggers!$A:$A),MATCH(J$1,enemy_skill_triggers!$1:$1,0)-MATCH($F$1,enemy_skill_triggers!$1:$1,0)+1),MATCH(J$1,enemy_skill_triggers!$1:$1,0)-MATCH($F$1,enemy_skill_triggers!$1:$1,0)+1,FALSE)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0" s="42" t="str">
        <f ca="1">VLOOKUP($F320,OFFSET(enemy_skill_triggers!$A$1,0,0,COUNTA(enemy_skill_triggers!$A:$A),MATCH(K$1,enemy_skill_triggers!$1:$1,0)-MATCH($F$1,enemy_skill_triggers!$1:$1,0)+1),MATCH(K$1,enemy_skill_triggers!$1:$1,0)-MATCH($F$1,enemy_skill_triggers!$1:$1,0)+1,FALSE)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0" s="42">
        <f ca="1">VLOOKUP($F320,OFFSET(enemy_skill_triggers!$A$1,0,0,COUNTA(enemy_skill_triggers!$A:$A),MATCH(L$1,enemy_skill_triggers!$1:$1,0)-MATCH($F$1,enemy_skill_triggers!$1:$1,0)+1),MATCH(L$1,enemy_skill_triggers!$1:$1,0)-MATCH($F$1,enemy_skill_triggers!$1:$1,0)+1,FALSE)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20" s="42" t="str">
        <f ca="1">VLOOKUP($F320,OFFSET(enemy_skill_triggers!$A$1,0,0,COUNTA(enemy_skill_triggers!$A:$A),MATCH(M$1,enemy_skill_triggers!$1:$1,0)-MATCH($F$1,enemy_skill_triggers!$1:$1,0)+1),MATCH(M$1,enemy_skill_triggers!$1:$1,0)-MATCH($F$1,enemy_skill_triggers!$1:$1,0)+1,FALSE)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0" s="42">
        <f ca="1">VLOOKUP($F320,OFFSET(enemy_skill_triggers!$A$1,0,0,COUNTA(enemy_skill_triggers!$A:$A),MATCH(N$1,enemy_skill_triggers!$1:$1,0)-MATCH($F$1,enemy_skill_triggers!$1:$1,0)+1),MATCH(N$1,enemy_skill_triggers!$1:$1,0)-MATCH($F$1,enemy_skill_triggers!$1:$1,0)+1,FALSE)</f>
        <v>1311</v>
      </c>
      <c r="O320" s="42">
        <f ca="1">VLOOKUP($F320,OFFSET(enemy_skill_triggers!$A$1,0,0,COUNTA(enemy_skill_triggers!$A:$A),MATCH(O$1,enemy_skill_triggers!$1:$1,0)-MATCH($F$1,enemy_skill_triggers!$1:$1,0)+1),MATCH(O$1,enemy_skill_triggers!$1:$1,0)-MATCH($F$1,enemy_skill_triggers!$1:$1,0)+1,FALSE)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0" s="41"/>
      <c r="Q320" s="41"/>
      <c r="R320" s="41" t="s">
        <v>355</v>
      </c>
    </row>
    <row r="321" spans="1:18" ht="21" customHeight="1" x14ac:dyDescent="0.15">
      <c r="A321" s="33" t="str">
        <f t="shared" si="15"/>
        <v>39008013_39008036</v>
      </c>
      <c r="B321" s="110">
        <v>39008013</v>
      </c>
      <c r="C321" s="119">
        <v>39008036</v>
      </c>
      <c r="D321" s="40" t="str">
        <f ca="1">VLOOKUP($C321,OFFSET(enemy_skills!$A$1,0,0,COUNTA(enemy_skills!$A:$A),MATCH(D$1,enemy_skills!$1:$1,0)-MATCH("enemy_skill_id",enemy_skills!$1:$1,0)+1),MATCH(D$1,enemy_skills!$1:$1,0)-MATCH("enemy_skill_id",enemy_skills!$1:$1,0)+1,FALSE)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21" s="40" t="str">
        <f ca="1">VLOOKUP($C321,OFFSET(enemy_skills!$A$1,0,0,COUNTA(enemy_skills!$A:$A),MATCH(E$1,enemy_skills!$1:$1,0)-MATCH("enemy_skill_id",enemy_skills!$1:$1,0)+1),MATCH(E$1,enemy_skills!$1:$1,0)-MATCH("enemy_skill_id",enemy_skills!$1:$1,0)+1,FALSE)</f>
        <v>そっか！レンきゅんが助けてくれたんだね！ありがとうっ！</v>
      </c>
      <c r="F321" s="122">
        <v>39008114</v>
      </c>
      <c r="G321" s="42">
        <f ca="1">VLOOKUP($F321,OFFSET(enemy_skill_triggers!$A$1,0,0,COUNTA(enemy_skill_triggers!$A:$A),MATCH(G$1,enemy_skill_triggers!$1:$1,0)-MATCH($F$1,enemy_skill_triggers!$1:$1,0)+1),MATCH(G$1,enemy_skill_triggers!$1:$1,0)-MATCH($F$1,enemy_skill_triggers!$1:$1,0)+1,FALSE)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1" s="42">
        <f ca="1">VLOOKUP($F321,OFFSET(enemy_skill_triggers!$A$1,0,0,COUNTA(enemy_skill_triggers!$A:$A),MATCH(H$1,enemy_skill_triggers!$1:$1,0)-MATCH($F$1,enemy_skill_triggers!$1:$1,0)+1),MATCH(H$1,enemy_skill_triggers!$1:$1,0)-MATCH($F$1,enemy_skill_triggers!$1:$1,0)+1,FALSE)</f>
        <v>917</v>
      </c>
      <c r="I321" s="42">
        <f ca="1">VLOOKUP($F321,OFFSET(enemy_skill_triggers!$A$1,0,0,COUNTA(enemy_skill_triggers!$A:$A),MATCH(I$1,enemy_skill_triggers!$1:$1,0)-MATCH($F$1,enemy_skill_triggers!$1:$1,0)+1),MATCH(I$1,enemy_skill_triggers!$1:$1,0)-MATCH($F$1,enemy_skill_triggers!$1:$1,0)+1,FALSE)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1" s="42" t="str">
        <f ca="1">VLOOKUP($F321,OFFSET(enemy_skill_triggers!$A$1,0,0,COUNTA(enemy_skill_triggers!$A:$A),MATCH(J$1,enemy_skill_triggers!$1:$1,0)-MATCH($F$1,enemy_skill_triggers!$1:$1,0)+1),MATCH(J$1,enemy_skill_triggers!$1:$1,0)-MATCH($F$1,enemy_skill_triggers!$1:$1,0)+1,FALSE)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1" s="42" t="str">
        <f ca="1">VLOOKUP($F321,OFFSET(enemy_skill_triggers!$A$1,0,0,COUNTA(enemy_skill_triggers!$A:$A),MATCH(K$1,enemy_skill_triggers!$1:$1,0)-MATCH($F$1,enemy_skill_triggers!$1:$1,0)+1),MATCH(K$1,enemy_skill_triggers!$1:$1,0)-MATCH($F$1,enemy_skill_triggers!$1:$1,0)+1,FALSE)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1" s="42">
        <f ca="1">VLOOKUP($F321,OFFSET(enemy_skill_triggers!$A$1,0,0,COUNTA(enemy_skill_triggers!$A:$A),MATCH(L$1,enemy_skill_triggers!$1:$1,0)-MATCH($F$1,enemy_skill_triggers!$1:$1,0)+1),MATCH(L$1,enemy_skill_triggers!$1:$1,0)-MATCH($F$1,enemy_skill_triggers!$1:$1,0)+1,FALSE)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21" s="42" t="str">
        <f ca="1">VLOOKUP($F321,OFFSET(enemy_skill_triggers!$A$1,0,0,COUNTA(enemy_skill_triggers!$A:$A),MATCH(M$1,enemy_skill_triggers!$1:$1,0)-MATCH($F$1,enemy_skill_triggers!$1:$1,0)+1),MATCH(M$1,enemy_skill_triggers!$1:$1,0)-MATCH($F$1,enemy_skill_triggers!$1:$1,0)+1,FALSE)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1" s="42">
        <f ca="1">VLOOKUP($F321,OFFSET(enemy_skill_triggers!$A$1,0,0,COUNTA(enemy_skill_triggers!$A:$A),MATCH(N$1,enemy_skill_triggers!$1:$1,0)-MATCH($F$1,enemy_skill_triggers!$1:$1,0)+1),MATCH(N$1,enemy_skill_triggers!$1:$1,0)-MATCH($F$1,enemy_skill_triggers!$1:$1,0)+1,FALSE)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321" s="42">
        <f ca="1">VLOOKUP($F321,OFFSET(enemy_skill_triggers!$A$1,0,0,COUNTA(enemy_skill_triggers!$A:$A),MATCH(O$1,enemy_skill_triggers!$1:$1,0)-MATCH($F$1,enemy_skill_triggers!$1:$1,0)+1),MATCH(O$1,enemy_skill_triggers!$1:$1,0)-MATCH($F$1,enemy_skill_triggers!$1:$1,0)+1,FALSE)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1" s="41"/>
      <c r="Q321" s="41"/>
      <c r="R321" s="41" t="s">
        <v>358</v>
      </c>
    </row>
    <row r="322" spans="1:18" ht="21" customHeight="1" x14ac:dyDescent="0.15">
      <c r="A322" s="33" t="str">
        <f t="shared" si="15"/>
        <v>39008013_39008036</v>
      </c>
      <c r="B322" s="110">
        <v>39008013</v>
      </c>
      <c r="C322" s="119">
        <v>39008036</v>
      </c>
      <c r="D322" s="40" t="str">
        <f ca="1">VLOOKUP($C322,OFFSET(enemy_skills!$A$1,0,0,COUNTA(enemy_skills!$A:$A),MATCH(D$1,enemy_skills!$1:$1,0)-MATCH("enemy_skill_id",enemy_skills!$1:$1,0)+1),MATCH(D$1,enemy_skills!$1:$1,0)-MATCH("enemy_skill_id",enemy_skills!$1:$1,0)+1,FALSE)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22" s="40" t="str">
        <f ca="1">VLOOKUP($C322,OFFSET(enemy_skills!$A$1,0,0,COUNTA(enemy_skills!$A:$A),MATCH(E$1,enemy_skills!$1:$1,0)-MATCH("enemy_skill_id",enemy_skills!$1:$1,0)+1),MATCH(E$1,enemy_skills!$1:$1,0)-MATCH("enemy_skill_id",enemy_skills!$1:$1,0)+1,FALSE)</f>
        <v>そっか！レンきゅんが助けてくれたんだね！ありがとうっ！</v>
      </c>
      <c r="F322" s="122">
        <v>39008115</v>
      </c>
      <c r="G322" s="42">
        <f ca="1">VLOOKUP($F322,OFFSET(enemy_skill_triggers!$A$1,0,0,COUNTA(enemy_skill_triggers!$A:$A),MATCH(G$1,enemy_skill_triggers!$1:$1,0)-MATCH($F$1,enemy_skill_triggers!$1:$1,0)+1),MATCH(G$1,enemy_skill_triggers!$1:$1,0)-MATCH($F$1,enemy_skill_triggers!$1:$1,0)+1,FALSE)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2" s="42">
        <f ca="1">VLOOKUP($F322,OFFSET(enemy_skill_triggers!$A$1,0,0,COUNTA(enemy_skill_triggers!$A:$A),MATCH(H$1,enemy_skill_triggers!$1:$1,0)-MATCH($F$1,enemy_skill_triggers!$1:$1,0)+1),MATCH(H$1,enemy_skill_triggers!$1:$1,0)-MATCH($F$1,enemy_skill_triggers!$1:$1,0)+1,FALSE)</f>
        <v>916</v>
      </c>
      <c r="I322" s="42">
        <f ca="1">VLOOKUP($F322,OFFSET(enemy_skill_triggers!$A$1,0,0,COUNTA(enemy_skill_triggers!$A:$A),MATCH(I$1,enemy_skill_triggers!$1:$1,0)-MATCH($F$1,enemy_skill_triggers!$1:$1,0)+1),MATCH(I$1,enemy_skill_triggers!$1:$1,0)-MATCH($F$1,enemy_skill_triggers!$1:$1,0)+1,FALSE)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2" s="42" t="str">
        <f ca="1">VLOOKUP($F322,OFFSET(enemy_skill_triggers!$A$1,0,0,COUNTA(enemy_skill_triggers!$A:$A),MATCH(J$1,enemy_skill_triggers!$1:$1,0)-MATCH($F$1,enemy_skill_triggers!$1:$1,0)+1),MATCH(J$1,enemy_skill_triggers!$1:$1,0)-MATCH($F$1,enemy_skill_triggers!$1:$1,0)+1,FALSE)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2" s="42" t="str">
        <f ca="1">VLOOKUP($F322,OFFSET(enemy_skill_triggers!$A$1,0,0,COUNTA(enemy_skill_triggers!$A:$A),MATCH(K$1,enemy_skill_triggers!$1:$1,0)-MATCH($F$1,enemy_skill_triggers!$1:$1,0)+1),MATCH(K$1,enemy_skill_triggers!$1:$1,0)-MATCH($F$1,enemy_skill_triggers!$1:$1,0)+1,FALSE)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2" s="42">
        <f ca="1">VLOOKUP($F322,OFFSET(enemy_skill_triggers!$A$1,0,0,COUNTA(enemy_skill_triggers!$A:$A),MATCH(L$1,enemy_skill_triggers!$1:$1,0)-MATCH($F$1,enemy_skill_triggers!$1:$1,0)+1),MATCH(L$1,enemy_skill_triggers!$1:$1,0)-MATCH($F$1,enemy_skill_triggers!$1:$1,0)+1,FALSE)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22" s="42" t="str">
        <f ca="1">VLOOKUP($F322,OFFSET(enemy_skill_triggers!$A$1,0,0,COUNTA(enemy_skill_triggers!$A:$A),MATCH(M$1,enemy_skill_triggers!$1:$1,0)-MATCH($F$1,enemy_skill_triggers!$1:$1,0)+1),MATCH(M$1,enemy_skill_triggers!$1:$1,0)-MATCH($F$1,enemy_skill_triggers!$1:$1,0)+1,FALSE)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2" s="42">
        <f ca="1">VLOOKUP($F322,OFFSET(enemy_skill_triggers!$A$1,0,0,COUNTA(enemy_skill_triggers!$A:$A),MATCH(N$1,enemy_skill_triggers!$1:$1,0)-MATCH($F$1,enemy_skill_triggers!$1:$1,0)+1),MATCH(N$1,enemy_skill_triggers!$1:$1,0)-MATCH($F$1,enemy_skill_triggers!$1:$1,0)+1,FALSE)</f>
        <v>546</v>
      </c>
      <c r="O322" s="42">
        <f ca="1">VLOOKUP($F322,OFFSET(enemy_skill_triggers!$A$1,0,0,COUNTA(enemy_skill_triggers!$A:$A),MATCH(O$1,enemy_skill_triggers!$1:$1,0)-MATCH($F$1,enemy_skill_triggers!$1:$1,0)+1),MATCH(O$1,enemy_skill_triggers!$1:$1,0)-MATCH($F$1,enemy_skill_triggers!$1:$1,0)+1,FALSE)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2" s="41"/>
      <c r="Q322" s="41"/>
      <c r="R322" s="41" t="s">
        <v>358</v>
      </c>
    </row>
    <row r="323" spans="1:18" ht="21" customHeight="1" x14ac:dyDescent="0.15">
      <c r="A323" s="33" t="str">
        <f t="shared" si="15"/>
        <v>39008013_39008036</v>
      </c>
      <c r="B323" s="110">
        <v>39008013</v>
      </c>
      <c r="C323" s="119">
        <v>39008036</v>
      </c>
      <c r="D323" s="40" t="str">
        <f ca="1">VLOOKUP($C323,OFFSET(enemy_skills!$A$1,0,0,COUNTA(enemy_skills!$A:$A),MATCH(D$1,enemy_skills!$1:$1,0)-MATCH("enemy_skill_id",enemy_skills!$1:$1,0)+1),MATCH(D$1,enemy_skills!$1:$1,0)-MATCH("enemy_skill_id",enemy_skills!$1:$1,0)+1,FALSE)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23" s="40" t="str">
        <f ca="1">VLOOKUP($C323,OFFSET(enemy_skills!$A$1,0,0,COUNTA(enemy_skills!$A:$A),MATCH(E$1,enemy_skills!$1:$1,0)-MATCH("enemy_skill_id",enemy_skills!$1:$1,0)+1),MATCH(E$1,enemy_skills!$1:$1,0)-MATCH("enemy_skill_id",enemy_skills!$1:$1,0)+1,FALSE)</f>
        <v>そっか！レンきゅんが助けてくれたんだね！ありがとうっ！</v>
      </c>
      <c r="F323" s="122">
        <v>39008116</v>
      </c>
      <c r="G323" s="42">
        <f ca="1">VLOOKUP($F323,OFFSET(enemy_skill_triggers!$A$1,0,0,COUNTA(enemy_skill_triggers!$A:$A),MATCH(G$1,enemy_skill_triggers!$1:$1,0)-MATCH($F$1,enemy_skill_triggers!$1:$1,0)+1),MATCH(G$1,enemy_skill_triggers!$1:$1,0)-MATCH($F$1,enemy_skill_triggers!$1:$1,0)+1,FALSE)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3" s="42">
        <f ca="1">VLOOKUP($F323,OFFSET(enemy_skill_triggers!$A$1,0,0,COUNTA(enemy_skill_triggers!$A:$A),MATCH(H$1,enemy_skill_triggers!$1:$1,0)-MATCH($F$1,enemy_skill_triggers!$1:$1,0)+1),MATCH(H$1,enemy_skill_triggers!$1:$1,0)-MATCH($F$1,enemy_skill_triggers!$1:$1,0)+1,FALSE)</f>
        <v>915</v>
      </c>
      <c r="I323" s="42">
        <f ca="1">VLOOKUP($F323,OFFSET(enemy_skill_triggers!$A$1,0,0,COUNTA(enemy_skill_triggers!$A:$A),MATCH(I$1,enemy_skill_triggers!$1:$1,0)-MATCH($F$1,enemy_skill_triggers!$1:$1,0)+1),MATCH(I$1,enemy_skill_triggers!$1:$1,0)-MATCH($F$1,enemy_skill_triggers!$1:$1,0)+1,FALSE)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3" s="42" t="str">
        <f ca="1">VLOOKUP($F323,OFFSET(enemy_skill_triggers!$A$1,0,0,COUNTA(enemy_skill_triggers!$A:$A),MATCH(J$1,enemy_skill_triggers!$1:$1,0)-MATCH($F$1,enemy_skill_triggers!$1:$1,0)+1),MATCH(J$1,enemy_skill_triggers!$1:$1,0)-MATCH($F$1,enemy_skill_triggers!$1:$1,0)+1,FALSE)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3" s="42" t="str">
        <f ca="1">VLOOKUP($F323,OFFSET(enemy_skill_triggers!$A$1,0,0,COUNTA(enemy_skill_triggers!$A:$A),MATCH(K$1,enemy_skill_triggers!$1:$1,0)-MATCH($F$1,enemy_skill_triggers!$1:$1,0)+1),MATCH(K$1,enemy_skill_triggers!$1:$1,0)-MATCH($F$1,enemy_skill_triggers!$1:$1,0)+1,FALSE)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3" s="42">
        <f ca="1">VLOOKUP($F323,OFFSET(enemy_skill_triggers!$A$1,0,0,COUNTA(enemy_skill_triggers!$A:$A),MATCH(L$1,enemy_skill_triggers!$1:$1,0)-MATCH($F$1,enemy_skill_triggers!$1:$1,0)+1),MATCH(L$1,enemy_skill_triggers!$1:$1,0)-MATCH($F$1,enemy_skill_triggers!$1:$1,0)+1,FALSE)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23" s="42" t="str">
        <f ca="1">VLOOKUP($F323,OFFSET(enemy_skill_triggers!$A$1,0,0,COUNTA(enemy_skill_triggers!$A:$A),MATCH(M$1,enemy_skill_triggers!$1:$1,0)-MATCH($F$1,enemy_skill_triggers!$1:$1,0)+1),MATCH(M$1,enemy_skill_triggers!$1:$1,0)-MATCH($F$1,enemy_skill_triggers!$1:$1,0)+1,FALSE)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3" s="42">
        <f ca="1">VLOOKUP($F323,OFFSET(enemy_skill_triggers!$A$1,0,0,COUNTA(enemy_skill_triggers!$A:$A),MATCH(N$1,enemy_skill_triggers!$1:$1,0)-MATCH($F$1,enemy_skill_triggers!$1:$1,0)+1),MATCH(N$1,enemy_skill_triggers!$1:$1,0)-MATCH($F$1,enemy_skill_triggers!$1:$1,0)+1,FALSE)</f>
        <v>1312</v>
      </c>
      <c r="O323" s="42">
        <f ca="1">VLOOKUP($F323,OFFSET(enemy_skill_triggers!$A$1,0,0,COUNTA(enemy_skill_triggers!$A:$A),MATCH(O$1,enemy_skill_triggers!$1:$1,0)-MATCH($F$1,enemy_skill_triggers!$1:$1,0)+1),MATCH(O$1,enemy_skill_triggers!$1:$1,0)-MATCH($F$1,enemy_skill_triggers!$1:$1,0)+1,FALSE)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3" s="41"/>
      <c r="Q323" s="41"/>
      <c r="R323" s="41" t="s">
        <v>360</v>
      </c>
    </row>
    <row r="324" spans="1:18" ht="21" customHeight="1" x14ac:dyDescent="0.15">
      <c r="A324" s="33" t="str">
        <f t="shared" si="15"/>
        <v>39008013_39008033</v>
      </c>
      <c r="B324" s="110">
        <v>39008013</v>
      </c>
      <c r="C324" s="119">
        <v>39008033</v>
      </c>
      <c r="D324" s="40" t="str">
        <f ca="1">VLOOKUP($C324,OFFSET(enemy_skills!$A$1,0,0,COUNTA(enemy_skills!$A:$A),MATCH(D$1,enemy_skills!$1:$1,0)-MATCH("enemy_skill_id",enemy_skills!$1:$1,0)+1),MATCH(D$1,enemy_skills!$1:$1,0)-MATCH("enemy_skill_id",enemy_skills!$1:$1,0)+1,FALSE)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24" s="40" t="str">
        <f ca="1">VLOOKUP($C324,OFFSET(enemy_skills!$A$1,0,0,COUNTA(enemy_skills!$A:$A),MATCH(E$1,enemy_skills!$1:$1,0)-MATCH("enemy_skill_id",enemy_skills!$1:$1,0)+1),MATCH(E$1,enemy_skills!$1:$1,0)-MATCH("enemy_skill_id",enemy_skills!$1:$1,0)+1,FALSE)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324" s="122">
        <v>39008117</v>
      </c>
      <c r="G324" s="42">
        <f ca="1">VLOOKUP($F324,OFFSET(enemy_skill_triggers!$A$1,0,0,COUNTA(enemy_skill_triggers!$A:$A),MATCH(G$1,enemy_skill_triggers!$1:$1,0)-MATCH($F$1,enemy_skill_triggers!$1:$1,0)+1),MATCH(G$1,enemy_skill_triggers!$1:$1,0)-MATCH($F$1,enemy_skill_triggers!$1:$1,0)+1,FALSE)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4" s="42">
        <f ca="1">VLOOKUP($F324,OFFSET(enemy_skill_triggers!$A$1,0,0,COUNTA(enemy_skill_triggers!$A:$A),MATCH(H$1,enemy_skill_triggers!$1:$1,0)-MATCH($F$1,enemy_skill_triggers!$1:$1,0)+1),MATCH(H$1,enemy_skill_triggers!$1:$1,0)-MATCH($F$1,enemy_skill_triggers!$1:$1,0)+1,FALSE)</f>
        <v>914</v>
      </c>
      <c r="I324" s="42">
        <f ca="1">VLOOKUP($F324,OFFSET(enemy_skill_triggers!$A$1,0,0,COUNTA(enemy_skill_triggers!$A:$A),MATCH(I$1,enemy_skill_triggers!$1:$1,0)-MATCH($F$1,enemy_skill_triggers!$1:$1,0)+1),MATCH(I$1,enemy_skill_triggers!$1:$1,0)-MATCH($F$1,enemy_skill_triggers!$1:$1,0)+1,FALSE)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4" s="42" t="str">
        <f ca="1">VLOOKUP($F324,OFFSET(enemy_skill_triggers!$A$1,0,0,COUNTA(enemy_skill_triggers!$A:$A),MATCH(J$1,enemy_skill_triggers!$1:$1,0)-MATCH($F$1,enemy_skill_triggers!$1:$1,0)+1),MATCH(J$1,enemy_skill_triggers!$1:$1,0)-MATCH($F$1,enemy_skill_triggers!$1:$1,0)+1,FALSE)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4" s="42" t="str">
        <f ca="1">VLOOKUP($F324,OFFSET(enemy_skill_triggers!$A$1,0,0,COUNTA(enemy_skill_triggers!$A:$A),MATCH(K$1,enemy_skill_triggers!$1:$1,0)-MATCH($F$1,enemy_skill_triggers!$1:$1,0)+1),MATCH(K$1,enemy_skill_triggers!$1:$1,0)-MATCH($F$1,enemy_skill_triggers!$1:$1,0)+1,FALSE)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4" s="42">
        <f ca="1">VLOOKUP($F324,OFFSET(enemy_skill_triggers!$A$1,0,0,COUNTA(enemy_skill_triggers!$A:$A),MATCH(L$1,enemy_skill_triggers!$1:$1,0)-MATCH($F$1,enemy_skill_triggers!$1:$1,0)+1),MATCH(L$1,enemy_skill_triggers!$1:$1,0)-MATCH($F$1,enemy_skill_triggers!$1:$1,0)+1,FALSE)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24" s="42" t="str">
        <f ca="1">VLOOKUP($F324,OFFSET(enemy_skill_triggers!$A$1,0,0,COUNTA(enemy_skill_triggers!$A:$A),MATCH(M$1,enemy_skill_triggers!$1:$1,0)-MATCH($F$1,enemy_skill_triggers!$1:$1,0)+1),MATCH(M$1,enemy_skill_triggers!$1:$1,0)-MATCH($F$1,enemy_skill_triggers!$1:$1,0)+1,FALSE)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4" s="42">
        <f ca="1">VLOOKUP($F324,OFFSET(enemy_skill_triggers!$A$1,0,0,COUNTA(enemy_skill_triggers!$A:$A),MATCH(N$1,enemy_skill_triggers!$1:$1,0)-MATCH($F$1,enemy_skill_triggers!$1:$1,0)+1),MATCH(N$1,enemy_skill_triggers!$1:$1,0)-MATCH($F$1,enemy_skill_triggers!$1:$1,0)+1,FALSE)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324" s="42">
        <f ca="1">VLOOKUP($F324,OFFSET(enemy_skill_triggers!$A$1,0,0,COUNTA(enemy_skill_triggers!$A:$A),MATCH(O$1,enemy_skill_triggers!$1:$1,0)-MATCH($F$1,enemy_skill_triggers!$1:$1,0)+1),MATCH(O$1,enemy_skill_triggers!$1:$1,0)-MATCH($F$1,enemy_skill_triggers!$1:$1,0)+1,FALSE)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4" s="41"/>
      <c r="Q324" s="41"/>
      <c r="R324" s="41" t="s">
        <v>340</v>
      </c>
    </row>
    <row r="325" spans="1:18" ht="21" customHeight="1" x14ac:dyDescent="0.15">
      <c r="A325" s="33" t="str">
        <f t="shared" si="15"/>
        <v>39008013_39008033</v>
      </c>
      <c r="B325" s="110">
        <v>39008013</v>
      </c>
      <c r="C325" s="119">
        <v>39008033</v>
      </c>
      <c r="D325" s="40" t="str">
        <f ca="1">VLOOKUP($C325,OFFSET(enemy_skills!$A$1,0,0,COUNTA(enemy_skills!$A:$A),MATCH(D$1,enemy_skills!$1:$1,0)-MATCH("enemy_skill_id",enemy_skills!$1:$1,0)+1),MATCH(D$1,enemy_skills!$1:$1,0)-MATCH("enemy_skill_id",enemy_skills!$1:$1,0)+1,FALSE)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25" s="40" t="str">
        <f ca="1">VLOOKUP($C325,OFFSET(enemy_skills!$A$1,0,0,COUNTA(enemy_skills!$A:$A),MATCH(E$1,enemy_skills!$1:$1,0)-MATCH("enemy_skill_id",enemy_skills!$1:$1,0)+1),MATCH(E$1,enemy_skills!$1:$1,0)-MATCH("enemy_skill_id",enemy_skills!$1:$1,0)+1,FALSE)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325" s="122">
        <v>39008118</v>
      </c>
      <c r="G325" s="42">
        <f ca="1">VLOOKUP($F325,OFFSET(enemy_skill_triggers!$A$1,0,0,COUNTA(enemy_skill_triggers!$A:$A),MATCH(G$1,enemy_skill_triggers!$1:$1,0)-MATCH($F$1,enemy_skill_triggers!$1:$1,0)+1),MATCH(G$1,enemy_skill_triggers!$1:$1,0)-MATCH($F$1,enemy_skill_triggers!$1:$1,0)+1,FALSE)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5" s="42">
        <f ca="1">VLOOKUP($F325,OFFSET(enemy_skill_triggers!$A$1,0,0,COUNTA(enemy_skill_triggers!$A:$A),MATCH(H$1,enemy_skill_triggers!$1:$1,0)-MATCH($F$1,enemy_skill_triggers!$1:$1,0)+1),MATCH(H$1,enemy_skill_triggers!$1:$1,0)-MATCH($F$1,enemy_skill_triggers!$1:$1,0)+1,FALSE)</f>
        <v>913</v>
      </c>
      <c r="I325" s="42">
        <f ca="1">VLOOKUP($F325,OFFSET(enemy_skill_triggers!$A$1,0,0,COUNTA(enemy_skill_triggers!$A:$A),MATCH(I$1,enemy_skill_triggers!$1:$1,0)-MATCH($F$1,enemy_skill_triggers!$1:$1,0)+1),MATCH(I$1,enemy_skill_triggers!$1:$1,0)-MATCH($F$1,enemy_skill_triggers!$1:$1,0)+1,FALSE)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5" s="42" t="str">
        <f ca="1">VLOOKUP($F325,OFFSET(enemy_skill_triggers!$A$1,0,0,COUNTA(enemy_skill_triggers!$A:$A),MATCH(J$1,enemy_skill_triggers!$1:$1,0)-MATCH($F$1,enemy_skill_triggers!$1:$1,0)+1),MATCH(J$1,enemy_skill_triggers!$1:$1,0)-MATCH($F$1,enemy_skill_triggers!$1:$1,0)+1,FALSE)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5" s="42" t="str">
        <f ca="1">VLOOKUP($F325,OFFSET(enemy_skill_triggers!$A$1,0,0,COUNTA(enemy_skill_triggers!$A:$A),MATCH(K$1,enemy_skill_triggers!$1:$1,0)-MATCH($F$1,enemy_skill_triggers!$1:$1,0)+1),MATCH(K$1,enemy_skill_triggers!$1:$1,0)-MATCH($F$1,enemy_skill_triggers!$1:$1,0)+1,FALSE)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5" s="42">
        <f ca="1">VLOOKUP($F325,OFFSET(enemy_skill_triggers!$A$1,0,0,COUNTA(enemy_skill_triggers!$A:$A),MATCH(L$1,enemy_skill_triggers!$1:$1,0)-MATCH($F$1,enemy_skill_triggers!$1:$1,0)+1),MATCH(L$1,enemy_skill_triggers!$1:$1,0)-MATCH($F$1,enemy_skill_triggers!$1:$1,0)+1,FALSE)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25" s="42" t="str">
        <f ca="1">VLOOKUP($F325,OFFSET(enemy_skill_triggers!$A$1,0,0,COUNTA(enemy_skill_triggers!$A:$A),MATCH(M$1,enemy_skill_triggers!$1:$1,0)-MATCH($F$1,enemy_skill_triggers!$1:$1,0)+1),MATCH(M$1,enemy_skill_triggers!$1:$1,0)-MATCH($F$1,enemy_skill_triggers!$1:$1,0)+1,FALSE)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5" s="42">
        <f ca="1">VLOOKUP($F325,OFFSET(enemy_skill_triggers!$A$1,0,0,COUNTA(enemy_skill_triggers!$A:$A),MATCH(N$1,enemy_skill_triggers!$1:$1,0)-MATCH($F$1,enemy_skill_triggers!$1:$1,0)+1),MATCH(N$1,enemy_skill_triggers!$1:$1,0)-MATCH($F$1,enemy_skill_triggers!$1:$1,0)+1,FALSE)</f>
        <v>528</v>
      </c>
      <c r="O325" s="42">
        <f ca="1">VLOOKUP($F325,OFFSET(enemy_skill_triggers!$A$1,0,0,COUNTA(enemy_skill_triggers!$A:$A),MATCH(O$1,enemy_skill_triggers!$1:$1,0)-MATCH($F$1,enemy_skill_triggers!$1:$1,0)+1),MATCH(O$1,enemy_skill_triggers!$1:$1,0)-MATCH($F$1,enemy_skill_triggers!$1:$1,0)+1,FALSE)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5" s="41"/>
      <c r="Q325" s="41"/>
      <c r="R325" s="41" t="s">
        <v>354</v>
      </c>
    </row>
    <row r="326" spans="1:18" ht="21" customHeight="1" x14ac:dyDescent="0.15">
      <c r="A326" s="33" t="str">
        <f t="shared" si="15"/>
        <v>39008013_39008033</v>
      </c>
      <c r="B326" s="110">
        <v>39008013</v>
      </c>
      <c r="C326" s="119">
        <v>39008033</v>
      </c>
      <c r="D326" s="40" t="str">
        <f ca="1">VLOOKUP($C326,OFFSET(enemy_skills!$A$1,0,0,COUNTA(enemy_skills!$A:$A),MATCH(D$1,enemy_skills!$1:$1,0)-MATCH("enemy_skill_id",enemy_skills!$1:$1,0)+1),MATCH(D$1,enemy_skills!$1:$1,0)-MATCH("enemy_skill_id",enemy_skills!$1:$1,0)+1,FALSE)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26" s="40" t="str">
        <f ca="1">VLOOKUP($C326,OFFSET(enemy_skills!$A$1,0,0,COUNTA(enemy_skills!$A:$A),MATCH(E$1,enemy_skills!$1:$1,0)-MATCH("enemy_skill_id",enemy_skills!$1:$1,0)+1),MATCH(E$1,enemy_skills!$1:$1,0)-MATCH("enemy_skill_id",enemy_skills!$1:$1,0)+1,FALSE)</f>
        <v>そっか！ミクちゃんが助けてくれたんだね！ありがとうっ！</v>
      </c>
      <c r="F326" s="122">
        <v>39008119</v>
      </c>
      <c r="G326" s="42">
        <f ca="1">VLOOKUP($F326,OFFSET(enemy_skill_triggers!$A$1,0,0,COUNTA(enemy_skill_triggers!$A:$A),MATCH(G$1,enemy_skill_triggers!$1:$1,0)-MATCH($F$1,enemy_skill_triggers!$1:$1,0)+1),MATCH(G$1,enemy_skill_triggers!$1:$1,0)-MATCH($F$1,enemy_skill_triggers!$1:$1,0)+1,FALSE)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6" s="42">
        <f ca="1">VLOOKUP($F326,OFFSET(enemy_skill_triggers!$A$1,0,0,COUNTA(enemy_skill_triggers!$A:$A),MATCH(H$1,enemy_skill_triggers!$1:$1,0)-MATCH($F$1,enemy_skill_triggers!$1:$1,0)+1),MATCH(H$1,enemy_skill_triggers!$1:$1,0)-MATCH($F$1,enemy_skill_triggers!$1:$1,0)+1,FALSE)</f>
        <v>912</v>
      </c>
      <c r="I326" s="42">
        <f ca="1">VLOOKUP($F326,OFFSET(enemy_skill_triggers!$A$1,0,0,COUNTA(enemy_skill_triggers!$A:$A),MATCH(I$1,enemy_skill_triggers!$1:$1,0)-MATCH($F$1,enemy_skill_triggers!$1:$1,0)+1),MATCH(I$1,enemy_skill_triggers!$1:$1,0)-MATCH($F$1,enemy_skill_triggers!$1:$1,0)+1,FALSE)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6" s="42" t="str">
        <f ca="1">VLOOKUP($F326,OFFSET(enemy_skill_triggers!$A$1,0,0,COUNTA(enemy_skill_triggers!$A:$A),MATCH(J$1,enemy_skill_triggers!$1:$1,0)-MATCH($F$1,enemy_skill_triggers!$1:$1,0)+1),MATCH(J$1,enemy_skill_triggers!$1:$1,0)-MATCH($F$1,enemy_skill_triggers!$1:$1,0)+1,FALSE)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6" s="42" t="str">
        <f ca="1">VLOOKUP($F326,OFFSET(enemy_skill_triggers!$A$1,0,0,COUNTA(enemy_skill_triggers!$A:$A),MATCH(K$1,enemy_skill_triggers!$1:$1,0)-MATCH($F$1,enemy_skill_triggers!$1:$1,0)+1),MATCH(K$1,enemy_skill_triggers!$1:$1,0)-MATCH($F$1,enemy_skill_triggers!$1:$1,0)+1,FALSE)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6" s="42">
        <f ca="1">VLOOKUP($F326,OFFSET(enemy_skill_triggers!$A$1,0,0,COUNTA(enemy_skill_triggers!$A:$A),MATCH(L$1,enemy_skill_triggers!$1:$1,0)-MATCH($F$1,enemy_skill_triggers!$1:$1,0)+1),MATCH(L$1,enemy_skill_triggers!$1:$1,0)-MATCH($F$1,enemy_skill_triggers!$1:$1,0)+1,FALSE)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26" s="42" t="str">
        <f ca="1">VLOOKUP($F326,OFFSET(enemy_skill_triggers!$A$1,0,0,COUNTA(enemy_skill_triggers!$A:$A),MATCH(M$1,enemy_skill_triggers!$1:$1,0)-MATCH($F$1,enemy_skill_triggers!$1:$1,0)+1),MATCH(M$1,enemy_skill_triggers!$1:$1,0)-MATCH($F$1,enemy_skill_triggers!$1:$1,0)+1,FALSE)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6" s="42">
        <f ca="1">VLOOKUP($F326,OFFSET(enemy_skill_triggers!$A$1,0,0,COUNTA(enemy_skill_triggers!$A:$A),MATCH(N$1,enemy_skill_triggers!$1:$1,0)-MATCH($F$1,enemy_skill_triggers!$1:$1,0)+1),MATCH(N$1,enemy_skill_triggers!$1:$1,0)-MATCH($F$1,enemy_skill_triggers!$1:$1,0)+1,FALSE)</f>
        <v>1299</v>
      </c>
      <c r="O326" s="42">
        <f ca="1">VLOOKUP($F326,OFFSET(enemy_skill_triggers!$A$1,0,0,COUNTA(enemy_skill_triggers!$A:$A),MATCH(O$1,enemy_skill_triggers!$1:$1,0)-MATCH($F$1,enemy_skill_triggers!$1:$1,0)+1),MATCH(O$1,enemy_skill_triggers!$1:$1,0)-MATCH($F$1,enemy_skill_triggers!$1:$1,0)+1,FALSE)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6" s="41"/>
      <c r="Q326" s="41"/>
      <c r="R326" s="41" t="s">
        <v>353</v>
      </c>
    </row>
    <row r="327" spans="1:18" ht="21" customHeight="1" x14ac:dyDescent="0.15">
      <c r="A327" s="33" t="str">
        <f t="shared" si="15"/>
        <v>39008013_39008035</v>
      </c>
      <c r="B327" s="110">
        <v>39008013</v>
      </c>
      <c r="C327" s="119">
        <v>39008035</v>
      </c>
      <c r="D327" s="40" t="str">
        <f ca="1">VLOOKUP($C327,OFFSET(enemy_skills!$A$1,0,0,COUNTA(enemy_skills!$A:$A),MATCH(D$1,enemy_skills!$1:$1,0)-MATCH("enemy_skill_id",enemy_skills!$1:$1,0)+1),MATCH(D$1,enemy_skills!$1:$1,0)-MATCH("enemy_skill_id",enemy_skills!$1:$1,0)+1,FALSE)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27" s="40" t="str">
        <f ca="1">VLOOKUP($C327,OFFSET(enemy_skills!$A$1,0,0,COUNTA(enemy_skills!$A:$A),MATCH(E$1,enemy_skills!$1:$1,0)-MATCH("enemy_skill_id",enemy_skills!$1:$1,0)+1),MATCH(E$1,enemy_skills!$1:$1,0)-MATCH("enemy_skill_id",enemy_skills!$1:$1,0)+1,FALSE)</f>
        <v>そっか！リンちゃんが助けてくれたんだね！ありがとうっ！</v>
      </c>
      <c r="F327" s="122">
        <v>39008120</v>
      </c>
      <c r="G327" s="42">
        <f ca="1">VLOOKUP($F327,OFFSET(enemy_skill_triggers!$A$1,0,0,COUNTA(enemy_skill_triggers!$A:$A),MATCH(G$1,enemy_skill_triggers!$1:$1,0)-MATCH($F$1,enemy_skill_triggers!$1:$1,0)+1),MATCH(G$1,enemy_skill_triggers!$1:$1,0)-MATCH($F$1,enemy_skill_triggers!$1:$1,0)+1,FALSE)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7" s="42">
        <f ca="1">VLOOKUP($F327,OFFSET(enemy_skill_triggers!$A$1,0,0,COUNTA(enemy_skill_triggers!$A:$A),MATCH(H$1,enemy_skill_triggers!$1:$1,0)-MATCH($F$1,enemy_skill_triggers!$1:$1,0)+1),MATCH(H$1,enemy_skill_triggers!$1:$1,0)-MATCH($F$1,enemy_skill_triggers!$1:$1,0)+1,FALSE)</f>
        <v>911</v>
      </c>
      <c r="I327" s="42">
        <f ca="1">VLOOKUP($F327,OFFSET(enemy_skill_triggers!$A$1,0,0,COUNTA(enemy_skill_triggers!$A:$A),MATCH(I$1,enemy_skill_triggers!$1:$1,0)-MATCH($F$1,enemy_skill_triggers!$1:$1,0)+1),MATCH(I$1,enemy_skill_triggers!$1:$1,0)-MATCH($F$1,enemy_skill_triggers!$1:$1,0)+1,FALSE)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7" s="42" t="str">
        <f ca="1">VLOOKUP($F327,OFFSET(enemy_skill_triggers!$A$1,0,0,COUNTA(enemy_skill_triggers!$A:$A),MATCH(J$1,enemy_skill_triggers!$1:$1,0)-MATCH($F$1,enemy_skill_triggers!$1:$1,0)+1),MATCH(J$1,enemy_skill_triggers!$1:$1,0)-MATCH($F$1,enemy_skill_triggers!$1:$1,0)+1,FALSE)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7" s="42" t="str">
        <f ca="1">VLOOKUP($F327,OFFSET(enemy_skill_triggers!$A$1,0,0,COUNTA(enemy_skill_triggers!$A:$A),MATCH(K$1,enemy_skill_triggers!$1:$1,0)-MATCH($F$1,enemy_skill_triggers!$1:$1,0)+1),MATCH(K$1,enemy_skill_triggers!$1:$1,0)-MATCH($F$1,enemy_skill_triggers!$1:$1,0)+1,FALSE)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7" s="42">
        <f ca="1">VLOOKUP($F327,OFFSET(enemy_skill_triggers!$A$1,0,0,COUNTA(enemy_skill_triggers!$A:$A),MATCH(L$1,enemy_skill_triggers!$1:$1,0)-MATCH($F$1,enemy_skill_triggers!$1:$1,0)+1),MATCH(L$1,enemy_skill_triggers!$1:$1,0)-MATCH($F$1,enemy_skill_triggers!$1:$1,0)+1,FALSE)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27" s="42" t="str">
        <f ca="1">VLOOKUP($F327,OFFSET(enemy_skill_triggers!$A$1,0,0,COUNTA(enemy_skill_triggers!$A:$A),MATCH(M$1,enemy_skill_triggers!$1:$1,0)-MATCH($F$1,enemy_skill_triggers!$1:$1,0)+1),MATCH(M$1,enemy_skill_triggers!$1:$1,0)-MATCH($F$1,enemy_skill_triggers!$1:$1,0)+1,FALSE)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7" s="42">
        <f ca="1">VLOOKUP($F327,OFFSET(enemy_skill_triggers!$A$1,0,0,COUNTA(enemy_skill_triggers!$A:$A),MATCH(N$1,enemy_skill_triggers!$1:$1,0)-MATCH($F$1,enemy_skill_triggers!$1:$1,0)+1),MATCH(N$1,enemy_skill_triggers!$1:$1,0)-MATCH($F$1,enemy_skill_triggers!$1:$1,0)+1,FALSE)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327" s="42">
        <f ca="1">VLOOKUP($F327,OFFSET(enemy_skill_triggers!$A$1,0,0,COUNTA(enemy_skill_triggers!$A:$A),MATCH(O$1,enemy_skill_triggers!$1:$1,0)-MATCH($F$1,enemy_skill_triggers!$1:$1,0)+1),MATCH(O$1,enemy_skill_triggers!$1:$1,0)-MATCH($F$1,enemy_skill_triggers!$1:$1,0)+1,FALSE)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7" s="41"/>
      <c r="Q327" s="41"/>
      <c r="R327" s="41" t="s">
        <v>355</v>
      </c>
    </row>
    <row r="328" spans="1:18" ht="21" customHeight="1" x14ac:dyDescent="0.15">
      <c r="A328" s="33" t="str">
        <f t="shared" si="15"/>
        <v>39008013_39008035</v>
      </c>
      <c r="B328" s="110">
        <v>39008013</v>
      </c>
      <c r="C328" s="119">
        <v>39008035</v>
      </c>
      <c r="D328" s="40" t="str">
        <f ca="1">VLOOKUP($C328,OFFSET(enemy_skills!$A$1,0,0,COUNTA(enemy_skills!$A:$A),MATCH(D$1,enemy_skills!$1:$1,0)-MATCH("enemy_skill_id",enemy_skills!$1:$1,0)+1),MATCH(D$1,enemy_skills!$1:$1,0)-MATCH("enemy_skill_id",enemy_skills!$1:$1,0)+1,FALSE)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28" s="40" t="str">
        <f ca="1">VLOOKUP($C328,OFFSET(enemy_skills!$A$1,0,0,COUNTA(enemy_skills!$A:$A),MATCH(E$1,enemy_skills!$1:$1,0)-MATCH("enemy_skill_id",enemy_skills!$1:$1,0)+1),MATCH(E$1,enemy_skills!$1:$1,0)-MATCH("enemy_skill_id",enemy_skills!$1:$1,0)+1,FALSE)</f>
        <v>そっか！リンちゃんが助けてくれたんだね！ありがとうっ！</v>
      </c>
      <c r="F328" s="122">
        <v>39008121</v>
      </c>
      <c r="G328" s="42">
        <f ca="1">VLOOKUP($F328,OFFSET(enemy_skill_triggers!$A$1,0,0,COUNTA(enemy_skill_triggers!$A:$A),MATCH(G$1,enemy_skill_triggers!$1:$1,0)-MATCH($F$1,enemy_skill_triggers!$1:$1,0)+1),MATCH(G$1,enemy_skill_triggers!$1:$1,0)-MATCH($F$1,enemy_skill_triggers!$1:$1,0)+1,FALSE)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8" s="42">
        <f ca="1">VLOOKUP($F328,OFFSET(enemy_skill_triggers!$A$1,0,0,COUNTA(enemy_skill_triggers!$A:$A),MATCH(H$1,enemy_skill_triggers!$1:$1,0)-MATCH($F$1,enemy_skill_triggers!$1:$1,0)+1),MATCH(H$1,enemy_skill_triggers!$1:$1,0)-MATCH($F$1,enemy_skill_triggers!$1:$1,0)+1,FALSE)</f>
        <v>910</v>
      </c>
      <c r="I328" s="42">
        <f ca="1">VLOOKUP($F328,OFFSET(enemy_skill_triggers!$A$1,0,0,COUNTA(enemy_skill_triggers!$A:$A),MATCH(I$1,enemy_skill_triggers!$1:$1,0)-MATCH($F$1,enemy_skill_triggers!$1:$1,0)+1),MATCH(I$1,enemy_skill_triggers!$1:$1,0)-MATCH($F$1,enemy_skill_triggers!$1:$1,0)+1,FALSE)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8" s="42" t="str">
        <f ca="1">VLOOKUP($F328,OFFSET(enemy_skill_triggers!$A$1,0,0,COUNTA(enemy_skill_triggers!$A:$A),MATCH(J$1,enemy_skill_triggers!$1:$1,0)-MATCH($F$1,enemy_skill_triggers!$1:$1,0)+1),MATCH(J$1,enemy_skill_triggers!$1:$1,0)-MATCH($F$1,enemy_skill_triggers!$1:$1,0)+1,FALSE)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8" s="42" t="str">
        <f ca="1">VLOOKUP($F328,OFFSET(enemy_skill_triggers!$A$1,0,0,COUNTA(enemy_skill_triggers!$A:$A),MATCH(K$1,enemy_skill_triggers!$1:$1,0)-MATCH($F$1,enemy_skill_triggers!$1:$1,0)+1),MATCH(K$1,enemy_skill_triggers!$1:$1,0)-MATCH($F$1,enemy_skill_triggers!$1:$1,0)+1,FALSE)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8" s="42">
        <f ca="1">VLOOKUP($F328,OFFSET(enemy_skill_triggers!$A$1,0,0,COUNTA(enemy_skill_triggers!$A:$A),MATCH(L$1,enemy_skill_triggers!$1:$1,0)-MATCH($F$1,enemy_skill_triggers!$1:$1,0)+1),MATCH(L$1,enemy_skill_triggers!$1:$1,0)-MATCH($F$1,enemy_skill_triggers!$1:$1,0)+1,FALSE)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28" s="42" t="str">
        <f ca="1">VLOOKUP($F328,OFFSET(enemy_skill_triggers!$A$1,0,0,COUNTA(enemy_skill_triggers!$A:$A),MATCH(M$1,enemy_skill_triggers!$1:$1,0)-MATCH($F$1,enemy_skill_triggers!$1:$1,0)+1),MATCH(M$1,enemy_skill_triggers!$1:$1,0)-MATCH($F$1,enemy_skill_triggers!$1:$1,0)+1,FALSE)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8" s="42">
        <f ca="1">VLOOKUP($F328,OFFSET(enemy_skill_triggers!$A$1,0,0,COUNTA(enemy_skill_triggers!$A:$A),MATCH(N$1,enemy_skill_triggers!$1:$1,0)-MATCH($F$1,enemy_skill_triggers!$1:$1,0)+1),MATCH(N$1,enemy_skill_triggers!$1:$1,0)-MATCH($F$1,enemy_skill_triggers!$1:$1,0)+1,FALSE)</f>
        <v>1319</v>
      </c>
      <c r="O328" s="42">
        <f ca="1">VLOOKUP($F328,OFFSET(enemy_skill_triggers!$A$1,0,0,COUNTA(enemy_skill_triggers!$A:$A),MATCH(O$1,enemy_skill_triggers!$1:$1,0)-MATCH($F$1,enemy_skill_triggers!$1:$1,0)+1),MATCH(O$1,enemy_skill_triggers!$1:$1,0)-MATCH($F$1,enemy_skill_triggers!$1:$1,0)+1,FALSE)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8" s="41"/>
      <c r="Q328" s="41"/>
      <c r="R328" s="41" t="s">
        <v>364</v>
      </c>
    </row>
    <row r="329" spans="1:18" ht="21" customHeight="1" x14ac:dyDescent="0.15">
      <c r="A329" s="33" t="str">
        <f t="shared" si="15"/>
        <v>39008013_39008036</v>
      </c>
      <c r="B329" s="110">
        <v>39008013</v>
      </c>
      <c r="C329" s="119">
        <v>39008036</v>
      </c>
      <c r="D329" s="40" t="str">
        <f ca="1">VLOOKUP($C329,OFFSET(enemy_skills!$A$1,0,0,COUNTA(enemy_skills!$A:$A),MATCH(D$1,enemy_skills!$1:$1,0)-MATCH("enemy_skill_id",enemy_skills!$1:$1,0)+1),MATCH(D$1,enemy_skills!$1:$1,0)-MATCH("enemy_skill_id",enemy_skills!$1:$1,0)+1,FALSE)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29" s="40" t="str">
        <f ca="1">VLOOKUP($C329,OFFSET(enemy_skills!$A$1,0,0,COUNTA(enemy_skills!$A:$A),MATCH(E$1,enemy_skills!$1:$1,0)-MATCH("enemy_skill_id",enemy_skills!$1:$1,0)+1),MATCH(E$1,enemy_skills!$1:$1,0)-MATCH("enemy_skill_id",enemy_skills!$1:$1,0)+1,FALSE)</f>
        <v>そっか！レンきゅんが助けてくれたんだね！ありがとうっ！</v>
      </c>
      <c r="F329" s="122">
        <v>39008122</v>
      </c>
      <c r="G329" s="42">
        <f ca="1">VLOOKUP($F329,OFFSET(enemy_skill_triggers!$A$1,0,0,COUNTA(enemy_skill_triggers!$A:$A),MATCH(G$1,enemy_skill_triggers!$1:$1,0)-MATCH($F$1,enemy_skill_triggers!$1:$1,0)+1),MATCH(G$1,enemy_skill_triggers!$1:$1,0)-MATCH($F$1,enemy_skill_triggers!$1:$1,0)+1,FALSE)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9" s="42">
        <f ca="1">VLOOKUP($F329,OFFSET(enemy_skill_triggers!$A$1,0,0,COUNTA(enemy_skill_triggers!$A:$A),MATCH(H$1,enemy_skill_triggers!$1:$1,0)-MATCH($F$1,enemy_skill_triggers!$1:$1,0)+1),MATCH(H$1,enemy_skill_triggers!$1:$1,0)-MATCH($F$1,enemy_skill_triggers!$1:$1,0)+1,FALSE)</f>
        <v>909</v>
      </c>
      <c r="I329" s="42">
        <f ca="1">VLOOKUP($F329,OFFSET(enemy_skill_triggers!$A$1,0,0,COUNTA(enemy_skill_triggers!$A:$A),MATCH(I$1,enemy_skill_triggers!$1:$1,0)-MATCH($F$1,enemy_skill_triggers!$1:$1,0)+1),MATCH(I$1,enemy_skill_triggers!$1:$1,0)-MATCH($F$1,enemy_skill_triggers!$1:$1,0)+1,FALSE)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9" s="42" t="str">
        <f ca="1">VLOOKUP($F329,OFFSET(enemy_skill_triggers!$A$1,0,0,COUNTA(enemy_skill_triggers!$A:$A),MATCH(J$1,enemy_skill_triggers!$1:$1,0)-MATCH($F$1,enemy_skill_triggers!$1:$1,0)+1),MATCH(J$1,enemy_skill_triggers!$1:$1,0)-MATCH($F$1,enemy_skill_triggers!$1:$1,0)+1,FALSE)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9" s="42" t="str">
        <f ca="1">VLOOKUP($F329,OFFSET(enemy_skill_triggers!$A$1,0,0,COUNTA(enemy_skill_triggers!$A:$A),MATCH(K$1,enemy_skill_triggers!$1:$1,0)-MATCH($F$1,enemy_skill_triggers!$1:$1,0)+1),MATCH(K$1,enemy_skill_triggers!$1:$1,0)-MATCH($F$1,enemy_skill_triggers!$1:$1,0)+1,FALSE)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9" s="42">
        <f ca="1">VLOOKUP($F329,OFFSET(enemy_skill_triggers!$A$1,0,0,COUNTA(enemy_skill_triggers!$A:$A),MATCH(L$1,enemy_skill_triggers!$1:$1,0)-MATCH($F$1,enemy_skill_triggers!$1:$1,0)+1),MATCH(L$1,enemy_skill_triggers!$1:$1,0)-MATCH($F$1,enemy_skill_triggers!$1:$1,0)+1,FALSE)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29" s="42" t="str">
        <f ca="1">VLOOKUP($F329,OFFSET(enemy_skill_triggers!$A$1,0,0,COUNTA(enemy_skill_triggers!$A:$A),MATCH(M$1,enemy_skill_triggers!$1:$1,0)-MATCH($F$1,enemy_skill_triggers!$1:$1,0)+1),MATCH(M$1,enemy_skill_triggers!$1:$1,0)-MATCH($F$1,enemy_skill_triggers!$1:$1,0)+1,FALSE)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9" s="42">
        <f ca="1">VLOOKUP($F329,OFFSET(enemy_skill_triggers!$A$1,0,0,COUNTA(enemy_skill_triggers!$A:$A),MATCH(N$1,enemy_skill_triggers!$1:$1,0)-MATCH($F$1,enemy_skill_triggers!$1:$1,0)+1),MATCH(N$1,enemy_skill_triggers!$1:$1,0)-MATCH($F$1,enemy_skill_triggers!$1:$1,0)+1,FALSE)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329" s="42">
        <f ca="1">VLOOKUP($F329,OFFSET(enemy_skill_triggers!$A$1,0,0,COUNTA(enemy_skill_triggers!$A:$A),MATCH(O$1,enemy_skill_triggers!$1:$1,0)-MATCH($F$1,enemy_skill_triggers!$1:$1,0)+1),MATCH(O$1,enemy_skill_triggers!$1:$1,0)-MATCH($F$1,enemy_skill_triggers!$1:$1,0)+1,FALSE)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9" s="41"/>
      <c r="Q329" s="41"/>
      <c r="R329" s="41" t="s">
        <v>358</v>
      </c>
    </row>
    <row r="330" spans="1:18" ht="21" customHeight="1" x14ac:dyDescent="0.15">
      <c r="A330" s="33" t="str">
        <f t="shared" si="15"/>
        <v>39008013_39008036</v>
      </c>
      <c r="B330" s="110">
        <v>39008013</v>
      </c>
      <c r="C330" s="119">
        <v>39008036</v>
      </c>
      <c r="D330" s="40" t="str">
        <f ca="1">VLOOKUP($C330,OFFSET(enemy_skills!$A$1,0,0,COUNTA(enemy_skills!$A:$A),MATCH(D$1,enemy_skills!$1:$1,0)-MATCH("enemy_skill_id",enemy_skills!$1:$1,0)+1),MATCH(D$1,enemy_skills!$1:$1,0)-MATCH("enemy_skill_id",enemy_skills!$1:$1,0)+1,FALSE)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30" s="40" t="str">
        <f ca="1">VLOOKUP($C330,OFFSET(enemy_skills!$A$1,0,0,COUNTA(enemy_skills!$A:$A),MATCH(E$1,enemy_skills!$1:$1,0)-MATCH("enemy_skill_id",enemy_skills!$1:$1,0)+1),MATCH(E$1,enemy_skills!$1:$1,0)-MATCH("enemy_skill_id",enemy_skills!$1:$1,0)+1,FALSE)</f>
        <v>そっか！レンきゅんが助けてくれたんだね！ありがとうっ！</v>
      </c>
      <c r="F330" s="122">
        <v>39008123</v>
      </c>
      <c r="G330" s="42">
        <f ca="1">VLOOKUP($F330,OFFSET(enemy_skill_triggers!$A$1,0,0,COUNTA(enemy_skill_triggers!$A:$A),MATCH(G$1,enemy_skill_triggers!$1:$1,0)-MATCH($F$1,enemy_skill_triggers!$1:$1,0)+1),MATCH(G$1,enemy_skill_triggers!$1:$1,0)-MATCH($F$1,enemy_skill_triggers!$1:$1,0)+1,FALSE)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0" s="42">
        <f ca="1">VLOOKUP($F330,OFFSET(enemy_skill_triggers!$A$1,0,0,COUNTA(enemy_skill_triggers!$A:$A),MATCH(H$1,enemy_skill_triggers!$1:$1,0)-MATCH($F$1,enemy_skill_triggers!$1:$1,0)+1),MATCH(H$1,enemy_skill_triggers!$1:$1,0)-MATCH($F$1,enemy_skill_triggers!$1:$1,0)+1,FALSE)</f>
        <v>908</v>
      </c>
      <c r="I330" s="42">
        <f ca="1">VLOOKUP($F330,OFFSET(enemy_skill_triggers!$A$1,0,0,COUNTA(enemy_skill_triggers!$A:$A),MATCH(I$1,enemy_skill_triggers!$1:$1,0)-MATCH($F$1,enemy_skill_triggers!$1:$1,0)+1),MATCH(I$1,enemy_skill_triggers!$1:$1,0)-MATCH($F$1,enemy_skill_triggers!$1:$1,0)+1,FALSE)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0" s="42" t="str">
        <f ca="1">VLOOKUP($F330,OFFSET(enemy_skill_triggers!$A$1,0,0,COUNTA(enemy_skill_triggers!$A:$A),MATCH(J$1,enemy_skill_triggers!$1:$1,0)-MATCH($F$1,enemy_skill_triggers!$1:$1,0)+1),MATCH(J$1,enemy_skill_triggers!$1:$1,0)-MATCH($F$1,enemy_skill_triggers!$1:$1,0)+1,FALSE)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0" s="42" t="str">
        <f ca="1">VLOOKUP($F330,OFFSET(enemy_skill_triggers!$A$1,0,0,COUNTA(enemy_skill_triggers!$A:$A),MATCH(K$1,enemy_skill_triggers!$1:$1,0)-MATCH($F$1,enemy_skill_triggers!$1:$1,0)+1),MATCH(K$1,enemy_skill_triggers!$1:$1,0)-MATCH($F$1,enemy_skill_triggers!$1:$1,0)+1,FALSE)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0" s="42">
        <f ca="1">VLOOKUP($F330,OFFSET(enemy_skill_triggers!$A$1,0,0,COUNTA(enemy_skill_triggers!$A:$A),MATCH(L$1,enemy_skill_triggers!$1:$1,0)-MATCH($F$1,enemy_skill_triggers!$1:$1,0)+1),MATCH(L$1,enemy_skill_triggers!$1:$1,0)-MATCH($F$1,enemy_skill_triggers!$1:$1,0)+1,FALSE)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30" s="42" t="str">
        <f ca="1">VLOOKUP($F330,OFFSET(enemy_skill_triggers!$A$1,0,0,COUNTA(enemy_skill_triggers!$A:$A),MATCH(M$1,enemy_skill_triggers!$1:$1,0)-MATCH($F$1,enemy_skill_triggers!$1:$1,0)+1),MATCH(M$1,enemy_skill_triggers!$1:$1,0)-MATCH($F$1,enemy_skill_triggers!$1:$1,0)+1,FALSE)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0" s="42">
        <f ca="1">VLOOKUP($F330,OFFSET(enemy_skill_triggers!$A$1,0,0,COUNTA(enemy_skill_triggers!$A:$A),MATCH(N$1,enemy_skill_triggers!$1:$1,0)-MATCH($F$1,enemy_skill_triggers!$1:$1,0)+1),MATCH(N$1,enemy_skill_triggers!$1:$1,0)-MATCH($F$1,enemy_skill_triggers!$1:$1,0)+1,FALSE)</f>
        <v>1321</v>
      </c>
      <c r="O330" s="42">
        <f ca="1">VLOOKUP($F330,OFFSET(enemy_skill_triggers!$A$1,0,0,COUNTA(enemy_skill_triggers!$A:$A),MATCH(O$1,enemy_skill_triggers!$1:$1,0)-MATCH($F$1,enemy_skill_triggers!$1:$1,0)+1),MATCH(O$1,enemy_skill_triggers!$1:$1,0)-MATCH($F$1,enemy_skill_triggers!$1:$1,0)+1,FALSE)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0" s="41"/>
      <c r="Q330" s="41"/>
      <c r="R330" s="41" t="s">
        <v>358</v>
      </c>
    </row>
    <row r="331" spans="1:18" ht="21" customHeight="1" x14ac:dyDescent="0.15">
      <c r="A331" s="33" t="str">
        <f t="shared" si="15"/>
        <v>39008013_39008032</v>
      </c>
      <c r="B331" s="110">
        <v>39008013</v>
      </c>
      <c r="C331" s="41">
        <v>39008032</v>
      </c>
      <c r="D331" s="40" t="str">
        <f ca="1">VLOOKUP($C331,OFFSET(enemy_skills!$A$1,0,0,COUNTA(enemy_skills!$A:$A),MATCH(D$1,enemy_skills!$1:$1,0)-MATCH("enemy_skill_id",enemy_skills!$1:$1,0)+1),MATCH(D$1,enemy_skills!$1:$1,0)-MATCH("enemy_skill_id",enemy_skills!$1:$1,0)+1,FALSE)</f>
        <v>…あれ…あたし…どうしたんだろう？</v>
      </c>
      <c r="E331" s="40" t="str">
        <f ca="1">VLOOKUP($C331,OFFSET(enemy_skills!$A$1,0,0,COUNTA(enemy_skills!$A:$A),MATCH(E$1,enemy_skills!$1:$1,0)-MATCH("enemy_skill_id",enemy_skills!$1:$1,0)+1),MATCH(E$1,enemy_skills!$1:$1,0)-MATCH("enemy_skill_id",enemy_skills!$1:$1,0)+1,FALSE)</f>
        <v>そっか！アナタが助けてくれたんだね！ありがとうっ！</v>
      </c>
      <c r="F331" s="122">
        <v>39008132</v>
      </c>
      <c r="G331" s="42">
        <f ca="1">VLOOKUP($F331,OFFSET(enemy_skill_triggers!$A$1,0,0,COUNTA(enemy_skill_triggers!$A:$A),MATCH(G$1,enemy_skill_triggers!$1:$1,0)-MATCH($F$1,enemy_skill_triggers!$1:$1,0)+1),MATCH(G$1,enemy_skill_triggers!$1:$1,0)-MATCH($F$1,enemy_skill_triggers!$1:$1,0)+1,FALSE)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1" s="42">
        <f ca="1">VLOOKUP($F331,OFFSET(enemy_skill_triggers!$A$1,0,0,COUNTA(enemy_skill_triggers!$A:$A),MATCH(H$1,enemy_skill_triggers!$1:$1,0)-MATCH($F$1,enemy_skill_triggers!$1:$1,0)+1),MATCH(H$1,enemy_skill_triggers!$1:$1,0)-MATCH($F$1,enemy_skill_triggers!$1:$1,0)+1,FALSE)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31" s="42">
        <f ca="1">VLOOKUP($F331,OFFSET(enemy_skill_triggers!$A$1,0,0,COUNTA(enemy_skill_triggers!$A:$A),MATCH(I$1,enemy_skill_triggers!$1:$1,0)-MATCH($F$1,enemy_skill_triggers!$1:$1,0)+1),MATCH(I$1,enemy_skill_triggers!$1:$1,0)-MATCH($F$1,enemy_skill_triggers!$1:$1,0)+1,FALSE)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1" s="42" t="str">
        <f ca="1">VLOOKUP($F331,OFFSET(enemy_skill_triggers!$A$1,0,0,COUNTA(enemy_skill_triggers!$A:$A),MATCH(J$1,enemy_skill_triggers!$1:$1,0)-MATCH($F$1,enemy_skill_triggers!$1:$1,0)+1),MATCH(J$1,enemy_skill_triggers!$1:$1,0)-MATCH($F$1,enemy_skill_triggers!$1:$1,0)+1,FALSE)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1" s="42" t="str">
        <f ca="1">VLOOKUP($F331,OFFSET(enemy_skill_triggers!$A$1,0,0,COUNTA(enemy_skill_triggers!$A:$A),MATCH(K$1,enemy_skill_triggers!$1:$1,0)-MATCH($F$1,enemy_skill_triggers!$1:$1,0)+1),MATCH(K$1,enemy_skill_triggers!$1:$1,0)-MATCH($F$1,enemy_skill_triggers!$1:$1,0)+1,FALSE)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1" s="42">
        <f ca="1">VLOOKUP($F331,OFFSET(enemy_skill_triggers!$A$1,0,0,COUNTA(enemy_skill_triggers!$A:$A),MATCH(L$1,enemy_skill_triggers!$1:$1,0)-MATCH($F$1,enemy_skill_triggers!$1:$1,0)+1),MATCH(L$1,enemy_skill_triggers!$1:$1,0)-MATCH($F$1,enemy_skill_triggers!$1:$1,0)+1,FALSE)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31" s="42" t="str">
        <f ca="1">VLOOKUP($F331,OFFSET(enemy_skill_triggers!$A$1,0,0,COUNTA(enemy_skill_triggers!$A:$A),MATCH(M$1,enemy_skill_triggers!$1:$1,0)-MATCH($F$1,enemy_skill_triggers!$1:$1,0)+1),MATCH(M$1,enemy_skill_triggers!$1:$1,0)-MATCH($F$1,enemy_skill_triggers!$1:$1,0)+1,FALSE)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1" s="42">
        <f ca="1">VLOOKUP($F331,OFFSET(enemy_skill_triggers!$A$1,0,0,COUNTA(enemy_skill_triggers!$A:$A),MATCH(N$1,enemy_skill_triggers!$1:$1,0)-MATCH($F$1,enemy_skill_triggers!$1:$1,0)+1),MATCH(N$1,enemy_skill_triggers!$1:$1,0)-MATCH($F$1,enemy_skill_triggers!$1:$1,0)+1,FALSE)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31" s="42">
        <f ca="1">VLOOKUP($F331,OFFSET(enemy_skill_triggers!$A$1,0,0,COUNTA(enemy_skill_triggers!$A:$A),MATCH(O$1,enemy_skill_triggers!$1:$1,0)-MATCH($F$1,enemy_skill_triggers!$1:$1,0)+1),MATCH(O$1,enemy_skill_triggers!$1:$1,0)-MATCH($F$1,enemy_skill_triggers!$1:$1,0)+1,FALSE)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1" s="41"/>
      <c r="Q331" s="41"/>
      <c r="R331" s="41"/>
    </row>
    <row r="332" spans="1:18" ht="21" customHeight="1" x14ac:dyDescent="0.15">
      <c r="A332" s="33" t="str">
        <f t="shared" ref="A332" si="16">B332&amp;"_"&amp;C332</f>
        <v>39008014_39008042</v>
      </c>
      <c r="B332" s="110">
        <v>39008014</v>
      </c>
      <c r="C332" s="41">
        <v>39008042</v>
      </c>
      <c r="D332" s="40" t="str">
        <f ca="1">VLOOKUP($C332,OFFSET(enemy_skills!$A$1,0,0,COUNTA(enemy_skills!$A:$A),MATCH(D$1,enemy_skills!$1:$1,0)-MATCH("enemy_skill_id",enemy_skills!$1:$1,0)+1),MATCH(D$1,enemy_skills!$1:$1,0)-MATCH("enemy_skill_id",enemy_skills!$1:$1,0)+1,FALSE)</f>
        <v>ヒール</v>
      </c>
      <c r="E332" s="40" t="str">
        <f ca="1">VLOOKUP($C332,OFFSET(enemy_skills!$A$1,0,0,COUNTA(enemy_skills!$A:$A),MATCH(E$1,enemy_skills!$1:$1,0)-MATCH("enemy_skill_id",enemy_skills!$1:$1,0)+1),MATCH(E$1,enemy_skills!$1:$1,0)-MATCH("enemy_skill_id",enemy_skills!$1:$1,0)+1,FALSE)</f>
        <v>全体回復</v>
      </c>
      <c r="F332" s="122">
        <v>39008139</v>
      </c>
      <c r="G332" s="42">
        <f ca="1">VLOOKUP($F332,OFFSET(enemy_skill_triggers!$A$1,0,0,COUNTA(enemy_skill_triggers!$A:$A),MATCH(G$1,enemy_skill_triggers!$1:$1,0)-MATCH($F$1,enemy_skill_triggers!$1:$1,0)+1),MATCH(G$1,enemy_skill_triggers!$1:$1,0)-MATCH($F$1,enemy_skill_triggers!$1:$1,0)+1,FALSE)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2" s="42" t="str">
        <f ca="1">VLOOKUP($F332,OFFSET(enemy_skill_triggers!$A$1,0,0,COUNTA(enemy_skill_triggers!$A:$A),MATCH(H$1,enemy_skill_triggers!$1:$1,0)-MATCH($F$1,enemy_skill_triggers!$1:$1,0)+1),MATCH(H$1,enemy_skill_triggers!$1:$1,0)-MATCH($F$1,enemy_skill_triggers!$1:$1,0)+1,FALSE)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2" s="42">
        <f ca="1">VLOOKUP($F332,OFFSET(enemy_skill_triggers!$A$1,0,0,COUNTA(enemy_skill_triggers!$A:$A),MATCH(I$1,enemy_skill_triggers!$1:$1,0)-MATCH($F$1,enemy_skill_triggers!$1:$1,0)+1),MATCH(I$1,enemy_skill_triggers!$1:$1,0)-MATCH($F$1,enemy_skill_triggers!$1:$1,0)+1,FALSE)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332" s="42" t="str">
        <f ca="1">VLOOKUP($F332,OFFSET(enemy_skill_triggers!$A$1,0,0,COUNTA(enemy_skill_triggers!$A:$A),MATCH(J$1,enemy_skill_triggers!$1:$1,0)-MATCH($F$1,enemy_skill_triggers!$1:$1,0)+1),MATCH(J$1,enemy_skill_triggers!$1:$1,0)-MATCH($F$1,enemy_skill_triggers!$1:$1,0)+1,FALSE)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2" s="42" t="str">
        <f ca="1">VLOOKUP($F332,OFFSET(enemy_skill_triggers!$A$1,0,0,COUNTA(enemy_skill_triggers!$A:$A),MATCH(K$1,enemy_skill_triggers!$1:$1,0)-MATCH($F$1,enemy_skill_triggers!$1:$1,0)+1),MATCH(K$1,enemy_skill_triggers!$1:$1,0)-MATCH($F$1,enemy_skill_triggers!$1:$1,0)+1,FALSE)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2" s="42" t="str">
        <f ca="1">VLOOKUP($F332,OFFSET(enemy_skill_triggers!$A$1,0,0,COUNTA(enemy_skill_triggers!$A:$A),MATCH(L$1,enemy_skill_triggers!$1:$1,0)-MATCH($F$1,enemy_skill_triggers!$1:$1,0)+1),MATCH(L$1,enemy_skill_triggers!$1:$1,0)-MATCH($F$1,enemy_skill_triggers!$1:$1,0)+1,FALSE)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2" s="42" t="str">
        <f ca="1">VLOOKUP($F332,OFFSET(enemy_skill_triggers!$A$1,0,0,COUNTA(enemy_skill_triggers!$A:$A),MATCH(M$1,enemy_skill_triggers!$1:$1,0)-MATCH($F$1,enemy_skill_triggers!$1:$1,0)+1),MATCH(M$1,enemy_skill_triggers!$1:$1,0)-MATCH($F$1,enemy_skill_triggers!$1:$1,0)+1,FALSE)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2" s="42" t="str">
        <f ca="1">VLOOKUP($F332,OFFSET(enemy_skill_triggers!$A$1,0,0,COUNTA(enemy_skill_triggers!$A:$A),MATCH(N$1,enemy_skill_triggers!$1:$1,0)-MATCH($F$1,enemy_skill_triggers!$1:$1,0)+1),MATCH(N$1,enemy_skill_triggers!$1:$1,0)-MATCH($F$1,enemy_skill_triggers!$1:$1,0)+1,FALSE)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2" s="42">
        <f ca="1">VLOOKUP($F332,OFFSET(enemy_skill_triggers!$A$1,0,0,COUNTA(enemy_skill_triggers!$A:$A),MATCH(O$1,enemy_skill_triggers!$1:$1,0)-MATCH($F$1,enemy_skill_triggers!$1:$1,0)+1),MATCH(O$1,enemy_skill_triggers!$1:$1,0)-MATCH($F$1,enemy_skill_triggers!$1:$1,0)+1,FALSE)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332" s="41"/>
      <c r="Q332" s="41"/>
      <c r="R332" s="41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32"/>
  <sheetViews>
    <sheetView showGridLines="0" workbookViewId="0">
      <pane ySplit="1" topLeftCell="A109" activePane="bottomLeft" state="frozenSplit"/>
      <selection pane="bottomLeft" activeCell="A133" sqref="A133"/>
    </sheetView>
  </sheetViews>
  <sheetFormatPr baseColWidth="12" defaultColWidth="12.83203125" defaultRowHeight="21" customHeight="1" x14ac:dyDescent="0.15"/>
  <cols>
    <col min="1" max="1" width="16.1640625" style="43" bestFit="1" customWidth="1"/>
    <col min="2" max="2" width="13.33203125" style="43" bestFit="1" customWidth="1"/>
    <col min="3" max="3" width="11.83203125" style="43" bestFit="1" customWidth="1"/>
    <col min="4" max="4" width="14.6640625" style="43" bestFit="1" customWidth="1"/>
    <col min="5" max="5" width="15.6640625" style="43" bestFit="1" customWidth="1"/>
    <col min="6" max="6" width="17" style="43" bestFit="1" customWidth="1"/>
    <col min="7" max="7" width="15.6640625" style="43" bestFit="1" customWidth="1"/>
    <col min="8" max="9" width="14.6640625" style="43" customWidth="1"/>
    <col min="10" max="10" width="14.6640625" style="43" bestFit="1" customWidth="1"/>
    <col min="11" max="11" width="22.83203125" style="33" bestFit="1" customWidth="1"/>
    <col min="12" max="16384" width="12.83203125" style="39"/>
  </cols>
  <sheetData>
    <row r="1" spans="1:11" ht="21" customHeight="1" x14ac:dyDescent="0.15">
      <c r="A1" s="36" t="s">
        <v>83</v>
      </c>
      <c r="B1" s="36" t="s">
        <v>84</v>
      </c>
      <c r="C1" s="36" t="s">
        <v>85</v>
      </c>
      <c r="D1" s="36" t="s">
        <v>86</v>
      </c>
      <c r="E1" s="36" t="s">
        <v>69</v>
      </c>
      <c r="F1" s="47" t="s">
        <v>70</v>
      </c>
      <c r="G1" s="47" t="s">
        <v>71</v>
      </c>
      <c r="H1" s="36" t="s">
        <v>72</v>
      </c>
      <c r="I1" s="36" t="s">
        <v>73</v>
      </c>
      <c r="J1" s="36" t="s">
        <v>74</v>
      </c>
      <c r="K1" s="48" t="s">
        <v>87</v>
      </c>
    </row>
    <row r="2" spans="1:11" ht="21" customHeight="1" x14ac:dyDescent="0.15">
      <c r="A2" s="41">
        <v>39008001</v>
      </c>
      <c r="B2" s="41">
        <v>1</v>
      </c>
      <c r="C2" s="41" t="s">
        <v>246</v>
      </c>
      <c r="D2" s="41">
        <v>100</v>
      </c>
      <c r="E2" s="41" t="s">
        <v>246</v>
      </c>
      <c r="F2" s="41" t="s">
        <v>246</v>
      </c>
      <c r="G2" s="41">
        <v>1</v>
      </c>
      <c r="H2" s="41" t="s">
        <v>246</v>
      </c>
      <c r="I2" s="41" t="s">
        <v>246</v>
      </c>
      <c r="J2" s="42">
        <f t="shared" ref="J2:J65" si="0">D2</f>
        <v>100</v>
      </c>
    </row>
    <row r="3" spans="1:11" ht="21" customHeight="1" x14ac:dyDescent="0.15">
      <c r="A3" s="122">
        <v>39008002</v>
      </c>
      <c r="B3" s="42">
        <v>0</v>
      </c>
      <c r="C3" s="42">
        <v>1</v>
      </c>
      <c r="D3" s="42">
        <v>40</v>
      </c>
      <c r="E3" s="42" t="s">
        <v>331</v>
      </c>
      <c r="F3" s="42" t="s">
        <v>331</v>
      </c>
      <c r="G3" s="42" t="s">
        <v>331</v>
      </c>
      <c r="H3" s="42" t="s">
        <v>331</v>
      </c>
      <c r="I3" s="42" t="s">
        <v>331</v>
      </c>
      <c r="J3" s="42">
        <f t="shared" si="0"/>
        <v>40</v>
      </c>
    </row>
    <row r="4" spans="1:11" ht="21" customHeight="1" x14ac:dyDescent="0.15">
      <c r="A4" s="122">
        <v>39008003</v>
      </c>
      <c r="B4" s="42">
        <v>0</v>
      </c>
      <c r="C4" s="42">
        <v>1</v>
      </c>
      <c r="D4" s="42">
        <v>40</v>
      </c>
      <c r="E4" s="42" t="s">
        <v>331</v>
      </c>
      <c r="F4" s="42" t="s">
        <v>331</v>
      </c>
      <c r="G4" s="42">
        <v>2</v>
      </c>
      <c r="H4" s="42" t="s">
        <v>331</v>
      </c>
      <c r="I4" s="42" t="s">
        <v>331</v>
      </c>
      <c r="J4" s="42">
        <f t="shared" si="0"/>
        <v>40</v>
      </c>
    </row>
    <row r="5" spans="1:11" ht="21" customHeight="1" x14ac:dyDescent="0.15">
      <c r="A5" s="122">
        <v>39008004</v>
      </c>
      <c r="B5" s="42">
        <v>0</v>
      </c>
      <c r="C5" s="42">
        <v>2</v>
      </c>
      <c r="D5" s="42">
        <v>30</v>
      </c>
      <c r="E5" s="42" t="s">
        <v>331</v>
      </c>
      <c r="F5" s="42" t="s">
        <v>331</v>
      </c>
      <c r="G5" s="42">
        <v>1</v>
      </c>
      <c r="H5" s="42" t="s">
        <v>331</v>
      </c>
      <c r="I5" s="42" t="s">
        <v>331</v>
      </c>
      <c r="J5" s="42">
        <f t="shared" si="0"/>
        <v>30</v>
      </c>
    </row>
    <row r="6" spans="1:11" ht="21" customHeight="1" x14ac:dyDescent="0.15">
      <c r="A6" s="122">
        <v>39008005</v>
      </c>
      <c r="B6" s="42">
        <v>0</v>
      </c>
      <c r="C6" s="42" t="s">
        <v>331</v>
      </c>
      <c r="D6" s="42">
        <v>100</v>
      </c>
      <c r="E6" s="42" t="s">
        <v>331</v>
      </c>
      <c r="F6" s="42" t="s">
        <v>331</v>
      </c>
      <c r="G6" s="42">
        <v>1</v>
      </c>
      <c r="H6" s="42" t="s">
        <v>331</v>
      </c>
      <c r="I6" s="42">
        <v>529</v>
      </c>
      <c r="J6" s="42">
        <f t="shared" si="0"/>
        <v>100</v>
      </c>
    </row>
    <row r="7" spans="1:11" ht="21" customHeight="1" x14ac:dyDescent="0.15">
      <c r="A7" s="122">
        <v>39008006</v>
      </c>
      <c r="B7" s="42">
        <v>0</v>
      </c>
      <c r="C7" s="42" t="s">
        <v>331</v>
      </c>
      <c r="D7" s="42">
        <v>100</v>
      </c>
      <c r="E7" s="42" t="s">
        <v>331</v>
      </c>
      <c r="F7" s="42" t="s">
        <v>331</v>
      </c>
      <c r="G7" s="42">
        <v>1</v>
      </c>
      <c r="H7" s="42" t="s">
        <v>331</v>
      </c>
      <c r="I7" s="42">
        <v>531</v>
      </c>
      <c r="J7" s="42">
        <f t="shared" si="0"/>
        <v>100</v>
      </c>
    </row>
    <row r="8" spans="1:11" ht="21" customHeight="1" x14ac:dyDescent="0.15">
      <c r="A8" s="122">
        <v>39008007</v>
      </c>
      <c r="B8" s="42">
        <v>0</v>
      </c>
      <c r="C8" s="42" t="s">
        <v>331</v>
      </c>
      <c r="D8" s="42">
        <v>100</v>
      </c>
      <c r="E8" s="42" t="s">
        <v>331</v>
      </c>
      <c r="F8" s="42" t="s">
        <v>331</v>
      </c>
      <c r="G8" s="42">
        <v>1</v>
      </c>
      <c r="H8" s="42" t="s">
        <v>331</v>
      </c>
      <c r="I8" s="42">
        <v>534</v>
      </c>
      <c r="J8" s="42">
        <f t="shared" si="0"/>
        <v>100</v>
      </c>
    </row>
    <row r="9" spans="1:11" ht="21" customHeight="1" x14ac:dyDescent="0.15">
      <c r="A9" s="122">
        <v>39008008</v>
      </c>
      <c r="B9" s="42">
        <v>0</v>
      </c>
      <c r="C9" s="42" t="s">
        <v>331</v>
      </c>
      <c r="D9" s="42">
        <v>100</v>
      </c>
      <c r="E9" s="42" t="s">
        <v>331</v>
      </c>
      <c r="F9" s="42" t="s">
        <v>331</v>
      </c>
      <c r="G9" s="42">
        <v>1</v>
      </c>
      <c r="H9" s="42" t="s">
        <v>331</v>
      </c>
      <c r="I9" s="42">
        <v>536</v>
      </c>
      <c r="J9" s="42">
        <f t="shared" si="0"/>
        <v>100</v>
      </c>
    </row>
    <row r="10" spans="1:11" ht="21" customHeight="1" x14ac:dyDescent="0.15">
      <c r="A10" s="122">
        <v>39008009</v>
      </c>
      <c r="B10" s="42">
        <v>1</v>
      </c>
      <c r="C10" s="42" t="s">
        <v>331</v>
      </c>
      <c r="D10" s="42">
        <v>100</v>
      </c>
      <c r="E10" s="42" t="s">
        <v>331</v>
      </c>
      <c r="F10" s="42" t="s">
        <v>331</v>
      </c>
      <c r="G10" s="42">
        <v>1</v>
      </c>
      <c r="H10" s="42" t="s">
        <v>331</v>
      </c>
      <c r="I10" s="42" t="s">
        <v>331</v>
      </c>
      <c r="J10" s="42">
        <f t="shared" si="0"/>
        <v>100</v>
      </c>
    </row>
    <row r="11" spans="1:11" ht="21" customHeight="1" x14ac:dyDescent="0.15">
      <c r="A11" s="122">
        <v>39008010</v>
      </c>
      <c r="B11" s="42">
        <v>0</v>
      </c>
      <c r="C11" s="42">
        <v>1</v>
      </c>
      <c r="D11" s="42">
        <v>40</v>
      </c>
      <c r="E11" s="42" t="s">
        <v>331</v>
      </c>
      <c r="F11" s="42" t="s">
        <v>331</v>
      </c>
      <c r="G11" s="42" t="s">
        <v>331</v>
      </c>
      <c r="H11" s="42" t="s">
        <v>331</v>
      </c>
      <c r="I11" s="42" t="s">
        <v>331</v>
      </c>
      <c r="J11" s="42">
        <f t="shared" si="0"/>
        <v>40</v>
      </c>
    </row>
    <row r="12" spans="1:11" ht="21" customHeight="1" x14ac:dyDescent="0.15">
      <c r="A12" s="122">
        <v>39008011</v>
      </c>
      <c r="B12" s="42">
        <v>0</v>
      </c>
      <c r="C12" s="42">
        <v>1</v>
      </c>
      <c r="D12" s="42">
        <v>40</v>
      </c>
      <c r="E12" s="42" t="s">
        <v>331</v>
      </c>
      <c r="F12" s="42" t="s">
        <v>331</v>
      </c>
      <c r="G12" s="42">
        <v>2</v>
      </c>
      <c r="H12" s="42" t="s">
        <v>331</v>
      </c>
      <c r="I12" s="42" t="s">
        <v>331</v>
      </c>
      <c r="J12" s="42">
        <f t="shared" si="0"/>
        <v>40</v>
      </c>
    </row>
    <row r="13" spans="1:11" ht="21" customHeight="1" x14ac:dyDescent="0.15">
      <c r="A13" s="122">
        <v>39008012</v>
      </c>
      <c r="B13" s="42">
        <v>0</v>
      </c>
      <c r="C13" s="42">
        <v>2</v>
      </c>
      <c r="D13" s="42">
        <v>70</v>
      </c>
      <c r="E13" s="42" t="s">
        <v>331</v>
      </c>
      <c r="F13" s="42" t="s">
        <v>331</v>
      </c>
      <c r="G13" s="42">
        <v>1</v>
      </c>
      <c r="H13" s="42" t="s">
        <v>331</v>
      </c>
      <c r="I13" s="42" t="s">
        <v>331</v>
      </c>
      <c r="J13" s="42">
        <f t="shared" si="0"/>
        <v>70</v>
      </c>
    </row>
    <row r="14" spans="1:11" ht="21" customHeight="1" x14ac:dyDescent="0.15">
      <c r="A14" s="122">
        <v>39008013</v>
      </c>
      <c r="B14" s="42">
        <v>0</v>
      </c>
      <c r="C14" s="42" t="s">
        <v>331</v>
      </c>
      <c r="D14" s="42">
        <v>100</v>
      </c>
      <c r="E14" s="42" t="s">
        <v>331</v>
      </c>
      <c r="F14" s="42" t="s">
        <v>331</v>
      </c>
      <c r="G14" s="42">
        <v>1</v>
      </c>
      <c r="H14" s="42" t="s">
        <v>331</v>
      </c>
      <c r="I14" s="42">
        <v>529</v>
      </c>
      <c r="J14" s="42">
        <f t="shared" si="0"/>
        <v>100</v>
      </c>
    </row>
    <row r="15" spans="1:11" ht="21" customHeight="1" x14ac:dyDescent="0.15">
      <c r="A15" s="122">
        <v>39008014</v>
      </c>
      <c r="B15" s="42">
        <v>0</v>
      </c>
      <c r="C15" s="42" t="s">
        <v>331</v>
      </c>
      <c r="D15" s="42">
        <v>100</v>
      </c>
      <c r="E15" s="42" t="s">
        <v>331</v>
      </c>
      <c r="F15" s="42" t="s">
        <v>331</v>
      </c>
      <c r="G15" s="42">
        <v>1</v>
      </c>
      <c r="H15" s="42" t="s">
        <v>331</v>
      </c>
      <c r="I15" s="42">
        <v>531</v>
      </c>
      <c r="J15" s="42">
        <f t="shared" si="0"/>
        <v>100</v>
      </c>
    </row>
    <row r="16" spans="1:11" ht="21" customHeight="1" x14ac:dyDescent="0.15">
      <c r="A16" s="122">
        <v>39008015</v>
      </c>
      <c r="B16" s="42">
        <v>0</v>
      </c>
      <c r="C16" s="42" t="s">
        <v>331</v>
      </c>
      <c r="D16" s="42">
        <v>100</v>
      </c>
      <c r="E16" s="42" t="s">
        <v>331</v>
      </c>
      <c r="F16" s="42" t="s">
        <v>331</v>
      </c>
      <c r="G16" s="42">
        <v>1</v>
      </c>
      <c r="H16" s="42" t="s">
        <v>331</v>
      </c>
      <c r="I16" s="42">
        <v>534</v>
      </c>
      <c r="J16" s="42">
        <f t="shared" si="0"/>
        <v>100</v>
      </c>
    </row>
    <row r="17" spans="1:10" ht="21" customHeight="1" x14ac:dyDescent="0.15">
      <c r="A17" s="122">
        <v>39008016</v>
      </c>
      <c r="B17" s="42">
        <v>0</v>
      </c>
      <c r="C17" s="42" t="s">
        <v>331</v>
      </c>
      <c r="D17" s="42">
        <v>100</v>
      </c>
      <c r="E17" s="42" t="s">
        <v>331</v>
      </c>
      <c r="F17" s="42" t="s">
        <v>331</v>
      </c>
      <c r="G17" s="42">
        <v>1</v>
      </c>
      <c r="H17" s="42" t="s">
        <v>331</v>
      </c>
      <c r="I17" s="42">
        <v>536</v>
      </c>
      <c r="J17" s="42">
        <f t="shared" si="0"/>
        <v>100</v>
      </c>
    </row>
    <row r="18" spans="1:10" ht="21" customHeight="1" x14ac:dyDescent="0.15">
      <c r="A18" s="122">
        <v>39008017</v>
      </c>
      <c r="B18" s="42">
        <v>1</v>
      </c>
      <c r="C18" s="42" t="s">
        <v>331</v>
      </c>
      <c r="D18" s="42">
        <v>100</v>
      </c>
      <c r="E18" s="42" t="s">
        <v>331</v>
      </c>
      <c r="F18" s="42" t="s">
        <v>331</v>
      </c>
      <c r="G18" s="42">
        <v>1</v>
      </c>
      <c r="H18" s="42" t="s">
        <v>331</v>
      </c>
      <c r="I18" s="42" t="s">
        <v>331</v>
      </c>
      <c r="J18" s="42">
        <f t="shared" si="0"/>
        <v>100</v>
      </c>
    </row>
    <row r="19" spans="1:10" ht="21" customHeight="1" x14ac:dyDescent="0.15">
      <c r="A19" s="122">
        <v>39008018</v>
      </c>
      <c r="B19" s="42">
        <v>0</v>
      </c>
      <c r="C19" s="42">
        <v>1</v>
      </c>
      <c r="D19" s="42">
        <v>40</v>
      </c>
      <c r="E19" s="42" t="s">
        <v>331</v>
      </c>
      <c r="F19" s="42" t="s">
        <v>331</v>
      </c>
      <c r="G19" s="42">
        <v>1</v>
      </c>
      <c r="H19" s="42" t="s">
        <v>331</v>
      </c>
      <c r="I19" s="42" t="s">
        <v>331</v>
      </c>
      <c r="J19" s="42">
        <f t="shared" si="0"/>
        <v>40</v>
      </c>
    </row>
    <row r="20" spans="1:10" ht="21" customHeight="1" x14ac:dyDescent="0.15">
      <c r="A20" s="122">
        <v>39008019</v>
      </c>
      <c r="B20" s="42">
        <v>0</v>
      </c>
      <c r="C20" s="42">
        <v>1</v>
      </c>
      <c r="D20" s="42">
        <v>40</v>
      </c>
      <c r="E20" s="42" t="s">
        <v>331</v>
      </c>
      <c r="F20" s="42" t="s">
        <v>331</v>
      </c>
      <c r="G20" s="42" t="s">
        <v>331</v>
      </c>
      <c r="H20" s="42" t="s">
        <v>331</v>
      </c>
      <c r="I20" s="42" t="s">
        <v>331</v>
      </c>
      <c r="J20" s="42">
        <f t="shared" si="0"/>
        <v>40</v>
      </c>
    </row>
    <row r="21" spans="1:10" ht="21" customHeight="1" x14ac:dyDescent="0.15">
      <c r="A21" s="122">
        <v>39008020</v>
      </c>
      <c r="B21" s="42">
        <v>0</v>
      </c>
      <c r="C21" s="42">
        <v>2</v>
      </c>
      <c r="D21" s="42">
        <v>100</v>
      </c>
      <c r="E21" s="42">
        <v>50</v>
      </c>
      <c r="F21" s="42" t="s">
        <v>331</v>
      </c>
      <c r="G21" s="42">
        <v>1</v>
      </c>
      <c r="H21" s="42" t="s">
        <v>331</v>
      </c>
      <c r="I21" s="42" t="s">
        <v>331</v>
      </c>
      <c r="J21" s="42">
        <f t="shared" si="0"/>
        <v>100</v>
      </c>
    </row>
    <row r="22" spans="1:10" ht="21" customHeight="1" x14ac:dyDescent="0.15">
      <c r="A22" s="122">
        <v>39008021</v>
      </c>
      <c r="B22" s="42">
        <v>0</v>
      </c>
      <c r="C22" s="42">
        <v>1</v>
      </c>
      <c r="D22" s="42">
        <v>100</v>
      </c>
      <c r="E22" s="42">
        <v>100</v>
      </c>
      <c r="F22" s="42">
        <v>76</v>
      </c>
      <c r="G22" s="42" t="s">
        <v>331</v>
      </c>
      <c r="H22" s="42" t="s">
        <v>331</v>
      </c>
      <c r="I22" s="42" t="s">
        <v>331</v>
      </c>
      <c r="J22" s="42">
        <f t="shared" si="0"/>
        <v>100</v>
      </c>
    </row>
    <row r="23" spans="1:10" ht="21" customHeight="1" x14ac:dyDescent="0.15">
      <c r="A23" s="122">
        <v>39008022</v>
      </c>
      <c r="B23" s="42">
        <v>0</v>
      </c>
      <c r="C23" s="42">
        <v>1</v>
      </c>
      <c r="D23" s="42">
        <v>100</v>
      </c>
      <c r="E23" s="42">
        <v>75</v>
      </c>
      <c r="F23" s="42">
        <v>51</v>
      </c>
      <c r="G23" s="42" t="s">
        <v>331</v>
      </c>
      <c r="H23" s="42" t="s">
        <v>331</v>
      </c>
      <c r="I23" s="42" t="s">
        <v>331</v>
      </c>
      <c r="J23" s="42">
        <f t="shared" si="0"/>
        <v>100</v>
      </c>
    </row>
    <row r="24" spans="1:10" ht="21" customHeight="1" x14ac:dyDescent="0.15">
      <c r="A24" s="122">
        <v>39008023</v>
      </c>
      <c r="B24" s="42">
        <v>0</v>
      </c>
      <c r="C24" s="42">
        <v>1</v>
      </c>
      <c r="D24" s="42">
        <v>100</v>
      </c>
      <c r="E24" s="42">
        <v>50</v>
      </c>
      <c r="F24" s="42">
        <v>26</v>
      </c>
      <c r="G24" s="42" t="s">
        <v>331</v>
      </c>
      <c r="H24" s="42" t="s">
        <v>331</v>
      </c>
      <c r="I24" s="42" t="s">
        <v>331</v>
      </c>
      <c r="J24" s="42">
        <f t="shared" si="0"/>
        <v>100</v>
      </c>
    </row>
    <row r="25" spans="1:10" ht="21" customHeight="1" x14ac:dyDescent="0.15">
      <c r="A25" s="122">
        <v>39008024</v>
      </c>
      <c r="B25" s="42">
        <v>0</v>
      </c>
      <c r="C25" s="42">
        <v>1</v>
      </c>
      <c r="D25" s="42">
        <v>100</v>
      </c>
      <c r="E25" s="42">
        <v>25</v>
      </c>
      <c r="F25" s="42" t="s">
        <v>331</v>
      </c>
      <c r="G25" s="42" t="s">
        <v>331</v>
      </c>
      <c r="H25" s="42" t="s">
        <v>331</v>
      </c>
      <c r="I25" s="42" t="s">
        <v>331</v>
      </c>
      <c r="J25" s="42">
        <f t="shared" si="0"/>
        <v>100</v>
      </c>
    </row>
    <row r="26" spans="1:10" ht="21" customHeight="1" x14ac:dyDescent="0.15">
      <c r="A26" s="122">
        <v>39008025</v>
      </c>
      <c r="B26" s="42">
        <v>0</v>
      </c>
      <c r="C26" s="42">
        <v>2</v>
      </c>
      <c r="D26" s="42">
        <v>100</v>
      </c>
      <c r="E26" s="42">
        <v>50</v>
      </c>
      <c r="F26" s="42" t="s">
        <v>331</v>
      </c>
      <c r="G26" s="42">
        <v>1</v>
      </c>
      <c r="H26" s="42" t="s">
        <v>331</v>
      </c>
      <c r="I26" s="42" t="s">
        <v>331</v>
      </c>
      <c r="J26" s="42">
        <f t="shared" si="0"/>
        <v>100</v>
      </c>
    </row>
    <row r="27" spans="1:10" ht="21" customHeight="1" x14ac:dyDescent="0.15">
      <c r="A27" s="122">
        <v>39008026</v>
      </c>
      <c r="B27" s="42">
        <v>1</v>
      </c>
      <c r="C27" s="42">
        <v>1</v>
      </c>
      <c r="D27" s="42">
        <v>100</v>
      </c>
      <c r="E27" s="42" t="s">
        <v>331</v>
      </c>
      <c r="F27" s="42" t="s">
        <v>331</v>
      </c>
      <c r="G27" s="42">
        <v>1</v>
      </c>
      <c r="H27" s="42" t="s">
        <v>331</v>
      </c>
      <c r="I27" s="42" t="s">
        <v>331</v>
      </c>
      <c r="J27" s="42">
        <f t="shared" si="0"/>
        <v>100</v>
      </c>
    </row>
    <row r="28" spans="1:10" ht="21" customHeight="1" x14ac:dyDescent="0.15">
      <c r="A28" s="122">
        <v>39008027</v>
      </c>
      <c r="B28" s="42">
        <v>0</v>
      </c>
      <c r="C28" s="42">
        <v>1</v>
      </c>
      <c r="D28" s="42">
        <v>40</v>
      </c>
      <c r="E28" s="42" t="s">
        <v>331</v>
      </c>
      <c r="F28" s="42" t="s">
        <v>331</v>
      </c>
      <c r="G28" s="42" t="s">
        <v>331</v>
      </c>
      <c r="H28" s="42" t="s">
        <v>331</v>
      </c>
      <c r="I28" s="42" t="s">
        <v>331</v>
      </c>
      <c r="J28" s="42">
        <f t="shared" si="0"/>
        <v>40</v>
      </c>
    </row>
    <row r="29" spans="1:10" ht="21" customHeight="1" x14ac:dyDescent="0.15">
      <c r="A29" s="122">
        <v>39008028</v>
      </c>
      <c r="B29" s="42">
        <v>0</v>
      </c>
      <c r="C29" s="42">
        <v>1</v>
      </c>
      <c r="D29" s="42">
        <v>40</v>
      </c>
      <c r="E29" s="42" t="s">
        <v>331</v>
      </c>
      <c r="F29" s="42" t="s">
        <v>331</v>
      </c>
      <c r="G29" s="42">
        <v>2</v>
      </c>
      <c r="H29" s="42" t="s">
        <v>331</v>
      </c>
      <c r="I29" s="42" t="s">
        <v>331</v>
      </c>
      <c r="J29" s="42">
        <f t="shared" si="0"/>
        <v>40</v>
      </c>
    </row>
    <row r="30" spans="1:10" ht="21" customHeight="1" x14ac:dyDescent="0.15">
      <c r="A30" s="122">
        <v>39008029</v>
      </c>
      <c r="B30" s="42">
        <v>0</v>
      </c>
      <c r="C30" s="42">
        <v>2</v>
      </c>
      <c r="D30" s="42">
        <v>100</v>
      </c>
      <c r="E30" s="42">
        <v>40</v>
      </c>
      <c r="F30" s="42" t="s">
        <v>331</v>
      </c>
      <c r="G30" s="42">
        <v>1</v>
      </c>
      <c r="H30" s="42" t="s">
        <v>331</v>
      </c>
      <c r="I30" s="42" t="s">
        <v>331</v>
      </c>
      <c r="J30" s="42">
        <f t="shared" si="0"/>
        <v>100</v>
      </c>
    </row>
    <row r="31" spans="1:10" ht="21" customHeight="1" x14ac:dyDescent="0.15">
      <c r="A31" s="122">
        <v>39008030</v>
      </c>
      <c r="B31" s="42">
        <v>0</v>
      </c>
      <c r="C31" s="42">
        <v>2</v>
      </c>
      <c r="D31" s="42">
        <v>30</v>
      </c>
      <c r="E31" s="42" t="s">
        <v>331</v>
      </c>
      <c r="F31" s="42" t="s">
        <v>331</v>
      </c>
      <c r="G31" s="42">
        <v>3</v>
      </c>
      <c r="H31" s="42" t="s">
        <v>331</v>
      </c>
      <c r="I31" s="42" t="s">
        <v>331</v>
      </c>
      <c r="J31" s="42">
        <f t="shared" si="0"/>
        <v>30</v>
      </c>
    </row>
    <row r="32" spans="1:10" ht="21" customHeight="1" x14ac:dyDescent="0.15">
      <c r="A32" s="122">
        <v>39008031</v>
      </c>
      <c r="B32" s="42">
        <v>1</v>
      </c>
      <c r="C32" s="42">
        <v>1</v>
      </c>
      <c r="D32" s="42">
        <v>100</v>
      </c>
      <c r="E32" s="42" t="s">
        <v>331</v>
      </c>
      <c r="F32" s="42" t="s">
        <v>331</v>
      </c>
      <c r="G32" s="42">
        <v>1</v>
      </c>
      <c r="H32" s="42" t="s">
        <v>331</v>
      </c>
      <c r="I32" s="42" t="s">
        <v>331</v>
      </c>
      <c r="J32" s="42">
        <f t="shared" si="0"/>
        <v>100</v>
      </c>
    </row>
    <row r="33" spans="1:10" ht="21" customHeight="1" x14ac:dyDescent="0.15">
      <c r="A33" s="122">
        <v>39008032</v>
      </c>
      <c r="B33" s="42">
        <v>1</v>
      </c>
      <c r="C33" s="42">
        <v>999</v>
      </c>
      <c r="D33" s="42">
        <v>100</v>
      </c>
      <c r="E33" s="42" t="s">
        <v>331</v>
      </c>
      <c r="F33" s="42" t="s">
        <v>331</v>
      </c>
      <c r="G33" s="42">
        <v>1</v>
      </c>
      <c r="H33" s="42" t="s">
        <v>331</v>
      </c>
      <c r="I33" s="42">
        <v>547</v>
      </c>
      <c r="J33" s="42">
        <f t="shared" si="0"/>
        <v>100</v>
      </c>
    </row>
    <row r="34" spans="1:10" ht="21" customHeight="1" x14ac:dyDescent="0.15">
      <c r="A34" s="122">
        <v>39008033</v>
      </c>
      <c r="B34" s="42">
        <v>1</v>
      </c>
      <c r="C34" s="42">
        <v>998</v>
      </c>
      <c r="D34" s="42">
        <v>100</v>
      </c>
      <c r="E34" s="42" t="s">
        <v>331</v>
      </c>
      <c r="F34" s="42" t="s">
        <v>331</v>
      </c>
      <c r="G34" s="42">
        <v>1</v>
      </c>
      <c r="H34" s="42" t="s">
        <v>331</v>
      </c>
      <c r="I34" s="42">
        <v>549</v>
      </c>
      <c r="J34" s="42">
        <f t="shared" si="0"/>
        <v>100</v>
      </c>
    </row>
    <row r="35" spans="1:10" ht="21" customHeight="1" x14ac:dyDescent="0.15">
      <c r="A35" s="122">
        <v>39008034</v>
      </c>
      <c r="B35" s="42">
        <v>1</v>
      </c>
      <c r="C35" s="42">
        <v>997</v>
      </c>
      <c r="D35" s="42">
        <v>100</v>
      </c>
      <c r="E35" s="42" t="s">
        <v>331</v>
      </c>
      <c r="F35" s="42" t="s">
        <v>331</v>
      </c>
      <c r="G35" s="42">
        <v>1</v>
      </c>
      <c r="H35" s="42" t="s">
        <v>331</v>
      </c>
      <c r="I35" s="42">
        <v>1322</v>
      </c>
      <c r="J35" s="42">
        <f t="shared" si="0"/>
        <v>100</v>
      </c>
    </row>
    <row r="36" spans="1:10" ht="21" customHeight="1" x14ac:dyDescent="0.15">
      <c r="A36" s="122">
        <v>39008035</v>
      </c>
      <c r="B36" s="42">
        <v>1</v>
      </c>
      <c r="C36" s="42">
        <v>996</v>
      </c>
      <c r="D36" s="42">
        <v>100</v>
      </c>
      <c r="E36" s="42" t="s">
        <v>331</v>
      </c>
      <c r="F36" s="42" t="s">
        <v>331</v>
      </c>
      <c r="G36" s="42">
        <v>1</v>
      </c>
      <c r="H36" s="42" t="s">
        <v>331</v>
      </c>
      <c r="I36" s="42">
        <v>551</v>
      </c>
      <c r="J36" s="42">
        <f t="shared" si="0"/>
        <v>100</v>
      </c>
    </row>
    <row r="37" spans="1:10" ht="21" customHeight="1" x14ac:dyDescent="0.15">
      <c r="A37" s="122">
        <v>39008036</v>
      </c>
      <c r="B37" s="42">
        <v>1</v>
      </c>
      <c r="C37" s="42">
        <v>995</v>
      </c>
      <c r="D37" s="42">
        <v>100</v>
      </c>
      <c r="E37" s="42" t="s">
        <v>331</v>
      </c>
      <c r="F37" s="42" t="s">
        <v>331</v>
      </c>
      <c r="G37" s="42">
        <v>1</v>
      </c>
      <c r="H37" s="42" t="s">
        <v>331</v>
      </c>
      <c r="I37" s="42">
        <v>525</v>
      </c>
      <c r="J37" s="42">
        <f t="shared" si="0"/>
        <v>100</v>
      </c>
    </row>
    <row r="38" spans="1:10" ht="21" customHeight="1" x14ac:dyDescent="0.15">
      <c r="A38" s="122">
        <v>39008037</v>
      </c>
      <c r="B38" s="42">
        <v>1</v>
      </c>
      <c r="C38" s="42">
        <v>994</v>
      </c>
      <c r="D38" s="42">
        <v>100</v>
      </c>
      <c r="E38" s="42" t="s">
        <v>331</v>
      </c>
      <c r="F38" s="42" t="s">
        <v>331</v>
      </c>
      <c r="G38" s="42">
        <v>1</v>
      </c>
      <c r="H38" s="42" t="s">
        <v>331</v>
      </c>
      <c r="I38" s="42">
        <v>526</v>
      </c>
      <c r="J38" s="42">
        <f t="shared" si="0"/>
        <v>100</v>
      </c>
    </row>
    <row r="39" spans="1:10" ht="21" customHeight="1" x14ac:dyDescent="0.15">
      <c r="A39" s="122">
        <v>39008038</v>
      </c>
      <c r="B39" s="42">
        <v>1</v>
      </c>
      <c r="C39" s="42">
        <v>993</v>
      </c>
      <c r="D39" s="42">
        <v>100</v>
      </c>
      <c r="E39" s="42" t="s">
        <v>331</v>
      </c>
      <c r="F39" s="42" t="s">
        <v>331</v>
      </c>
      <c r="G39" s="42">
        <v>1</v>
      </c>
      <c r="H39" s="42" t="s">
        <v>331</v>
      </c>
      <c r="I39" s="42">
        <v>553</v>
      </c>
      <c r="J39" s="42">
        <f t="shared" si="0"/>
        <v>100</v>
      </c>
    </row>
    <row r="40" spans="1:10" ht="21" customHeight="1" x14ac:dyDescent="0.15">
      <c r="A40" s="122">
        <v>39008039</v>
      </c>
      <c r="B40" s="42">
        <v>1</v>
      </c>
      <c r="C40" s="42">
        <v>992</v>
      </c>
      <c r="D40" s="42">
        <v>100</v>
      </c>
      <c r="E40" s="42" t="s">
        <v>331</v>
      </c>
      <c r="F40" s="42" t="s">
        <v>331</v>
      </c>
      <c r="G40" s="42">
        <v>1</v>
      </c>
      <c r="H40" s="42" t="s">
        <v>331</v>
      </c>
      <c r="I40" s="42">
        <v>555</v>
      </c>
      <c r="J40" s="42">
        <f t="shared" si="0"/>
        <v>100</v>
      </c>
    </row>
    <row r="41" spans="1:10" ht="21" customHeight="1" x14ac:dyDescent="0.15">
      <c r="A41" s="122">
        <v>39008040</v>
      </c>
      <c r="B41" s="42">
        <v>1</v>
      </c>
      <c r="C41" s="42">
        <v>991</v>
      </c>
      <c r="D41" s="42">
        <v>100</v>
      </c>
      <c r="E41" s="42" t="s">
        <v>331</v>
      </c>
      <c r="F41" s="42" t="s">
        <v>331</v>
      </c>
      <c r="G41" s="42">
        <v>1</v>
      </c>
      <c r="H41" s="42" t="s">
        <v>331</v>
      </c>
      <c r="I41" s="42">
        <v>557</v>
      </c>
      <c r="J41" s="42">
        <f t="shared" si="0"/>
        <v>100</v>
      </c>
    </row>
    <row r="42" spans="1:10" ht="21" customHeight="1" x14ac:dyDescent="0.15">
      <c r="A42" s="122">
        <v>39008041</v>
      </c>
      <c r="B42" s="42">
        <v>1</v>
      </c>
      <c r="C42" s="42">
        <v>990</v>
      </c>
      <c r="D42" s="42">
        <v>100</v>
      </c>
      <c r="E42" s="42" t="s">
        <v>331</v>
      </c>
      <c r="F42" s="42" t="s">
        <v>331</v>
      </c>
      <c r="G42" s="42">
        <v>1</v>
      </c>
      <c r="H42" s="42" t="s">
        <v>331</v>
      </c>
      <c r="I42" s="42">
        <v>1295</v>
      </c>
      <c r="J42" s="42">
        <f t="shared" si="0"/>
        <v>100</v>
      </c>
    </row>
    <row r="43" spans="1:10" ht="21" customHeight="1" x14ac:dyDescent="0.15">
      <c r="A43" s="122">
        <v>39008042</v>
      </c>
      <c r="B43" s="42">
        <v>1</v>
      </c>
      <c r="C43" s="42">
        <v>989</v>
      </c>
      <c r="D43" s="42">
        <v>100</v>
      </c>
      <c r="E43" s="42" t="s">
        <v>331</v>
      </c>
      <c r="F43" s="42" t="s">
        <v>331</v>
      </c>
      <c r="G43" s="42">
        <v>1</v>
      </c>
      <c r="H43" s="42" t="s">
        <v>331</v>
      </c>
      <c r="I43" s="42">
        <v>1304</v>
      </c>
      <c r="J43" s="42">
        <f t="shared" si="0"/>
        <v>100</v>
      </c>
    </row>
    <row r="44" spans="1:10" ht="21" customHeight="1" x14ac:dyDescent="0.15">
      <c r="A44" s="122">
        <v>39008043</v>
      </c>
      <c r="B44" s="42">
        <v>1</v>
      </c>
      <c r="C44" s="42">
        <v>988</v>
      </c>
      <c r="D44" s="42">
        <v>100</v>
      </c>
      <c r="E44" s="42" t="s">
        <v>331</v>
      </c>
      <c r="F44" s="42" t="s">
        <v>331</v>
      </c>
      <c r="G44" s="42">
        <v>1</v>
      </c>
      <c r="H44" s="42" t="s">
        <v>331</v>
      </c>
      <c r="I44" s="42">
        <v>539</v>
      </c>
      <c r="J44" s="42">
        <f t="shared" si="0"/>
        <v>100</v>
      </c>
    </row>
    <row r="45" spans="1:10" ht="21" customHeight="1" x14ac:dyDescent="0.15">
      <c r="A45" s="122">
        <v>39008044</v>
      </c>
      <c r="B45" s="42">
        <v>1</v>
      </c>
      <c r="C45" s="42">
        <v>987</v>
      </c>
      <c r="D45" s="42">
        <v>100</v>
      </c>
      <c r="E45" s="42" t="s">
        <v>331</v>
      </c>
      <c r="F45" s="42" t="s">
        <v>331</v>
      </c>
      <c r="G45" s="42">
        <v>1</v>
      </c>
      <c r="H45" s="42" t="s">
        <v>331</v>
      </c>
      <c r="I45" s="42">
        <v>541</v>
      </c>
      <c r="J45" s="42">
        <f t="shared" si="0"/>
        <v>100</v>
      </c>
    </row>
    <row r="46" spans="1:10" ht="21" customHeight="1" x14ac:dyDescent="0.15">
      <c r="A46" s="122">
        <v>39008045</v>
      </c>
      <c r="B46" s="42">
        <v>1</v>
      </c>
      <c r="C46" s="42">
        <v>986</v>
      </c>
      <c r="D46" s="42">
        <v>100</v>
      </c>
      <c r="E46" s="42" t="s">
        <v>331</v>
      </c>
      <c r="F46" s="42" t="s">
        <v>331</v>
      </c>
      <c r="G46" s="42">
        <v>1</v>
      </c>
      <c r="H46" s="42" t="s">
        <v>331</v>
      </c>
      <c r="I46" s="42">
        <v>1297</v>
      </c>
      <c r="J46" s="42">
        <f t="shared" si="0"/>
        <v>100</v>
      </c>
    </row>
    <row r="47" spans="1:10" ht="21" customHeight="1" x14ac:dyDescent="0.15">
      <c r="A47" s="122">
        <v>39008046</v>
      </c>
      <c r="B47" s="42">
        <v>1</v>
      </c>
      <c r="C47" s="42">
        <v>985</v>
      </c>
      <c r="D47" s="42">
        <v>100</v>
      </c>
      <c r="E47" s="42" t="s">
        <v>331</v>
      </c>
      <c r="F47" s="42" t="s">
        <v>331</v>
      </c>
      <c r="G47" s="42">
        <v>1</v>
      </c>
      <c r="H47" s="42" t="s">
        <v>331</v>
      </c>
      <c r="I47" s="42">
        <v>1300</v>
      </c>
      <c r="J47" s="42">
        <f t="shared" si="0"/>
        <v>100</v>
      </c>
    </row>
    <row r="48" spans="1:10" ht="21" customHeight="1" x14ac:dyDescent="0.15">
      <c r="A48" s="122">
        <v>39008047</v>
      </c>
      <c r="B48" s="42">
        <v>1</v>
      </c>
      <c r="C48" s="42">
        <v>984</v>
      </c>
      <c r="D48" s="42">
        <v>100</v>
      </c>
      <c r="E48" s="42" t="s">
        <v>331</v>
      </c>
      <c r="F48" s="42" t="s">
        <v>331</v>
      </c>
      <c r="G48" s="42">
        <v>1</v>
      </c>
      <c r="H48" s="42" t="s">
        <v>331</v>
      </c>
      <c r="I48" s="42">
        <v>1316</v>
      </c>
      <c r="J48" s="42">
        <f t="shared" si="0"/>
        <v>100</v>
      </c>
    </row>
    <row r="49" spans="1:10" ht="21" customHeight="1" x14ac:dyDescent="0.15">
      <c r="A49" s="122">
        <v>39008048</v>
      </c>
      <c r="B49" s="42">
        <v>1</v>
      </c>
      <c r="C49" s="42">
        <v>983</v>
      </c>
      <c r="D49" s="42">
        <v>100</v>
      </c>
      <c r="E49" s="42" t="s">
        <v>331</v>
      </c>
      <c r="F49" s="42" t="s">
        <v>331</v>
      </c>
      <c r="G49" s="42">
        <v>1</v>
      </c>
      <c r="H49" s="42" t="s">
        <v>331</v>
      </c>
      <c r="I49" s="42">
        <v>527</v>
      </c>
      <c r="J49" s="42">
        <f t="shared" si="0"/>
        <v>100</v>
      </c>
    </row>
    <row r="50" spans="1:10" ht="21" customHeight="1" x14ac:dyDescent="0.15">
      <c r="A50" s="122">
        <v>39008049</v>
      </c>
      <c r="B50" s="42">
        <v>1</v>
      </c>
      <c r="C50" s="42">
        <v>982</v>
      </c>
      <c r="D50" s="42">
        <v>100</v>
      </c>
      <c r="E50" s="42" t="s">
        <v>331</v>
      </c>
      <c r="F50" s="42" t="s">
        <v>331</v>
      </c>
      <c r="G50" s="42">
        <v>1</v>
      </c>
      <c r="H50" s="42" t="s">
        <v>331</v>
      </c>
      <c r="I50" s="42">
        <v>543</v>
      </c>
      <c r="J50" s="42">
        <f t="shared" si="0"/>
        <v>100</v>
      </c>
    </row>
    <row r="51" spans="1:10" ht="21" customHeight="1" x14ac:dyDescent="0.15">
      <c r="A51" s="122">
        <v>39008050</v>
      </c>
      <c r="B51" s="42">
        <v>1</v>
      </c>
      <c r="C51" s="42">
        <v>981</v>
      </c>
      <c r="D51" s="42">
        <v>100</v>
      </c>
      <c r="E51" s="42" t="s">
        <v>331</v>
      </c>
      <c r="F51" s="42" t="s">
        <v>331</v>
      </c>
      <c r="G51" s="42">
        <v>1</v>
      </c>
      <c r="H51" s="42" t="s">
        <v>331</v>
      </c>
      <c r="I51" s="42">
        <v>545</v>
      </c>
      <c r="J51" s="42">
        <f t="shared" si="0"/>
        <v>100</v>
      </c>
    </row>
    <row r="52" spans="1:10" ht="21" customHeight="1" x14ac:dyDescent="0.15">
      <c r="A52" s="122">
        <v>39008051</v>
      </c>
      <c r="B52" s="42">
        <v>1</v>
      </c>
      <c r="C52" s="42">
        <v>980</v>
      </c>
      <c r="D52" s="42">
        <v>100</v>
      </c>
      <c r="E52" s="42" t="s">
        <v>331</v>
      </c>
      <c r="F52" s="42" t="s">
        <v>331</v>
      </c>
      <c r="G52" s="42">
        <v>1</v>
      </c>
      <c r="H52" s="42" t="s">
        <v>331</v>
      </c>
      <c r="I52" s="42">
        <v>1302</v>
      </c>
      <c r="J52" s="42">
        <f t="shared" si="0"/>
        <v>100</v>
      </c>
    </row>
    <row r="53" spans="1:10" ht="21" customHeight="1" x14ac:dyDescent="0.15">
      <c r="A53" s="122">
        <v>39008052</v>
      </c>
      <c r="B53" s="42">
        <v>1</v>
      </c>
      <c r="C53" s="42">
        <v>979</v>
      </c>
      <c r="D53" s="42">
        <v>100</v>
      </c>
      <c r="E53" s="42" t="s">
        <v>331</v>
      </c>
      <c r="F53" s="42" t="s">
        <v>331</v>
      </c>
      <c r="G53" s="42">
        <v>1</v>
      </c>
      <c r="H53" s="42" t="s">
        <v>331</v>
      </c>
      <c r="I53" s="42">
        <v>1306</v>
      </c>
      <c r="J53" s="42">
        <f t="shared" si="0"/>
        <v>100</v>
      </c>
    </row>
    <row r="54" spans="1:10" ht="21" customHeight="1" x14ac:dyDescent="0.15">
      <c r="A54" s="122">
        <v>39008053</v>
      </c>
      <c r="B54" s="42">
        <v>1</v>
      </c>
      <c r="C54" s="42">
        <v>978</v>
      </c>
      <c r="D54" s="42">
        <v>100</v>
      </c>
      <c r="E54" s="42" t="s">
        <v>331</v>
      </c>
      <c r="F54" s="42" t="s">
        <v>331</v>
      </c>
      <c r="G54" s="42">
        <v>1</v>
      </c>
      <c r="H54" s="42" t="s">
        <v>331</v>
      </c>
      <c r="I54" s="42">
        <v>1318</v>
      </c>
      <c r="J54" s="42">
        <f t="shared" si="0"/>
        <v>100</v>
      </c>
    </row>
    <row r="55" spans="1:10" ht="21" customHeight="1" x14ac:dyDescent="0.15">
      <c r="A55" s="122">
        <v>39008054</v>
      </c>
      <c r="B55" s="42">
        <v>1</v>
      </c>
      <c r="C55" s="42">
        <v>977</v>
      </c>
      <c r="D55" s="42">
        <v>100</v>
      </c>
      <c r="E55" s="42" t="s">
        <v>331</v>
      </c>
      <c r="F55" s="42" t="s">
        <v>331</v>
      </c>
      <c r="G55" s="42">
        <v>1</v>
      </c>
      <c r="H55" s="42" t="s">
        <v>331</v>
      </c>
      <c r="I55" s="42">
        <v>1320</v>
      </c>
      <c r="J55" s="42">
        <f t="shared" si="0"/>
        <v>100</v>
      </c>
    </row>
    <row r="56" spans="1:10" ht="21" customHeight="1" x14ac:dyDescent="0.15">
      <c r="A56" s="122">
        <v>39008055</v>
      </c>
      <c r="B56" s="42">
        <v>1</v>
      </c>
      <c r="C56" s="42">
        <v>976</v>
      </c>
      <c r="D56" s="42">
        <v>100</v>
      </c>
      <c r="E56" s="42" t="s">
        <v>331</v>
      </c>
      <c r="F56" s="42" t="s">
        <v>331</v>
      </c>
      <c r="G56" s="42">
        <v>1</v>
      </c>
      <c r="H56" s="42" t="s">
        <v>331</v>
      </c>
      <c r="I56" s="42">
        <v>547</v>
      </c>
      <c r="J56" s="42">
        <f t="shared" si="0"/>
        <v>100</v>
      </c>
    </row>
    <row r="57" spans="1:10" ht="21" customHeight="1" x14ac:dyDescent="0.15">
      <c r="A57" s="122">
        <v>39008056</v>
      </c>
      <c r="B57" s="42">
        <v>1</v>
      </c>
      <c r="C57" s="42">
        <v>975</v>
      </c>
      <c r="D57" s="42">
        <v>100</v>
      </c>
      <c r="E57" s="42" t="s">
        <v>331</v>
      </c>
      <c r="F57" s="42" t="s">
        <v>331</v>
      </c>
      <c r="G57" s="42">
        <v>1</v>
      </c>
      <c r="H57" s="42" t="s">
        <v>331</v>
      </c>
      <c r="I57" s="42">
        <v>549</v>
      </c>
      <c r="J57" s="42">
        <f t="shared" si="0"/>
        <v>100</v>
      </c>
    </row>
    <row r="58" spans="1:10" ht="21" customHeight="1" x14ac:dyDescent="0.15">
      <c r="A58" s="122">
        <v>39008057</v>
      </c>
      <c r="B58" s="42">
        <v>1</v>
      </c>
      <c r="C58" s="42">
        <v>974</v>
      </c>
      <c r="D58" s="42">
        <v>100</v>
      </c>
      <c r="E58" s="42" t="s">
        <v>331</v>
      </c>
      <c r="F58" s="42" t="s">
        <v>331</v>
      </c>
      <c r="G58" s="42">
        <v>1</v>
      </c>
      <c r="H58" s="42" t="s">
        <v>331</v>
      </c>
      <c r="I58" s="42">
        <v>1322</v>
      </c>
      <c r="J58" s="42">
        <f t="shared" si="0"/>
        <v>100</v>
      </c>
    </row>
    <row r="59" spans="1:10" ht="21" customHeight="1" x14ac:dyDescent="0.15">
      <c r="A59" s="122">
        <v>39008058</v>
      </c>
      <c r="B59" s="42">
        <v>1</v>
      </c>
      <c r="C59" s="42">
        <v>973</v>
      </c>
      <c r="D59" s="42">
        <v>100</v>
      </c>
      <c r="E59" s="42" t="s">
        <v>331</v>
      </c>
      <c r="F59" s="42" t="s">
        <v>331</v>
      </c>
      <c r="G59" s="42">
        <v>1</v>
      </c>
      <c r="H59" s="42" t="s">
        <v>331</v>
      </c>
      <c r="I59" s="42">
        <v>551</v>
      </c>
      <c r="J59" s="42">
        <f t="shared" si="0"/>
        <v>100</v>
      </c>
    </row>
    <row r="60" spans="1:10" ht="21" customHeight="1" x14ac:dyDescent="0.15">
      <c r="A60" s="122">
        <v>39008059</v>
      </c>
      <c r="B60" s="42">
        <v>1</v>
      </c>
      <c r="C60" s="42">
        <v>972</v>
      </c>
      <c r="D60" s="42">
        <v>100</v>
      </c>
      <c r="E60" s="42" t="s">
        <v>331</v>
      </c>
      <c r="F60" s="42" t="s">
        <v>331</v>
      </c>
      <c r="G60" s="42">
        <v>1</v>
      </c>
      <c r="H60" s="42" t="s">
        <v>331</v>
      </c>
      <c r="I60" s="42">
        <v>525</v>
      </c>
      <c r="J60" s="42">
        <f t="shared" si="0"/>
        <v>100</v>
      </c>
    </row>
    <row r="61" spans="1:10" ht="21" customHeight="1" x14ac:dyDescent="0.15">
      <c r="A61" s="122">
        <v>39008060</v>
      </c>
      <c r="B61" s="42">
        <v>1</v>
      </c>
      <c r="C61" s="42">
        <v>971</v>
      </c>
      <c r="D61" s="42">
        <v>100</v>
      </c>
      <c r="E61" s="42" t="s">
        <v>331</v>
      </c>
      <c r="F61" s="42" t="s">
        <v>331</v>
      </c>
      <c r="G61" s="42">
        <v>1</v>
      </c>
      <c r="H61" s="42" t="s">
        <v>331</v>
      </c>
      <c r="I61" s="42">
        <v>526</v>
      </c>
      <c r="J61" s="42">
        <f t="shared" si="0"/>
        <v>100</v>
      </c>
    </row>
    <row r="62" spans="1:10" ht="21" customHeight="1" x14ac:dyDescent="0.15">
      <c r="A62" s="122">
        <v>39008061</v>
      </c>
      <c r="B62" s="42">
        <v>1</v>
      </c>
      <c r="C62" s="42">
        <v>970</v>
      </c>
      <c r="D62" s="42">
        <v>100</v>
      </c>
      <c r="E62" s="42" t="s">
        <v>331</v>
      </c>
      <c r="F62" s="42" t="s">
        <v>331</v>
      </c>
      <c r="G62" s="42">
        <v>1</v>
      </c>
      <c r="H62" s="42" t="s">
        <v>331</v>
      </c>
      <c r="I62" s="42">
        <v>553</v>
      </c>
      <c r="J62" s="42">
        <f t="shared" si="0"/>
        <v>100</v>
      </c>
    </row>
    <row r="63" spans="1:10" ht="21" customHeight="1" x14ac:dyDescent="0.15">
      <c r="A63" s="122">
        <v>39008062</v>
      </c>
      <c r="B63" s="42">
        <v>1</v>
      </c>
      <c r="C63" s="42">
        <v>969</v>
      </c>
      <c r="D63" s="42">
        <v>100</v>
      </c>
      <c r="E63" s="42" t="s">
        <v>331</v>
      </c>
      <c r="F63" s="42" t="s">
        <v>331</v>
      </c>
      <c r="G63" s="42">
        <v>1</v>
      </c>
      <c r="H63" s="42" t="s">
        <v>331</v>
      </c>
      <c r="I63" s="42">
        <v>555</v>
      </c>
      <c r="J63" s="42">
        <f t="shared" si="0"/>
        <v>100</v>
      </c>
    </row>
    <row r="64" spans="1:10" ht="21" customHeight="1" x14ac:dyDescent="0.15">
      <c r="A64" s="122">
        <v>39008063</v>
      </c>
      <c r="B64" s="42">
        <v>1</v>
      </c>
      <c r="C64" s="42">
        <v>968</v>
      </c>
      <c r="D64" s="42">
        <v>100</v>
      </c>
      <c r="E64" s="42" t="s">
        <v>331</v>
      </c>
      <c r="F64" s="42" t="s">
        <v>331</v>
      </c>
      <c r="G64" s="42">
        <v>1</v>
      </c>
      <c r="H64" s="42" t="s">
        <v>331</v>
      </c>
      <c r="I64" s="42">
        <v>557</v>
      </c>
      <c r="J64" s="42">
        <f t="shared" si="0"/>
        <v>100</v>
      </c>
    </row>
    <row r="65" spans="1:10" ht="21" customHeight="1" x14ac:dyDescent="0.15">
      <c r="A65" s="122">
        <v>39008064</v>
      </c>
      <c r="B65" s="42">
        <v>1</v>
      </c>
      <c r="C65" s="42">
        <v>967</v>
      </c>
      <c r="D65" s="42">
        <v>100</v>
      </c>
      <c r="E65" s="42" t="s">
        <v>331</v>
      </c>
      <c r="F65" s="42" t="s">
        <v>331</v>
      </c>
      <c r="G65" s="42">
        <v>1</v>
      </c>
      <c r="H65" s="42" t="s">
        <v>331</v>
      </c>
      <c r="I65" s="42">
        <v>1295</v>
      </c>
      <c r="J65" s="42">
        <f t="shared" si="0"/>
        <v>100</v>
      </c>
    </row>
    <row r="66" spans="1:10" ht="21" customHeight="1" x14ac:dyDescent="0.15">
      <c r="A66" s="122">
        <v>39008065</v>
      </c>
      <c r="B66" s="42">
        <v>1</v>
      </c>
      <c r="C66" s="42">
        <v>966</v>
      </c>
      <c r="D66" s="42">
        <v>100</v>
      </c>
      <c r="E66" s="42" t="s">
        <v>331</v>
      </c>
      <c r="F66" s="42" t="s">
        <v>331</v>
      </c>
      <c r="G66" s="42">
        <v>1</v>
      </c>
      <c r="H66" s="42" t="s">
        <v>331</v>
      </c>
      <c r="I66" s="42">
        <v>1304</v>
      </c>
      <c r="J66" s="42">
        <f t="shared" ref="J66:J129" si="1">D66</f>
        <v>100</v>
      </c>
    </row>
    <row r="67" spans="1:10" ht="21" customHeight="1" x14ac:dyDescent="0.15">
      <c r="A67" s="122">
        <v>39008066</v>
      </c>
      <c r="B67" s="42">
        <v>1</v>
      </c>
      <c r="C67" s="42">
        <v>965</v>
      </c>
      <c r="D67" s="42">
        <v>100</v>
      </c>
      <c r="E67" s="42" t="s">
        <v>331</v>
      </c>
      <c r="F67" s="42" t="s">
        <v>331</v>
      </c>
      <c r="G67" s="42">
        <v>1</v>
      </c>
      <c r="H67" s="42" t="s">
        <v>331</v>
      </c>
      <c r="I67" s="42">
        <v>539</v>
      </c>
      <c r="J67" s="42">
        <f t="shared" si="1"/>
        <v>100</v>
      </c>
    </row>
    <row r="68" spans="1:10" ht="21" customHeight="1" x14ac:dyDescent="0.15">
      <c r="A68" s="122">
        <v>39008067</v>
      </c>
      <c r="B68" s="42">
        <v>1</v>
      </c>
      <c r="C68" s="42">
        <v>964</v>
      </c>
      <c r="D68" s="42">
        <v>100</v>
      </c>
      <c r="E68" s="42" t="s">
        <v>331</v>
      </c>
      <c r="F68" s="42" t="s">
        <v>331</v>
      </c>
      <c r="G68" s="42">
        <v>1</v>
      </c>
      <c r="H68" s="42" t="s">
        <v>331</v>
      </c>
      <c r="I68" s="42">
        <v>541</v>
      </c>
      <c r="J68" s="42">
        <f t="shared" si="1"/>
        <v>100</v>
      </c>
    </row>
    <row r="69" spans="1:10" ht="21" customHeight="1" x14ac:dyDescent="0.15">
      <c r="A69" s="122">
        <v>39008068</v>
      </c>
      <c r="B69" s="42">
        <v>1</v>
      </c>
      <c r="C69" s="42">
        <v>963</v>
      </c>
      <c r="D69" s="42">
        <v>100</v>
      </c>
      <c r="E69" s="42" t="s">
        <v>331</v>
      </c>
      <c r="F69" s="42" t="s">
        <v>331</v>
      </c>
      <c r="G69" s="42">
        <v>1</v>
      </c>
      <c r="H69" s="42" t="s">
        <v>331</v>
      </c>
      <c r="I69" s="42">
        <v>1297</v>
      </c>
      <c r="J69" s="42">
        <f t="shared" si="1"/>
        <v>100</v>
      </c>
    </row>
    <row r="70" spans="1:10" ht="21" customHeight="1" x14ac:dyDescent="0.15">
      <c r="A70" s="122">
        <v>39008069</v>
      </c>
      <c r="B70" s="42">
        <v>1</v>
      </c>
      <c r="C70" s="42">
        <v>962</v>
      </c>
      <c r="D70" s="42">
        <v>100</v>
      </c>
      <c r="E70" s="42" t="s">
        <v>331</v>
      </c>
      <c r="F70" s="42" t="s">
        <v>331</v>
      </c>
      <c r="G70" s="42">
        <v>1</v>
      </c>
      <c r="H70" s="42" t="s">
        <v>331</v>
      </c>
      <c r="I70" s="42">
        <v>1300</v>
      </c>
      <c r="J70" s="42">
        <f t="shared" si="1"/>
        <v>100</v>
      </c>
    </row>
    <row r="71" spans="1:10" ht="21" customHeight="1" x14ac:dyDescent="0.15">
      <c r="A71" s="122">
        <v>39008070</v>
      </c>
      <c r="B71" s="42">
        <v>1</v>
      </c>
      <c r="C71" s="42">
        <v>961</v>
      </c>
      <c r="D71" s="42">
        <v>100</v>
      </c>
      <c r="E71" s="42" t="s">
        <v>331</v>
      </c>
      <c r="F71" s="42" t="s">
        <v>331</v>
      </c>
      <c r="G71" s="42">
        <v>1</v>
      </c>
      <c r="H71" s="42" t="s">
        <v>331</v>
      </c>
      <c r="I71" s="42">
        <v>1316</v>
      </c>
      <c r="J71" s="42">
        <f t="shared" si="1"/>
        <v>100</v>
      </c>
    </row>
    <row r="72" spans="1:10" ht="21" customHeight="1" x14ac:dyDescent="0.15">
      <c r="A72" s="122">
        <v>39008071</v>
      </c>
      <c r="B72" s="42">
        <v>1</v>
      </c>
      <c r="C72" s="42">
        <v>960</v>
      </c>
      <c r="D72" s="42">
        <v>100</v>
      </c>
      <c r="E72" s="42" t="s">
        <v>331</v>
      </c>
      <c r="F72" s="42" t="s">
        <v>331</v>
      </c>
      <c r="G72" s="42">
        <v>1</v>
      </c>
      <c r="H72" s="42" t="s">
        <v>331</v>
      </c>
      <c r="I72" s="42">
        <v>527</v>
      </c>
      <c r="J72" s="42">
        <f t="shared" si="1"/>
        <v>100</v>
      </c>
    </row>
    <row r="73" spans="1:10" ht="21" customHeight="1" x14ac:dyDescent="0.15">
      <c r="A73" s="122">
        <v>39008072</v>
      </c>
      <c r="B73" s="42">
        <v>1</v>
      </c>
      <c r="C73" s="42">
        <v>959</v>
      </c>
      <c r="D73" s="42">
        <v>100</v>
      </c>
      <c r="E73" s="42" t="s">
        <v>331</v>
      </c>
      <c r="F73" s="42" t="s">
        <v>331</v>
      </c>
      <c r="G73" s="42">
        <v>1</v>
      </c>
      <c r="H73" s="42" t="s">
        <v>331</v>
      </c>
      <c r="I73" s="42">
        <v>543</v>
      </c>
      <c r="J73" s="42">
        <f t="shared" si="1"/>
        <v>100</v>
      </c>
    </row>
    <row r="74" spans="1:10" ht="21" customHeight="1" x14ac:dyDescent="0.15">
      <c r="A74" s="122">
        <v>39008073</v>
      </c>
      <c r="B74" s="42">
        <v>1</v>
      </c>
      <c r="C74" s="42">
        <v>958</v>
      </c>
      <c r="D74" s="42">
        <v>100</v>
      </c>
      <c r="E74" s="42" t="s">
        <v>331</v>
      </c>
      <c r="F74" s="42" t="s">
        <v>331</v>
      </c>
      <c r="G74" s="42">
        <v>1</v>
      </c>
      <c r="H74" s="42" t="s">
        <v>331</v>
      </c>
      <c r="I74" s="42">
        <v>545</v>
      </c>
      <c r="J74" s="42">
        <f t="shared" si="1"/>
        <v>100</v>
      </c>
    </row>
    <row r="75" spans="1:10" ht="21" customHeight="1" x14ac:dyDescent="0.15">
      <c r="A75" s="122">
        <v>39008074</v>
      </c>
      <c r="B75" s="42">
        <v>1</v>
      </c>
      <c r="C75" s="42">
        <v>957</v>
      </c>
      <c r="D75" s="42">
        <v>100</v>
      </c>
      <c r="E75" s="42" t="s">
        <v>331</v>
      </c>
      <c r="F75" s="42" t="s">
        <v>331</v>
      </c>
      <c r="G75" s="42">
        <v>1</v>
      </c>
      <c r="H75" s="42" t="s">
        <v>331</v>
      </c>
      <c r="I75" s="42">
        <v>1302</v>
      </c>
      <c r="J75" s="42">
        <f t="shared" si="1"/>
        <v>100</v>
      </c>
    </row>
    <row r="76" spans="1:10" ht="21" customHeight="1" x14ac:dyDescent="0.15">
      <c r="A76" s="122">
        <v>39008075</v>
      </c>
      <c r="B76" s="42">
        <v>1</v>
      </c>
      <c r="C76" s="42">
        <v>956</v>
      </c>
      <c r="D76" s="42">
        <v>100</v>
      </c>
      <c r="E76" s="42" t="s">
        <v>331</v>
      </c>
      <c r="F76" s="42" t="s">
        <v>331</v>
      </c>
      <c r="G76" s="42">
        <v>1</v>
      </c>
      <c r="H76" s="42" t="s">
        <v>331</v>
      </c>
      <c r="I76" s="42">
        <v>1306</v>
      </c>
      <c r="J76" s="42">
        <f t="shared" si="1"/>
        <v>100</v>
      </c>
    </row>
    <row r="77" spans="1:10" ht="21" customHeight="1" x14ac:dyDescent="0.15">
      <c r="A77" s="122">
        <v>39008076</v>
      </c>
      <c r="B77" s="42">
        <v>1</v>
      </c>
      <c r="C77" s="42">
        <v>955</v>
      </c>
      <c r="D77" s="42">
        <v>100</v>
      </c>
      <c r="E77" s="42" t="s">
        <v>331</v>
      </c>
      <c r="F77" s="42" t="s">
        <v>331</v>
      </c>
      <c r="G77" s="42">
        <v>1</v>
      </c>
      <c r="H77" s="42" t="s">
        <v>331</v>
      </c>
      <c r="I77" s="42">
        <v>1318</v>
      </c>
      <c r="J77" s="42">
        <f t="shared" si="1"/>
        <v>100</v>
      </c>
    </row>
    <row r="78" spans="1:10" ht="21" customHeight="1" x14ac:dyDescent="0.15">
      <c r="A78" s="122">
        <v>39008077</v>
      </c>
      <c r="B78" s="42">
        <v>1</v>
      </c>
      <c r="C78" s="42">
        <v>954</v>
      </c>
      <c r="D78" s="42">
        <v>100</v>
      </c>
      <c r="E78" s="42" t="s">
        <v>331</v>
      </c>
      <c r="F78" s="42" t="s">
        <v>331</v>
      </c>
      <c r="G78" s="42">
        <v>1</v>
      </c>
      <c r="H78" s="42" t="s">
        <v>331</v>
      </c>
      <c r="I78" s="42">
        <v>1320</v>
      </c>
      <c r="J78" s="42">
        <f t="shared" si="1"/>
        <v>100</v>
      </c>
    </row>
    <row r="79" spans="1:10" ht="21" customHeight="1" x14ac:dyDescent="0.15">
      <c r="A79" s="122">
        <v>39008078</v>
      </c>
      <c r="B79" s="42">
        <v>0</v>
      </c>
      <c r="C79" s="42">
        <v>953</v>
      </c>
      <c r="D79" s="42">
        <v>100</v>
      </c>
      <c r="E79" s="42" t="s">
        <v>331</v>
      </c>
      <c r="F79" s="42" t="s">
        <v>331</v>
      </c>
      <c r="G79" s="42">
        <v>0</v>
      </c>
      <c r="H79" s="42" t="s">
        <v>331</v>
      </c>
      <c r="I79" s="42">
        <v>547</v>
      </c>
      <c r="J79" s="42">
        <f t="shared" si="1"/>
        <v>100</v>
      </c>
    </row>
    <row r="80" spans="1:10" ht="21" customHeight="1" x14ac:dyDescent="0.15">
      <c r="A80" s="122">
        <v>39008079</v>
      </c>
      <c r="B80" s="42">
        <v>0</v>
      </c>
      <c r="C80" s="42">
        <v>952</v>
      </c>
      <c r="D80" s="42">
        <v>100</v>
      </c>
      <c r="E80" s="42" t="s">
        <v>331</v>
      </c>
      <c r="F80" s="42" t="s">
        <v>331</v>
      </c>
      <c r="G80" s="42">
        <v>0</v>
      </c>
      <c r="H80" s="42" t="s">
        <v>331</v>
      </c>
      <c r="I80" s="42">
        <v>548</v>
      </c>
      <c r="J80" s="42">
        <f t="shared" si="1"/>
        <v>100</v>
      </c>
    </row>
    <row r="81" spans="1:10" ht="21" customHeight="1" x14ac:dyDescent="0.15">
      <c r="A81" s="122">
        <v>39008080</v>
      </c>
      <c r="B81" s="42">
        <v>0</v>
      </c>
      <c r="C81" s="42">
        <v>951</v>
      </c>
      <c r="D81" s="42">
        <v>100</v>
      </c>
      <c r="E81" s="42" t="s">
        <v>331</v>
      </c>
      <c r="F81" s="42" t="s">
        <v>331</v>
      </c>
      <c r="G81" s="42">
        <v>0</v>
      </c>
      <c r="H81" s="42" t="s">
        <v>331</v>
      </c>
      <c r="I81" s="42">
        <v>1313</v>
      </c>
      <c r="J81" s="42">
        <f t="shared" si="1"/>
        <v>100</v>
      </c>
    </row>
    <row r="82" spans="1:10" ht="21" customHeight="1" x14ac:dyDescent="0.15">
      <c r="A82" s="122">
        <v>39008081</v>
      </c>
      <c r="B82" s="42">
        <v>0</v>
      </c>
      <c r="C82" s="42">
        <v>950</v>
      </c>
      <c r="D82" s="42">
        <v>100</v>
      </c>
      <c r="E82" s="42" t="s">
        <v>331</v>
      </c>
      <c r="F82" s="42" t="s">
        <v>331</v>
      </c>
      <c r="G82" s="42">
        <v>0</v>
      </c>
      <c r="H82" s="42" t="s">
        <v>331</v>
      </c>
      <c r="I82" s="42">
        <v>549</v>
      </c>
      <c r="J82" s="42">
        <f t="shared" si="1"/>
        <v>100</v>
      </c>
    </row>
    <row r="83" spans="1:10" ht="21" customHeight="1" x14ac:dyDescent="0.15">
      <c r="A83" s="122">
        <v>39008082</v>
      </c>
      <c r="B83" s="42">
        <v>0</v>
      </c>
      <c r="C83" s="42">
        <v>949</v>
      </c>
      <c r="D83" s="42">
        <v>100</v>
      </c>
      <c r="E83" s="42" t="s">
        <v>331</v>
      </c>
      <c r="F83" s="42" t="s">
        <v>331</v>
      </c>
      <c r="G83" s="42">
        <v>0</v>
      </c>
      <c r="H83" s="42" t="s">
        <v>331</v>
      </c>
      <c r="I83" s="42">
        <v>550</v>
      </c>
      <c r="J83" s="42">
        <f t="shared" si="1"/>
        <v>100</v>
      </c>
    </row>
    <row r="84" spans="1:10" ht="21" customHeight="1" x14ac:dyDescent="0.15">
      <c r="A84" s="122">
        <v>39008083</v>
      </c>
      <c r="B84" s="42">
        <v>0</v>
      </c>
      <c r="C84" s="42">
        <v>948</v>
      </c>
      <c r="D84" s="42">
        <v>100</v>
      </c>
      <c r="E84" s="42" t="s">
        <v>331</v>
      </c>
      <c r="F84" s="42" t="s">
        <v>331</v>
      </c>
      <c r="G84" s="42">
        <v>0</v>
      </c>
      <c r="H84" s="42" t="s">
        <v>331</v>
      </c>
      <c r="I84" s="42">
        <v>1314</v>
      </c>
      <c r="J84" s="42">
        <f t="shared" si="1"/>
        <v>100</v>
      </c>
    </row>
    <row r="85" spans="1:10" ht="21" customHeight="1" x14ac:dyDescent="0.15">
      <c r="A85" s="122">
        <v>39008084</v>
      </c>
      <c r="B85" s="42">
        <v>0</v>
      </c>
      <c r="C85" s="42">
        <v>947</v>
      </c>
      <c r="D85" s="42">
        <v>100</v>
      </c>
      <c r="E85" s="42" t="s">
        <v>331</v>
      </c>
      <c r="F85" s="42" t="s">
        <v>331</v>
      </c>
      <c r="G85" s="42">
        <v>0</v>
      </c>
      <c r="H85" s="42" t="s">
        <v>331</v>
      </c>
      <c r="I85" s="42">
        <v>1322</v>
      </c>
      <c r="J85" s="42">
        <f t="shared" si="1"/>
        <v>100</v>
      </c>
    </row>
    <row r="86" spans="1:10" ht="21" customHeight="1" x14ac:dyDescent="0.15">
      <c r="A86" s="122">
        <v>39008085</v>
      </c>
      <c r="B86" s="42">
        <v>0</v>
      </c>
      <c r="C86" s="42">
        <v>946</v>
      </c>
      <c r="D86" s="42">
        <v>100</v>
      </c>
      <c r="E86" s="42" t="s">
        <v>331</v>
      </c>
      <c r="F86" s="42" t="s">
        <v>331</v>
      </c>
      <c r="G86" s="42">
        <v>0</v>
      </c>
      <c r="H86" s="42" t="s">
        <v>331</v>
      </c>
      <c r="I86" s="42">
        <v>1323</v>
      </c>
      <c r="J86" s="42">
        <f t="shared" si="1"/>
        <v>100</v>
      </c>
    </row>
    <row r="87" spans="1:10" ht="21" customHeight="1" x14ac:dyDescent="0.15">
      <c r="A87" s="122">
        <v>39008086</v>
      </c>
      <c r="B87" s="42">
        <v>0</v>
      </c>
      <c r="C87" s="42">
        <v>945</v>
      </c>
      <c r="D87" s="42">
        <v>100</v>
      </c>
      <c r="E87" s="42" t="s">
        <v>331</v>
      </c>
      <c r="F87" s="42" t="s">
        <v>331</v>
      </c>
      <c r="G87" s="42">
        <v>0</v>
      </c>
      <c r="H87" s="42" t="s">
        <v>331</v>
      </c>
      <c r="I87" s="42">
        <v>539</v>
      </c>
      <c r="J87" s="42">
        <f t="shared" si="1"/>
        <v>100</v>
      </c>
    </row>
    <row r="88" spans="1:10" ht="21" customHeight="1" x14ac:dyDescent="0.15">
      <c r="A88" s="122">
        <v>39008087</v>
      </c>
      <c r="B88" s="42">
        <v>0</v>
      </c>
      <c r="C88" s="42">
        <v>944</v>
      </c>
      <c r="D88" s="42">
        <v>100</v>
      </c>
      <c r="E88" s="42" t="s">
        <v>331</v>
      </c>
      <c r="F88" s="42" t="s">
        <v>331</v>
      </c>
      <c r="G88" s="42">
        <v>0</v>
      </c>
      <c r="H88" s="42" t="s">
        <v>331</v>
      </c>
      <c r="I88" s="42">
        <v>540</v>
      </c>
      <c r="J88" s="42">
        <f t="shared" si="1"/>
        <v>100</v>
      </c>
    </row>
    <row r="89" spans="1:10" ht="21" customHeight="1" x14ac:dyDescent="0.15">
      <c r="A89" s="122">
        <v>39008088</v>
      </c>
      <c r="B89" s="42">
        <v>0</v>
      </c>
      <c r="C89" s="42">
        <v>943</v>
      </c>
      <c r="D89" s="42">
        <v>100</v>
      </c>
      <c r="E89" s="42" t="s">
        <v>331</v>
      </c>
      <c r="F89" s="42" t="s">
        <v>331</v>
      </c>
      <c r="G89" s="42">
        <v>0</v>
      </c>
      <c r="H89" s="42" t="s">
        <v>331</v>
      </c>
      <c r="I89" s="42">
        <v>1309</v>
      </c>
      <c r="J89" s="42">
        <f t="shared" si="1"/>
        <v>100</v>
      </c>
    </row>
    <row r="90" spans="1:10" ht="21" customHeight="1" x14ac:dyDescent="0.15">
      <c r="A90" s="122">
        <v>39008089</v>
      </c>
      <c r="B90" s="42">
        <v>0</v>
      </c>
      <c r="C90" s="42">
        <v>942</v>
      </c>
      <c r="D90" s="42">
        <v>100</v>
      </c>
      <c r="E90" s="42" t="s">
        <v>331</v>
      </c>
      <c r="F90" s="42" t="s">
        <v>331</v>
      </c>
      <c r="G90" s="42">
        <v>0</v>
      </c>
      <c r="H90" s="42" t="s">
        <v>331</v>
      </c>
      <c r="I90" s="42">
        <v>1310</v>
      </c>
      <c r="J90" s="42">
        <f t="shared" si="1"/>
        <v>100</v>
      </c>
    </row>
    <row r="91" spans="1:10" ht="21" customHeight="1" x14ac:dyDescent="0.15">
      <c r="A91" s="122">
        <v>39008090</v>
      </c>
      <c r="B91" s="42">
        <v>0</v>
      </c>
      <c r="C91" s="42">
        <v>941</v>
      </c>
      <c r="D91" s="42">
        <v>100</v>
      </c>
      <c r="E91" s="42" t="s">
        <v>331</v>
      </c>
      <c r="F91" s="42" t="s">
        <v>331</v>
      </c>
      <c r="G91" s="42">
        <v>0</v>
      </c>
      <c r="H91" s="42" t="s">
        <v>331</v>
      </c>
      <c r="I91" s="42">
        <v>541</v>
      </c>
      <c r="J91" s="42">
        <f t="shared" si="1"/>
        <v>100</v>
      </c>
    </row>
    <row r="92" spans="1:10" ht="21" customHeight="1" x14ac:dyDescent="0.15">
      <c r="A92" s="122">
        <v>39008091</v>
      </c>
      <c r="B92" s="42">
        <v>0</v>
      </c>
      <c r="C92" s="42">
        <v>940</v>
      </c>
      <c r="D92" s="42">
        <v>100</v>
      </c>
      <c r="E92" s="42" t="s">
        <v>331</v>
      </c>
      <c r="F92" s="42" t="s">
        <v>331</v>
      </c>
      <c r="G92" s="42">
        <v>0</v>
      </c>
      <c r="H92" s="42" t="s">
        <v>331</v>
      </c>
      <c r="I92" s="42">
        <v>542</v>
      </c>
      <c r="J92" s="42">
        <f t="shared" si="1"/>
        <v>100</v>
      </c>
    </row>
    <row r="93" spans="1:10" ht="21" customHeight="1" x14ac:dyDescent="0.15">
      <c r="A93" s="122">
        <v>39008092</v>
      </c>
      <c r="B93" s="42">
        <v>0</v>
      </c>
      <c r="C93" s="42">
        <v>939</v>
      </c>
      <c r="D93" s="42">
        <v>100</v>
      </c>
      <c r="E93" s="42" t="s">
        <v>331</v>
      </c>
      <c r="F93" s="42" t="s">
        <v>331</v>
      </c>
      <c r="G93" s="42">
        <v>0</v>
      </c>
      <c r="H93" s="42" t="s">
        <v>331</v>
      </c>
      <c r="I93" s="42">
        <v>1308</v>
      </c>
      <c r="J93" s="42">
        <f t="shared" si="1"/>
        <v>100</v>
      </c>
    </row>
    <row r="94" spans="1:10" ht="21" customHeight="1" x14ac:dyDescent="0.15">
      <c r="A94" s="122">
        <v>39008093</v>
      </c>
      <c r="B94" s="42">
        <v>0</v>
      </c>
      <c r="C94" s="42">
        <v>938</v>
      </c>
      <c r="D94" s="42">
        <v>100</v>
      </c>
      <c r="E94" s="42" t="s">
        <v>331</v>
      </c>
      <c r="F94" s="42" t="s">
        <v>331</v>
      </c>
      <c r="G94" s="42">
        <v>0</v>
      </c>
      <c r="H94" s="42" t="s">
        <v>331</v>
      </c>
      <c r="I94" s="42">
        <v>1297</v>
      </c>
      <c r="J94" s="42">
        <f t="shared" si="1"/>
        <v>100</v>
      </c>
    </row>
    <row r="95" spans="1:10" ht="21" customHeight="1" x14ac:dyDescent="0.15">
      <c r="A95" s="122">
        <v>39008094</v>
      </c>
      <c r="B95" s="42">
        <v>0</v>
      </c>
      <c r="C95" s="42">
        <v>937</v>
      </c>
      <c r="D95" s="42">
        <v>100</v>
      </c>
      <c r="E95" s="42" t="s">
        <v>331</v>
      </c>
      <c r="F95" s="42" t="s">
        <v>331</v>
      </c>
      <c r="G95" s="42">
        <v>0</v>
      </c>
      <c r="H95" s="42" t="s">
        <v>331</v>
      </c>
      <c r="I95" s="42">
        <v>1298</v>
      </c>
      <c r="J95" s="42">
        <f t="shared" si="1"/>
        <v>100</v>
      </c>
    </row>
    <row r="96" spans="1:10" ht="21" customHeight="1" x14ac:dyDescent="0.15">
      <c r="A96" s="122">
        <v>39008095</v>
      </c>
      <c r="B96" s="42">
        <v>0</v>
      </c>
      <c r="C96" s="42">
        <v>936</v>
      </c>
      <c r="D96" s="42">
        <v>100</v>
      </c>
      <c r="E96" s="42" t="s">
        <v>331</v>
      </c>
      <c r="F96" s="42" t="s">
        <v>331</v>
      </c>
      <c r="G96" s="42">
        <v>0</v>
      </c>
      <c r="H96" s="42" t="s">
        <v>331</v>
      </c>
      <c r="I96" s="42">
        <v>1316</v>
      </c>
      <c r="J96" s="42">
        <f t="shared" si="1"/>
        <v>100</v>
      </c>
    </row>
    <row r="97" spans="1:10" ht="21" customHeight="1" x14ac:dyDescent="0.15">
      <c r="A97" s="122">
        <v>39008096</v>
      </c>
      <c r="B97" s="42">
        <v>0</v>
      </c>
      <c r="C97" s="42">
        <v>935</v>
      </c>
      <c r="D97" s="42">
        <v>100</v>
      </c>
      <c r="E97" s="42" t="s">
        <v>331</v>
      </c>
      <c r="F97" s="42" t="s">
        <v>331</v>
      </c>
      <c r="G97" s="42">
        <v>0</v>
      </c>
      <c r="H97" s="42" t="s">
        <v>331</v>
      </c>
      <c r="I97" s="42">
        <v>1317</v>
      </c>
      <c r="J97" s="42">
        <f t="shared" si="1"/>
        <v>100</v>
      </c>
    </row>
    <row r="98" spans="1:10" ht="21" customHeight="1" x14ac:dyDescent="0.15">
      <c r="A98" s="122">
        <v>39008097</v>
      </c>
      <c r="B98" s="42">
        <v>0</v>
      </c>
      <c r="C98" s="42">
        <v>934</v>
      </c>
      <c r="D98" s="42">
        <v>100</v>
      </c>
      <c r="E98" s="42" t="s">
        <v>331</v>
      </c>
      <c r="F98" s="42" t="s">
        <v>331</v>
      </c>
      <c r="G98" s="42">
        <v>0</v>
      </c>
      <c r="H98" s="42" t="s">
        <v>331</v>
      </c>
      <c r="I98" s="42">
        <v>551</v>
      </c>
      <c r="J98" s="42">
        <f t="shared" si="1"/>
        <v>100</v>
      </c>
    </row>
    <row r="99" spans="1:10" ht="21" customHeight="1" x14ac:dyDescent="0.15">
      <c r="A99" s="122">
        <v>39008098</v>
      </c>
      <c r="B99" s="42">
        <v>0</v>
      </c>
      <c r="C99" s="42">
        <v>933</v>
      </c>
      <c r="D99" s="42">
        <v>100</v>
      </c>
      <c r="E99" s="42" t="s">
        <v>331</v>
      </c>
      <c r="F99" s="42" t="s">
        <v>331</v>
      </c>
      <c r="G99" s="42">
        <v>0</v>
      </c>
      <c r="H99" s="42" t="s">
        <v>331</v>
      </c>
      <c r="I99" s="42">
        <v>552</v>
      </c>
      <c r="J99" s="42">
        <f t="shared" si="1"/>
        <v>100</v>
      </c>
    </row>
    <row r="100" spans="1:10" ht="21" customHeight="1" x14ac:dyDescent="0.15">
      <c r="A100" s="122">
        <v>39008099</v>
      </c>
      <c r="B100" s="42">
        <v>0</v>
      </c>
      <c r="C100" s="42">
        <v>932</v>
      </c>
      <c r="D100" s="42">
        <v>100</v>
      </c>
      <c r="E100" s="42" t="s">
        <v>331</v>
      </c>
      <c r="F100" s="42" t="s">
        <v>331</v>
      </c>
      <c r="G100" s="42">
        <v>0</v>
      </c>
      <c r="H100" s="42" t="s">
        <v>331</v>
      </c>
      <c r="I100" s="42">
        <v>1315</v>
      </c>
      <c r="J100" s="42">
        <f t="shared" si="1"/>
        <v>100</v>
      </c>
    </row>
    <row r="101" spans="1:10" ht="21" customHeight="1" x14ac:dyDescent="0.15">
      <c r="A101" s="122">
        <v>39008100</v>
      </c>
      <c r="B101" s="42">
        <v>0</v>
      </c>
      <c r="C101" s="42">
        <v>931</v>
      </c>
      <c r="D101" s="42">
        <v>100</v>
      </c>
      <c r="E101" s="42" t="s">
        <v>331</v>
      </c>
      <c r="F101" s="42" t="s">
        <v>331</v>
      </c>
      <c r="G101" s="42">
        <v>0</v>
      </c>
      <c r="H101" s="42" t="s">
        <v>331</v>
      </c>
      <c r="I101" s="42">
        <v>557</v>
      </c>
      <c r="J101" s="42">
        <f t="shared" si="1"/>
        <v>100</v>
      </c>
    </row>
    <row r="102" spans="1:10" ht="21" customHeight="1" x14ac:dyDescent="0.15">
      <c r="A102" s="122">
        <v>39008101</v>
      </c>
      <c r="B102" s="42">
        <v>0</v>
      </c>
      <c r="C102" s="42">
        <v>930</v>
      </c>
      <c r="D102" s="42">
        <v>100</v>
      </c>
      <c r="E102" s="42" t="s">
        <v>331</v>
      </c>
      <c r="F102" s="42" t="s">
        <v>331</v>
      </c>
      <c r="G102" s="42">
        <v>0</v>
      </c>
      <c r="H102" s="42" t="s">
        <v>331</v>
      </c>
      <c r="I102" s="42">
        <v>558</v>
      </c>
      <c r="J102" s="42">
        <f t="shared" si="1"/>
        <v>100</v>
      </c>
    </row>
    <row r="103" spans="1:10" ht="21" customHeight="1" x14ac:dyDescent="0.15">
      <c r="A103" s="122">
        <v>39008102</v>
      </c>
      <c r="B103" s="42">
        <v>0</v>
      </c>
      <c r="C103" s="42">
        <v>929</v>
      </c>
      <c r="D103" s="42">
        <v>100</v>
      </c>
      <c r="E103" s="42" t="s">
        <v>331</v>
      </c>
      <c r="F103" s="42" t="s">
        <v>331</v>
      </c>
      <c r="G103" s="42">
        <v>0</v>
      </c>
      <c r="H103" s="42" t="s">
        <v>331</v>
      </c>
      <c r="I103" s="42">
        <v>559</v>
      </c>
      <c r="J103" s="42">
        <f t="shared" si="1"/>
        <v>100</v>
      </c>
    </row>
    <row r="104" spans="1:10" ht="21" customHeight="1" x14ac:dyDescent="0.15">
      <c r="A104" s="122">
        <v>39008103</v>
      </c>
      <c r="B104" s="42">
        <v>0</v>
      </c>
      <c r="C104" s="42">
        <v>928</v>
      </c>
      <c r="D104" s="42">
        <v>100</v>
      </c>
      <c r="E104" s="42" t="s">
        <v>331</v>
      </c>
      <c r="F104" s="42" t="s">
        <v>331</v>
      </c>
      <c r="G104" s="42">
        <v>0</v>
      </c>
      <c r="H104" s="42" t="s">
        <v>331</v>
      </c>
      <c r="I104" s="42">
        <v>1295</v>
      </c>
      <c r="J104" s="42">
        <f t="shared" si="1"/>
        <v>100</v>
      </c>
    </row>
    <row r="105" spans="1:10" ht="21" customHeight="1" x14ac:dyDescent="0.15">
      <c r="A105" s="122">
        <v>39008104</v>
      </c>
      <c r="B105" s="42">
        <v>0</v>
      </c>
      <c r="C105" s="42">
        <v>927</v>
      </c>
      <c r="D105" s="42">
        <v>100</v>
      </c>
      <c r="E105" s="42" t="s">
        <v>331</v>
      </c>
      <c r="F105" s="42" t="s">
        <v>331</v>
      </c>
      <c r="G105" s="42">
        <v>0</v>
      </c>
      <c r="H105" s="42" t="s">
        <v>331</v>
      </c>
      <c r="I105" s="42">
        <v>1296</v>
      </c>
      <c r="J105" s="42">
        <f t="shared" si="1"/>
        <v>100</v>
      </c>
    </row>
    <row r="106" spans="1:10" ht="21" customHeight="1" x14ac:dyDescent="0.15">
      <c r="A106" s="122">
        <v>39008105</v>
      </c>
      <c r="B106" s="42">
        <v>0</v>
      </c>
      <c r="C106" s="42">
        <v>926</v>
      </c>
      <c r="D106" s="42">
        <v>100</v>
      </c>
      <c r="E106" s="42" t="s">
        <v>331</v>
      </c>
      <c r="F106" s="42" t="s">
        <v>331</v>
      </c>
      <c r="G106" s="42">
        <v>0</v>
      </c>
      <c r="H106" s="42" t="s">
        <v>331</v>
      </c>
      <c r="I106" s="42">
        <v>525</v>
      </c>
      <c r="J106" s="42">
        <f t="shared" si="1"/>
        <v>100</v>
      </c>
    </row>
    <row r="107" spans="1:10" ht="21" customHeight="1" x14ac:dyDescent="0.15">
      <c r="A107" s="122">
        <v>39008106</v>
      </c>
      <c r="B107" s="42">
        <v>0</v>
      </c>
      <c r="C107" s="42">
        <v>925</v>
      </c>
      <c r="D107" s="42">
        <v>100</v>
      </c>
      <c r="E107" s="42" t="s">
        <v>331</v>
      </c>
      <c r="F107" s="42" t="s">
        <v>331</v>
      </c>
      <c r="G107" s="42">
        <v>0</v>
      </c>
      <c r="H107" s="42" t="s">
        <v>331</v>
      </c>
      <c r="I107" s="42">
        <v>526</v>
      </c>
      <c r="J107" s="42">
        <f t="shared" si="1"/>
        <v>100</v>
      </c>
    </row>
    <row r="108" spans="1:10" ht="21" customHeight="1" x14ac:dyDescent="0.15">
      <c r="A108" s="122">
        <v>39008107</v>
      </c>
      <c r="B108" s="42">
        <v>0</v>
      </c>
      <c r="C108" s="42">
        <v>924</v>
      </c>
      <c r="D108" s="42">
        <v>100</v>
      </c>
      <c r="E108" s="42" t="s">
        <v>331</v>
      </c>
      <c r="F108" s="42" t="s">
        <v>331</v>
      </c>
      <c r="G108" s="42">
        <v>0</v>
      </c>
      <c r="H108" s="42" t="s">
        <v>331</v>
      </c>
      <c r="I108" s="42">
        <v>553</v>
      </c>
      <c r="J108" s="42">
        <f t="shared" si="1"/>
        <v>100</v>
      </c>
    </row>
    <row r="109" spans="1:10" ht="21" customHeight="1" x14ac:dyDescent="0.15">
      <c r="A109" s="122">
        <v>39008108</v>
      </c>
      <c r="B109" s="42">
        <v>0</v>
      </c>
      <c r="C109" s="42">
        <v>923</v>
      </c>
      <c r="D109" s="42">
        <v>100</v>
      </c>
      <c r="E109" s="42" t="s">
        <v>331</v>
      </c>
      <c r="F109" s="42" t="s">
        <v>331</v>
      </c>
      <c r="G109" s="42">
        <v>0</v>
      </c>
      <c r="H109" s="42" t="s">
        <v>331</v>
      </c>
      <c r="I109" s="42">
        <v>554</v>
      </c>
      <c r="J109" s="42">
        <f t="shared" si="1"/>
        <v>100</v>
      </c>
    </row>
    <row r="110" spans="1:10" ht="21" customHeight="1" x14ac:dyDescent="0.15">
      <c r="A110" s="122">
        <v>39008109</v>
      </c>
      <c r="B110" s="42">
        <v>0</v>
      </c>
      <c r="C110" s="42">
        <v>922</v>
      </c>
      <c r="D110" s="42">
        <v>100</v>
      </c>
      <c r="E110" s="42" t="s">
        <v>331</v>
      </c>
      <c r="F110" s="42" t="s">
        <v>331</v>
      </c>
      <c r="G110" s="42">
        <v>0</v>
      </c>
      <c r="H110" s="42" t="s">
        <v>331</v>
      </c>
      <c r="I110" s="42">
        <v>555</v>
      </c>
      <c r="J110" s="42">
        <f t="shared" si="1"/>
        <v>100</v>
      </c>
    </row>
    <row r="111" spans="1:10" ht="21" customHeight="1" x14ac:dyDescent="0.15">
      <c r="A111" s="122">
        <v>39008110</v>
      </c>
      <c r="B111" s="42">
        <v>0</v>
      </c>
      <c r="C111" s="42">
        <v>921</v>
      </c>
      <c r="D111" s="42">
        <v>100</v>
      </c>
      <c r="E111" s="42" t="s">
        <v>331</v>
      </c>
      <c r="F111" s="42" t="s">
        <v>331</v>
      </c>
      <c r="G111" s="42">
        <v>0</v>
      </c>
      <c r="H111" s="42" t="s">
        <v>331</v>
      </c>
      <c r="I111" s="42">
        <v>556</v>
      </c>
      <c r="J111" s="42">
        <f t="shared" si="1"/>
        <v>100</v>
      </c>
    </row>
    <row r="112" spans="1:10" ht="21" customHeight="1" x14ac:dyDescent="0.15">
      <c r="A112" s="122">
        <v>39008111</v>
      </c>
      <c r="B112" s="42">
        <v>0</v>
      </c>
      <c r="C112" s="42">
        <v>920</v>
      </c>
      <c r="D112" s="42">
        <v>100</v>
      </c>
      <c r="E112" s="42" t="s">
        <v>331</v>
      </c>
      <c r="F112" s="42" t="s">
        <v>331</v>
      </c>
      <c r="G112" s="42">
        <v>0</v>
      </c>
      <c r="H112" s="42" t="s">
        <v>331</v>
      </c>
      <c r="I112" s="42">
        <v>543</v>
      </c>
      <c r="J112" s="42">
        <f t="shared" si="1"/>
        <v>100</v>
      </c>
    </row>
    <row r="113" spans="1:10" ht="21" customHeight="1" x14ac:dyDescent="0.15">
      <c r="A113" s="122">
        <v>39008112</v>
      </c>
      <c r="B113" s="42">
        <v>0</v>
      </c>
      <c r="C113" s="42">
        <v>919</v>
      </c>
      <c r="D113" s="42">
        <v>100</v>
      </c>
      <c r="E113" s="42" t="s">
        <v>331</v>
      </c>
      <c r="F113" s="42" t="s">
        <v>331</v>
      </c>
      <c r="G113" s="42">
        <v>0</v>
      </c>
      <c r="H113" s="42" t="s">
        <v>331</v>
      </c>
      <c r="I113" s="42">
        <v>544</v>
      </c>
      <c r="J113" s="42">
        <f t="shared" si="1"/>
        <v>100</v>
      </c>
    </row>
    <row r="114" spans="1:10" ht="21" customHeight="1" x14ac:dyDescent="0.15">
      <c r="A114" s="122">
        <v>39008113</v>
      </c>
      <c r="B114" s="42">
        <v>0</v>
      </c>
      <c r="C114" s="42">
        <v>918</v>
      </c>
      <c r="D114" s="42">
        <v>100</v>
      </c>
      <c r="E114" s="42" t="s">
        <v>331</v>
      </c>
      <c r="F114" s="42" t="s">
        <v>331</v>
      </c>
      <c r="G114" s="42">
        <v>0</v>
      </c>
      <c r="H114" s="42" t="s">
        <v>331</v>
      </c>
      <c r="I114" s="42">
        <v>1311</v>
      </c>
      <c r="J114" s="42">
        <f t="shared" si="1"/>
        <v>100</v>
      </c>
    </row>
    <row r="115" spans="1:10" ht="21" customHeight="1" x14ac:dyDescent="0.15">
      <c r="A115" s="122">
        <v>39008114</v>
      </c>
      <c r="B115" s="42">
        <v>0</v>
      </c>
      <c r="C115" s="42">
        <v>917</v>
      </c>
      <c r="D115" s="42">
        <v>100</v>
      </c>
      <c r="E115" s="42" t="s">
        <v>331</v>
      </c>
      <c r="F115" s="42" t="s">
        <v>331</v>
      </c>
      <c r="G115" s="42">
        <v>0</v>
      </c>
      <c r="H115" s="42" t="s">
        <v>331</v>
      </c>
      <c r="I115" s="42">
        <v>545</v>
      </c>
      <c r="J115" s="42">
        <f t="shared" si="1"/>
        <v>100</v>
      </c>
    </row>
    <row r="116" spans="1:10" ht="21" customHeight="1" x14ac:dyDescent="0.15">
      <c r="A116" s="122">
        <v>39008115</v>
      </c>
      <c r="B116" s="42">
        <v>0</v>
      </c>
      <c r="C116" s="42">
        <v>916</v>
      </c>
      <c r="D116" s="42">
        <v>100</v>
      </c>
      <c r="E116" s="42" t="s">
        <v>331</v>
      </c>
      <c r="F116" s="42" t="s">
        <v>331</v>
      </c>
      <c r="G116" s="42">
        <v>0</v>
      </c>
      <c r="H116" s="42" t="s">
        <v>331</v>
      </c>
      <c r="I116" s="42">
        <v>546</v>
      </c>
      <c r="J116" s="42">
        <f t="shared" si="1"/>
        <v>100</v>
      </c>
    </row>
    <row r="117" spans="1:10" ht="21" customHeight="1" x14ac:dyDescent="0.15">
      <c r="A117" s="122">
        <v>39008116</v>
      </c>
      <c r="B117" s="42">
        <v>0</v>
      </c>
      <c r="C117" s="42">
        <v>915</v>
      </c>
      <c r="D117" s="42">
        <v>100</v>
      </c>
      <c r="E117" s="42" t="s">
        <v>331</v>
      </c>
      <c r="F117" s="42" t="s">
        <v>331</v>
      </c>
      <c r="G117" s="42">
        <v>0</v>
      </c>
      <c r="H117" s="42" t="s">
        <v>331</v>
      </c>
      <c r="I117" s="42">
        <v>1312</v>
      </c>
      <c r="J117" s="42">
        <f t="shared" si="1"/>
        <v>100</v>
      </c>
    </row>
    <row r="118" spans="1:10" ht="21" customHeight="1" x14ac:dyDescent="0.15">
      <c r="A118" s="122">
        <v>39008117</v>
      </c>
      <c r="B118" s="42">
        <v>0</v>
      </c>
      <c r="C118" s="42">
        <v>914</v>
      </c>
      <c r="D118" s="42">
        <v>100</v>
      </c>
      <c r="E118" s="42" t="s">
        <v>331</v>
      </c>
      <c r="F118" s="42" t="s">
        <v>331</v>
      </c>
      <c r="G118" s="42">
        <v>0</v>
      </c>
      <c r="H118" s="42" t="s">
        <v>331</v>
      </c>
      <c r="I118" s="42">
        <v>527</v>
      </c>
      <c r="J118" s="42">
        <f t="shared" si="1"/>
        <v>100</v>
      </c>
    </row>
    <row r="119" spans="1:10" ht="21" customHeight="1" x14ac:dyDescent="0.15">
      <c r="A119" s="122">
        <v>39008118</v>
      </c>
      <c r="B119" s="42">
        <v>0</v>
      </c>
      <c r="C119" s="42">
        <v>913</v>
      </c>
      <c r="D119" s="42">
        <v>100</v>
      </c>
      <c r="E119" s="42" t="s">
        <v>331</v>
      </c>
      <c r="F119" s="42" t="s">
        <v>331</v>
      </c>
      <c r="G119" s="42">
        <v>0</v>
      </c>
      <c r="H119" s="42" t="s">
        <v>331</v>
      </c>
      <c r="I119" s="42">
        <v>528</v>
      </c>
      <c r="J119" s="42">
        <f t="shared" si="1"/>
        <v>100</v>
      </c>
    </row>
    <row r="120" spans="1:10" ht="21" customHeight="1" x14ac:dyDescent="0.15">
      <c r="A120" s="122">
        <v>39008119</v>
      </c>
      <c r="B120" s="42">
        <v>0</v>
      </c>
      <c r="C120" s="42">
        <v>912</v>
      </c>
      <c r="D120" s="42">
        <v>100</v>
      </c>
      <c r="E120" s="42" t="s">
        <v>331</v>
      </c>
      <c r="F120" s="42" t="s">
        <v>331</v>
      </c>
      <c r="G120" s="42">
        <v>0</v>
      </c>
      <c r="H120" s="42" t="s">
        <v>331</v>
      </c>
      <c r="I120" s="42">
        <v>1299</v>
      </c>
      <c r="J120" s="42">
        <f t="shared" si="1"/>
        <v>100</v>
      </c>
    </row>
    <row r="121" spans="1:10" ht="21" customHeight="1" x14ac:dyDescent="0.15">
      <c r="A121" s="122">
        <v>39008120</v>
      </c>
      <c r="B121" s="42">
        <v>0</v>
      </c>
      <c r="C121" s="42">
        <v>911</v>
      </c>
      <c r="D121" s="42">
        <v>100</v>
      </c>
      <c r="E121" s="42" t="s">
        <v>331</v>
      </c>
      <c r="F121" s="42" t="s">
        <v>331</v>
      </c>
      <c r="G121" s="42">
        <v>0</v>
      </c>
      <c r="H121" s="42" t="s">
        <v>331</v>
      </c>
      <c r="I121" s="42">
        <v>1318</v>
      </c>
      <c r="J121" s="42">
        <f t="shared" si="1"/>
        <v>100</v>
      </c>
    </row>
    <row r="122" spans="1:10" ht="21" customHeight="1" x14ac:dyDescent="0.15">
      <c r="A122" s="122">
        <v>39008121</v>
      </c>
      <c r="B122" s="42">
        <v>0</v>
      </c>
      <c r="C122" s="42">
        <v>910</v>
      </c>
      <c r="D122" s="42">
        <v>100</v>
      </c>
      <c r="E122" s="42" t="s">
        <v>331</v>
      </c>
      <c r="F122" s="42" t="s">
        <v>331</v>
      </c>
      <c r="G122" s="42">
        <v>0</v>
      </c>
      <c r="H122" s="42" t="s">
        <v>331</v>
      </c>
      <c r="I122" s="42">
        <v>1319</v>
      </c>
      <c r="J122" s="42">
        <f t="shared" si="1"/>
        <v>100</v>
      </c>
    </row>
    <row r="123" spans="1:10" ht="21" customHeight="1" x14ac:dyDescent="0.15">
      <c r="A123" s="122">
        <v>39008122</v>
      </c>
      <c r="B123" s="42">
        <v>0</v>
      </c>
      <c r="C123" s="42">
        <v>909</v>
      </c>
      <c r="D123" s="42">
        <v>100</v>
      </c>
      <c r="E123" s="42" t="s">
        <v>331</v>
      </c>
      <c r="F123" s="42" t="s">
        <v>331</v>
      </c>
      <c r="G123" s="42">
        <v>0</v>
      </c>
      <c r="H123" s="42" t="s">
        <v>331</v>
      </c>
      <c r="I123" s="42">
        <v>1320</v>
      </c>
      <c r="J123" s="42">
        <f t="shared" si="1"/>
        <v>100</v>
      </c>
    </row>
    <row r="124" spans="1:10" ht="21" customHeight="1" x14ac:dyDescent="0.15">
      <c r="A124" s="122">
        <v>39008123</v>
      </c>
      <c r="B124" s="42">
        <v>0</v>
      </c>
      <c r="C124" s="42">
        <v>908</v>
      </c>
      <c r="D124" s="42">
        <v>100</v>
      </c>
      <c r="E124" s="42" t="s">
        <v>331</v>
      </c>
      <c r="F124" s="42" t="s">
        <v>331</v>
      </c>
      <c r="G124" s="42">
        <v>0</v>
      </c>
      <c r="H124" s="42" t="s">
        <v>331</v>
      </c>
      <c r="I124" s="42">
        <v>1321</v>
      </c>
      <c r="J124" s="42">
        <f t="shared" si="1"/>
        <v>100</v>
      </c>
    </row>
    <row r="125" spans="1:10" ht="21" customHeight="1" x14ac:dyDescent="0.15">
      <c r="A125" s="122">
        <v>39008132</v>
      </c>
      <c r="B125" s="42">
        <v>0</v>
      </c>
      <c r="C125" s="42">
        <v>100</v>
      </c>
      <c r="D125" s="42">
        <v>100</v>
      </c>
      <c r="E125" s="42" t="s">
        <v>331</v>
      </c>
      <c r="F125" s="42" t="s">
        <v>331</v>
      </c>
      <c r="G125" s="42">
        <v>0</v>
      </c>
      <c r="H125" s="42" t="s">
        <v>331</v>
      </c>
      <c r="I125" s="42">
        <v>0</v>
      </c>
      <c r="J125" s="42">
        <f t="shared" si="1"/>
        <v>100</v>
      </c>
    </row>
    <row r="126" spans="1:10" ht="21" customHeight="1" x14ac:dyDescent="0.15">
      <c r="A126" s="122">
        <v>39008133</v>
      </c>
      <c r="B126" s="42">
        <v>1</v>
      </c>
      <c r="C126" s="42" t="s">
        <v>331</v>
      </c>
      <c r="D126" s="42">
        <v>100</v>
      </c>
      <c r="E126" s="42" t="s">
        <v>331</v>
      </c>
      <c r="F126" s="42" t="s">
        <v>331</v>
      </c>
      <c r="G126" s="42">
        <v>1</v>
      </c>
      <c r="H126" s="42" t="s">
        <v>331</v>
      </c>
      <c r="I126" s="42" t="s">
        <v>331</v>
      </c>
      <c r="J126" s="42">
        <f t="shared" si="1"/>
        <v>100</v>
      </c>
    </row>
    <row r="127" spans="1:10" ht="21" customHeight="1" x14ac:dyDescent="0.15">
      <c r="A127" s="122">
        <v>39008134</v>
      </c>
      <c r="B127" s="42">
        <v>0</v>
      </c>
      <c r="C127" s="42">
        <v>1</v>
      </c>
      <c r="D127" s="42">
        <v>40</v>
      </c>
      <c r="E127" s="42" t="s">
        <v>331</v>
      </c>
      <c r="F127" s="42" t="s">
        <v>331</v>
      </c>
      <c r="G127" s="42" t="s">
        <v>331</v>
      </c>
      <c r="H127" s="42" t="s">
        <v>331</v>
      </c>
      <c r="I127" s="42" t="s">
        <v>331</v>
      </c>
      <c r="J127" s="42">
        <f t="shared" si="1"/>
        <v>40</v>
      </c>
    </row>
    <row r="128" spans="1:10" ht="21" customHeight="1" x14ac:dyDescent="0.15">
      <c r="A128" s="122">
        <v>39008135</v>
      </c>
      <c r="B128" s="42">
        <v>0</v>
      </c>
      <c r="C128" s="42">
        <v>1</v>
      </c>
      <c r="D128" s="42">
        <v>40</v>
      </c>
      <c r="E128" s="42" t="s">
        <v>331</v>
      </c>
      <c r="F128" s="42" t="s">
        <v>331</v>
      </c>
      <c r="G128" s="42">
        <v>2</v>
      </c>
      <c r="H128" s="42" t="s">
        <v>331</v>
      </c>
      <c r="I128" s="42" t="s">
        <v>331</v>
      </c>
      <c r="J128" s="42">
        <f t="shared" si="1"/>
        <v>40</v>
      </c>
    </row>
    <row r="129" spans="1:10" ht="21" customHeight="1" x14ac:dyDescent="0.15">
      <c r="A129" s="122">
        <v>39008136</v>
      </c>
      <c r="B129" s="42">
        <v>0</v>
      </c>
      <c r="C129" s="42">
        <v>2</v>
      </c>
      <c r="D129" s="42">
        <v>30</v>
      </c>
      <c r="E129" s="42" t="s">
        <v>331</v>
      </c>
      <c r="F129" s="42" t="s">
        <v>331</v>
      </c>
      <c r="G129" s="42">
        <v>1</v>
      </c>
      <c r="H129" s="42" t="s">
        <v>331</v>
      </c>
      <c r="I129" s="42" t="s">
        <v>331</v>
      </c>
      <c r="J129" s="42">
        <f t="shared" si="1"/>
        <v>30</v>
      </c>
    </row>
    <row r="130" spans="1:10" ht="21" customHeight="1" x14ac:dyDescent="0.15">
      <c r="A130" s="122">
        <v>39008137</v>
      </c>
      <c r="B130" s="42">
        <v>1</v>
      </c>
      <c r="C130" s="42" t="s">
        <v>331</v>
      </c>
      <c r="D130" s="42">
        <v>100</v>
      </c>
      <c r="E130" s="42" t="s">
        <v>331</v>
      </c>
      <c r="F130" s="42" t="s">
        <v>331</v>
      </c>
      <c r="G130" s="42">
        <v>1</v>
      </c>
      <c r="H130" s="42" t="s">
        <v>331</v>
      </c>
      <c r="I130" s="42" t="s">
        <v>331</v>
      </c>
      <c r="J130" s="42">
        <f t="shared" ref="J130:J132" si="2">D130</f>
        <v>100</v>
      </c>
    </row>
    <row r="131" spans="1:10" ht="21" customHeight="1" x14ac:dyDescent="0.15">
      <c r="A131" s="122">
        <v>39008138</v>
      </c>
      <c r="B131" s="42">
        <v>0</v>
      </c>
      <c r="C131" s="42">
        <v>1</v>
      </c>
      <c r="D131" s="42">
        <v>40</v>
      </c>
      <c r="E131" s="42" t="s">
        <v>331</v>
      </c>
      <c r="F131" s="42" t="s">
        <v>331</v>
      </c>
      <c r="G131" s="42" t="s">
        <v>331</v>
      </c>
      <c r="H131" s="42" t="s">
        <v>331</v>
      </c>
      <c r="I131" s="42" t="s">
        <v>331</v>
      </c>
      <c r="J131" s="42">
        <f t="shared" si="2"/>
        <v>40</v>
      </c>
    </row>
    <row r="132" spans="1:10" ht="21" customHeight="1" x14ac:dyDescent="0.15">
      <c r="A132" s="122">
        <v>39008139</v>
      </c>
      <c r="B132" s="41">
        <v>0</v>
      </c>
      <c r="C132" s="41" t="s">
        <v>383</v>
      </c>
      <c r="D132" s="41">
        <v>75</v>
      </c>
      <c r="E132" s="41" t="s">
        <v>331</v>
      </c>
      <c r="F132" s="41" t="s">
        <v>383</v>
      </c>
      <c r="G132" s="41" t="s">
        <v>331</v>
      </c>
      <c r="H132" s="41" t="s">
        <v>383</v>
      </c>
      <c r="I132" s="41" t="s">
        <v>383</v>
      </c>
      <c r="J132" s="42">
        <f t="shared" si="2"/>
        <v>75</v>
      </c>
    </row>
  </sheetData>
  <autoFilter ref="A1:G1"/>
  <phoneticPr fontId="5"/>
  <conditionalFormatting sqref="K73:K131 K1 K133:K1048576">
    <cfRule type="duplicateValues" dxfId="17" priority="18"/>
  </conditionalFormatting>
  <conditionalFormatting sqref="K2 K4 K6 K8 K17 K20 K25 K28 K31 K34 K37 K40">
    <cfRule type="duplicateValues" dxfId="16" priority="10"/>
  </conditionalFormatting>
  <conditionalFormatting sqref="K3 K5 K7">
    <cfRule type="duplicateValues" dxfId="15" priority="11"/>
  </conditionalFormatting>
  <conditionalFormatting sqref="K24 K19 K9 K11 K13 K15 K27 K30 K33 K36 K39">
    <cfRule type="duplicateValues" dxfId="14" priority="12"/>
  </conditionalFormatting>
  <conditionalFormatting sqref="K24 K19 K27 K30 K33 K36 K39">
    <cfRule type="duplicateValues" dxfId="13" priority="13"/>
  </conditionalFormatting>
  <conditionalFormatting sqref="K45:K46">
    <cfRule type="duplicateValues" dxfId="12" priority="14"/>
  </conditionalFormatting>
  <conditionalFormatting sqref="K41:K44">
    <cfRule type="duplicateValues" dxfId="11" priority="15"/>
  </conditionalFormatting>
  <conditionalFormatting sqref="K22">
    <cfRule type="duplicateValues" dxfId="10" priority="6"/>
  </conditionalFormatting>
  <conditionalFormatting sqref="K21">
    <cfRule type="duplicateValues" dxfId="9" priority="7"/>
  </conditionalFormatting>
  <conditionalFormatting sqref="K21">
    <cfRule type="duplicateValues" dxfId="8" priority="8"/>
  </conditionalFormatting>
  <conditionalFormatting sqref="K22">
    <cfRule type="duplicateValues" dxfId="7" priority="9"/>
  </conditionalFormatting>
  <conditionalFormatting sqref="K23 K18 K10 K12 K14 K16 K26 K29 K32 K35 K38">
    <cfRule type="duplicateValues" dxfId="6" priority="16"/>
  </conditionalFormatting>
  <conditionalFormatting sqref="K25:K26 K17:K18 K20 K28:K29 K31:K32 K34:K35 K37:K38 K40 K23">
    <cfRule type="duplicateValues" dxfId="5" priority="17"/>
  </conditionalFormatting>
  <conditionalFormatting sqref="K47:K49">
    <cfRule type="duplicateValues" dxfId="4" priority="4"/>
  </conditionalFormatting>
  <conditionalFormatting sqref="K47:K49">
    <cfRule type="duplicateValues" dxfId="3" priority="5"/>
  </conditionalFormatting>
  <conditionalFormatting sqref="K69 K52 K50 K54 K56 K58 K60 K62 K64 K66:K67 K71:K72">
    <cfRule type="duplicateValues" dxfId="2" priority="3"/>
  </conditionalFormatting>
  <conditionalFormatting sqref="K68 K51 K53 K55 K57 K59 K61 K63 K65 K70">
    <cfRule type="duplicateValues" dxfId="1" priority="2"/>
  </conditionalFormatting>
  <conditionalFormatting sqref="K132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6"/>
  <sheetViews>
    <sheetView workbookViewId="0"/>
  </sheetViews>
  <sheetFormatPr baseColWidth="12" defaultRowHeight="15" x14ac:dyDescent="0.15"/>
  <cols>
    <col min="17" max="18" width="19" bestFit="1" customWidth="1"/>
  </cols>
  <sheetData>
    <row r="1" spans="1:18" ht="16" thickBot="1" x14ac:dyDescent="0.2">
      <c r="A1" s="143" t="s">
        <v>147</v>
      </c>
      <c r="B1" s="144" t="s">
        <v>148</v>
      </c>
      <c r="C1" s="145" t="s">
        <v>149</v>
      </c>
      <c r="D1" s="146" t="s">
        <v>150</v>
      </c>
      <c r="E1" s="147" t="s">
        <v>151</v>
      </c>
      <c r="F1" s="144" t="s">
        <v>152</v>
      </c>
      <c r="G1" s="144" t="s">
        <v>153</v>
      </c>
      <c r="H1" s="144" t="s">
        <v>154</v>
      </c>
      <c r="I1" s="144" t="s">
        <v>155</v>
      </c>
      <c r="J1" s="144" t="s">
        <v>156</v>
      </c>
      <c r="K1" s="144" t="s">
        <v>157</v>
      </c>
      <c r="L1" s="144" t="s">
        <v>158</v>
      </c>
      <c r="M1" s="144" t="s">
        <v>159</v>
      </c>
      <c r="N1" s="144" t="s">
        <v>160</v>
      </c>
      <c r="O1" s="144" t="s">
        <v>161</v>
      </c>
      <c r="P1" s="144" t="s">
        <v>162</v>
      </c>
      <c r="Q1" s="144" t="s">
        <v>163</v>
      </c>
      <c r="R1" s="148" t="s">
        <v>164</v>
      </c>
    </row>
    <row r="2" spans="1:18" x14ac:dyDescent="0.15">
      <c r="A2" s="128">
        <v>39008</v>
      </c>
      <c r="B2" s="129">
        <v>1</v>
      </c>
      <c r="C2" s="130" t="str">
        <f>A2&amp; "_"&amp;B2</f>
        <v>39008_1</v>
      </c>
      <c r="D2" s="13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29">
        <v>1</v>
      </c>
      <c r="F2" s="129" t="s">
        <v>165</v>
      </c>
      <c r="G2" s="129">
        <v>1700</v>
      </c>
      <c r="H2" s="129" t="s">
        <v>245</v>
      </c>
      <c r="I2" s="129">
        <v>1</v>
      </c>
      <c r="J2" s="129">
        <v>1</v>
      </c>
      <c r="K2" s="129">
        <v>0</v>
      </c>
      <c r="L2" s="129">
        <v>0</v>
      </c>
      <c r="M2" s="129">
        <v>0</v>
      </c>
      <c r="N2" s="129">
        <v>0</v>
      </c>
      <c r="O2" s="129">
        <v>1</v>
      </c>
      <c r="P2" s="129">
        <v>250</v>
      </c>
      <c r="Q2" s="129" t="s">
        <v>166</v>
      </c>
      <c r="R2" s="132" t="s">
        <v>167</v>
      </c>
    </row>
    <row r="3" spans="1:18" x14ac:dyDescent="0.15">
      <c r="A3" s="133">
        <v>39008</v>
      </c>
      <c r="B3" s="73">
        <v>1</v>
      </c>
      <c r="C3" s="64" t="str">
        <f t="shared" ref="C3:C56" si="0">A3&amp; "_"&amp;B3</f>
        <v>39008_1</v>
      </c>
      <c r="D3" s="15" t="str">
        <f ca="1">VLOOKUP($C3,OFFSET([2]stages!$A$1,0,0,COUNTA([2]stages!$A:$A),MATCH(D$1,[2]stages!$2:$2,0)-MATCH($C$1,[2]stages!$2:$2,0)+1),MATCH(D$1,[2]stages!$2:$2,0)-MATCH($C$1,[2]stages!$2:$2,0)+1,FALSE)</f>
        <v>everyone</v>
      </c>
      <c r="E3" s="73">
        <v>2</v>
      </c>
      <c r="F3" s="73" t="s">
        <v>277</v>
      </c>
      <c r="G3" s="73">
        <v>20</v>
      </c>
      <c r="H3" s="73" t="s">
        <v>278</v>
      </c>
      <c r="I3" s="73">
        <v>1</v>
      </c>
      <c r="J3" s="73">
        <v>1</v>
      </c>
      <c r="K3" s="73">
        <v>0</v>
      </c>
      <c r="L3" s="73">
        <v>0</v>
      </c>
      <c r="M3" s="73">
        <v>0</v>
      </c>
      <c r="N3" s="73">
        <v>0</v>
      </c>
      <c r="O3" s="73">
        <v>1</v>
      </c>
      <c r="P3" s="73">
        <v>250</v>
      </c>
      <c r="Q3" s="73" t="s">
        <v>166</v>
      </c>
      <c r="R3" s="134" t="s">
        <v>167</v>
      </c>
    </row>
    <row r="4" spans="1:18" x14ac:dyDescent="0.15">
      <c r="A4" s="133">
        <v>39008</v>
      </c>
      <c r="B4" s="73">
        <v>1</v>
      </c>
      <c r="C4" s="64" t="str">
        <f t="shared" si="0"/>
        <v>39008_1</v>
      </c>
      <c r="D4" s="15" t="str">
        <f ca="1">VLOOKUP($C4,OFFSET([2]stages!$A$1,0,0,COUNTA([2]stages!$A:$A),MATCH(D$1,[2]stages!$2:$2,0)-MATCH($C$1,[2]stages!$2:$2,0)+1),MATCH(D$1,[2]stages!$2:$2,0)-MATCH($C$1,[2]stages!$2:$2,0)+1,FALSE)</f>
        <v>everyone</v>
      </c>
      <c r="E4" s="73">
        <v>3</v>
      </c>
      <c r="F4" s="73" t="s">
        <v>279</v>
      </c>
      <c r="G4" s="73">
        <v>340</v>
      </c>
      <c r="H4" s="73">
        <v>1</v>
      </c>
      <c r="I4" s="73">
        <v>1</v>
      </c>
      <c r="J4" s="73">
        <v>1</v>
      </c>
      <c r="K4" s="73">
        <v>0</v>
      </c>
      <c r="L4" s="73">
        <v>0</v>
      </c>
      <c r="M4" s="73">
        <v>0</v>
      </c>
      <c r="N4" s="73">
        <v>0</v>
      </c>
      <c r="O4" s="73">
        <v>1</v>
      </c>
      <c r="P4" s="73">
        <v>98</v>
      </c>
      <c r="Q4" s="73" t="s">
        <v>166</v>
      </c>
      <c r="R4" s="134" t="s">
        <v>167</v>
      </c>
    </row>
    <row r="5" spans="1:18" x14ac:dyDescent="0.15">
      <c r="A5" s="133">
        <v>39008</v>
      </c>
      <c r="B5" s="73">
        <v>1</v>
      </c>
      <c r="C5" s="64" t="str">
        <f t="shared" si="0"/>
        <v>39008_1</v>
      </c>
      <c r="D5" s="15" t="str">
        <f ca="1">VLOOKUP($C5,OFFSET([2]stages!$A$1,0,0,COUNTA([2]stages!$A:$A),MATCH(D$1,[2]stages!$2:$2,0)-MATCH($C$1,[2]stages!$2:$2,0)+1),MATCH(D$1,[2]stages!$2:$2,0)-MATCH($C$1,[2]stages!$2:$2,0)+1,FALSE)</f>
        <v>everyone</v>
      </c>
      <c r="E5" s="73">
        <v>4</v>
      </c>
      <c r="F5" s="73" t="s">
        <v>279</v>
      </c>
      <c r="G5" s="73">
        <v>341</v>
      </c>
      <c r="H5" s="73">
        <v>1</v>
      </c>
      <c r="I5" s="73">
        <v>1</v>
      </c>
      <c r="J5" s="73">
        <v>1</v>
      </c>
      <c r="K5" s="73">
        <v>0</v>
      </c>
      <c r="L5" s="73">
        <v>0</v>
      </c>
      <c r="M5" s="73">
        <v>0</v>
      </c>
      <c r="N5" s="73">
        <v>0</v>
      </c>
      <c r="O5" s="73">
        <v>1</v>
      </c>
      <c r="P5" s="73">
        <v>42</v>
      </c>
      <c r="Q5" s="73" t="s">
        <v>166</v>
      </c>
      <c r="R5" s="134" t="s">
        <v>167</v>
      </c>
    </row>
    <row r="6" spans="1:18" x14ac:dyDescent="0.15">
      <c r="A6" s="133">
        <v>39008</v>
      </c>
      <c r="B6" s="73">
        <v>1</v>
      </c>
      <c r="C6" s="64" t="str">
        <f t="shared" si="0"/>
        <v>39008_1</v>
      </c>
      <c r="D6" s="15" t="str">
        <f ca="1">VLOOKUP($C6,OFFSET([2]stages!$A$1,0,0,COUNTA([2]stages!$A:$A),MATCH(D$1,[2]stages!$2:$2,0)-MATCH($C$1,[2]stages!$2:$2,0)+1),MATCH(D$1,[2]stages!$2:$2,0)-MATCH($C$1,[2]stages!$2:$2,0)+1,FALSE)</f>
        <v>everyone</v>
      </c>
      <c r="E6" s="73">
        <v>5</v>
      </c>
      <c r="F6" s="73" t="s">
        <v>279</v>
      </c>
      <c r="G6" s="73">
        <v>121</v>
      </c>
      <c r="H6" s="73">
        <v>1</v>
      </c>
      <c r="I6" s="73">
        <v>1</v>
      </c>
      <c r="J6" s="73">
        <v>1</v>
      </c>
      <c r="K6" s="73">
        <v>0</v>
      </c>
      <c r="L6" s="73">
        <v>0</v>
      </c>
      <c r="M6" s="73">
        <v>0</v>
      </c>
      <c r="N6" s="73">
        <v>0</v>
      </c>
      <c r="O6" s="73">
        <v>1</v>
      </c>
      <c r="P6" s="73">
        <v>50</v>
      </c>
      <c r="Q6" s="73" t="s">
        <v>166</v>
      </c>
      <c r="R6" s="134" t="s">
        <v>167</v>
      </c>
    </row>
    <row r="7" spans="1:18" x14ac:dyDescent="0.15">
      <c r="A7" s="133">
        <v>39008</v>
      </c>
      <c r="B7" s="73">
        <v>1</v>
      </c>
      <c r="C7" s="64" t="str">
        <f t="shared" si="0"/>
        <v>39008_1</v>
      </c>
      <c r="D7" s="15" t="str">
        <f ca="1">VLOOKUP($C7,OFFSET([2]stages!$A$1,0,0,COUNTA([2]stages!$A:$A),MATCH(D$1,[2]stages!$2:$2,0)-MATCH($C$1,[2]stages!$2:$2,0)+1),MATCH(D$1,[2]stages!$2:$2,0)-MATCH($C$1,[2]stages!$2:$2,0)+1,FALSE)</f>
        <v>everyone</v>
      </c>
      <c r="E7" s="73">
        <v>6</v>
      </c>
      <c r="F7" s="73" t="s">
        <v>279</v>
      </c>
      <c r="G7" s="73">
        <v>122</v>
      </c>
      <c r="H7" s="73">
        <v>1</v>
      </c>
      <c r="I7" s="73">
        <v>1</v>
      </c>
      <c r="J7" s="73">
        <v>1</v>
      </c>
      <c r="K7" s="73">
        <v>0</v>
      </c>
      <c r="L7" s="73">
        <v>0</v>
      </c>
      <c r="M7" s="73">
        <v>0</v>
      </c>
      <c r="N7" s="73">
        <v>0</v>
      </c>
      <c r="O7" s="73">
        <v>1</v>
      </c>
      <c r="P7" s="73">
        <v>50</v>
      </c>
      <c r="Q7" s="73" t="s">
        <v>166</v>
      </c>
      <c r="R7" s="134" t="s">
        <v>167</v>
      </c>
    </row>
    <row r="8" spans="1:18" x14ac:dyDescent="0.15">
      <c r="A8" s="133">
        <v>39008</v>
      </c>
      <c r="B8" s="73">
        <v>1</v>
      </c>
      <c r="C8" s="64" t="str">
        <f t="shared" si="0"/>
        <v>39008_1</v>
      </c>
      <c r="D8" s="15" t="str">
        <f ca="1">VLOOKUP($C8,OFFSET([2]stages!$A$1,0,0,COUNTA([2]stages!$A:$A),MATCH(D$1,[2]stages!$2:$2,0)-MATCH($C$1,[2]stages!$2:$2,0)+1),MATCH(D$1,[2]stages!$2:$2,0)-MATCH($C$1,[2]stages!$2:$2,0)+1,FALSE)</f>
        <v>everyone</v>
      </c>
      <c r="E8" s="73">
        <v>7</v>
      </c>
      <c r="F8" s="73" t="s">
        <v>279</v>
      </c>
      <c r="G8" s="73">
        <v>123</v>
      </c>
      <c r="H8" s="73">
        <v>1</v>
      </c>
      <c r="I8" s="73">
        <v>1</v>
      </c>
      <c r="J8" s="73">
        <v>1</v>
      </c>
      <c r="K8" s="73">
        <v>0</v>
      </c>
      <c r="L8" s="73">
        <v>0</v>
      </c>
      <c r="M8" s="73">
        <v>0</v>
      </c>
      <c r="N8" s="73">
        <v>0</v>
      </c>
      <c r="O8" s="73">
        <v>1</v>
      </c>
      <c r="P8" s="73">
        <v>50</v>
      </c>
      <c r="Q8" s="73" t="s">
        <v>166</v>
      </c>
      <c r="R8" s="134" t="s">
        <v>167</v>
      </c>
    </row>
    <row r="9" spans="1:18" x14ac:dyDescent="0.15">
      <c r="A9" s="133">
        <v>39008</v>
      </c>
      <c r="B9" s="73">
        <v>1</v>
      </c>
      <c r="C9" s="64" t="str">
        <f t="shared" si="0"/>
        <v>39008_1</v>
      </c>
      <c r="D9" s="15" t="str">
        <f ca="1">VLOOKUP($C9,OFFSET([2]stages!$A$1,0,0,COUNTA([2]stages!$A:$A),MATCH(D$1,[2]stages!$2:$2,0)-MATCH($C$1,[2]stages!$2:$2,0)+1),MATCH(D$1,[2]stages!$2:$2,0)-MATCH($C$1,[2]stages!$2:$2,0)+1,FALSE)</f>
        <v>everyone</v>
      </c>
      <c r="E9" s="73">
        <v>8</v>
      </c>
      <c r="F9" s="73" t="s">
        <v>279</v>
      </c>
      <c r="G9" s="73">
        <v>125</v>
      </c>
      <c r="H9" s="73">
        <v>1</v>
      </c>
      <c r="I9" s="73">
        <v>1</v>
      </c>
      <c r="J9" s="73">
        <v>1</v>
      </c>
      <c r="K9" s="73">
        <v>0</v>
      </c>
      <c r="L9" s="73">
        <v>0</v>
      </c>
      <c r="M9" s="73">
        <v>0</v>
      </c>
      <c r="N9" s="73">
        <v>0</v>
      </c>
      <c r="O9" s="73">
        <v>1</v>
      </c>
      <c r="P9" s="73">
        <v>10</v>
      </c>
      <c r="Q9" s="73" t="s">
        <v>166</v>
      </c>
      <c r="R9" s="134" t="s">
        <v>167</v>
      </c>
    </row>
    <row r="10" spans="1:18" x14ac:dyDescent="0.15">
      <c r="A10" s="133">
        <v>39008</v>
      </c>
      <c r="B10" s="73">
        <v>1</v>
      </c>
      <c r="C10" s="64" t="str">
        <f t="shared" si="0"/>
        <v>39008_1</v>
      </c>
      <c r="D10" s="15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73">
        <v>9</v>
      </c>
      <c r="F10" s="73" t="s">
        <v>279</v>
      </c>
      <c r="G10" s="127">
        <v>525</v>
      </c>
      <c r="H10" s="73">
        <v>1</v>
      </c>
      <c r="I10" s="73">
        <v>1</v>
      </c>
      <c r="J10" s="73">
        <v>1</v>
      </c>
      <c r="K10" s="73">
        <v>0</v>
      </c>
      <c r="L10" s="73">
        <v>0</v>
      </c>
      <c r="M10" s="73">
        <v>0</v>
      </c>
      <c r="N10" s="73">
        <v>0</v>
      </c>
      <c r="O10" s="73">
        <v>1</v>
      </c>
      <c r="P10" s="73">
        <v>50</v>
      </c>
      <c r="Q10" s="73" t="s">
        <v>166</v>
      </c>
      <c r="R10" s="134" t="s">
        <v>167</v>
      </c>
    </row>
    <row r="11" spans="1:18" ht="16" thickBot="1" x14ac:dyDescent="0.2">
      <c r="A11" s="135">
        <v>39008</v>
      </c>
      <c r="B11" s="136">
        <v>1</v>
      </c>
      <c r="C11" s="137" t="str">
        <f t="shared" si="0"/>
        <v>39008_1</v>
      </c>
      <c r="D11" s="13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36">
        <v>10</v>
      </c>
      <c r="F11" s="136" t="s">
        <v>279</v>
      </c>
      <c r="G11" s="136">
        <v>352</v>
      </c>
      <c r="H11" s="136">
        <v>1</v>
      </c>
      <c r="I11" s="197">
        <v>10</v>
      </c>
      <c r="J11" s="136">
        <v>1</v>
      </c>
      <c r="K11" s="136">
        <v>0</v>
      </c>
      <c r="L11" s="136">
        <v>0</v>
      </c>
      <c r="M11" s="136">
        <v>0</v>
      </c>
      <c r="N11" s="136">
        <v>0</v>
      </c>
      <c r="O11" s="136">
        <v>1</v>
      </c>
      <c r="P11" s="136">
        <v>150</v>
      </c>
      <c r="Q11" s="136" t="s">
        <v>166</v>
      </c>
      <c r="R11" s="139" t="s">
        <v>167</v>
      </c>
    </row>
    <row r="12" spans="1:18" x14ac:dyDescent="0.15">
      <c r="A12" s="128">
        <v>39008</v>
      </c>
      <c r="B12" s="129">
        <v>2</v>
      </c>
      <c r="C12" s="130" t="str">
        <f t="shared" si="0"/>
        <v>39008_2</v>
      </c>
      <c r="D12" s="13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29">
        <v>11</v>
      </c>
      <c r="F12" s="129" t="s">
        <v>165</v>
      </c>
      <c r="G12" s="129">
        <v>3200</v>
      </c>
      <c r="H12" s="129" t="s">
        <v>52</v>
      </c>
      <c r="I12" s="129">
        <v>1</v>
      </c>
      <c r="J12" s="129">
        <v>1</v>
      </c>
      <c r="K12" s="129">
        <v>0</v>
      </c>
      <c r="L12" s="129">
        <v>0</v>
      </c>
      <c r="M12" s="129">
        <v>0</v>
      </c>
      <c r="N12" s="129">
        <v>0</v>
      </c>
      <c r="O12" s="129">
        <v>1</v>
      </c>
      <c r="P12" s="129">
        <v>250</v>
      </c>
      <c r="Q12" s="129" t="s">
        <v>166</v>
      </c>
      <c r="R12" s="132" t="s">
        <v>167</v>
      </c>
    </row>
    <row r="13" spans="1:18" x14ac:dyDescent="0.15">
      <c r="A13" s="133">
        <v>39008</v>
      </c>
      <c r="B13" s="73">
        <v>2</v>
      </c>
      <c r="C13" s="64" t="str">
        <f t="shared" si="0"/>
        <v>39008_2</v>
      </c>
      <c r="D13" s="15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73">
        <v>12</v>
      </c>
      <c r="F13" s="73" t="s">
        <v>280</v>
      </c>
      <c r="G13" s="73">
        <v>20</v>
      </c>
      <c r="H13" s="73" t="s">
        <v>52</v>
      </c>
      <c r="I13" s="73">
        <v>1</v>
      </c>
      <c r="J13" s="73">
        <v>1</v>
      </c>
      <c r="K13" s="73">
        <v>0</v>
      </c>
      <c r="L13" s="73">
        <v>0</v>
      </c>
      <c r="M13" s="73">
        <v>0</v>
      </c>
      <c r="N13" s="73">
        <v>0</v>
      </c>
      <c r="O13" s="73">
        <v>1</v>
      </c>
      <c r="P13" s="73">
        <v>200</v>
      </c>
      <c r="Q13" s="73" t="s">
        <v>166</v>
      </c>
      <c r="R13" s="134" t="s">
        <v>167</v>
      </c>
    </row>
    <row r="14" spans="1:18" x14ac:dyDescent="0.15">
      <c r="A14" s="133">
        <v>39008</v>
      </c>
      <c r="B14" s="73">
        <v>2</v>
      </c>
      <c r="C14" s="64" t="str">
        <f t="shared" si="0"/>
        <v>39008_2</v>
      </c>
      <c r="D14" s="15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73">
        <v>13</v>
      </c>
      <c r="F14" s="73" t="s">
        <v>279</v>
      </c>
      <c r="G14" s="73">
        <v>340</v>
      </c>
      <c r="H14" s="73">
        <v>1</v>
      </c>
      <c r="I14" s="73">
        <v>1</v>
      </c>
      <c r="J14" s="73">
        <v>1</v>
      </c>
      <c r="K14" s="73">
        <v>0</v>
      </c>
      <c r="L14" s="73">
        <v>0</v>
      </c>
      <c r="M14" s="73">
        <v>0</v>
      </c>
      <c r="N14" s="73">
        <v>0</v>
      </c>
      <c r="O14" s="73">
        <v>1</v>
      </c>
      <c r="P14" s="73">
        <v>70</v>
      </c>
      <c r="Q14" s="73" t="s">
        <v>166</v>
      </c>
      <c r="R14" s="134" t="s">
        <v>167</v>
      </c>
    </row>
    <row r="15" spans="1:18" x14ac:dyDescent="0.15">
      <c r="A15" s="133">
        <v>39008</v>
      </c>
      <c r="B15" s="73">
        <v>2</v>
      </c>
      <c r="C15" s="64" t="str">
        <f t="shared" si="0"/>
        <v>39008_2</v>
      </c>
      <c r="D15" s="15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73">
        <v>14</v>
      </c>
      <c r="F15" s="73" t="s">
        <v>279</v>
      </c>
      <c r="G15" s="73">
        <v>341</v>
      </c>
      <c r="H15" s="73">
        <v>1</v>
      </c>
      <c r="I15" s="73">
        <v>1</v>
      </c>
      <c r="J15" s="73">
        <v>1</v>
      </c>
      <c r="K15" s="73">
        <v>0</v>
      </c>
      <c r="L15" s="73">
        <v>0</v>
      </c>
      <c r="M15" s="73">
        <v>0</v>
      </c>
      <c r="N15" s="73">
        <v>0</v>
      </c>
      <c r="O15" s="73">
        <v>1</v>
      </c>
      <c r="P15" s="73">
        <v>70</v>
      </c>
      <c r="Q15" s="73" t="s">
        <v>166</v>
      </c>
      <c r="R15" s="134" t="s">
        <v>167</v>
      </c>
    </row>
    <row r="16" spans="1:18" x14ac:dyDescent="0.15">
      <c r="A16" s="133">
        <v>39008</v>
      </c>
      <c r="B16" s="73">
        <v>2</v>
      </c>
      <c r="C16" s="64" t="str">
        <f t="shared" si="0"/>
        <v>39008_2</v>
      </c>
      <c r="D16" s="15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73">
        <v>15</v>
      </c>
      <c r="F16" s="73" t="s">
        <v>279</v>
      </c>
      <c r="G16" s="73">
        <v>121</v>
      </c>
      <c r="H16" s="73">
        <v>1</v>
      </c>
      <c r="I16" s="73">
        <v>1</v>
      </c>
      <c r="J16" s="73">
        <v>1</v>
      </c>
      <c r="K16" s="73">
        <v>0</v>
      </c>
      <c r="L16" s="73">
        <v>0</v>
      </c>
      <c r="M16" s="73">
        <v>0</v>
      </c>
      <c r="N16" s="73">
        <v>0</v>
      </c>
      <c r="O16" s="73">
        <v>1</v>
      </c>
      <c r="P16" s="73">
        <v>50</v>
      </c>
      <c r="Q16" s="73" t="s">
        <v>166</v>
      </c>
      <c r="R16" s="134" t="s">
        <v>167</v>
      </c>
    </row>
    <row r="17" spans="1:18" x14ac:dyDescent="0.15">
      <c r="A17" s="133">
        <v>39008</v>
      </c>
      <c r="B17" s="73">
        <v>2</v>
      </c>
      <c r="C17" s="64" t="str">
        <f t="shared" si="0"/>
        <v>39008_2</v>
      </c>
      <c r="D17" s="15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73">
        <v>16</v>
      </c>
      <c r="F17" s="73" t="s">
        <v>281</v>
      </c>
      <c r="G17" s="73">
        <v>122</v>
      </c>
      <c r="H17" s="73">
        <v>1</v>
      </c>
      <c r="I17" s="73">
        <v>1</v>
      </c>
      <c r="J17" s="73">
        <v>1</v>
      </c>
      <c r="K17" s="73">
        <v>0</v>
      </c>
      <c r="L17" s="73">
        <v>0</v>
      </c>
      <c r="M17" s="73">
        <v>0</v>
      </c>
      <c r="N17" s="73">
        <v>0</v>
      </c>
      <c r="O17" s="73">
        <v>1</v>
      </c>
      <c r="P17" s="73">
        <v>50</v>
      </c>
      <c r="Q17" s="73" t="s">
        <v>166</v>
      </c>
      <c r="R17" s="134" t="s">
        <v>167</v>
      </c>
    </row>
    <row r="18" spans="1:18" x14ac:dyDescent="0.15">
      <c r="A18" s="133">
        <v>39008</v>
      </c>
      <c r="B18" s="73">
        <v>2</v>
      </c>
      <c r="C18" s="64" t="str">
        <f t="shared" si="0"/>
        <v>39008_2</v>
      </c>
      <c r="D18" s="15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73">
        <v>17</v>
      </c>
      <c r="F18" s="73" t="s">
        <v>282</v>
      </c>
      <c r="G18" s="73">
        <v>123</v>
      </c>
      <c r="H18" s="73">
        <v>1</v>
      </c>
      <c r="I18" s="73">
        <v>1</v>
      </c>
      <c r="J18" s="73">
        <v>1</v>
      </c>
      <c r="K18" s="73">
        <v>0</v>
      </c>
      <c r="L18" s="73">
        <v>0</v>
      </c>
      <c r="M18" s="73">
        <v>0</v>
      </c>
      <c r="N18" s="73">
        <v>0</v>
      </c>
      <c r="O18" s="73">
        <v>1</v>
      </c>
      <c r="P18" s="73">
        <v>50</v>
      </c>
      <c r="Q18" s="73" t="s">
        <v>166</v>
      </c>
      <c r="R18" s="134" t="s">
        <v>167</v>
      </c>
    </row>
    <row r="19" spans="1:18" x14ac:dyDescent="0.15">
      <c r="A19" s="133">
        <v>39008</v>
      </c>
      <c r="B19" s="73">
        <v>2</v>
      </c>
      <c r="C19" s="64" t="str">
        <f t="shared" si="0"/>
        <v>39008_2</v>
      </c>
      <c r="D19" s="15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73">
        <v>18</v>
      </c>
      <c r="F19" s="73" t="s">
        <v>279</v>
      </c>
      <c r="G19" s="73">
        <v>125</v>
      </c>
      <c r="H19" s="73">
        <v>1</v>
      </c>
      <c r="I19" s="73">
        <v>1</v>
      </c>
      <c r="J19" s="73">
        <v>1</v>
      </c>
      <c r="K19" s="73">
        <v>0</v>
      </c>
      <c r="L19" s="73">
        <v>0</v>
      </c>
      <c r="M19" s="73">
        <v>0</v>
      </c>
      <c r="N19" s="73">
        <v>0</v>
      </c>
      <c r="O19" s="73">
        <v>1</v>
      </c>
      <c r="P19" s="73">
        <v>10</v>
      </c>
      <c r="Q19" s="73" t="s">
        <v>166</v>
      </c>
      <c r="R19" s="134" t="s">
        <v>167</v>
      </c>
    </row>
    <row r="20" spans="1:18" x14ac:dyDescent="0.15">
      <c r="A20" s="133">
        <v>39008</v>
      </c>
      <c r="B20" s="73">
        <v>2</v>
      </c>
      <c r="C20" s="64" t="str">
        <f t="shared" si="0"/>
        <v>39008_2</v>
      </c>
      <c r="D20" s="15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73">
        <v>19</v>
      </c>
      <c r="F20" s="73" t="s">
        <v>279</v>
      </c>
      <c r="G20" s="127">
        <v>525</v>
      </c>
      <c r="H20" s="73">
        <v>1</v>
      </c>
      <c r="I20" s="73">
        <v>1</v>
      </c>
      <c r="J20" s="73">
        <v>1</v>
      </c>
      <c r="K20" s="73">
        <v>0</v>
      </c>
      <c r="L20" s="73">
        <v>0</v>
      </c>
      <c r="M20" s="73">
        <v>0</v>
      </c>
      <c r="N20" s="73">
        <v>0</v>
      </c>
      <c r="O20" s="73">
        <v>1</v>
      </c>
      <c r="P20" s="73">
        <v>100</v>
      </c>
      <c r="Q20" s="73" t="s">
        <v>166</v>
      </c>
      <c r="R20" s="134" t="s">
        <v>167</v>
      </c>
    </row>
    <row r="21" spans="1:18" ht="16" thickBot="1" x14ac:dyDescent="0.2">
      <c r="A21" s="135">
        <v>39008</v>
      </c>
      <c r="B21" s="136">
        <v>2</v>
      </c>
      <c r="C21" s="137" t="str">
        <f t="shared" si="0"/>
        <v>39008_2</v>
      </c>
      <c r="D21" s="13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136">
        <v>20</v>
      </c>
      <c r="F21" s="136" t="s">
        <v>279</v>
      </c>
      <c r="G21" s="136">
        <v>352</v>
      </c>
      <c r="H21" s="136">
        <v>1</v>
      </c>
      <c r="I21" s="197">
        <v>10</v>
      </c>
      <c r="J21" s="136">
        <v>1</v>
      </c>
      <c r="K21" s="136">
        <v>0</v>
      </c>
      <c r="L21" s="136">
        <v>0</v>
      </c>
      <c r="M21" s="136">
        <v>0</v>
      </c>
      <c r="N21" s="136">
        <v>0</v>
      </c>
      <c r="O21" s="136">
        <v>1</v>
      </c>
      <c r="P21" s="136">
        <v>150</v>
      </c>
      <c r="Q21" s="136" t="s">
        <v>166</v>
      </c>
      <c r="R21" s="139" t="s">
        <v>167</v>
      </c>
    </row>
    <row r="22" spans="1:18" x14ac:dyDescent="0.15">
      <c r="A22" s="128">
        <v>39008</v>
      </c>
      <c r="B22" s="129">
        <v>3</v>
      </c>
      <c r="C22" s="130" t="str">
        <f t="shared" si="0"/>
        <v>39008_3</v>
      </c>
      <c r="D22" s="131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29">
        <v>21</v>
      </c>
      <c r="F22" s="129" t="s">
        <v>165</v>
      </c>
      <c r="G22" s="129">
        <v>5000</v>
      </c>
      <c r="H22" s="129" t="s">
        <v>52</v>
      </c>
      <c r="I22" s="129">
        <v>1</v>
      </c>
      <c r="J22" s="129">
        <v>1</v>
      </c>
      <c r="K22" s="129">
        <v>0</v>
      </c>
      <c r="L22" s="129">
        <v>0</v>
      </c>
      <c r="M22" s="129">
        <v>0</v>
      </c>
      <c r="N22" s="129">
        <v>0</v>
      </c>
      <c r="O22" s="129">
        <v>1</v>
      </c>
      <c r="P22" s="129">
        <v>200</v>
      </c>
      <c r="Q22" s="129" t="s">
        <v>166</v>
      </c>
      <c r="R22" s="132" t="s">
        <v>167</v>
      </c>
    </row>
    <row r="23" spans="1:18" x14ac:dyDescent="0.15">
      <c r="A23" s="133">
        <v>39008</v>
      </c>
      <c r="B23" s="73">
        <v>3</v>
      </c>
      <c r="C23" s="64" t="str">
        <f t="shared" si="0"/>
        <v>39008_3</v>
      </c>
      <c r="D23" s="15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73">
        <v>22</v>
      </c>
      <c r="F23" s="73" t="s">
        <v>280</v>
      </c>
      <c r="G23" s="73">
        <v>25</v>
      </c>
      <c r="H23" s="73" t="s">
        <v>52</v>
      </c>
      <c r="I23" s="73">
        <v>1</v>
      </c>
      <c r="J23" s="73">
        <v>1</v>
      </c>
      <c r="K23" s="73">
        <v>0</v>
      </c>
      <c r="L23" s="73">
        <v>0</v>
      </c>
      <c r="M23" s="73">
        <v>0</v>
      </c>
      <c r="N23" s="73">
        <v>0</v>
      </c>
      <c r="O23" s="73">
        <v>1</v>
      </c>
      <c r="P23" s="73">
        <v>150</v>
      </c>
      <c r="Q23" s="73" t="s">
        <v>166</v>
      </c>
      <c r="R23" s="134" t="s">
        <v>167</v>
      </c>
    </row>
    <row r="24" spans="1:18" x14ac:dyDescent="0.15">
      <c r="A24" s="133">
        <v>39008</v>
      </c>
      <c r="B24" s="73">
        <v>3</v>
      </c>
      <c r="C24" s="64" t="str">
        <f t="shared" si="0"/>
        <v>39008_3</v>
      </c>
      <c r="D24" s="15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73">
        <v>23</v>
      </c>
      <c r="F24" s="73" t="s">
        <v>279</v>
      </c>
      <c r="G24" s="73">
        <v>340</v>
      </c>
      <c r="H24" s="73">
        <v>1</v>
      </c>
      <c r="I24" s="73">
        <v>1</v>
      </c>
      <c r="J24" s="73">
        <v>1</v>
      </c>
      <c r="K24" s="73">
        <v>0</v>
      </c>
      <c r="L24" s="73">
        <v>0</v>
      </c>
      <c r="M24" s="73">
        <v>0</v>
      </c>
      <c r="N24" s="73">
        <v>0</v>
      </c>
      <c r="O24" s="73">
        <v>1</v>
      </c>
      <c r="P24" s="73">
        <v>56</v>
      </c>
      <c r="Q24" s="73" t="s">
        <v>166</v>
      </c>
      <c r="R24" s="134" t="s">
        <v>167</v>
      </c>
    </row>
    <row r="25" spans="1:18" x14ac:dyDescent="0.15">
      <c r="A25" s="133">
        <v>39008</v>
      </c>
      <c r="B25" s="73">
        <v>3</v>
      </c>
      <c r="C25" s="64" t="str">
        <f t="shared" si="0"/>
        <v>39008_3</v>
      </c>
      <c r="D25" s="15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73">
        <v>24</v>
      </c>
      <c r="F25" s="73" t="s">
        <v>279</v>
      </c>
      <c r="G25" s="73">
        <v>341</v>
      </c>
      <c r="H25" s="73">
        <v>1</v>
      </c>
      <c r="I25" s="73">
        <v>1</v>
      </c>
      <c r="J25" s="73">
        <v>1</v>
      </c>
      <c r="K25" s="73">
        <v>0</v>
      </c>
      <c r="L25" s="73">
        <v>0</v>
      </c>
      <c r="M25" s="73">
        <v>0</v>
      </c>
      <c r="N25" s="73">
        <v>0</v>
      </c>
      <c r="O25" s="73">
        <v>1</v>
      </c>
      <c r="P25" s="73">
        <v>56</v>
      </c>
      <c r="Q25" s="73" t="s">
        <v>166</v>
      </c>
      <c r="R25" s="134" t="s">
        <v>167</v>
      </c>
    </row>
    <row r="26" spans="1:18" x14ac:dyDescent="0.15">
      <c r="A26" s="133">
        <v>39008</v>
      </c>
      <c r="B26" s="73">
        <v>3</v>
      </c>
      <c r="C26" s="64" t="str">
        <f t="shared" si="0"/>
        <v>39008_3</v>
      </c>
      <c r="D26" s="15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73">
        <v>25</v>
      </c>
      <c r="F26" s="73" t="s">
        <v>279</v>
      </c>
      <c r="G26" s="73">
        <v>342</v>
      </c>
      <c r="H26" s="73">
        <v>1</v>
      </c>
      <c r="I26" s="73">
        <v>1</v>
      </c>
      <c r="J26" s="73">
        <v>1</v>
      </c>
      <c r="K26" s="73">
        <v>0</v>
      </c>
      <c r="L26" s="73">
        <v>0</v>
      </c>
      <c r="M26" s="73">
        <v>0</v>
      </c>
      <c r="N26" s="73">
        <v>0</v>
      </c>
      <c r="O26" s="73">
        <v>1</v>
      </c>
      <c r="P26" s="73">
        <v>28</v>
      </c>
      <c r="Q26" s="73" t="s">
        <v>166</v>
      </c>
      <c r="R26" s="134" t="s">
        <v>167</v>
      </c>
    </row>
    <row r="27" spans="1:18" x14ac:dyDescent="0.15">
      <c r="A27" s="133">
        <v>39008</v>
      </c>
      <c r="B27" s="73">
        <v>3</v>
      </c>
      <c r="C27" s="64" t="str">
        <f t="shared" si="0"/>
        <v>39008_3</v>
      </c>
      <c r="D27" s="15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73">
        <v>26</v>
      </c>
      <c r="F27" s="73" t="s">
        <v>279</v>
      </c>
      <c r="G27" s="73">
        <v>121</v>
      </c>
      <c r="H27" s="73">
        <v>1</v>
      </c>
      <c r="I27" s="73">
        <v>1</v>
      </c>
      <c r="J27" s="73">
        <v>1</v>
      </c>
      <c r="K27" s="73">
        <v>0</v>
      </c>
      <c r="L27" s="73">
        <v>0</v>
      </c>
      <c r="M27" s="73">
        <v>0</v>
      </c>
      <c r="N27" s="73">
        <v>0</v>
      </c>
      <c r="O27" s="73">
        <v>1</v>
      </c>
      <c r="P27" s="73">
        <v>50</v>
      </c>
      <c r="Q27" s="73" t="s">
        <v>166</v>
      </c>
      <c r="R27" s="134" t="s">
        <v>167</v>
      </c>
    </row>
    <row r="28" spans="1:18" x14ac:dyDescent="0.15">
      <c r="A28" s="133">
        <v>39008</v>
      </c>
      <c r="B28" s="73">
        <v>3</v>
      </c>
      <c r="C28" s="64" t="str">
        <f t="shared" si="0"/>
        <v>39008_3</v>
      </c>
      <c r="D28" s="15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73">
        <v>27</v>
      </c>
      <c r="F28" s="73" t="s">
        <v>279</v>
      </c>
      <c r="G28" s="73">
        <v>122</v>
      </c>
      <c r="H28" s="73">
        <v>1</v>
      </c>
      <c r="I28" s="73">
        <v>1</v>
      </c>
      <c r="J28" s="73">
        <v>1</v>
      </c>
      <c r="K28" s="73">
        <v>0</v>
      </c>
      <c r="L28" s="73">
        <v>0</v>
      </c>
      <c r="M28" s="73">
        <v>0</v>
      </c>
      <c r="N28" s="73">
        <v>0</v>
      </c>
      <c r="O28" s="73">
        <v>1</v>
      </c>
      <c r="P28" s="73">
        <v>50</v>
      </c>
      <c r="Q28" s="73" t="s">
        <v>166</v>
      </c>
      <c r="R28" s="134" t="s">
        <v>167</v>
      </c>
    </row>
    <row r="29" spans="1:18" x14ac:dyDescent="0.15">
      <c r="A29" s="133">
        <v>39008</v>
      </c>
      <c r="B29" s="73">
        <v>3</v>
      </c>
      <c r="C29" s="64" t="str">
        <f t="shared" si="0"/>
        <v>39008_3</v>
      </c>
      <c r="D29" s="15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73">
        <v>28</v>
      </c>
      <c r="F29" s="73" t="s">
        <v>281</v>
      </c>
      <c r="G29" s="73">
        <v>123</v>
      </c>
      <c r="H29" s="73">
        <v>1</v>
      </c>
      <c r="I29" s="73">
        <v>1</v>
      </c>
      <c r="J29" s="73">
        <v>1</v>
      </c>
      <c r="K29" s="73">
        <v>0</v>
      </c>
      <c r="L29" s="73">
        <v>0</v>
      </c>
      <c r="M29" s="73">
        <v>0</v>
      </c>
      <c r="N29" s="73">
        <v>0</v>
      </c>
      <c r="O29" s="73">
        <v>1</v>
      </c>
      <c r="P29" s="73">
        <v>50</v>
      </c>
      <c r="Q29" s="73" t="s">
        <v>166</v>
      </c>
      <c r="R29" s="134" t="s">
        <v>167</v>
      </c>
    </row>
    <row r="30" spans="1:18" x14ac:dyDescent="0.15">
      <c r="A30" s="133">
        <v>39008</v>
      </c>
      <c r="B30" s="73">
        <v>3</v>
      </c>
      <c r="C30" s="64" t="str">
        <f t="shared" si="0"/>
        <v>39008_3</v>
      </c>
      <c r="D30" s="15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73">
        <v>29</v>
      </c>
      <c r="F30" s="73" t="s">
        <v>282</v>
      </c>
      <c r="G30" s="73">
        <v>125</v>
      </c>
      <c r="H30" s="73">
        <v>1</v>
      </c>
      <c r="I30" s="73">
        <v>1</v>
      </c>
      <c r="J30" s="73">
        <v>1</v>
      </c>
      <c r="K30" s="73">
        <v>0</v>
      </c>
      <c r="L30" s="73">
        <v>0</v>
      </c>
      <c r="M30" s="73">
        <v>0</v>
      </c>
      <c r="N30" s="73">
        <v>0</v>
      </c>
      <c r="O30" s="73">
        <v>1</v>
      </c>
      <c r="P30" s="73">
        <v>10</v>
      </c>
      <c r="Q30" s="73" t="s">
        <v>166</v>
      </c>
      <c r="R30" s="134" t="s">
        <v>167</v>
      </c>
    </row>
    <row r="31" spans="1:18" x14ac:dyDescent="0.15">
      <c r="A31" s="133">
        <v>39008</v>
      </c>
      <c r="B31" s="73">
        <v>3</v>
      </c>
      <c r="C31" s="64" t="str">
        <f t="shared" si="0"/>
        <v>39008_3</v>
      </c>
      <c r="D31" s="15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73">
        <v>30</v>
      </c>
      <c r="F31" s="73" t="s">
        <v>279</v>
      </c>
      <c r="G31" s="127">
        <v>525</v>
      </c>
      <c r="H31" s="73">
        <v>1</v>
      </c>
      <c r="I31" s="73">
        <v>1</v>
      </c>
      <c r="J31" s="73">
        <v>1</v>
      </c>
      <c r="K31" s="73">
        <v>0</v>
      </c>
      <c r="L31" s="73">
        <v>0</v>
      </c>
      <c r="M31" s="73">
        <v>0</v>
      </c>
      <c r="N31" s="73">
        <v>0</v>
      </c>
      <c r="O31" s="73">
        <v>1</v>
      </c>
      <c r="P31" s="73">
        <v>200</v>
      </c>
      <c r="Q31" s="73" t="s">
        <v>166</v>
      </c>
      <c r="R31" s="134" t="s">
        <v>167</v>
      </c>
    </row>
    <row r="32" spans="1:18" ht="16" thickBot="1" x14ac:dyDescent="0.2">
      <c r="A32" s="135">
        <v>39008</v>
      </c>
      <c r="B32" s="136">
        <v>3</v>
      </c>
      <c r="C32" s="137" t="str">
        <f t="shared" si="0"/>
        <v>39008_3</v>
      </c>
      <c r="D32" s="138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136">
        <v>31</v>
      </c>
      <c r="F32" s="136" t="s">
        <v>279</v>
      </c>
      <c r="G32" s="136">
        <v>352</v>
      </c>
      <c r="H32" s="136">
        <v>1</v>
      </c>
      <c r="I32" s="197">
        <v>10</v>
      </c>
      <c r="J32" s="136">
        <v>1</v>
      </c>
      <c r="K32" s="136">
        <v>0</v>
      </c>
      <c r="L32" s="136">
        <v>0</v>
      </c>
      <c r="M32" s="136">
        <v>0</v>
      </c>
      <c r="N32" s="136">
        <v>0</v>
      </c>
      <c r="O32" s="136">
        <v>1</v>
      </c>
      <c r="P32" s="136">
        <v>150</v>
      </c>
      <c r="Q32" s="136" t="s">
        <v>166</v>
      </c>
      <c r="R32" s="139" t="s">
        <v>167</v>
      </c>
    </row>
    <row r="33" spans="1:18" x14ac:dyDescent="0.15">
      <c r="A33" s="128">
        <v>39008</v>
      </c>
      <c r="B33" s="129">
        <v>4</v>
      </c>
      <c r="C33" s="130" t="str">
        <f t="shared" si="0"/>
        <v>39008_4</v>
      </c>
      <c r="D33" s="131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129">
        <v>32</v>
      </c>
      <c r="F33" s="129" t="s">
        <v>165</v>
      </c>
      <c r="G33" s="129">
        <v>8000</v>
      </c>
      <c r="H33" s="129" t="s">
        <v>52</v>
      </c>
      <c r="I33" s="129">
        <v>1</v>
      </c>
      <c r="J33" s="129">
        <v>1</v>
      </c>
      <c r="K33" s="129">
        <v>0</v>
      </c>
      <c r="L33" s="129">
        <v>0</v>
      </c>
      <c r="M33" s="129">
        <v>0</v>
      </c>
      <c r="N33" s="129">
        <v>0</v>
      </c>
      <c r="O33" s="129">
        <v>1</v>
      </c>
      <c r="P33" s="129">
        <v>150</v>
      </c>
      <c r="Q33" s="129" t="s">
        <v>166</v>
      </c>
      <c r="R33" s="140" t="s">
        <v>283</v>
      </c>
    </row>
    <row r="34" spans="1:18" x14ac:dyDescent="0.15">
      <c r="A34" s="133">
        <v>39008</v>
      </c>
      <c r="B34" s="73">
        <v>4</v>
      </c>
      <c r="C34" s="64" t="str">
        <f t="shared" si="0"/>
        <v>39008_4</v>
      </c>
      <c r="D34" s="15" t="str">
        <f ca="1">VLOOKUP($C34,OFFSET([2]stages!$A$1,0,0,COUNTA([2]stages!$A:$A),MATCH(D$1,[2]stages!$2:$2,0)-MATCH($C$1,[2]stages!$2:$2,0)+1),MATCH(D$1,[2]stages!$2:$2,0)-MATCH($C$1,[2]stages!$2:$2,0)+1,FALSE)</f>
        <v>everyone</v>
      </c>
      <c r="E34" s="73">
        <v>33</v>
      </c>
      <c r="F34" s="73" t="s">
        <v>280</v>
      </c>
      <c r="G34" s="73">
        <v>25</v>
      </c>
      <c r="H34" s="73" t="s">
        <v>52</v>
      </c>
      <c r="I34" s="73">
        <v>1</v>
      </c>
      <c r="J34" s="73">
        <v>1</v>
      </c>
      <c r="K34" s="73">
        <v>0</v>
      </c>
      <c r="L34" s="73">
        <v>0</v>
      </c>
      <c r="M34" s="73">
        <v>0</v>
      </c>
      <c r="N34" s="73">
        <v>0</v>
      </c>
      <c r="O34" s="73">
        <v>1</v>
      </c>
      <c r="P34" s="73">
        <v>150</v>
      </c>
      <c r="Q34" s="73" t="s">
        <v>166</v>
      </c>
      <c r="R34" s="141" t="s">
        <v>283</v>
      </c>
    </row>
    <row r="35" spans="1:18" x14ac:dyDescent="0.15">
      <c r="A35" s="133">
        <v>39008</v>
      </c>
      <c r="B35" s="73">
        <v>4</v>
      </c>
      <c r="C35" s="64" t="str">
        <f t="shared" si="0"/>
        <v>39008_4</v>
      </c>
      <c r="D35" s="15" t="str">
        <f ca="1">VLOOKUP($C35,OFFSET([2]stages!$A$1,0,0,COUNTA([2]stages!$A:$A),MATCH(D$1,[2]stages!$2:$2,0)-MATCH($C$1,[2]stages!$2:$2,0)+1),MATCH(D$1,[2]stages!$2:$2,0)-MATCH($C$1,[2]stages!$2:$2,0)+1,FALSE)</f>
        <v>everyone</v>
      </c>
      <c r="E35" s="73">
        <v>34</v>
      </c>
      <c r="F35" s="73" t="s">
        <v>279</v>
      </c>
      <c r="G35" s="73">
        <v>340</v>
      </c>
      <c r="H35" s="73">
        <v>1</v>
      </c>
      <c r="I35" s="73">
        <v>1</v>
      </c>
      <c r="J35" s="73">
        <v>1</v>
      </c>
      <c r="K35" s="73">
        <v>0</v>
      </c>
      <c r="L35" s="73">
        <v>0</v>
      </c>
      <c r="M35" s="73">
        <v>0</v>
      </c>
      <c r="N35" s="73">
        <v>0</v>
      </c>
      <c r="O35" s="73">
        <v>1</v>
      </c>
      <c r="P35" s="73">
        <v>28</v>
      </c>
      <c r="Q35" s="73" t="s">
        <v>166</v>
      </c>
      <c r="R35" s="141" t="s">
        <v>167</v>
      </c>
    </row>
    <row r="36" spans="1:18" x14ac:dyDescent="0.15">
      <c r="A36" s="133">
        <v>39008</v>
      </c>
      <c r="B36" s="73">
        <v>4</v>
      </c>
      <c r="C36" s="64" t="str">
        <f t="shared" si="0"/>
        <v>39008_4</v>
      </c>
      <c r="D36" s="15" t="str">
        <f ca="1">VLOOKUP($C36,OFFSET([2]stages!$A$1,0,0,COUNTA([2]stages!$A:$A),MATCH(D$1,[2]stages!$2:$2,0)-MATCH($C$1,[2]stages!$2:$2,0)+1),MATCH(D$1,[2]stages!$2:$2,0)-MATCH($C$1,[2]stages!$2:$2,0)+1,FALSE)</f>
        <v>everyone</v>
      </c>
      <c r="E36" s="73">
        <v>35</v>
      </c>
      <c r="F36" s="73" t="s">
        <v>279</v>
      </c>
      <c r="G36" s="73">
        <v>341</v>
      </c>
      <c r="H36" s="73">
        <v>1</v>
      </c>
      <c r="I36" s="73">
        <v>1</v>
      </c>
      <c r="J36" s="73">
        <v>1</v>
      </c>
      <c r="K36" s="73">
        <v>0</v>
      </c>
      <c r="L36" s="73">
        <v>0</v>
      </c>
      <c r="M36" s="73">
        <v>0</v>
      </c>
      <c r="N36" s="73">
        <v>0</v>
      </c>
      <c r="O36" s="73">
        <v>1</v>
      </c>
      <c r="P36" s="73">
        <v>56</v>
      </c>
      <c r="Q36" s="73" t="s">
        <v>166</v>
      </c>
      <c r="R36" s="141" t="s">
        <v>167</v>
      </c>
    </row>
    <row r="37" spans="1:18" x14ac:dyDescent="0.15">
      <c r="A37" s="133">
        <v>39008</v>
      </c>
      <c r="B37" s="73">
        <v>4</v>
      </c>
      <c r="C37" s="64" t="str">
        <f t="shared" si="0"/>
        <v>39008_4</v>
      </c>
      <c r="D37" s="15" t="str">
        <f ca="1">VLOOKUP($C37,OFFSET([2]stages!$A$1,0,0,COUNTA([2]stages!$A:$A),MATCH(D$1,[2]stages!$2:$2,0)-MATCH($C$1,[2]stages!$2:$2,0)+1),MATCH(D$1,[2]stages!$2:$2,0)-MATCH($C$1,[2]stages!$2:$2,0)+1,FALSE)</f>
        <v>everyone</v>
      </c>
      <c r="E37" s="73">
        <v>36</v>
      </c>
      <c r="F37" s="73" t="s">
        <v>279</v>
      </c>
      <c r="G37" s="73">
        <v>342</v>
      </c>
      <c r="H37" s="73">
        <v>1</v>
      </c>
      <c r="I37" s="73">
        <v>1</v>
      </c>
      <c r="J37" s="73">
        <v>1</v>
      </c>
      <c r="K37" s="73">
        <v>0</v>
      </c>
      <c r="L37" s="73">
        <v>0</v>
      </c>
      <c r="M37" s="73">
        <v>0</v>
      </c>
      <c r="N37" s="73">
        <v>0</v>
      </c>
      <c r="O37" s="73">
        <v>1</v>
      </c>
      <c r="P37" s="73">
        <v>56</v>
      </c>
      <c r="Q37" s="73" t="s">
        <v>166</v>
      </c>
      <c r="R37" s="141" t="s">
        <v>167</v>
      </c>
    </row>
    <row r="38" spans="1:18" x14ac:dyDescent="0.15">
      <c r="A38" s="133">
        <v>39008</v>
      </c>
      <c r="B38" s="73">
        <v>4</v>
      </c>
      <c r="C38" s="64" t="str">
        <f t="shared" si="0"/>
        <v>39008_4</v>
      </c>
      <c r="D38" s="15" t="str">
        <f ca="1">VLOOKUP($C38,OFFSET([2]stages!$A$1,0,0,COUNTA([2]stages!$A:$A),MATCH(D$1,[2]stages!$2:$2,0)-MATCH($C$1,[2]stages!$2:$2,0)+1),MATCH(D$1,[2]stages!$2:$2,0)-MATCH($C$1,[2]stages!$2:$2,0)+1,FALSE)</f>
        <v>everyone</v>
      </c>
      <c r="E38" s="73">
        <v>37</v>
      </c>
      <c r="F38" s="73" t="s">
        <v>279</v>
      </c>
      <c r="G38" s="73">
        <v>121</v>
      </c>
      <c r="H38" s="73">
        <v>1</v>
      </c>
      <c r="I38" s="73">
        <v>1</v>
      </c>
      <c r="J38" s="73">
        <v>1</v>
      </c>
      <c r="K38" s="73">
        <v>0</v>
      </c>
      <c r="L38" s="73">
        <v>0</v>
      </c>
      <c r="M38" s="73">
        <v>0</v>
      </c>
      <c r="N38" s="73">
        <v>0</v>
      </c>
      <c r="O38" s="73">
        <v>1</v>
      </c>
      <c r="P38" s="73">
        <v>50</v>
      </c>
      <c r="Q38" s="73" t="s">
        <v>166</v>
      </c>
      <c r="R38" s="141" t="s">
        <v>167</v>
      </c>
    </row>
    <row r="39" spans="1:18" x14ac:dyDescent="0.15">
      <c r="A39" s="133">
        <v>39008</v>
      </c>
      <c r="B39" s="73">
        <v>4</v>
      </c>
      <c r="C39" s="64" t="str">
        <f t="shared" si="0"/>
        <v>39008_4</v>
      </c>
      <c r="D39" s="15" t="str">
        <f ca="1">VLOOKUP($C39,OFFSET([2]stages!$A$1,0,0,COUNTA([2]stages!$A:$A),MATCH(D$1,[2]stages!$2:$2,0)-MATCH($C$1,[2]stages!$2:$2,0)+1),MATCH(D$1,[2]stages!$2:$2,0)-MATCH($C$1,[2]stages!$2:$2,0)+1,FALSE)</f>
        <v>everyone</v>
      </c>
      <c r="E39" s="73">
        <v>38</v>
      </c>
      <c r="F39" s="73" t="s">
        <v>279</v>
      </c>
      <c r="G39" s="73">
        <v>122</v>
      </c>
      <c r="H39" s="73">
        <v>1</v>
      </c>
      <c r="I39" s="73">
        <v>1</v>
      </c>
      <c r="J39" s="73">
        <v>1</v>
      </c>
      <c r="K39" s="73">
        <v>0</v>
      </c>
      <c r="L39" s="73">
        <v>0</v>
      </c>
      <c r="M39" s="73">
        <v>0</v>
      </c>
      <c r="N39" s="73">
        <v>0</v>
      </c>
      <c r="O39" s="73">
        <v>1</v>
      </c>
      <c r="P39" s="73">
        <v>50</v>
      </c>
      <c r="Q39" s="73" t="s">
        <v>166</v>
      </c>
      <c r="R39" s="141" t="s">
        <v>167</v>
      </c>
    </row>
    <row r="40" spans="1:18" x14ac:dyDescent="0.15">
      <c r="A40" s="133">
        <v>39008</v>
      </c>
      <c r="B40" s="73">
        <v>4</v>
      </c>
      <c r="C40" s="64" t="str">
        <f t="shared" si="0"/>
        <v>39008_4</v>
      </c>
      <c r="D40" s="15" t="str">
        <f ca="1">VLOOKUP($C40,OFFSET([2]stages!$A$1,0,0,COUNTA([2]stages!$A:$A),MATCH(D$1,[2]stages!$2:$2,0)-MATCH($C$1,[2]stages!$2:$2,0)+1),MATCH(D$1,[2]stages!$2:$2,0)-MATCH($C$1,[2]stages!$2:$2,0)+1,FALSE)</f>
        <v>everyone</v>
      </c>
      <c r="E40" s="73">
        <v>39</v>
      </c>
      <c r="F40" s="73" t="s">
        <v>279</v>
      </c>
      <c r="G40" s="73">
        <v>123</v>
      </c>
      <c r="H40" s="73">
        <v>1</v>
      </c>
      <c r="I40" s="73">
        <v>1</v>
      </c>
      <c r="J40" s="73">
        <v>1</v>
      </c>
      <c r="K40" s="73">
        <v>0</v>
      </c>
      <c r="L40" s="73">
        <v>0</v>
      </c>
      <c r="M40" s="73">
        <v>0</v>
      </c>
      <c r="N40" s="73">
        <v>0</v>
      </c>
      <c r="O40" s="73">
        <v>1</v>
      </c>
      <c r="P40" s="73">
        <v>50</v>
      </c>
      <c r="Q40" s="73" t="s">
        <v>166</v>
      </c>
      <c r="R40" s="141" t="s">
        <v>167</v>
      </c>
    </row>
    <row r="41" spans="1:18" x14ac:dyDescent="0.15">
      <c r="A41" s="133">
        <v>39008</v>
      </c>
      <c r="B41" s="73">
        <v>4</v>
      </c>
      <c r="C41" s="64" t="str">
        <f t="shared" si="0"/>
        <v>39008_4</v>
      </c>
      <c r="D41" s="15" t="str">
        <f ca="1">VLOOKUP($C41,OFFSET([2]stages!$A$1,0,0,COUNTA([2]stages!$A:$A),MATCH(D$1,[2]stages!$2:$2,0)-MATCH($C$1,[2]stages!$2:$2,0)+1),MATCH(D$1,[2]stages!$2:$2,0)-MATCH($C$1,[2]stages!$2:$2,0)+1,FALSE)</f>
        <v>everyone</v>
      </c>
      <c r="E41" s="73">
        <v>40</v>
      </c>
      <c r="F41" s="73" t="s">
        <v>279</v>
      </c>
      <c r="G41" s="73">
        <v>125</v>
      </c>
      <c r="H41" s="73">
        <v>1</v>
      </c>
      <c r="I41" s="73">
        <v>1</v>
      </c>
      <c r="J41" s="73">
        <v>1</v>
      </c>
      <c r="K41" s="73">
        <v>0</v>
      </c>
      <c r="L41" s="73">
        <v>0</v>
      </c>
      <c r="M41" s="73">
        <v>0</v>
      </c>
      <c r="N41" s="73">
        <v>0</v>
      </c>
      <c r="O41" s="73">
        <v>1</v>
      </c>
      <c r="P41" s="73">
        <v>10</v>
      </c>
      <c r="Q41" s="73" t="s">
        <v>166</v>
      </c>
      <c r="R41" s="141" t="s">
        <v>167</v>
      </c>
    </row>
    <row r="42" spans="1:18" x14ac:dyDescent="0.15">
      <c r="A42" s="133">
        <v>39008</v>
      </c>
      <c r="B42" s="73">
        <v>4</v>
      </c>
      <c r="C42" s="64" t="str">
        <f t="shared" si="0"/>
        <v>39008_4</v>
      </c>
      <c r="D42" s="15" t="str">
        <f ca="1">VLOOKUP($C42,OFFSET([2]stages!$A$1,0,0,COUNTA([2]stages!$A:$A),MATCH(D$1,[2]stages!$2:$2,0)-MATCH($C$1,[2]stages!$2:$2,0)+1),MATCH(D$1,[2]stages!$2:$2,0)-MATCH($C$1,[2]stages!$2:$2,0)+1,FALSE)</f>
        <v>everyone</v>
      </c>
      <c r="E42" s="73">
        <v>41</v>
      </c>
      <c r="F42" s="73" t="s">
        <v>281</v>
      </c>
      <c r="G42" s="127">
        <v>526</v>
      </c>
      <c r="H42" s="73">
        <v>1</v>
      </c>
      <c r="I42" s="73">
        <v>1</v>
      </c>
      <c r="J42" s="73">
        <v>1</v>
      </c>
      <c r="K42" s="73">
        <v>0</v>
      </c>
      <c r="L42" s="73">
        <v>0</v>
      </c>
      <c r="M42" s="73">
        <v>0</v>
      </c>
      <c r="N42" s="73">
        <v>0</v>
      </c>
      <c r="O42" s="73">
        <v>1</v>
      </c>
      <c r="P42" s="73">
        <v>250</v>
      </c>
      <c r="Q42" s="73" t="s">
        <v>166</v>
      </c>
      <c r="R42" s="141" t="s">
        <v>167</v>
      </c>
    </row>
    <row r="43" spans="1:18" ht="16" thickBot="1" x14ac:dyDescent="0.2">
      <c r="A43" s="135">
        <v>39008</v>
      </c>
      <c r="B43" s="136">
        <v>4</v>
      </c>
      <c r="C43" s="137" t="str">
        <f t="shared" si="0"/>
        <v>39008_4</v>
      </c>
      <c r="D43" s="138" t="str">
        <f ca="1">VLOOKUP($C43,OFFSET([2]stages!$A$1,0,0,COUNTA([2]stages!$A:$A),MATCH(D$1,[2]stages!$2:$2,0)-MATCH($C$1,[2]stages!$2:$2,0)+1),MATCH(D$1,[2]stages!$2:$2,0)-MATCH($C$1,[2]stages!$2:$2,0)+1,FALSE)</f>
        <v>everyone</v>
      </c>
      <c r="E43" s="136">
        <v>42</v>
      </c>
      <c r="F43" s="136" t="s">
        <v>282</v>
      </c>
      <c r="G43" s="136">
        <v>352</v>
      </c>
      <c r="H43" s="136">
        <v>1</v>
      </c>
      <c r="I43" s="197">
        <v>10</v>
      </c>
      <c r="J43" s="136">
        <v>1</v>
      </c>
      <c r="K43" s="136">
        <v>0</v>
      </c>
      <c r="L43" s="136">
        <v>0</v>
      </c>
      <c r="M43" s="136">
        <v>0</v>
      </c>
      <c r="N43" s="136">
        <v>0</v>
      </c>
      <c r="O43" s="136">
        <v>1</v>
      </c>
      <c r="P43" s="136">
        <v>150</v>
      </c>
      <c r="Q43" s="136" t="s">
        <v>166</v>
      </c>
      <c r="R43" s="142" t="s">
        <v>167</v>
      </c>
    </row>
    <row r="44" spans="1:18" x14ac:dyDescent="0.15">
      <c r="A44" s="128">
        <v>39008</v>
      </c>
      <c r="B44" s="129">
        <v>5</v>
      </c>
      <c r="C44" s="130" t="str">
        <f t="shared" si="0"/>
        <v>39008_5</v>
      </c>
      <c r="D44" s="131" t="str">
        <f ca="1">VLOOKUP($C44,OFFSET([2]stages!$A$1,0,0,COUNTA([2]stages!$A:$A),MATCH(D$1,[2]stages!$2:$2,0)-MATCH($C$1,[2]stages!$2:$2,0)+1),MATCH(D$1,[2]stages!$2:$2,0)-MATCH($C$1,[2]stages!$2:$2,0)+1,FALSE)</f>
        <v>everyone</v>
      </c>
      <c r="E44" s="129">
        <v>43</v>
      </c>
      <c r="F44" s="129" t="s">
        <v>165</v>
      </c>
      <c r="G44" s="129">
        <v>30000</v>
      </c>
      <c r="H44" s="129" t="s">
        <v>52</v>
      </c>
      <c r="I44" s="129">
        <v>1</v>
      </c>
      <c r="J44" s="129">
        <v>1</v>
      </c>
      <c r="K44" s="129">
        <v>0</v>
      </c>
      <c r="L44" s="129">
        <v>0</v>
      </c>
      <c r="M44" s="129">
        <v>0</v>
      </c>
      <c r="N44" s="129">
        <v>0</v>
      </c>
      <c r="O44" s="129">
        <v>1</v>
      </c>
      <c r="P44" s="129">
        <v>190</v>
      </c>
      <c r="Q44" s="129" t="s">
        <v>166</v>
      </c>
      <c r="R44" s="140" t="s">
        <v>167</v>
      </c>
    </row>
    <row r="45" spans="1:18" x14ac:dyDescent="0.15">
      <c r="A45" s="133">
        <v>39008</v>
      </c>
      <c r="B45" s="73">
        <v>5</v>
      </c>
      <c r="C45" s="64" t="str">
        <f t="shared" si="0"/>
        <v>39008_5</v>
      </c>
      <c r="D45" s="15" t="str">
        <f ca="1">VLOOKUP($C45,OFFSET([2]stages!$A$1,0,0,COUNTA([2]stages!$A:$A),MATCH(D$1,[2]stages!$2:$2,0)-MATCH($C$1,[2]stages!$2:$2,0)+1),MATCH(D$1,[2]stages!$2:$2,0)-MATCH($C$1,[2]stages!$2:$2,0)+1,FALSE)</f>
        <v>everyone</v>
      </c>
      <c r="E45" s="73">
        <v>44</v>
      </c>
      <c r="F45" s="73" t="s">
        <v>280</v>
      </c>
      <c r="G45" s="73">
        <v>25</v>
      </c>
      <c r="H45" s="73" t="s">
        <v>52</v>
      </c>
      <c r="I45" s="73">
        <v>1</v>
      </c>
      <c r="J45" s="73">
        <v>1</v>
      </c>
      <c r="K45" s="73">
        <v>0</v>
      </c>
      <c r="L45" s="73">
        <v>0</v>
      </c>
      <c r="M45" s="73">
        <v>0</v>
      </c>
      <c r="N45" s="73">
        <v>0</v>
      </c>
      <c r="O45" s="73">
        <v>1</v>
      </c>
      <c r="P45" s="73">
        <v>20</v>
      </c>
      <c r="Q45" s="73" t="s">
        <v>166</v>
      </c>
      <c r="R45" s="141" t="s">
        <v>167</v>
      </c>
    </row>
    <row r="46" spans="1:18" x14ac:dyDescent="0.15">
      <c r="A46" s="133">
        <v>39008</v>
      </c>
      <c r="B46" s="73">
        <v>5</v>
      </c>
      <c r="C46" s="64" t="str">
        <f t="shared" si="0"/>
        <v>39008_5</v>
      </c>
      <c r="D46" s="15" t="str">
        <f ca="1">VLOOKUP($C46,OFFSET([2]stages!$A$1,0,0,COUNTA([2]stages!$A:$A),MATCH(D$1,[2]stages!$2:$2,0)-MATCH($C$1,[2]stages!$2:$2,0)+1),MATCH(D$1,[2]stages!$2:$2,0)-MATCH($C$1,[2]stages!$2:$2,0)+1,FALSE)</f>
        <v>everyone</v>
      </c>
      <c r="E46" s="73">
        <v>45</v>
      </c>
      <c r="F46" s="73" t="s">
        <v>279</v>
      </c>
      <c r="G46" s="73">
        <v>341</v>
      </c>
      <c r="H46" s="73">
        <v>1</v>
      </c>
      <c r="I46" s="73">
        <v>1</v>
      </c>
      <c r="J46" s="73">
        <v>1</v>
      </c>
      <c r="K46" s="73">
        <v>0</v>
      </c>
      <c r="L46" s="73">
        <v>0</v>
      </c>
      <c r="M46" s="73">
        <v>0</v>
      </c>
      <c r="N46" s="73">
        <v>0</v>
      </c>
      <c r="O46" s="73">
        <v>1</v>
      </c>
      <c r="P46" s="73">
        <v>70</v>
      </c>
      <c r="Q46" s="73" t="s">
        <v>166</v>
      </c>
      <c r="R46" s="141" t="s">
        <v>167</v>
      </c>
    </row>
    <row r="47" spans="1:18" x14ac:dyDescent="0.15">
      <c r="A47" s="133">
        <v>39008</v>
      </c>
      <c r="B47" s="73">
        <v>5</v>
      </c>
      <c r="C47" s="64" t="str">
        <f t="shared" si="0"/>
        <v>39008_5</v>
      </c>
      <c r="D47" s="15" t="str">
        <f ca="1">VLOOKUP($C47,OFFSET([2]stages!$A$1,0,0,COUNTA([2]stages!$A:$A),MATCH(D$1,[2]stages!$2:$2,0)-MATCH($C$1,[2]stages!$2:$2,0)+1),MATCH(D$1,[2]stages!$2:$2,0)-MATCH($C$1,[2]stages!$2:$2,0)+1,FALSE)</f>
        <v>everyone</v>
      </c>
      <c r="E47" s="73">
        <v>46</v>
      </c>
      <c r="F47" s="73" t="s">
        <v>279</v>
      </c>
      <c r="G47" s="73">
        <v>342</v>
      </c>
      <c r="H47" s="73">
        <v>1</v>
      </c>
      <c r="I47" s="73">
        <v>1</v>
      </c>
      <c r="J47" s="73">
        <v>1</v>
      </c>
      <c r="K47" s="73">
        <v>0</v>
      </c>
      <c r="L47" s="73">
        <v>0</v>
      </c>
      <c r="M47" s="73">
        <v>0</v>
      </c>
      <c r="N47" s="73">
        <v>0</v>
      </c>
      <c r="O47" s="73">
        <v>1</v>
      </c>
      <c r="P47" s="73">
        <v>150</v>
      </c>
      <c r="Q47" s="73" t="s">
        <v>166</v>
      </c>
      <c r="R47" s="141" t="s">
        <v>167</v>
      </c>
    </row>
    <row r="48" spans="1:18" x14ac:dyDescent="0.15">
      <c r="A48" s="133">
        <v>39008</v>
      </c>
      <c r="B48" s="73">
        <v>5</v>
      </c>
      <c r="C48" s="64" t="str">
        <f t="shared" si="0"/>
        <v>39008_5</v>
      </c>
      <c r="D48" s="15" t="str">
        <f ca="1">VLOOKUP($C48,OFFSET([2]stages!$A$1,0,0,COUNTA([2]stages!$A:$A),MATCH(D$1,[2]stages!$2:$2,0)-MATCH($C$1,[2]stages!$2:$2,0)+1),MATCH(D$1,[2]stages!$2:$2,0)-MATCH($C$1,[2]stages!$2:$2,0)+1,FALSE)</f>
        <v>everyone</v>
      </c>
      <c r="E48" s="73">
        <v>47</v>
      </c>
      <c r="F48" s="73" t="s">
        <v>279</v>
      </c>
      <c r="G48" s="73">
        <v>121</v>
      </c>
      <c r="H48" s="73">
        <v>1</v>
      </c>
      <c r="I48" s="73">
        <v>1</v>
      </c>
      <c r="J48" s="73">
        <v>1</v>
      </c>
      <c r="K48" s="73">
        <v>0</v>
      </c>
      <c r="L48" s="73">
        <v>0</v>
      </c>
      <c r="M48" s="73">
        <v>0</v>
      </c>
      <c r="N48" s="73">
        <v>0</v>
      </c>
      <c r="O48" s="73">
        <v>1</v>
      </c>
      <c r="P48" s="73">
        <v>40</v>
      </c>
      <c r="Q48" s="73" t="s">
        <v>166</v>
      </c>
      <c r="R48" s="141" t="s">
        <v>167</v>
      </c>
    </row>
    <row r="49" spans="1:18" x14ac:dyDescent="0.15">
      <c r="A49" s="133">
        <v>39008</v>
      </c>
      <c r="B49" s="73">
        <v>5</v>
      </c>
      <c r="C49" s="64" t="str">
        <f t="shared" si="0"/>
        <v>39008_5</v>
      </c>
      <c r="D49" s="15" t="str">
        <f ca="1">VLOOKUP($C49,OFFSET([2]stages!$A$1,0,0,COUNTA([2]stages!$A:$A),MATCH(D$1,[2]stages!$2:$2,0)-MATCH($C$1,[2]stages!$2:$2,0)+1),MATCH(D$1,[2]stages!$2:$2,0)-MATCH($C$1,[2]stages!$2:$2,0)+1,FALSE)</f>
        <v>everyone</v>
      </c>
      <c r="E49" s="73">
        <v>48</v>
      </c>
      <c r="F49" s="73" t="s">
        <v>279</v>
      </c>
      <c r="G49" s="73">
        <v>122</v>
      </c>
      <c r="H49" s="73">
        <v>1</v>
      </c>
      <c r="I49" s="73">
        <v>1</v>
      </c>
      <c r="J49" s="73">
        <v>1</v>
      </c>
      <c r="K49" s="73">
        <v>0</v>
      </c>
      <c r="L49" s="73">
        <v>0</v>
      </c>
      <c r="M49" s="73">
        <v>0</v>
      </c>
      <c r="N49" s="73">
        <v>0</v>
      </c>
      <c r="O49" s="73">
        <v>1</v>
      </c>
      <c r="P49" s="73">
        <v>40</v>
      </c>
      <c r="Q49" s="73" t="s">
        <v>166</v>
      </c>
      <c r="R49" s="141" t="s">
        <v>167</v>
      </c>
    </row>
    <row r="50" spans="1:18" x14ac:dyDescent="0.15">
      <c r="A50" s="133">
        <v>39008</v>
      </c>
      <c r="B50" s="73">
        <v>5</v>
      </c>
      <c r="C50" s="64" t="str">
        <f t="shared" si="0"/>
        <v>39008_5</v>
      </c>
      <c r="D50" s="15" t="str">
        <f ca="1">VLOOKUP($C50,OFFSET([2]stages!$A$1,0,0,COUNTA([2]stages!$A:$A),MATCH(D$1,[2]stages!$2:$2,0)-MATCH($C$1,[2]stages!$2:$2,0)+1),MATCH(D$1,[2]stages!$2:$2,0)-MATCH($C$1,[2]stages!$2:$2,0)+1,FALSE)</f>
        <v>everyone</v>
      </c>
      <c r="E50" s="73">
        <v>49</v>
      </c>
      <c r="F50" s="73" t="s">
        <v>279</v>
      </c>
      <c r="G50" s="73">
        <v>123</v>
      </c>
      <c r="H50" s="73">
        <v>1</v>
      </c>
      <c r="I50" s="73">
        <v>1</v>
      </c>
      <c r="J50" s="73">
        <v>1</v>
      </c>
      <c r="K50" s="73">
        <v>0</v>
      </c>
      <c r="L50" s="73">
        <v>0</v>
      </c>
      <c r="M50" s="73">
        <v>0</v>
      </c>
      <c r="N50" s="73">
        <v>0</v>
      </c>
      <c r="O50" s="73">
        <v>1</v>
      </c>
      <c r="P50" s="73">
        <v>40</v>
      </c>
      <c r="Q50" s="73" t="s">
        <v>166</v>
      </c>
      <c r="R50" s="141" t="s">
        <v>167</v>
      </c>
    </row>
    <row r="51" spans="1:18" x14ac:dyDescent="0.15">
      <c r="A51" s="133">
        <v>39008</v>
      </c>
      <c r="B51" s="73">
        <v>5</v>
      </c>
      <c r="C51" s="64" t="str">
        <f t="shared" ref="C51:C53" si="1">A51&amp; "_"&amp;B51</f>
        <v>39008_5</v>
      </c>
      <c r="D51" s="15" t="str">
        <f ca="1">VLOOKUP($C51,OFFSET([2]stages!$A$1,0,0,COUNTA([2]stages!$A:$A),MATCH(D$1,[2]stages!$2:$2,0)-MATCH($C$1,[2]stages!$2:$2,0)+1),MATCH(D$1,[2]stages!$2:$2,0)-MATCH($C$1,[2]stages!$2:$2,0)+1,FALSE)</f>
        <v>everyone</v>
      </c>
      <c r="E51" s="73">
        <v>50</v>
      </c>
      <c r="F51" s="73" t="s">
        <v>279</v>
      </c>
      <c r="G51" s="73">
        <v>125</v>
      </c>
      <c r="H51" s="73">
        <v>1</v>
      </c>
      <c r="I51" s="73">
        <v>1</v>
      </c>
      <c r="J51" s="73">
        <v>1</v>
      </c>
      <c r="K51" s="73">
        <v>0</v>
      </c>
      <c r="L51" s="73">
        <v>0</v>
      </c>
      <c r="M51" s="73">
        <v>0</v>
      </c>
      <c r="N51" s="73">
        <v>0</v>
      </c>
      <c r="O51" s="73">
        <v>1</v>
      </c>
      <c r="P51" s="73">
        <v>20</v>
      </c>
      <c r="Q51" s="73" t="s">
        <v>166</v>
      </c>
      <c r="R51" s="141" t="s">
        <v>167</v>
      </c>
    </row>
    <row r="52" spans="1:18" x14ac:dyDescent="0.15">
      <c r="A52" s="133">
        <v>39008</v>
      </c>
      <c r="B52" s="73">
        <v>5</v>
      </c>
      <c r="C52" s="64" t="str">
        <f t="shared" si="1"/>
        <v>39008_5</v>
      </c>
      <c r="D52" s="15" t="str">
        <f ca="1">VLOOKUP($C52,OFFSET([2]stages!$A$1,0,0,COUNTA([2]stages!$A:$A),MATCH(D$1,[2]stages!$2:$2,0)-MATCH($C$1,[2]stages!$2:$2,0)+1),MATCH(D$1,[2]stages!$2:$2,0)-MATCH($C$1,[2]stages!$2:$2,0)+1,FALSE)</f>
        <v>everyone</v>
      </c>
      <c r="E52" s="73">
        <v>51</v>
      </c>
      <c r="F52" s="73" t="s">
        <v>279</v>
      </c>
      <c r="G52" s="73">
        <v>607</v>
      </c>
      <c r="H52" s="73">
        <v>1</v>
      </c>
      <c r="I52" s="73">
        <v>1</v>
      </c>
      <c r="J52" s="73">
        <v>1</v>
      </c>
      <c r="K52" s="73">
        <v>0</v>
      </c>
      <c r="L52" s="73">
        <v>0</v>
      </c>
      <c r="M52" s="73">
        <v>0</v>
      </c>
      <c r="N52" s="73">
        <v>0</v>
      </c>
      <c r="O52" s="73">
        <v>1</v>
      </c>
      <c r="P52" s="73">
        <v>20</v>
      </c>
      <c r="Q52" s="73" t="s">
        <v>166</v>
      </c>
      <c r="R52" s="141" t="s">
        <v>167</v>
      </c>
    </row>
    <row r="53" spans="1:18" x14ac:dyDescent="0.15">
      <c r="A53" s="133">
        <v>39008</v>
      </c>
      <c r="B53" s="73">
        <v>5</v>
      </c>
      <c r="C53" s="64" t="str">
        <f t="shared" si="1"/>
        <v>39008_5</v>
      </c>
      <c r="D53" s="15" t="str">
        <f ca="1">VLOOKUP($C53,OFFSET([2]stages!$A$1,0,0,COUNTA([2]stages!$A:$A),MATCH(D$1,[2]stages!$2:$2,0)-MATCH($C$1,[2]stages!$2:$2,0)+1),MATCH(D$1,[2]stages!$2:$2,0)-MATCH($C$1,[2]stages!$2:$2,0)+1,FALSE)</f>
        <v>everyone</v>
      </c>
      <c r="E53" s="73">
        <v>52</v>
      </c>
      <c r="F53" s="73" t="s">
        <v>279</v>
      </c>
      <c r="G53" s="73">
        <v>608</v>
      </c>
      <c r="H53" s="73">
        <v>1</v>
      </c>
      <c r="I53" s="73">
        <v>1</v>
      </c>
      <c r="J53" s="73">
        <v>1</v>
      </c>
      <c r="K53" s="73">
        <v>0</v>
      </c>
      <c r="L53" s="73">
        <v>0</v>
      </c>
      <c r="M53" s="73">
        <v>0</v>
      </c>
      <c r="N53" s="73">
        <v>0</v>
      </c>
      <c r="O53" s="73">
        <v>1</v>
      </c>
      <c r="P53" s="73">
        <v>20</v>
      </c>
      <c r="Q53" s="73" t="s">
        <v>166</v>
      </c>
      <c r="R53" s="141" t="s">
        <v>167</v>
      </c>
    </row>
    <row r="54" spans="1:18" x14ac:dyDescent="0.15">
      <c r="A54" s="133">
        <v>39008</v>
      </c>
      <c r="B54" s="73">
        <v>5</v>
      </c>
      <c r="C54" s="64" t="str">
        <f t="shared" si="0"/>
        <v>39008_5</v>
      </c>
      <c r="D54" s="15" t="str">
        <f ca="1">VLOOKUP($C54,OFFSET([2]stages!$A$1,0,0,COUNTA([2]stages!$A:$A),MATCH(D$1,[2]stages!$2:$2,0)-MATCH($C$1,[2]stages!$2:$2,0)+1),MATCH(D$1,[2]stages!$2:$2,0)-MATCH($C$1,[2]stages!$2:$2,0)+1,FALSE)</f>
        <v>everyone</v>
      </c>
      <c r="E54" s="73">
        <v>53</v>
      </c>
      <c r="F54" s="73" t="s">
        <v>279</v>
      </c>
      <c r="G54" s="73">
        <v>609</v>
      </c>
      <c r="H54" s="73">
        <v>1</v>
      </c>
      <c r="I54" s="73">
        <v>1</v>
      </c>
      <c r="J54" s="73">
        <v>1</v>
      </c>
      <c r="K54" s="73">
        <v>0</v>
      </c>
      <c r="L54" s="73">
        <v>0</v>
      </c>
      <c r="M54" s="73">
        <v>0</v>
      </c>
      <c r="N54" s="73">
        <v>0</v>
      </c>
      <c r="O54" s="73">
        <v>1</v>
      </c>
      <c r="P54" s="73">
        <v>20</v>
      </c>
      <c r="Q54" s="73" t="s">
        <v>166</v>
      </c>
      <c r="R54" s="141" t="s">
        <v>167</v>
      </c>
    </row>
    <row r="55" spans="1:18" x14ac:dyDescent="0.15">
      <c r="A55" s="133">
        <v>39008</v>
      </c>
      <c r="B55" s="73">
        <v>5</v>
      </c>
      <c r="C55" s="64" t="str">
        <f t="shared" si="0"/>
        <v>39008_5</v>
      </c>
      <c r="D55" s="15" t="str">
        <f ca="1">VLOOKUP($C55,OFFSET([2]stages!$A$1,0,0,COUNTA([2]stages!$A:$A),MATCH(D$1,[2]stages!$2:$2,0)-MATCH($C$1,[2]stages!$2:$2,0)+1),MATCH(D$1,[2]stages!$2:$2,0)-MATCH($C$1,[2]stages!$2:$2,0)+1,FALSE)</f>
        <v>everyone</v>
      </c>
      <c r="E55" s="73">
        <v>54</v>
      </c>
      <c r="F55" s="73" t="s">
        <v>279</v>
      </c>
      <c r="G55" s="127">
        <v>526</v>
      </c>
      <c r="H55" s="73">
        <v>1</v>
      </c>
      <c r="I55" s="73">
        <v>1</v>
      </c>
      <c r="J55" s="73">
        <v>1</v>
      </c>
      <c r="K55" s="73">
        <v>0</v>
      </c>
      <c r="L55" s="73">
        <v>0</v>
      </c>
      <c r="M55" s="73">
        <v>0</v>
      </c>
      <c r="N55" s="73">
        <v>0</v>
      </c>
      <c r="O55" s="73">
        <v>1</v>
      </c>
      <c r="P55" s="73">
        <v>330</v>
      </c>
      <c r="Q55" s="73" t="s">
        <v>166</v>
      </c>
      <c r="R55" s="141" t="s">
        <v>167</v>
      </c>
    </row>
    <row r="56" spans="1:18" ht="16" thickBot="1" x14ac:dyDescent="0.2">
      <c r="A56" s="135">
        <v>39008</v>
      </c>
      <c r="B56" s="136">
        <v>5</v>
      </c>
      <c r="C56" s="137" t="str">
        <f t="shared" si="0"/>
        <v>39008_5</v>
      </c>
      <c r="D56" s="138" t="str">
        <f ca="1">VLOOKUP($C56,OFFSET([2]stages!$A$1,0,0,COUNTA([2]stages!$A:$A),MATCH(D$1,[2]stages!$2:$2,0)-MATCH($C$1,[2]stages!$2:$2,0)+1),MATCH(D$1,[2]stages!$2:$2,0)-MATCH($C$1,[2]stages!$2:$2,0)+1,FALSE)</f>
        <v>everyone</v>
      </c>
      <c r="E56" s="136">
        <v>55</v>
      </c>
      <c r="F56" s="136" t="s">
        <v>281</v>
      </c>
      <c r="G56" s="136">
        <v>352</v>
      </c>
      <c r="H56" s="136">
        <v>1</v>
      </c>
      <c r="I56" s="197">
        <v>10</v>
      </c>
      <c r="J56" s="136">
        <v>1</v>
      </c>
      <c r="K56" s="136">
        <v>0</v>
      </c>
      <c r="L56" s="136">
        <v>0</v>
      </c>
      <c r="M56" s="136">
        <v>0</v>
      </c>
      <c r="N56" s="136">
        <v>0</v>
      </c>
      <c r="O56" s="136">
        <v>1</v>
      </c>
      <c r="P56" s="136">
        <v>40</v>
      </c>
      <c r="Q56" s="136" t="s">
        <v>166</v>
      </c>
      <c r="R56" s="142" t="s">
        <v>167</v>
      </c>
    </row>
  </sheetData>
  <phoneticPr fontId="5"/>
  <dataValidations count="1">
    <dataValidation type="list" allowBlank="1" showInputMessage="1" showErrorMessage="1" sqref="F2:F56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1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68" t="s">
        <v>184</v>
      </c>
      <c r="B1" s="65" t="s">
        <v>185</v>
      </c>
      <c r="C1" s="69" t="s">
        <v>186</v>
      </c>
      <c r="D1" s="69" t="s">
        <v>32</v>
      </c>
      <c r="E1" s="65" t="s">
        <v>187</v>
      </c>
      <c r="F1" s="69" t="s">
        <v>188</v>
      </c>
      <c r="G1" s="69" t="s">
        <v>32</v>
      </c>
      <c r="H1" s="65" t="s">
        <v>189</v>
      </c>
      <c r="I1" s="84" t="s">
        <v>191</v>
      </c>
      <c r="J1" s="71" t="s">
        <v>124</v>
      </c>
      <c r="K1" s="70" t="s">
        <v>183</v>
      </c>
      <c r="L1" s="85" t="s">
        <v>182</v>
      </c>
      <c r="M1" s="72" t="s">
        <v>192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33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1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85.1640625" bestFit="1" customWidth="1"/>
  </cols>
  <sheetData>
    <row r="1" spans="1:14" x14ac:dyDescent="0.15">
      <c r="A1" s="68" t="s">
        <v>184</v>
      </c>
      <c r="B1" s="65" t="s">
        <v>147</v>
      </c>
      <c r="C1" s="69" t="s">
        <v>186</v>
      </c>
      <c r="D1" s="69" t="s">
        <v>32</v>
      </c>
      <c r="E1" s="65" t="s">
        <v>187</v>
      </c>
      <c r="F1" s="69" t="s">
        <v>17</v>
      </c>
      <c r="G1" s="69" t="s">
        <v>32</v>
      </c>
      <c r="H1" s="65" t="s">
        <v>189</v>
      </c>
      <c r="I1" s="82" t="s">
        <v>190</v>
      </c>
      <c r="J1" s="84" t="s">
        <v>191</v>
      </c>
      <c r="K1" s="71" t="s">
        <v>124</v>
      </c>
      <c r="L1" s="70" t="s">
        <v>183</v>
      </c>
      <c r="M1" s="85" t="s">
        <v>182</v>
      </c>
      <c r="N1" s="72" t="s">
        <v>192</v>
      </c>
    </row>
    <row r="2" spans="1:14" x14ac:dyDescent="0.15">
      <c r="A2" s="73" t="s">
        <v>193</v>
      </c>
      <c r="B2" s="74">
        <v>39008</v>
      </c>
      <c r="C2" s="75" t="str">
        <f ca="1">VLOOKUP($B2,OFFSET([2]quests!$A$1,0,0,COUNTA([2]quests!$A:$A),MATCH(C$1,[2]quests!$1:$1,0)-MATCH($B$1,[2]quests!$1:$1,0)+1),MATCH(C$1,[2]quests!$1:$1,0)-MATCH($B$1,[2]quests!$1:$1,0)+1,FALSE)</f>
        <v>雪の歌姫</v>
      </c>
      <c r="D2" s="75" t="str">
        <f ca="1">VLOOKUP($B2,OFFSET([2]quests!$A$1,0,0,COUNTA([2]quests!$A:$A),MATCH(D$1,[2]quests!$1:$1,0)-MATCH($B$1,[2]quests!$1:$1,0)+1),MATCH(D$1,[2]quests!$1:$1,0)-MATCH($B$1,[2]quests!$1:$1,0)+1,FALSE)</f>
        <v>復刻コラボクエスト</v>
      </c>
      <c r="E2" s="76">
        <v>1</v>
      </c>
      <c r="F2" s="75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【初級】雪の歌姫</v>
      </c>
      <c r="G2" s="75" t="str">
        <f ca="1">VLOOKUP($B2&amp;"_"&amp;$E2,OFFSET([2]stages!$A$1,0,0,COUNTA([2]stages!$A:$A),MATCH(G$1,[2]stages!$2:$2,0)-MATCH("temp_stage",[2]stages!$2:$2,0)+1),MATCH(G$1,[2]stages!$2:$2,0)-MATCH("temp_stage",[2]stages!$2:$2,0)+1,FALSE)</f>
        <v>復刻コラボクエスト</v>
      </c>
      <c r="H2" s="77">
        <v>1</v>
      </c>
      <c r="I2" s="83">
        <f>ROW()-1</f>
        <v>1</v>
      </c>
      <c r="J2" s="78" t="str">
        <f>B2&amp;TEXT(I2,"00")</f>
        <v>3900801</v>
      </c>
      <c r="K2" s="76" t="s">
        <v>194</v>
      </c>
      <c r="L2" s="79" t="s">
        <v>195</v>
      </c>
      <c r="M2" s="80" t="s">
        <v>284</v>
      </c>
      <c r="N2" s="51" t="s">
        <v>196</v>
      </c>
    </row>
    <row r="3" spans="1:14" x14ac:dyDescent="0.15">
      <c r="A3" s="73" t="s">
        <v>193</v>
      </c>
      <c r="B3" s="74">
        <v>39008</v>
      </c>
      <c r="C3" s="75" t="str">
        <f ca="1">VLOOKUP($B3,OFFSET([2]quests!$A$1,0,0,COUNTA([2]quests!$A:$A),MATCH(C$1,[2]quests!$1:$1,0)-MATCH($B$1,[2]quests!$1:$1,0)+1),MATCH(C$1,[2]quests!$1:$1,0)-MATCH($B$1,[2]quests!$1:$1,0)+1,FALSE)</f>
        <v>雪の歌姫</v>
      </c>
      <c r="D3" s="75" t="str">
        <f ca="1">VLOOKUP($B3,OFFSET([2]quests!$A$1,0,0,COUNTA([2]quests!$A:$A),MATCH(D$1,[2]quests!$1:$1,0)-MATCH($B$1,[2]quests!$1:$1,0)+1),MATCH(D$1,[2]quests!$1:$1,0)-MATCH($B$1,[2]quests!$1:$1,0)+1,FALSE)</f>
        <v>復刻コラボクエスト</v>
      </c>
      <c r="E3" s="76">
        <v>1</v>
      </c>
      <c r="F3" s="75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【初級】雪の歌姫</v>
      </c>
      <c r="G3" s="75" t="str">
        <f ca="1">VLOOKUP($B3&amp;"_"&amp;$E3,OFFSET([2]stages!$A$1,0,0,COUNTA([2]stages!$A:$A),MATCH(G$1,[2]stages!$2:$2,0)-MATCH("temp_stage",[2]stages!$2:$2,0)+1),MATCH(G$1,[2]stages!$2:$2,0)-MATCH("temp_stage",[2]stages!$2:$2,0)+1,FALSE)</f>
        <v>復刻コラボクエスト</v>
      </c>
      <c r="H3" s="77">
        <v>2</v>
      </c>
      <c r="I3" s="83">
        <f t="shared" ref="I3:I33" si="0">ROW()-1</f>
        <v>2</v>
      </c>
      <c r="J3" s="78" t="str">
        <f t="shared" ref="J3:J18" si="1">B3&amp;TEXT(I3,"00")</f>
        <v>3900802</v>
      </c>
      <c r="K3" s="76" t="s">
        <v>194</v>
      </c>
      <c r="L3" s="79" t="s">
        <v>195</v>
      </c>
      <c r="M3" s="80" t="s">
        <v>284</v>
      </c>
      <c r="N3" s="51" t="s">
        <v>196</v>
      </c>
    </row>
    <row r="4" spans="1:14" ht="28" x14ac:dyDescent="0.15">
      <c r="A4" s="73" t="s">
        <v>193</v>
      </c>
      <c r="B4" s="74">
        <v>39008</v>
      </c>
      <c r="C4" s="75" t="str">
        <f ca="1">VLOOKUP($B4,OFFSET([2]quests!$A$1,0,0,COUNTA([2]quests!$A:$A),MATCH(C$1,[2]quests!$1:$1,0)-MATCH($B$1,[2]quests!$1:$1,0)+1),MATCH(C$1,[2]quests!$1:$1,0)-MATCH($B$1,[2]quests!$1:$1,0)+1,FALSE)</f>
        <v>雪の歌姫</v>
      </c>
      <c r="D4" s="75" t="str">
        <f ca="1">VLOOKUP($B4,OFFSET([2]quests!$A$1,0,0,COUNTA([2]quests!$A:$A),MATCH(D$1,[2]quests!$1:$1,0)-MATCH($B$1,[2]quests!$1:$1,0)+1),MATCH(D$1,[2]quests!$1:$1,0)-MATCH($B$1,[2]quests!$1:$1,0)+1,FALSE)</f>
        <v>復刻コラボクエスト</v>
      </c>
      <c r="E4" s="76">
        <v>1</v>
      </c>
      <c r="F4" s="75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【初級】雪の歌姫</v>
      </c>
      <c r="G4" s="75" t="str">
        <f ca="1">VLOOKUP($B4&amp;"_"&amp;$E4,OFFSET([2]stages!$A$1,0,0,COUNTA([2]stages!$A:$A),MATCH(G$1,[2]stages!$2:$2,0)-MATCH("temp_stage",[2]stages!$2:$2,0)+1),MATCH(G$1,[2]stages!$2:$2,0)-MATCH("temp_stage",[2]stages!$2:$2,0)+1,FALSE)</f>
        <v>復刻コラボクエスト</v>
      </c>
      <c r="H4" s="77">
        <v>3</v>
      </c>
      <c r="I4" s="83">
        <f t="shared" si="0"/>
        <v>3</v>
      </c>
      <c r="J4" s="78" t="str">
        <f t="shared" si="1"/>
        <v>3900803</v>
      </c>
      <c r="K4" s="76" t="s">
        <v>194</v>
      </c>
      <c r="L4" s="79" t="s">
        <v>195</v>
      </c>
      <c r="M4" s="149" t="s">
        <v>292</v>
      </c>
      <c r="N4" s="51" t="s">
        <v>196</v>
      </c>
    </row>
    <row r="5" spans="1:14" x14ac:dyDescent="0.15">
      <c r="A5" s="73" t="s">
        <v>193</v>
      </c>
      <c r="B5" s="74">
        <v>39008</v>
      </c>
      <c r="C5" s="75" t="str">
        <f ca="1">VLOOKUP($B5,OFFSET([2]quests!$A$1,0,0,COUNTA([2]quests!$A:$A),MATCH(C$1,[2]quests!$1:$1,0)-MATCH($B$1,[2]quests!$1:$1,0)+1),MATCH(C$1,[2]quests!$1:$1,0)-MATCH($B$1,[2]quests!$1:$1,0)+1,FALSE)</f>
        <v>雪の歌姫</v>
      </c>
      <c r="D5" s="75" t="str">
        <f ca="1">VLOOKUP($B5,OFFSET([2]quests!$A$1,0,0,COUNTA([2]quests!$A:$A),MATCH(D$1,[2]quests!$1:$1,0)-MATCH($B$1,[2]quests!$1:$1,0)+1),MATCH(D$1,[2]quests!$1:$1,0)-MATCH($B$1,[2]quests!$1:$1,0)+1,FALSE)</f>
        <v>復刻コラボクエスト</v>
      </c>
      <c r="E5" s="76">
        <v>2</v>
      </c>
      <c r="F5" s="75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【中級】雪の歌姫</v>
      </c>
      <c r="G5" s="75" t="str">
        <f ca="1">VLOOKUP($B5&amp;"_"&amp;$E5,OFFSET([2]stages!$A$1,0,0,COUNTA([2]stages!$A:$A),MATCH(G$1,[2]stages!$2:$2,0)-MATCH("temp_stage",[2]stages!$2:$2,0)+1),MATCH(G$1,[2]stages!$2:$2,0)-MATCH("temp_stage",[2]stages!$2:$2,0)+1,FALSE)</f>
        <v>復刻コラボクエスト</v>
      </c>
      <c r="H5" s="77">
        <v>1</v>
      </c>
      <c r="I5" s="83">
        <f t="shared" si="0"/>
        <v>4</v>
      </c>
      <c r="J5" s="78" t="str">
        <f t="shared" si="1"/>
        <v>3900804</v>
      </c>
      <c r="K5" s="76" t="s">
        <v>194</v>
      </c>
      <c r="L5" s="79" t="s">
        <v>195</v>
      </c>
      <c r="M5" s="80" t="s">
        <v>284</v>
      </c>
      <c r="N5" s="51" t="s">
        <v>196</v>
      </c>
    </row>
    <row r="6" spans="1:14" x14ac:dyDescent="0.15">
      <c r="A6" s="73" t="s">
        <v>193</v>
      </c>
      <c r="B6" s="74">
        <v>39008</v>
      </c>
      <c r="C6" s="75" t="str">
        <f ca="1">VLOOKUP($B6,OFFSET([2]quests!$A$1,0,0,COUNTA([2]quests!$A:$A),MATCH(C$1,[2]quests!$1:$1,0)-MATCH($B$1,[2]quests!$1:$1,0)+1),MATCH(C$1,[2]quests!$1:$1,0)-MATCH($B$1,[2]quests!$1:$1,0)+1,FALSE)</f>
        <v>雪の歌姫</v>
      </c>
      <c r="D6" s="75" t="str">
        <f ca="1">VLOOKUP($B6,OFFSET([2]quests!$A$1,0,0,COUNTA([2]quests!$A:$A),MATCH(D$1,[2]quests!$1:$1,0)-MATCH($B$1,[2]quests!$1:$1,0)+1),MATCH(D$1,[2]quests!$1:$1,0)-MATCH($B$1,[2]quests!$1:$1,0)+1,FALSE)</f>
        <v>復刻コラボクエスト</v>
      </c>
      <c r="E6" s="76">
        <v>2</v>
      </c>
      <c r="F6" s="75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【中級】雪の歌姫</v>
      </c>
      <c r="G6" s="75" t="str">
        <f ca="1">VLOOKUP($B6&amp;"_"&amp;$E6,OFFSET([2]stages!$A$1,0,0,COUNTA([2]stages!$A:$A),MATCH(G$1,[2]stages!$2:$2,0)-MATCH("temp_stage",[2]stages!$2:$2,0)+1),MATCH(G$1,[2]stages!$2:$2,0)-MATCH("temp_stage",[2]stages!$2:$2,0)+1,FALSE)</f>
        <v>復刻コラボクエスト</v>
      </c>
      <c r="H6" s="77">
        <v>2</v>
      </c>
      <c r="I6" s="83">
        <f t="shared" si="0"/>
        <v>5</v>
      </c>
      <c r="J6" s="78" t="str">
        <f t="shared" si="1"/>
        <v>3900805</v>
      </c>
      <c r="K6" s="76" t="s">
        <v>194</v>
      </c>
      <c r="L6" s="79" t="s">
        <v>195</v>
      </c>
      <c r="M6" s="80" t="s">
        <v>284</v>
      </c>
      <c r="N6" s="51" t="s">
        <v>196</v>
      </c>
    </row>
    <row r="7" spans="1:14" ht="56" x14ac:dyDescent="0.15">
      <c r="A7" s="73" t="s">
        <v>193</v>
      </c>
      <c r="B7" s="74">
        <v>39008</v>
      </c>
      <c r="C7" s="75" t="str">
        <f ca="1">VLOOKUP($B7,OFFSET([2]quests!$A$1,0,0,COUNTA([2]quests!$A:$A),MATCH(C$1,[2]quests!$1:$1,0)-MATCH($B$1,[2]quests!$1:$1,0)+1),MATCH(C$1,[2]quests!$1:$1,0)-MATCH($B$1,[2]quests!$1:$1,0)+1,FALSE)</f>
        <v>雪の歌姫</v>
      </c>
      <c r="D7" s="75" t="str">
        <f ca="1">VLOOKUP($B7,OFFSET([2]quests!$A$1,0,0,COUNTA([2]quests!$A:$A),MATCH(D$1,[2]quests!$1:$1,0)-MATCH($B$1,[2]quests!$1:$1,0)+1),MATCH(D$1,[2]quests!$1:$1,0)-MATCH($B$1,[2]quests!$1:$1,0)+1,FALSE)</f>
        <v>復刻コラボクエスト</v>
      </c>
      <c r="E7" s="76">
        <v>2</v>
      </c>
      <c r="F7" s="75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【中級】雪の歌姫</v>
      </c>
      <c r="G7" s="75" t="str">
        <f ca="1">VLOOKUP($B7&amp;"_"&amp;$E7,OFFSET([2]stages!$A$1,0,0,COUNTA([2]stages!$A:$A),MATCH(G$1,[2]stages!$2:$2,0)-MATCH("temp_stage",[2]stages!$2:$2,0)+1),MATCH(G$1,[2]stages!$2:$2,0)-MATCH("temp_stage",[2]stages!$2:$2,0)+1,FALSE)</f>
        <v>復刻コラボクエスト</v>
      </c>
      <c r="H7" s="77">
        <v>3</v>
      </c>
      <c r="I7" s="83">
        <f t="shared" si="0"/>
        <v>6</v>
      </c>
      <c r="J7" s="78" t="str">
        <f t="shared" si="1"/>
        <v>3900806</v>
      </c>
      <c r="K7" s="76" t="s">
        <v>194</v>
      </c>
      <c r="L7" s="79" t="s">
        <v>195</v>
      </c>
      <c r="M7" s="149" t="s">
        <v>291</v>
      </c>
      <c r="N7" s="51" t="s">
        <v>196</v>
      </c>
    </row>
    <row r="8" spans="1:14" x14ac:dyDescent="0.15">
      <c r="A8" s="73" t="s">
        <v>193</v>
      </c>
      <c r="B8" s="74">
        <v>39008</v>
      </c>
      <c r="C8" s="75" t="str">
        <f ca="1">VLOOKUP($B8,OFFSET([2]quests!$A$1,0,0,COUNTA([2]quests!$A:$A),MATCH(C$1,[2]quests!$1:$1,0)-MATCH($B$1,[2]quests!$1:$1,0)+1),MATCH(C$1,[2]quests!$1:$1,0)-MATCH($B$1,[2]quests!$1:$1,0)+1,FALSE)</f>
        <v>雪の歌姫</v>
      </c>
      <c r="D8" s="75" t="str">
        <f ca="1">VLOOKUP($B8,OFFSET([2]quests!$A$1,0,0,COUNTA([2]quests!$A:$A),MATCH(D$1,[2]quests!$1:$1,0)-MATCH($B$1,[2]quests!$1:$1,0)+1),MATCH(D$1,[2]quests!$1:$1,0)-MATCH($B$1,[2]quests!$1:$1,0)+1,FALSE)</f>
        <v>復刻コラボクエスト</v>
      </c>
      <c r="E8" s="76">
        <v>3</v>
      </c>
      <c r="F8" s="75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【上級】雪の歌姫</v>
      </c>
      <c r="G8" s="75" t="str">
        <f ca="1">VLOOKUP($B8&amp;"_"&amp;$E8,OFFSET([2]stages!$A$1,0,0,COUNTA([2]stages!$A:$A),MATCH(G$1,[2]stages!$2:$2,0)-MATCH("temp_stage",[2]stages!$2:$2,0)+1),MATCH(G$1,[2]stages!$2:$2,0)-MATCH("temp_stage",[2]stages!$2:$2,0)+1,FALSE)</f>
        <v>復刻コラボクエスト</v>
      </c>
      <c r="H8" s="77">
        <v>1</v>
      </c>
      <c r="I8" s="83">
        <f t="shared" si="0"/>
        <v>7</v>
      </c>
      <c r="J8" s="78" t="str">
        <f t="shared" si="1"/>
        <v>3900807</v>
      </c>
      <c r="K8" s="76" t="s">
        <v>194</v>
      </c>
      <c r="L8" s="79" t="s">
        <v>195</v>
      </c>
      <c r="M8" s="80" t="s">
        <v>284</v>
      </c>
      <c r="N8" s="51" t="s">
        <v>196</v>
      </c>
    </row>
    <row r="9" spans="1:14" x14ac:dyDescent="0.15">
      <c r="A9" s="73" t="s">
        <v>193</v>
      </c>
      <c r="B9" s="74">
        <v>39008</v>
      </c>
      <c r="C9" s="75" t="str">
        <f ca="1">VLOOKUP($B9,OFFSET([2]quests!$A$1,0,0,COUNTA([2]quests!$A:$A),MATCH(C$1,[2]quests!$1:$1,0)-MATCH($B$1,[2]quests!$1:$1,0)+1),MATCH(C$1,[2]quests!$1:$1,0)-MATCH($B$1,[2]quests!$1:$1,0)+1,FALSE)</f>
        <v>雪の歌姫</v>
      </c>
      <c r="D9" s="75" t="str">
        <f ca="1">VLOOKUP($B9,OFFSET([2]quests!$A$1,0,0,COUNTA([2]quests!$A:$A),MATCH(D$1,[2]quests!$1:$1,0)-MATCH($B$1,[2]quests!$1:$1,0)+1),MATCH(D$1,[2]quests!$1:$1,0)-MATCH($B$1,[2]quests!$1:$1,0)+1,FALSE)</f>
        <v>復刻コラボクエスト</v>
      </c>
      <c r="E9" s="76">
        <v>3</v>
      </c>
      <c r="F9" s="75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【上級】雪の歌姫</v>
      </c>
      <c r="G9" s="75" t="str">
        <f ca="1">VLOOKUP($B9&amp;"_"&amp;$E9,OFFSET([2]stages!$A$1,0,0,COUNTA([2]stages!$A:$A),MATCH(G$1,[2]stages!$2:$2,0)-MATCH("temp_stage",[2]stages!$2:$2,0)+1),MATCH(G$1,[2]stages!$2:$2,0)-MATCH("temp_stage",[2]stages!$2:$2,0)+1,FALSE)</f>
        <v>復刻コラボクエスト</v>
      </c>
      <c r="H9" s="77">
        <v>2</v>
      </c>
      <c r="I9" s="83">
        <f t="shared" si="0"/>
        <v>8</v>
      </c>
      <c r="J9" s="78" t="str">
        <f t="shared" si="1"/>
        <v>3900808</v>
      </c>
      <c r="K9" s="76" t="s">
        <v>194</v>
      </c>
      <c r="L9" s="79" t="s">
        <v>195</v>
      </c>
      <c r="M9" s="80" t="s">
        <v>284</v>
      </c>
      <c r="N9" s="51" t="s">
        <v>196</v>
      </c>
    </row>
    <row r="10" spans="1:14" ht="56" x14ac:dyDescent="0.15">
      <c r="A10" s="73" t="s">
        <v>193</v>
      </c>
      <c r="B10" s="74">
        <v>39008</v>
      </c>
      <c r="C10" s="75" t="str">
        <f ca="1">VLOOKUP($B10,OFFSET([2]quests!$A$1,0,0,COUNTA([2]quests!$A:$A),MATCH(C$1,[2]quests!$1:$1,0)-MATCH($B$1,[2]quests!$1:$1,0)+1),MATCH(C$1,[2]quests!$1:$1,0)-MATCH($B$1,[2]quests!$1:$1,0)+1,FALSE)</f>
        <v>雪の歌姫</v>
      </c>
      <c r="D10" s="75" t="str">
        <f ca="1">VLOOKUP($B10,OFFSET([2]quests!$A$1,0,0,COUNTA([2]quests!$A:$A),MATCH(D$1,[2]quests!$1:$1,0)-MATCH($B$1,[2]quests!$1:$1,0)+1),MATCH(D$1,[2]quests!$1:$1,0)-MATCH($B$1,[2]quests!$1:$1,0)+1,FALSE)</f>
        <v>復刻コラボクエスト</v>
      </c>
      <c r="E10" s="76">
        <v>3</v>
      </c>
      <c r="F10" s="75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【上級】雪の歌姫</v>
      </c>
      <c r="G10" s="75" t="str">
        <f ca="1">VLOOKUP($B10&amp;"_"&amp;$E10,OFFSET([2]stages!$A$1,0,0,COUNTA([2]stages!$A:$A),MATCH(G$1,[2]stages!$2:$2,0)-MATCH("temp_stage",[2]stages!$2:$2,0)+1),MATCH(G$1,[2]stages!$2:$2,0)-MATCH("temp_stage",[2]stages!$2:$2,0)+1,FALSE)</f>
        <v>復刻コラボクエスト</v>
      </c>
      <c r="H10" s="77">
        <v>3</v>
      </c>
      <c r="I10" s="83">
        <f t="shared" si="0"/>
        <v>9</v>
      </c>
      <c r="J10" s="78" t="str">
        <f t="shared" si="1"/>
        <v>3900809</v>
      </c>
      <c r="K10" s="76" t="s">
        <v>194</v>
      </c>
      <c r="L10" s="79" t="s">
        <v>195</v>
      </c>
      <c r="M10" s="149" t="s">
        <v>291</v>
      </c>
      <c r="N10" s="51" t="s">
        <v>196</v>
      </c>
    </row>
    <row r="11" spans="1:14" x14ac:dyDescent="0.15">
      <c r="A11" s="73" t="s">
        <v>193</v>
      </c>
      <c r="B11" s="74">
        <v>39008</v>
      </c>
      <c r="C11" s="75" t="str">
        <f ca="1">VLOOKUP($B11,OFFSET([2]quests!$A$1,0,0,COUNTA([2]quests!$A:$A),MATCH(C$1,[2]quests!$1:$1,0)-MATCH($B$1,[2]quests!$1:$1,0)+1),MATCH(C$1,[2]quests!$1:$1,0)-MATCH($B$1,[2]quests!$1:$1,0)+1,FALSE)</f>
        <v>雪の歌姫</v>
      </c>
      <c r="D11" s="75" t="str">
        <f ca="1">VLOOKUP($B11,OFFSET([2]quests!$A$1,0,0,COUNTA([2]quests!$A:$A),MATCH(D$1,[2]quests!$1:$1,0)-MATCH($B$1,[2]quests!$1:$1,0)+1),MATCH(D$1,[2]quests!$1:$1,0)-MATCH($B$1,[2]quests!$1:$1,0)+1,FALSE)</f>
        <v>復刻コラボクエスト</v>
      </c>
      <c r="E11" s="76">
        <v>4</v>
      </c>
      <c r="F11" s="75" t="str">
        <f ca="1">VLOOKUP($B11&amp;"_"&amp;$E11,OFFSET([2]stages!$A$1,0,0,COUNTA([2]stages!$A:$A),MATCH(F$1,[2]stages!$2:$2,0)-MATCH("temp_stage",[2]stages!$2:$2,0)+1),MATCH(F$1,[2]stages!$2:$2,0)-MATCH("temp_stage",[2]stages!$2:$2,0)+1,FALSE)</f>
        <v>【超級】雪の歌姫</v>
      </c>
      <c r="G11" s="75" t="str">
        <f ca="1">VLOOKUP($B11&amp;"_"&amp;$E11,OFFSET([2]stages!$A$1,0,0,COUNTA([2]stages!$A:$A),MATCH(G$1,[2]stages!$2:$2,0)-MATCH("temp_stage",[2]stages!$2:$2,0)+1),MATCH(G$1,[2]stages!$2:$2,0)-MATCH("temp_stage",[2]stages!$2:$2,0)+1,FALSE)</f>
        <v>復刻コラボクエスト</v>
      </c>
      <c r="H11" s="77">
        <v>1</v>
      </c>
      <c r="I11" s="83">
        <f t="shared" si="0"/>
        <v>10</v>
      </c>
      <c r="J11" s="78" t="str">
        <f t="shared" si="1"/>
        <v>3900810</v>
      </c>
      <c r="K11" s="76" t="s">
        <v>194</v>
      </c>
      <c r="L11" s="79" t="s">
        <v>195</v>
      </c>
      <c r="M11" s="80" t="s">
        <v>284</v>
      </c>
      <c r="N11" s="51" t="s">
        <v>196</v>
      </c>
    </row>
    <row r="12" spans="1:14" ht="56" x14ac:dyDescent="0.15">
      <c r="A12" s="73" t="s">
        <v>193</v>
      </c>
      <c r="B12" s="74">
        <v>39008</v>
      </c>
      <c r="C12" s="75" t="str">
        <f ca="1">VLOOKUP($B12,OFFSET([2]quests!$A$1,0,0,COUNTA([2]quests!$A:$A),MATCH(C$1,[2]quests!$1:$1,0)-MATCH($B$1,[2]quests!$1:$1,0)+1),MATCH(C$1,[2]quests!$1:$1,0)-MATCH($B$1,[2]quests!$1:$1,0)+1,FALSE)</f>
        <v>雪の歌姫</v>
      </c>
      <c r="D12" s="75" t="str">
        <f ca="1">VLOOKUP($B12,OFFSET([2]quests!$A$1,0,0,COUNTA([2]quests!$A:$A),MATCH(D$1,[2]quests!$1:$1,0)-MATCH($B$1,[2]quests!$1:$1,0)+1),MATCH(D$1,[2]quests!$1:$1,0)-MATCH($B$1,[2]quests!$1:$1,0)+1,FALSE)</f>
        <v>復刻コラボクエスト</v>
      </c>
      <c r="E12" s="76">
        <v>4</v>
      </c>
      <c r="F12" s="75" t="str">
        <f ca="1">VLOOKUP($B12&amp;"_"&amp;$E12,OFFSET([2]stages!$A$1,0,0,COUNTA([2]stages!$A:$A),MATCH(F$1,[2]stages!$2:$2,0)-MATCH("temp_stage",[2]stages!$2:$2,0)+1),MATCH(F$1,[2]stages!$2:$2,0)-MATCH("temp_stage",[2]stages!$2:$2,0)+1,FALSE)</f>
        <v>【超級】雪の歌姫</v>
      </c>
      <c r="G12" s="75" t="str">
        <f ca="1">VLOOKUP($B12&amp;"_"&amp;$E12,OFFSET([2]stages!$A$1,0,0,COUNTA([2]stages!$A:$A),MATCH(G$1,[2]stages!$2:$2,0)-MATCH("temp_stage",[2]stages!$2:$2,0)+1),MATCH(G$1,[2]stages!$2:$2,0)-MATCH("temp_stage",[2]stages!$2:$2,0)+1,FALSE)</f>
        <v>復刻コラボクエスト</v>
      </c>
      <c r="H12" s="77">
        <v>2</v>
      </c>
      <c r="I12" s="83">
        <f t="shared" si="0"/>
        <v>11</v>
      </c>
      <c r="J12" s="78" t="str">
        <f t="shared" si="1"/>
        <v>3900811</v>
      </c>
      <c r="K12" s="76" t="s">
        <v>194</v>
      </c>
      <c r="L12" s="79" t="s">
        <v>195</v>
      </c>
      <c r="M12" s="149" t="s">
        <v>291</v>
      </c>
      <c r="N12" s="51" t="s">
        <v>196</v>
      </c>
    </row>
    <row r="13" spans="1:14" x14ac:dyDescent="0.15">
      <c r="A13" s="73" t="s">
        <v>193</v>
      </c>
      <c r="B13" s="74">
        <v>39008</v>
      </c>
      <c r="C13" s="75" t="str">
        <f ca="1">VLOOKUP($B13,OFFSET([2]quests!$A$1,0,0,COUNTA([2]quests!$A:$A),MATCH(C$1,[2]quests!$1:$1,0)-MATCH($B$1,[2]quests!$1:$1,0)+1),MATCH(C$1,[2]quests!$1:$1,0)-MATCH($B$1,[2]quests!$1:$1,0)+1,FALSE)</f>
        <v>雪の歌姫</v>
      </c>
      <c r="D13" s="75" t="str">
        <f ca="1">VLOOKUP($B13,OFFSET([2]quests!$A$1,0,0,COUNTA([2]quests!$A:$A),MATCH(D$1,[2]quests!$1:$1,0)-MATCH($B$1,[2]quests!$1:$1,0)+1),MATCH(D$1,[2]quests!$1:$1,0)-MATCH($B$1,[2]quests!$1:$1,0)+1,FALSE)</f>
        <v>復刻コラボクエスト</v>
      </c>
      <c r="E13" s="76">
        <v>4</v>
      </c>
      <c r="F13" s="75" t="str">
        <f ca="1">VLOOKUP($B13&amp;"_"&amp;$E13,OFFSET([2]stages!$A$1,0,0,COUNTA([2]stages!$A:$A),MATCH(F$1,[2]stages!$2:$2,0)-MATCH("temp_stage",[2]stages!$2:$2,0)+1),MATCH(F$1,[2]stages!$2:$2,0)-MATCH("temp_stage",[2]stages!$2:$2,0)+1,FALSE)</f>
        <v>【超級】雪の歌姫</v>
      </c>
      <c r="G13" s="75" t="str">
        <f ca="1">VLOOKUP($B13&amp;"_"&amp;$E13,OFFSET([2]stages!$A$1,0,0,COUNTA([2]stages!$A:$A),MATCH(G$1,[2]stages!$2:$2,0)-MATCH("temp_stage",[2]stages!$2:$2,0)+1),MATCH(G$1,[2]stages!$2:$2,0)-MATCH("temp_stage",[2]stages!$2:$2,0)+1,FALSE)</f>
        <v>復刻コラボクエスト</v>
      </c>
      <c r="H13" s="77">
        <v>3</v>
      </c>
      <c r="I13" s="83">
        <f t="shared" si="0"/>
        <v>12</v>
      </c>
      <c r="J13" s="78" t="str">
        <f t="shared" si="1"/>
        <v>3900812</v>
      </c>
      <c r="K13" s="76" t="s">
        <v>194</v>
      </c>
      <c r="L13" s="79" t="s">
        <v>195</v>
      </c>
      <c r="M13" s="80" t="s">
        <v>284</v>
      </c>
      <c r="N13" s="51" t="s">
        <v>196</v>
      </c>
    </row>
    <row r="14" spans="1:14" ht="70" x14ac:dyDescent="0.15">
      <c r="A14" s="73" t="s">
        <v>193</v>
      </c>
      <c r="B14" s="74">
        <v>39008</v>
      </c>
      <c r="C14" s="75" t="str">
        <f ca="1">VLOOKUP($B14,OFFSET([2]quests!$A$1,0,0,COUNTA([2]quests!$A:$A),MATCH(C$1,[2]quests!$1:$1,0)-MATCH($B$1,[2]quests!$1:$1,0)+1),MATCH(C$1,[2]quests!$1:$1,0)-MATCH($B$1,[2]quests!$1:$1,0)+1,FALSE)</f>
        <v>雪の歌姫</v>
      </c>
      <c r="D14" s="75" t="str">
        <f ca="1">VLOOKUP($B14,OFFSET([2]quests!$A$1,0,0,COUNTA([2]quests!$A:$A),MATCH(D$1,[2]quests!$1:$1,0)-MATCH($B$1,[2]quests!$1:$1,0)+1),MATCH(D$1,[2]quests!$1:$1,0)-MATCH($B$1,[2]quests!$1:$1,0)+1,FALSE)</f>
        <v>復刻コラボクエスト</v>
      </c>
      <c r="E14" s="76">
        <v>4</v>
      </c>
      <c r="F14" s="75" t="str">
        <f ca="1">VLOOKUP($B14&amp;"_"&amp;$E14,OFFSET([2]stages!$A$1,0,0,COUNTA([2]stages!$A:$A),MATCH(F$1,[2]stages!$2:$2,0)-MATCH("temp_stage",[2]stages!$2:$2,0)+1),MATCH(F$1,[2]stages!$2:$2,0)-MATCH("temp_stage",[2]stages!$2:$2,0)+1,FALSE)</f>
        <v>【超級】雪の歌姫</v>
      </c>
      <c r="G14" s="75" t="str">
        <f ca="1">VLOOKUP($B14&amp;"_"&amp;$E14,OFFSET([2]stages!$A$1,0,0,COUNTA([2]stages!$A:$A),MATCH(G$1,[2]stages!$2:$2,0)-MATCH("temp_stage",[2]stages!$2:$2,0)+1),MATCH(G$1,[2]stages!$2:$2,0)-MATCH("temp_stage",[2]stages!$2:$2,0)+1,FALSE)</f>
        <v>復刻コラボクエスト</v>
      </c>
      <c r="H14" s="77">
        <v>4</v>
      </c>
      <c r="I14" s="83">
        <f t="shared" si="0"/>
        <v>13</v>
      </c>
      <c r="J14" s="78" t="str">
        <f t="shared" si="1"/>
        <v>3900813</v>
      </c>
      <c r="K14" s="76" t="s">
        <v>194</v>
      </c>
      <c r="L14" s="79" t="s">
        <v>195</v>
      </c>
      <c r="M14" s="149" t="s">
        <v>285</v>
      </c>
      <c r="N14" s="51" t="s">
        <v>196</v>
      </c>
    </row>
    <row r="15" spans="1:14" x14ac:dyDescent="0.15">
      <c r="A15" s="73" t="s">
        <v>193</v>
      </c>
      <c r="B15" s="74">
        <v>39008</v>
      </c>
      <c r="C15" s="75" t="str">
        <f ca="1">VLOOKUP($B15,OFFSET([2]quests!$A$1,0,0,COUNTA([2]quests!$A:$A),MATCH(C$1,[2]quests!$1:$1,0)-MATCH($B$1,[2]quests!$1:$1,0)+1),MATCH(C$1,[2]quests!$1:$1,0)-MATCH($B$1,[2]quests!$1:$1,0)+1,FALSE)</f>
        <v>雪の歌姫</v>
      </c>
      <c r="D15" s="75" t="str">
        <f ca="1">VLOOKUP($B15,OFFSET([2]quests!$A$1,0,0,COUNTA([2]quests!$A:$A),MATCH(D$1,[2]quests!$1:$1,0)-MATCH($B$1,[2]quests!$1:$1,0)+1),MATCH(D$1,[2]quests!$1:$1,0)-MATCH($B$1,[2]quests!$1:$1,0)+1,FALSE)</f>
        <v>復刻コラボクエスト</v>
      </c>
      <c r="E15" s="76">
        <v>5</v>
      </c>
      <c r="F15" s="75" t="str">
        <f ca="1">VLOOKUP($B15&amp;"_"&amp;$E15,OFFSET([2]stages!$A$1,0,0,COUNTA([2]stages!$A:$A),MATCH(F$1,[2]stages!$2:$2,0)-MATCH("temp_stage",[2]stages!$2:$2,0)+1),MATCH(F$1,[2]stages!$2:$2,0)-MATCH("temp_stage",[2]stages!$2:$2,0)+1,FALSE)</f>
        <v>【超絶級】雪の歌姫</v>
      </c>
      <c r="G15" s="75" t="str">
        <f ca="1">VLOOKUP($B15&amp;"_"&amp;$E15,OFFSET([2]stages!$A$1,0,0,COUNTA([2]stages!$A:$A),MATCH(G$1,[2]stages!$2:$2,0)-MATCH("temp_stage",[2]stages!$2:$2,0)+1),MATCH(G$1,[2]stages!$2:$2,0)-MATCH("temp_stage",[2]stages!$2:$2,0)+1,FALSE)</f>
        <v>復刻コラボクエスト</v>
      </c>
      <c r="H15" s="77">
        <v>1</v>
      </c>
      <c r="I15" s="83">
        <f t="shared" si="0"/>
        <v>14</v>
      </c>
      <c r="J15" s="78" t="str">
        <f t="shared" si="1"/>
        <v>3900814</v>
      </c>
      <c r="K15" s="76" t="s">
        <v>194</v>
      </c>
      <c r="L15" s="79" t="s">
        <v>195</v>
      </c>
      <c r="M15" s="80" t="s">
        <v>284</v>
      </c>
      <c r="N15" s="51" t="s">
        <v>196</v>
      </c>
    </row>
    <row r="16" spans="1:14" ht="56" x14ac:dyDescent="0.15">
      <c r="A16" s="73" t="s">
        <v>193</v>
      </c>
      <c r="B16" s="74">
        <v>39008</v>
      </c>
      <c r="C16" s="75" t="str">
        <f ca="1">VLOOKUP($B16,OFFSET([2]quests!$A$1,0,0,COUNTA([2]quests!$A:$A),MATCH(C$1,[2]quests!$1:$1,0)-MATCH($B$1,[2]quests!$1:$1,0)+1),MATCH(C$1,[2]quests!$1:$1,0)-MATCH($B$1,[2]quests!$1:$1,0)+1,FALSE)</f>
        <v>雪の歌姫</v>
      </c>
      <c r="D16" s="75" t="str">
        <f ca="1">VLOOKUP($B16,OFFSET([2]quests!$A$1,0,0,COUNTA([2]quests!$A:$A),MATCH(D$1,[2]quests!$1:$1,0)-MATCH($B$1,[2]quests!$1:$1,0)+1),MATCH(D$1,[2]quests!$1:$1,0)-MATCH($B$1,[2]quests!$1:$1,0)+1,FALSE)</f>
        <v>復刻コラボクエスト</v>
      </c>
      <c r="E16" s="76">
        <v>5</v>
      </c>
      <c r="F16" s="75" t="str">
        <f ca="1">VLOOKUP($B16&amp;"_"&amp;$E16,OFFSET([2]stages!$A$1,0,0,COUNTA([2]stages!$A:$A),MATCH(F$1,[2]stages!$2:$2,0)-MATCH("temp_stage",[2]stages!$2:$2,0)+1),MATCH(F$1,[2]stages!$2:$2,0)-MATCH("temp_stage",[2]stages!$2:$2,0)+1,FALSE)</f>
        <v>【超絶級】雪の歌姫</v>
      </c>
      <c r="G16" s="75" t="str">
        <f ca="1">VLOOKUP($B16&amp;"_"&amp;$E16,OFFSET([2]stages!$A$1,0,0,COUNTA([2]stages!$A:$A),MATCH(G$1,[2]stages!$2:$2,0)-MATCH("temp_stage",[2]stages!$2:$2,0)+1),MATCH(G$1,[2]stages!$2:$2,0)-MATCH("temp_stage",[2]stages!$2:$2,0)+1,FALSE)</f>
        <v>復刻コラボクエスト</v>
      </c>
      <c r="H16" s="77">
        <v>2</v>
      </c>
      <c r="I16" s="83">
        <f t="shared" si="0"/>
        <v>15</v>
      </c>
      <c r="J16" s="78" t="str">
        <f t="shared" si="1"/>
        <v>3900815</v>
      </c>
      <c r="K16" s="76" t="s">
        <v>194</v>
      </c>
      <c r="L16" s="79" t="s">
        <v>195</v>
      </c>
      <c r="M16" s="149" t="s">
        <v>291</v>
      </c>
      <c r="N16" s="51" t="s">
        <v>196</v>
      </c>
    </row>
    <row r="17" spans="1:14" x14ac:dyDescent="0.15">
      <c r="A17" s="73" t="s">
        <v>193</v>
      </c>
      <c r="B17" s="74">
        <v>39008</v>
      </c>
      <c r="C17" s="75" t="str">
        <f ca="1">VLOOKUP($B17,OFFSET([2]quests!$A$1,0,0,COUNTA([2]quests!$A:$A),MATCH(C$1,[2]quests!$1:$1,0)-MATCH($B$1,[2]quests!$1:$1,0)+1),MATCH(C$1,[2]quests!$1:$1,0)-MATCH($B$1,[2]quests!$1:$1,0)+1,FALSE)</f>
        <v>雪の歌姫</v>
      </c>
      <c r="D17" s="75" t="str">
        <f ca="1">VLOOKUP($B17,OFFSET([2]quests!$A$1,0,0,COUNTA([2]quests!$A:$A),MATCH(D$1,[2]quests!$1:$1,0)-MATCH($B$1,[2]quests!$1:$1,0)+1),MATCH(D$1,[2]quests!$1:$1,0)-MATCH($B$1,[2]quests!$1:$1,0)+1,FALSE)</f>
        <v>復刻コラボクエスト</v>
      </c>
      <c r="E17" s="76">
        <v>5</v>
      </c>
      <c r="F17" s="75" t="str">
        <f ca="1">VLOOKUP($B17&amp;"_"&amp;$E17,OFFSET([2]stages!$A$1,0,0,COUNTA([2]stages!$A:$A),MATCH(F$1,[2]stages!$2:$2,0)-MATCH("temp_stage",[2]stages!$2:$2,0)+1),MATCH(F$1,[2]stages!$2:$2,0)-MATCH("temp_stage",[2]stages!$2:$2,0)+1,FALSE)</f>
        <v>【超絶級】雪の歌姫</v>
      </c>
      <c r="G17" s="75" t="str">
        <f ca="1">VLOOKUP($B17&amp;"_"&amp;$E17,OFFSET([2]stages!$A$1,0,0,COUNTA([2]stages!$A:$A),MATCH(G$1,[2]stages!$2:$2,0)-MATCH("temp_stage",[2]stages!$2:$2,0)+1),MATCH(G$1,[2]stages!$2:$2,0)-MATCH("temp_stage",[2]stages!$2:$2,0)+1,FALSE)</f>
        <v>復刻コラボクエスト</v>
      </c>
      <c r="H17" s="77">
        <v>3</v>
      </c>
      <c r="I17" s="83">
        <f t="shared" si="0"/>
        <v>16</v>
      </c>
      <c r="J17" s="78" t="str">
        <f t="shared" si="1"/>
        <v>3900816</v>
      </c>
      <c r="K17" s="76" t="s">
        <v>194</v>
      </c>
      <c r="L17" s="79" t="s">
        <v>195</v>
      </c>
      <c r="M17" s="80" t="s">
        <v>284</v>
      </c>
      <c r="N17" s="51" t="s">
        <v>196</v>
      </c>
    </row>
    <row r="18" spans="1:14" ht="56" x14ac:dyDescent="0.15">
      <c r="A18" s="73" t="s">
        <v>193</v>
      </c>
      <c r="B18" s="74">
        <v>39008</v>
      </c>
      <c r="C18" s="75" t="str">
        <f ca="1">VLOOKUP($B18,OFFSET([2]quests!$A$1,0,0,COUNTA([2]quests!$A:$A),MATCH(C$1,[2]quests!$1:$1,0)-MATCH($B$1,[2]quests!$1:$1,0)+1),MATCH(C$1,[2]quests!$1:$1,0)-MATCH($B$1,[2]quests!$1:$1,0)+1,FALSE)</f>
        <v>雪の歌姫</v>
      </c>
      <c r="D18" s="75" t="str">
        <f ca="1">VLOOKUP($B18,OFFSET([2]quests!$A$1,0,0,COUNTA([2]quests!$A:$A),MATCH(D$1,[2]quests!$1:$1,0)-MATCH($B$1,[2]quests!$1:$1,0)+1),MATCH(D$1,[2]quests!$1:$1,0)-MATCH($B$1,[2]quests!$1:$1,0)+1,FALSE)</f>
        <v>復刻コラボクエスト</v>
      </c>
      <c r="E18" s="76">
        <v>5</v>
      </c>
      <c r="F18" s="75" t="str">
        <f ca="1">VLOOKUP($B18&amp;"_"&amp;$E18,OFFSET([2]stages!$A$1,0,0,COUNTA([2]stages!$A:$A),MATCH(F$1,[2]stages!$2:$2,0)-MATCH("temp_stage",[2]stages!$2:$2,0)+1),MATCH(F$1,[2]stages!$2:$2,0)-MATCH("temp_stage",[2]stages!$2:$2,0)+1,FALSE)</f>
        <v>【超絶級】雪の歌姫</v>
      </c>
      <c r="G18" s="75" t="str">
        <f ca="1">VLOOKUP($B18&amp;"_"&amp;$E18,OFFSET([2]stages!$A$1,0,0,COUNTA([2]stages!$A:$A),MATCH(G$1,[2]stages!$2:$2,0)-MATCH("temp_stage",[2]stages!$2:$2,0)+1),MATCH(G$1,[2]stages!$2:$2,0)-MATCH("temp_stage",[2]stages!$2:$2,0)+1,FALSE)</f>
        <v>復刻コラボクエスト</v>
      </c>
      <c r="H18" s="77">
        <v>4</v>
      </c>
      <c r="I18" s="83">
        <f t="shared" si="0"/>
        <v>17</v>
      </c>
      <c r="J18" s="78" t="str">
        <f t="shared" si="1"/>
        <v>3900817</v>
      </c>
      <c r="K18" s="76" t="s">
        <v>194</v>
      </c>
      <c r="L18" s="79" t="s">
        <v>195</v>
      </c>
      <c r="M18" s="149" t="s">
        <v>294</v>
      </c>
      <c r="N18" s="51" t="s">
        <v>196</v>
      </c>
    </row>
    <row r="19" spans="1:14" ht="42" x14ac:dyDescent="0.15">
      <c r="A19" s="73" t="s">
        <v>293</v>
      </c>
      <c r="B19" s="74">
        <v>39008</v>
      </c>
      <c r="C19" s="75" t="str">
        <f ca="1">VLOOKUP($B19,OFFSET([2]quests!$A$1,0,0,COUNTA([2]quests!$A:$A),MATCH(C$1,[2]quests!$1:$1,0)-MATCH($B$1,[2]quests!$1:$1,0)+1),MATCH(C$1,[2]quests!$1:$1,0)-MATCH($B$1,[2]quests!$1:$1,0)+1,FALSE)</f>
        <v>雪の歌姫</v>
      </c>
      <c r="D19" s="75" t="str">
        <f ca="1">VLOOKUP($B19,OFFSET([2]quests!$A$1,0,0,COUNTA([2]quests!$A:$A),MATCH(D$1,[2]quests!$1:$1,0)-MATCH($B$1,[2]quests!$1:$1,0)+1),MATCH(D$1,[2]quests!$1:$1,0)-MATCH($B$1,[2]quests!$1:$1,0)+1,FALSE)</f>
        <v>復刻コラボクエスト</v>
      </c>
      <c r="E19" s="76">
        <v>1</v>
      </c>
      <c r="F19" s="75" t="str">
        <f ca="1">VLOOKUP($B19&amp;"_"&amp;$E19,OFFSET([2]stages!$A$1,0,0,COUNTA([2]stages!$A:$A),MATCH(F$1,[2]stages!$2:$2,0)-MATCH("temp_stage",[2]stages!$2:$2,0)+1),MATCH(F$1,[2]stages!$2:$2,0)-MATCH("temp_stage",[2]stages!$2:$2,0)+1,FALSE)</f>
        <v>【初級】雪の歌姫</v>
      </c>
      <c r="G19" s="75" t="str">
        <f ca="1">VLOOKUP($B19&amp;"_"&amp;$E19,OFFSET([2]stages!$A$1,0,0,COUNTA([2]stages!$A:$A),MATCH(G$1,[2]stages!$2:$2,0)-MATCH("temp_stage",[2]stages!$2:$2,0)+1),MATCH(G$1,[2]stages!$2:$2,0)-MATCH("temp_stage",[2]stages!$2:$2,0)+1,FALSE)</f>
        <v>復刻コラボクエスト</v>
      </c>
      <c r="H19" s="77">
        <v>0</v>
      </c>
      <c r="I19" s="83">
        <f t="shared" si="0"/>
        <v>18</v>
      </c>
      <c r="J19" s="78" t="str">
        <f t="shared" ref="J19:J21" si="2">B19&amp;TEXT(I19,"00")</f>
        <v>3900818</v>
      </c>
      <c r="K19" s="76" t="s">
        <v>194</v>
      </c>
      <c r="L19" s="79" t="s">
        <v>296</v>
      </c>
      <c r="M19" s="153" t="s">
        <v>298</v>
      </c>
      <c r="N19" s="51" t="s">
        <v>196</v>
      </c>
    </row>
    <row r="20" spans="1:14" ht="56" x14ac:dyDescent="0.15">
      <c r="A20" s="73" t="s">
        <v>293</v>
      </c>
      <c r="B20" s="74">
        <v>39008</v>
      </c>
      <c r="C20" s="75" t="str">
        <f ca="1">VLOOKUP($B20,OFFSET([2]quests!$A$1,0,0,COUNTA([2]quests!$A:$A),MATCH(C$1,[2]quests!$1:$1,0)-MATCH($B$1,[2]quests!$1:$1,0)+1),MATCH(C$1,[2]quests!$1:$1,0)-MATCH($B$1,[2]quests!$1:$1,0)+1,FALSE)</f>
        <v>雪の歌姫</v>
      </c>
      <c r="D20" s="75" t="str">
        <f ca="1">VLOOKUP($B20,OFFSET([2]quests!$A$1,0,0,COUNTA([2]quests!$A:$A),MATCH(D$1,[2]quests!$1:$1,0)-MATCH($B$1,[2]quests!$1:$1,0)+1),MATCH(D$1,[2]quests!$1:$1,0)-MATCH($B$1,[2]quests!$1:$1,0)+1,FALSE)</f>
        <v>復刻コラボクエスト</v>
      </c>
      <c r="E20" s="76">
        <v>1</v>
      </c>
      <c r="F20" s="75" t="str">
        <f ca="1">VLOOKUP($B20&amp;"_"&amp;$E20,OFFSET([2]stages!$A$1,0,0,COUNTA([2]stages!$A:$A),MATCH(F$1,[2]stages!$2:$2,0)-MATCH("temp_stage",[2]stages!$2:$2,0)+1),MATCH(F$1,[2]stages!$2:$2,0)-MATCH("temp_stage",[2]stages!$2:$2,0)+1,FALSE)</f>
        <v>【初級】雪の歌姫</v>
      </c>
      <c r="G20" s="75" t="str">
        <f ca="1">VLOOKUP($B20&amp;"_"&amp;$E20,OFFSET([2]stages!$A$1,0,0,COUNTA([2]stages!$A:$A),MATCH(G$1,[2]stages!$2:$2,0)-MATCH("temp_stage",[2]stages!$2:$2,0)+1),MATCH(G$1,[2]stages!$2:$2,0)-MATCH("temp_stage",[2]stages!$2:$2,0)+1,FALSE)</f>
        <v>復刻コラボクエスト</v>
      </c>
      <c r="H20" s="77">
        <v>0</v>
      </c>
      <c r="I20" s="83">
        <f t="shared" si="0"/>
        <v>19</v>
      </c>
      <c r="J20" s="78" t="str">
        <f t="shared" si="2"/>
        <v>3900819</v>
      </c>
      <c r="K20" s="76" t="s">
        <v>194</v>
      </c>
      <c r="L20" s="79" t="s">
        <v>297</v>
      </c>
      <c r="M20" s="153" t="s">
        <v>299</v>
      </c>
      <c r="N20" s="51" t="s">
        <v>196</v>
      </c>
    </row>
    <row r="21" spans="1:14" ht="42" x14ac:dyDescent="0.15">
      <c r="A21" s="73" t="s">
        <v>293</v>
      </c>
      <c r="B21" s="74">
        <v>39008</v>
      </c>
      <c r="C21" s="75" t="str">
        <f ca="1">VLOOKUP($B21,OFFSET([2]quests!$A$1,0,0,COUNTA([2]quests!$A:$A),MATCH(C$1,[2]quests!$1:$1,0)-MATCH($B$1,[2]quests!$1:$1,0)+1),MATCH(C$1,[2]quests!$1:$1,0)-MATCH($B$1,[2]quests!$1:$1,0)+1,FALSE)</f>
        <v>雪の歌姫</v>
      </c>
      <c r="D21" s="75" t="str">
        <f ca="1">VLOOKUP($B21,OFFSET([2]quests!$A$1,0,0,COUNTA([2]quests!$A:$A),MATCH(D$1,[2]quests!$1:$1,0)-MATCH($B$1,[2]quests!$1:$1,0)+1),MATCH(D$1,[2]quests!$1:$1,0)-MATCH($B$1,[2]quests!$1:$1,0)+1,FALSE)</f>
        <v>復刻コラボクエスト</v>
      </c>
      <c r="E21" s="76">
        <v>1</v>
      </c>
      <c r="F21" s="75" t="str">
        <f ca="1">VLOOKUP($B21&amp;"_"&amp;$E21,OFFSET([2]stages!$A$1,0,0,COUNTA([2]stages!$A:$A),MATCH(F$1,[2]stages!$2:$2,0)-MATCH("temp_stage",[2]stages!$2:$2,0)+1),MATCH(F$1,[2]stages!$2:$2,0)-MATCH("temp_stage",[2]stages!$2:$2,0)+1,FALSE)</f>
        <v>【初級】雪の歌姫</v>
      </c>
      <c r="G21" s="75" t="str">
        <f ca="1">VLOOKUP($B21&amp;"_"&amp;$E21,OFFSET([2]stages!$A$1,0,0,COUNTA([2]stages!$A:$A),MATCH(G$1,[2]stages!$2:$2,0)-MATCH("temp_stage",[2]stages!$2:$2,0)+1),MATCH(G$1,[2]stages!$2:$2,0)-MATCH("temp_stage",[2]stages!$2:$2,0)+1,FALSE)</f>
        <v>復刻コラボクエスト</v>
      </c>
      <c r="H21" s="77">
        <v>0</v>
      </c>
      <c r="I21" s="83">
        <f t="shared" si="0"/>
        <v>20</v>
      </c>
      <c r="J21" s="78" t="str">
        <f t="shared" si="2"/>
        <v>3900820</v>
      </c>
      <c r="K21" s="76" t="s">
        <v>194</v>
      </c>
      <c r="L21" s="79" t="s">
        <v>295</v>
      </c>
      <c r="M21" s="153" t="s">
        <v>300</v>
      </c>
      <c r="N21" s="51" t="s">
        <v>196</v>
      </c>
    </row>
    <row r="22" spans="1:14" ht="42" x14ac:dyDescent="0.15">
      <c r="A22" s="73" t="s">
        <v>293</v>
      </c>
      <c r="B22" s="74">
        <v>39008</v>
      </c>
      <c r="C22" s="75" t="str">
        <f ca="1">VLOOKUP($B22,OFFSET([2]quests!$A$1,0,0,COUNTA([2]quests!$A:$A),MATCH(C$1,[2]quests!$1:$1,0)-MATCH($B$1,[2]quests!$1:$1,0)+1),MATCH(C$1,[2]quests!$1:$1,0)-MATCH($B$1,[2]quests!$1:$1,0)+1,FALSE)</f>
        <v>雪の歌姫</v>
      </c>
      <c r="D22" s="75" t="str">
        <f ca="1">VLOOKUP($B22,OFFSET([2]quests!$A$1,0,0,COUNTA([2]quests!$A:$A),MATCH(D$1,[2]quests!$1:$1,0)-MATCH($B$1,[2]quests!$1:$1,0)+1),MATCH(D$1,[2]quests!$1:$1,0)-MATCH($B$1,[2]quests!$1:$1,0)+1,FALSE)</f>
        <v>復刻コラボクエスト</v>
      </c>
      <c r="E22" s="76">
        <v>2</v>
      </c>
      <c r="F22" s="75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【中級】雪の歌姫</v>
      </c>
      <c r="G22" s="75" t="str">
        <f ca="1">VLOOKUP($B22&amp;"_"&amp;$E22,OFFSET([2]stages!$A$1,0,0,COUNTA([2]stages!$A:$A),MATCH(G$1,[2]stages!$2:$2,0)-MATCH("temp_stage",[2]stages!$2:$2,0)+1),MATCH(G$1,[2]stages!$2:$2,0)-MATCH("temp_stage",[2]stages!$2:$2,0)+1,FALSE)</f>
        <v>復刻コラボクエスト</v>
      </c>
      <c r="H22" s="77">
        <v>0</v>
      </c>
      <c r="I22" s="83">
        <f t="shared" si="0"/>
        <v>21</v>
      </c>
      <c r="J22" s="78" t="str">
        <f t="shared" ref="J22:J27" si="3">B22&amp;TEXT(I22,"00")</f>
        <v>3900821</v>
      </c>
      <c r="K22" s="76" t="s">
        <v>194</v>
      </c>
      <c r="L22" s="79" t="s">
        <v>296</v>
      </c>
      <c r="M22" s="153" t="s">
        <v>298</v>
      </c>
      <c r="N22" s="51" t="s">
        <v>196</v>
      </c>
    </row>
    <row r="23" spans="1:14" ht="56" x14ac:dyDescent="0.15">
      <c r="A23" s="73" t="s">
        <v>293</v>
      </c>
      <c r="B23" s="74">
        <v>39008</v>
      </c>
      <c r="C23" s="75" t="str">
        <f ca="1">VLOOKUP($B23,OFFSET([2]quests!$A$1,0,0,COUNTA([2]quests!$A:$A),MATCH(C$1,[2]quests!$1:$1,0)-MATCH($B$1,[2]quests!$1:$1,0)+1),MATCH(C$1,[2]quests!$1:$1,0)-MATCH($B$1,[2]quests!$1:$1,0)+1,FALSE)</f>
        <v>雪の歌姫</v>
      </c>
      <c r="D23" s="75" t="str">
        <f ca="1">VLOOKUP($B23,OFFSET([2]quests!$A$1,0,0,COUNTA([2]quests!$A:$A),MATCH(D$1,[2]quests!$1:$1,0)-MATCH($B$1,[2]quests!$1:$1,0)+1),MATCH(D$1,[2]quests!$1:$1,0)-MATCH($B$1,[2]quests!$1:$1,0)+1,FALSE)</f>
        <v>復刻コラボクエスト</v>
      </c>
      <c r="E23" s="76">
        <v>2</v>
      </c>
      <c r="F23" s="75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【中級】雪の歌姫</v>
      </c>
      <c r="G23" s="75" t="str">
        <f ca="1">VLOOKUP($B23&amp;"_"&amp;$E23,OFFSET([2]stages!$A$1,0,0,COUNTA([2]stages!$A:$A),MATCH(G$1,[2]stages!$2:$2,0)-MATCH("temp_stage",[2]stages!$2:$2,0)+1),MATCH(G$1,[2]stages!$2:$2,0)-MATCH("temp_stage",[2]stages!$2:$2,0)+1,FALSE)</f>
        <v>復刻コラボクエスト</v>
      </c>
      <c r="H23" s="77">
        <v>0</v>
      </c>
      <c r="I23" s="83">
        <f t="shared" si="0"/>
        <v>22</v>
      </c>
      <c r="J23" s="78" t="str">
        <f t="shared" si="3"/>
        <v>3900822</v>
      </c>
      <c r="K23" s="76" t="s">
        <v>194</v>
      </c>
      <c r="L23" s="79" t="s">
        <v>297</v>
      </c>
      <c r="M23" s="153" t="s">
        <v>299</v>
      </c>
      <c r="N23" s="51" t="s">
        <v>196</v>
      </c>
    </row>
    <row r="24" spans="1:14" ht="42" x14ac:dyDescent="0.15">
      <c r="A24" s="73" t="s">
        <v>293</v>
      </c>
      <c r="B24" s="74">
        <v>39008</v>
      </c>
      <c r="C24" s="75" t="str">
        <f ca="1">VLOOKUP($B24,OFFSET([2]quests!$A$1,0,0,COUNTA([2]quests!$A:$A),MATCH(C$1,[2]quests!$1:$1,0)-MATCH($B$1,[2]quests!$1:$1,0)+1),MATCH(C$1,[2]quests!$1:$1,0)-MATCH($B$1,[2]quests!$1:$1,0)+1,FALSE)</f>
        <v>雪の歌姫</v>
      </c>
      <c r="D24" s="75" t="str">
        <f ca="1">VLOOKUP($B24,OFFSET([2]quests!$A$1,0,0,COUNTA([2]quests!$A:$A),MATCH(D$1,[2]quests!$1:$1,0)-MATCH($B$1,[2]quests!$1:$1,0)+1),MATCH(D$1,[2]quests!$1:$1,0)-MATCH($B$1,[2]quests!$1:$1,0)+1,FALSE)</f>
        <v>復刻コラボクエスト</v>
      </c>
      <c r="E24" s="76">
        <v>2</v>
      </c>
      <c r="F24" s="75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【中級】雪の歌姫</v>
      </c>
      <c r="G24" s="75" t="str">
        <f ca="1">VLOOKUP($B24&amp;"_"&amp;$E24,OFFSET([2]stages!$A$1,0,0,COUNTA([2]stages!$A:$A),MATCH(G$1,[2]stages!$2:$2,0)-MATCH("temp_stage",[2]stages!$2:$2,0)+1),MATCH(G$1,[2]stages!$2:$2,0)-MATCH("temp_stage",[2]stages!$2:$2,0)+1,FALSE)</f>
        <v>復刻コラボクエスト</v>
      </c>
      <c r="H24" s="77">
        <v>0</v>
      </c>
      <c r="I24" s="83">
        <f t="shared" si="0"/>
        <v>23</v>
      </c>
      <c r="J24" s="78" t="str">
        <f t="shared" si="3"/>
        <v>3900823</v>
      </c>
      <c r="K24" s="76" t="s">
        <v>194</v>
      </c>
      <c r="L24" s="79" t="s">
        <v>295</v>
      </c>
      <c r="M24" s="153" t="s">
        <v>300</v>
      </c>
      <c r="N24" s="51" t="s">
        <v>196</v>
      </c>
    </row>
    <row r="25" spans="1:14" ht="42" x14ac:dyDescent="0.15">
      <c r="A25" s="73" t="s">
        <v>293</v>
      </c>
      <c r="B25" s="74">
        <v>39008</v>
      </c>
      <c r="C25" s="75" t="str">
        <f ca="1">VLOOKUP($B25,OFFSET([2]quests!$A$1,0,0,COUNTA([2]quests!$A:$A),MATCH(C$1,[2]quests!$1:$1,0)-MATCH($B$1,[2]quests!$1:$1,0)+1),MATCH(C$1,[2]quests!$1:$1,0)-MATCH($B$1,[2]quests!$1:$1,0)+1,FALSE)</f>
        <v>雪の歌姫</v>
      </c>
      <c r="D25" s="75" t="str">
        <f ca="1">VLOOKUP($B25,OFFSET([2]quests!$A$1,0,0,COUNTA([2]quests!$A:$A),MATCH(D$1,[2]quests!$1:$1,0)-MATCH($B$1,[2]quests!$1:$1,0)+1),MATCH(D$1,[2]quests!$1:$1,0)-MATCH($B$1,[2]quests!$1:$1,0)+1,FALSE)</f>
        <v>復刻コラボクエスト</v>
      </c>
      <c r="E25" s="76">
        <v>3</v>
      </c>
      <c r="F25" s="75" t="str">
        <f ca="1">VLOOKUP($B25&amp;"_"&amp;$E25,OFFSET([2]stages!$A$1,0,0,COUNTA([2]stages!$A:$A),MATCH(F$1,[2]stages!$2:$2,0)-MATCH("temp_stage",[2]stages!$2:$2,0)+1),MATCH(F$1,[2]stages!$2:$2,0)-MATCH("temp_stage",[2]stages!$2:$2,0)+1,FALSE)</f>
        <v>【上級】雪の歌姫</v>
      </c>
      <c r="G25" s="75" t="str">
        <f ca="1">VLOOKUP($B25&amp;"_"&amp;$E25,OFFSET([2]stages!$A$1,0,0,COUNTA([2]stages!$A:$A),MATCH(G$1,[2]stages!$2:$2,0)-MATCH("temp_stage",[2]stages!$2:$2,0)+1),MATCH(G$1,[2]stages!$2:$2,0)-MATCH("temp_stage",[2]stages!$2:$2,0)+1,FALSE)</f>
        <v>復刻コラボクエスト</v>
      </c>
      <c r="H25" s="77">
        <v>0</v>
      </c>
      <c r="I25" s="83">
        <f t="shared" si="0"/>
        <v>24</v>
      </c>
      <c r="J25" s="78" t="str">
        <f t="shared" si="3"/>
        <v>3900824</v>
      </c>
      <c r="K25" s="76" t="s">
        <v>194</v>
      </c>
      <c r="L25" s="79" t="s">
        <v>296</v>
      </c>
      <c r="M25" s="153" t="s">
        <v>298</v>
      </c>
      <c r="N25" s="51" t="s">
        <v>196</v>
      </c>
    </row>
    <row r="26" spans="1:14" ht="56" x14ac:dyDescent="0.15">
      <c r="A26" s="73" t="s">
        <v>293</v>
      </c>
      <c r="B26" s="74">
        <v>39008</v>
      </c>
      <c r="C26" s="75" t="str">
        <f ca="1">VLOOKUP($B26,OFFSET([2]quests!$A$1,0,0,COUNTA([2]quests!$A:$A),MATCH(C$1,[2]quests!$1:$1,0)-MATCH($B$1,[2]quests!$1:$1,0)+1),MATCH(C$1,[2]quests!$1:$1,0)-MATCH($B$1,[2]quests!$1:$1,0)+1,FALSE)</f>
        <v>雪の歌姫</v>
      </c>
      <c r="D26" s="75" t="str">
        <f ca="1">VLOOKUP($B26,OFFSET([2]quests!$A$1,0,0,COUNTA([2]quests!$A:$A),MATCH(D$1,[2]quests!$1:$1,0)-MATCH($B$1,[2]quests!$1:$1,0)+1),MATCH(D$1,[2]quests!$1:$1,0)-MATCH($B$1,[2]quests!$1:$1,0)+1,FALSE)</f>
        <v>復刻コラボクエスト</v>
      </c>
      <c r="E26" s="76">
        <v>3</v>
      </c>
      <c r="F26" s="75" t="str">
        <f ca="1">VLOOKUP($B26&amp;"_"&amp;$E26,OFFSET([2]stages!$A$1,0,0,COUNTA([2]stages!$A:$A),MATCH(F$1,[2]stages!$2:$2,0)-MATCH("temp_stage",[2]stages!$2:$2,0)+1),MATCH(F$1,[2]stages!$2:$2,0)-MATCH("temp_stage",[2]stages!$2:$2,0)+1,FALSE)</f>
        <v>【上級】雪の歌姫</v>
      </c>
      <c r="G26" s="75" t="str">
        <f ca="1">VLOOKUP($B26&amp;"_"&amp;$E26,OFFSET([2]stages!$A$1,0,0,COUNTA([2]stages!$A:$A),MATCH(G$1,[2]stages!$2:$2,0)-MATCH("temp_stage",[2]stages!$2:$2,0)+1),MATCH(G$1,[2]stages!$2:$2,0)-MATCH("temp_stage",[2]stages!$2:$2,0)+1,FALSE)</f>
        <v>復刻コラボクエスト</v>
      </c>
      <c r="H26" s="77">
        <v>0</v>
      </c>
      <c r="I26" s="83">
        <f t="shared" si="0"/>
        <v>25</v>
      </c>
      <c r="J26" s="78" t="str">
        <f t="shared" si="3"/>
        <v>3900825</v>
      </c>
      <c r="K26" s="76" t="s">
        <v>194</v>
      </c>
      <c r="L26" s="79" t="s">
        <v>297</v>
      </c>
      <c r="M26" s="153" t="s">
        <v>299</v>
      </c>
      <c r="N26" s="51" t="s">
        <v>196</v>
      </c>
    </row>
    <row r="27" spans="1:14" ht="42" x14ac:dyDescent="0.15">
      <c r="A27" s="73" t="s">
        <v>293</v>
      </c>
      <c r="B27" s="74">
        <v>39008</v>
      </c>
      <c r="C27" s="75" t="str">
        <f ca="1">VLOOKUP($B27,OFFSET([2]quests!$A$1,0,0,COUNTA([2]quests!$A:$A),MATCH(C$1,[2]quests!$1:$1,0)-MATCH($B$1,[2]quests!$1:$1,0)+1),MATCH(C$1,[2]quests!$1:$1,0)-MATCH($B$1,[2]quests!$1:$1,0)+1,FALSE)</f>
        <v>雪の歌姫</v>
      </c>
      <c r="D27" s="75" t="str">
        <f ca="1">VLOOKUP($B27,OFFSET([2]quests!$A$1,0,0,COUNTA([2]quests!$A:$A),MATCH(D$1,[2]quests!$1:$1,0)-MATCH($B$1,[2]quests!$1:$1,0)+1),MATCH(D$1,[2]quests!$1:$1,0)-MATCH($B$1,[2]quests!$1:$1,0)+1,FALSE)</f>
        <v>復刻コラボクエスト</v>
      </c>
      <c r="E27" s="76">
        <v>3</v>
      </c>
      <c r="F27" s="75" t="str">
        <f ca="1">VLOOKUP($B27&amp;"_"&amp;$E27,OFFSET([2]stages!$A$1,0,0,COUNTA([2]stages!$A:$A),MATCH(F$1,[2]stages!$2:$2,0)-MATCH("temp_stage",[2]stages!$2:$2,0)+1),MATCH(F$1,[2]stages!$2:$2,0)-MATCH("temp_stage",[2]stages!$2:$2,0)+1,FALSE)</f>
        <v>【上級】雪の歌姫</v>
      </c>
      <c r="G27" s="75" t="str">
        <f ca="1">VLOOKUP($B27&amp;"_"&amp;$E27,OFFSET([2]stages!$A$1,0,0,COUNTA([2]stages!$A:$A),MATCH(G$1,[2]stages!$2:$2,0)-MATCH("temp_stage",[2]stages!$2:$2,0)+1),MATCH(G$1,[2]stages!$2:$2,0)-MATCH("temp_stage",[2]stages!$2:$2,0)+1,FALSE)</f>
        <v>復刻コラボクエスト</v>
      </c>
      <c r="H27" s="77">
        <v>0</v>
      </c>
      <c r="I27" s="83">
        <f t="shared" si="0"/>
        <v>26</v>
      </c>
      <c r="J27" s="78" t="str">
        <f t="shared" si="3"/>
        <v>3900826</v>
      </c>
      <c r="K27" s="76" t="s">
        <v>194</v>
      </c>
      <c r="L27" s="79" t="s">
        <v>295</v>
      </c>
      <c r="M27" s="153" t="s">
        <v>300</v>
      </c>
      <c r="N27" s="51" t="s">
        <v>196</v>
      </c>
    </row>
    <row r="28" spans="1:14" ht="42" x14ac:dyDescent="0.15">
      <c r="A28" s="73" t="s">
        <v>293</v>
      </c>
      <c r="B28" s="74">
        <v>39008</v>
      </c>
      <c r="C28" s="75" t="str">
        <f ca="1">VLOOKUP($B28,OFFSET([2]quests!$A$1,0,0,COUNTA([2]quests!$A:$A),MATCH(C$1,[2]quests!$1:$1,0)-MATCH($B$1,[2]quests!$1:$1,0)+1),MATCH(C$1,[2]quests!$1:$1,0)-MATCH($B$1,[2]quests!$1:$1,0)+1,FALSE)</f>
        <v>雪の歌姫</v>
      </c>
      <c r="D28" s="75" t="str">
        <f ca="1">VLOOKUP($B28,OFFSET([2]quests!$A$1,0,0,COUNTA([2]quests!$A:$A),MATCH(D$1,[2]quests!$1:$1,0)-MATCH($B$1,[2]quests!$1:$1,0)+1),MATCH(D$1,[2]quests!$1:$1,0)-MATCH($B$1,[2]quests!$1:$1,0)+1,FALSE)</f>
        <v>復刻コラボクエスト</v>
      </c>
      <c r="E28" s="76">
        <v>4</v>
      </c>
      <c r="F28" s="75" t="str">
        <f ca="1">VLOOKUP($B28&amp;"_"&amp;$E28,OFFSET([2]stages!$A$1,0,0,COUNTA([2]stages!$A:$A),MATCH(F$1,[2]stages!$2:$2,0)-MATCH("temp_stage",[2]stages!$2:$2,0)+1),MATCH(F$1,[2]stages!$2:$2,0)-MATCH("temp_stage",[2]stages!$2:$2,0)+1,FALSE)</f>
        <v>【超級】雪の歌姫</v>
      </c>
      <c r="G28" s="75" t="str">
        <f ca="1">VLOOKUP($B28&amp;"_"&amp;$E28,OFFSET([2]stages!$A$1,0,0,COUNTA([2]stages!$A:$A),MATCH(G$1,[2]stages!$2:$2,0)-MATCH("temp_stage",[2]stages!$2:$2,0)+1),MATCH(G$1,[2]stages!$2:$2,0)-MATCH("temp_stage",[2]stages!$2:$2,0)+1,FALSE)</f>
        <v>復刻コラボクエスト</v>
      </c>
      <c r="H28" s="77">
        <v>0</v>
      </c>
      <c r="I28" s="83">
        <f t="shared" si="0"/>
        <v>27</v>
      </c>
      <c r="J28" s="78" t="str">
        <f t="shared" ref="J28:J30" si="4">B28&amp;TEXT(I28,"00")</f>
        <v>3900827</v>
      </c>
      <c r="K28" s="76" t="s">
        <v>194</v>
      </c>
      <c r="L28" s="79" t="s">
        <v>296</v>
      </c>
      <c r="M28" s="153" t="s">
        <v>298</v>
      </c>
      <c r="N28" s="51" t="s">
        <v>196</v>
      </c>
    </row>
    <row r="29" spans="1:14" ht="56" x14ac:dyDescent="0.15">
      <c r="A29" s="73" t="s">
        <v>293</v>
      </c>
      <c r="B29" s="74">
        <v>39008</v>
      </c>
      <c r="C29" s="75" t="str">
        <f ca="1">VLOOKUP($B29,OFFSET([2]quests!$A$1,0,0,COUNTA([2]quests!$A:$A),MATCH(C$1,[2]quests!$1:$1,0)-MATCH($B$1,[2]quests!$1:$1,0)+1),MATCH(C$1,[2]quests!$1:$1,0)-MATCH($B$1,[2]quests!$1:$1,0)+1,FALSE)</f>
        <v>雪の歌姫</v>
      </c>
      <c r="D29" s="75" t="str">
        <f ca="1">VLOOKUP($B29,OFFSET([2]quests!$A$1,0,0,COUNTA([2]quests!$A:$A),MATCH(D$1,[2]quests!$1:$1,0)-MATCH($B$1,[2]quests!$1:$1,0)+1),MATCH(D$1,[2]quests!$1:$1,0)-MATCH($B$1,[2]quests!$1:$1,0)+1,FALSE)</f>
        <v>復刻コラボクエスト</v>
      </c>
      <c r="E29" s="76">
        <v>4</v>
      </c>
      <c r="F29" s="75" t="str">
        <f ca="1">VLOOKUP($B29&amp;"_"&amp;$E29,OFFSET([2]stages!$A$1,0,0,COUNTA([2]stages!$A:$A),MATCH(F$1,[2]stages!$2:$2,0)-MATCH("temp_stage",[2]stages!$2:$2,0)+1),MATCH(F$1,[2]stages!$2:$2,0)-MATCH("temp_stage",[2]stages!$2:$2,0)+1,FALSE)</f>
        <v>【超級】雪の歌姫</v>
      </c>
      <c r="G29" s="75" t="str">
        <f ca="1">VLOOKUP($B29&amp;"_"&amp;$E29,OFFSET([2]stages!$A$1,0,0,COUNTA([2]stages!$A:$A),MATCH(G$1,[2]stages!$2:$2,0)-MATCH("temp_stage",[2]stages!$2:$2,0)+1),MATCH(G$1,[2]stages!$2:$2,0)-MATCH("temp_stage",[2]stages!$2:$2,0)+1,FALSE)</f>
        <v>復刻コラボクエスト</v>
      </c>
      <c r="H29" s="77">
        <v>0</v>
      </c>
      <c r="I29" s="83">
        <f t="shared" si="0"/>
        <v>28</v>
      </c>
      <c r="J29" s="78" t="str">
        <f t="shared" si="4"/>
        <v>3900828</v>
      </c>
      <c r="K29" s="76" t="s">
        <v>194</v>
      </c>
      <c r="L29" s="79" t="s">
        <v>297</v>
      </c>
      <c r="M29" s="153" t="s">
        <v>299</v>
      </c>
      <c r="N29" s="51" t="s">
        <v>196</v>
      </c>
    </row>
    <row r="30" spans="1:14" ht="42" x14ac:dyDescent="0.15">
      <c r="A30" s="73" t="s">
        <v>293</v>
      </c>
      <c r="B30" s="74">
        <v>39008</v>
      </c>
      <c r="C30" s="75" t="str">
        <f ca="1">VLOOKUP($B30,OFFSET([2]quests!$A$1,0,0,COUNTA([2]quests!$A:$A),MATCH(C$1,[2]quests!$1:$1,0)-MATCH($B$1,[2]quests!$1:$1,0)+1),MATCH(C$1,[2]quests!$1:$1,0)-MATCH($B$1,[2]quests!$1:$1,0)+1,FALSE)</f>
        <v>雪の歌姫</v>
      </c>
      <c r="D30" s="75" t="str">
        <f ca="1">VLOOKUP($B30,OFFSET([2]quests!$A$1,0,0,COUNTA([2]quests!$A:$A),MATCH(D$1,[2]quests!$1:$1,0)-MATCH($B$1,[2]quests!$1:$1,0)+1),MATCH(D$1,[2]quests!$1:$1,0)-MATCH($B$1,[2]quests!$1:$1,0)+1,FALSE)</f>
        <v>復刻コラボクエスト</v>
      </c>
      <c r="E30" s="76">
        <v>4</v>
      </c>
      <c r="F30" s="75" t="str">
        <f ca="1">VLOOKUP($B30&amp;"_"&amp;$E30,OFFSET([2]stages!$A$1,0,0,COUNTA([2]stages!$A:$A),MATCH(F$1,[2]stages!$2:$2,0)-MATCH("temp_stage",[2]stages!$2:$2,0)+1),MATCH(F$1,[2]stages!$2:$2,0)-MATCH("temp_stage",[2]stages!$2:$2,0)+1,FALSE)</f>
        <v>【超級】雪の歌姫</v>
      </c>
      <c r="G30" s="75" t="str">
        <f ca="1">VLOOKUP($B30&amp;"_"&amp;$E30,OFFSET([2]stages!$A$1,0,0,COUNTA([2]stages!$A:$A),MATCH(G$1,[2]stages!$2:$2,0)-MATCH("temp_stage",[2]stages!$2:$2,0)+1),MATCH(G$1,[2]stages!$2:$2,0)-MATCH("temp_stage",[2]stages!$2:$2,0)+1,FALSE)</f>
        <v>復刻コラボクエスト</v>
      </c>
      <c r="H30" s="77">
        <v>0</v>
      </c>
      <c r="I30" s="83">
        <f t="shared" si="0"/>
        <v>29</v>
      </c>
      <c r="J30" s="78" t="str">
        <f t="shared" si="4"/>
        <v>3900829</v>
      </c>
      <c r="K30" s="76" t="s">
        <v>194</v>
      </c>
      <c r="L30" s="79" t="s">
        <v>295</v>
      </c>
      <c r="M30" s="153" t="s">
        <v>300</v>
      </c>
      <c r="N30" s="51" t="s">
        <v>196</v>
      </c>
    </row>
    <row r="31" spans="1:14" ht="42" x14ac:dyDescent="0.15">
      <c r="A31" s="73" t="s">
        <v>293</v>
      </c>
      <c r="B31" s="74">
        <v>39008</v>
      </c>
      <c r="C31" s="75" t="str">
        <f ca="1">VLOOKUP($B31,OFFSET([2]quests!$A$1,0,0,COUNTA([2]quests!$A:$A),MATCH(C$1,[2]quests!$1:$1,0)-MATCH($B$1,[2]quests!$1:$1,0)+1),MATCH(C$1,[2]quests!$1:$1,0)-MATCH($B$1,[2]quests!$1:$1,0)+1,FALSE)</f>
        <v>雪の歌姫</v>
      </c>
      <c r="D31" s="75" t="str">
        <f ca="1">VLOOKUP($B31,OFFSET([2]quests!$A$1,0,0,COUNTA([2]quests!$A:$A),MATCH(D$1,[2]quests!$1:$1,0)-MATCH($B$1,[2]quests!$1:$1,0)+1),MATCH(D$1,[2]quests!$1:$1,0)-MATCH($B$1,[2]quests!$1:$1,0)+1,FALSE)</f>
        <v>復刻コラボクエスト</v>
      </c>
      <c r="E31" s="76">
        <v>5</v>
      </c>
      <c r="F31" s="75" t="str">
        <f ca="1">VLOOKUP($B31&amp;"_"&amp;$E31,OFFSET([2]stages!$A$1,0,0,COUNTA([2]stages!$A:$A),MATCH(F$1,[2]stages!$2:$2,0)-MATCH("temp_stage",[2]stages!$2:$2,0)+1),MATCH(F$1,[2]stages!$2:$2,0)-MATCH("temp_stage",[2]stages!$2:$2,0)+1,FALSE)</f>
        <v>【超絶級】雪の歌姫</v>
      </c>
      <c r="G31" s="75" t="str">
        <f ca="1">VLOOKUP($B31&amp;"_"&amp;$E31,OFFSET([2]stages!$A$1,0,0,COUNTA([2]stages!$A:$A),MATCH(G$1,[2]stages!$2:$2,0)-MATCH("temp_stage",[2]stages!$2:$2,0)+1),MATCH(G$1,[2]stages!$2:$2,0)-MATCH("temp_stage",[2]stages!$2:$2,0)+1,FALSE)</f>
        <v>復刻コラボクエスト</v>
      </c>
      <c r="H31" s="77">
        <v>0</v>
      </c>
      <c r="I31" s="83">
        <f t="shared" si="0"/>
        <v>30</v>
      </c>
      <c r="J31" s="78" t="str">
        <f t="shared" ref="J31:J33" si="5">B31&amp;TEXT(I31,"00")</f>
        <v>3900830</v>
      </c>
      <c r="K31" s="76" t="s">
        <v>194</v>
      </c>
      <c r="L31" s="79" t="s">
        <v>296</v>
      </c>
      <c r="M31" s="153" t="s">
        <v>298</v>
      </c>
      <c r="N31" s="51" t="s">
        <v>196</v>
      </c>
    </row>
    <row r="32" spans="1:14" ht="56" x14ac:dyDescent="0.15">
      <c r="A32" s="73" t="s">
        <v>293</v>
      </c>
      <c r="B32" s="74">
        <v>39008</v>
      </c>
      <c r="C32" s="75" t="str">
        <f ca="1">VLOOKUP($B32,OFFSET([2]quests!$A$1,0,0,COUNTA([2]quests!$A:$A),MATCH(C$1,[2]quests!$1:$1,0)-MATCH($B$1,[2]quests!$1:$1,0)+1),MATCH(C$1,[2]quests!$1:$1,0)-MATCH($B$1,[2]quests!$1:$1,0)+1,FALSE)</f>
        <v>雪の歌姫</v>
      </c>
      <c r="D32" s="75" t="str">
        <f ca="1">VLOOKUP($B32,OFFSET([2]quests!$A$1,0,0,COUNTA([2]quests!$A:$A),MATCH(D$1,[2]quests!$1:$1,0)-MATCH($B$1,[2]quests!$1:$1,0)+1),MATCH(D$1,[2]quests!$1:$1,0)-MATCH($B$1,[2]quests!$1:$1,0)+1,FALSE)</f>
        <v>復刻コラボクエスト</v>
      </c>
      <c r="E32" s="76">
        <v>5</v>
      </c>
      <c r="F32" s="75" t="str">
        <f ca="1">VLOOKUP($B32&amp;"_"&amp;$E32,OFFSET([2]stages!$A$1,0,0,COUNTA([2]stages!$A:$A),MATCH(F$1,[2]stages!$2:$2,0)-MATCH("temp_stage",[2]stages!$2:$2,0)+1),MATCH(F$1,[2]stages!$2:$2,0)-MATCH("temp_stage",[2]stages!$2:$2,0)+1,FALSE)</f>
        <v>【超絶級】雪の歌姫</v>
      </c>
      <c r="G32" s="75" t="str">
        <f ca="1">VLOOKUP($B32&amp;"_"&amp;$E32,OFFSET([2]stages!$A$1,0,0,COUNTA([2]stages!$A:$A),MATCH(G$1,[2]stages!$2:$2,0)-MATCH("temp_stage",[2]stages!$2:$2,0)+1),MATCH(G$1,[2]stages!$2:$2,0)-MATCH("temp_stage",[2]stages!$2:$2,0)+1,FALSE)</f>
        <v>復刻コラボクエスト</v>
      </c>
      <c r="H32" s="77">
        <v>0</v>
      </c>
      <c r="I32" s="83">
        <f t="shared" si="0"/>
        <v>31</v>
      </c>
      <c r="J32" s="78" t="str">
        <f t="shared" si="5"/>
        <v>3900831</v>
      </c>
      <c r="K32" s="76" t="s">
        <v>194</v>
      </c>
      <c r="L32" s="79" t="s">
        <v>297</v>
      </c>
      <c r="M32" s="153" t="s">
        <v>299</v>
      </c>
      <c r="N32" s="51" t="s">
        <v>196</v>
      </c>
    </row>
    <row r="33" spans="1:14" ht="42" x14ac:dyDescent="0.15">
      <c r="A33" s="73" t="s">
        <v>293</v>
      </c>
      <c r="B33" s="74">
        <v>39008</v>
      </c>
      <c r="C33" s="75" t="str">
        <f ca="1">VLOOKUP($B33,OFFSET([2]quests!$A$1,0,0,COUNTA([2]quests!$A:$A),MATCH(C$1,[2]quests!$1:$1,0)-MATCH($B$1,[2]quests!$1:$1,0)+1),MATCH(C$1,[2]quests!$1:$1,0)-MATCH($B$1,[2]quests!$1:$1,0)+1,FALSE)</f>
        <v>雪の歌姫</v>
      </c>
      <c r="D33" s="75" t="str">
        <f ca="1">VLOOKUP($B33,OFFSET([2]quests!$A$1,0,0,COUNTA([2]quests!$A:$A),MATCH(D$1,[2]quests!$1:$1,0)-MATCH($B$1,[2]quests!$1:$1,0)+1),MATCH(D$1,[2]quests!$1:$1,0)-MATCH($B$1,[2]quests!$1:$1,0)+1,FALSE)</f>
        <v>復刻コラボクエスト</v>
      </c>
      <c r="E33" s="76">
        <v>5</v>
      </c>
      <c r="F33" s="75" t="str">
        <f ca="1">VLOOKUP($B33&amp;"_"&amp;$E33,OFFSET([2]stages!$A$1,0,0,COUNTA([2]stages!$A:$A),MATCH(F$1,[2]stages!$2:$2,0)-MATCH("temp_stage",[2]stages!$2:$2,0)+1),MATCH(F$1,[2]stages!$2:$2,0)-MATCH("temp_stage",[2]stages!$2:$2,0)+1,FALSE)</f>
        <v>【超絶級】雪の歌姫</v>
      </c>
      <c r="G33" s="75" t="str">
        <f ca="1">VLOOKUP($B33&amp;"_"&amp;$E33,OFFSET([2]stages!$A$1,0,0,COUNTA([2]stages!$A:$A),MATCH(G$1,[2]stages!$2:$2,0)-MATCH("temp_stage",[2]stages!$2:$2,0)+1),MATCH(G$1,[2]stages!$2:$2,0)-MATCH("temp_stage",[2]stages!$2:$2,0)+1,FALSE)</f>
        <v>復刻コラボクエスト</v>
      </c>
      <c r="H33" s="77">
        <v>0</v>
      </c>
      <c r="I33" s="83">
        <f t="shared" si="0"/>
        <v>32</v>
      </c>
      <c r="J33" s="78" t="str">
        <f t="shared" si="5"/>
        <v>3900832</v>
      </c>
      <c r="K33" s="76" t="s">
        <v>194</v>
      </c>
      <c r="L33" s="79" t="s">
        <v>295</v>
      </c>
      <c r="M33" s="153" t="s">
        <v>300</v>
      </c>
      <c r="N33" s="51" t="s">
        <v>196</v>
      </c>
    </row>
  </sheetData>
  <phoneticPr fontId="5"/>
  <dataValidations count="1">
    <dataValidation type="list" allowBlank="1" showInputMessage="1" showErrorMessage="1" sqref="A2:A3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87" t="s">
        <v>208</v>
      </c>
      <c r="B1" s="88" t="s">
        <v>209</v>
      </c>
      <c r="C1" s="69" t="s">
        <v>210</v>
      </c>
      <c r="D1" s="69" t="s">
        <v>32</v>
      </c>
      <c r="E1" s="88" t="s">
        <v>211</v>
      </c>
      <c r="F1" s="69" t="s">
        <v>212</v>
      </c>
      <c r="G1" s="69" t="s">
        <v>32</v>
      </c>
      <c r="H1" s="88" t="s">
        <v>213</v>
      </c>
      <c r="I1" s="88" t="s">
        <v>214</v>
      </c>
      <c r="J1" s="88" t="s">
        <v>215</v>
      </c>
      <c r="K1" s="65" t="s">
        <v>216</v>
      </c>
      <c r="L1" s="65" t="s">
        <v>217</v>
      </c>
      <c r="M1" s="65" t="s">
        <v>153</v>
      </c>
      <c r="N1" s="69" t="s">
        <v>15</v>
      </c>
      <c r="O1" s="65" t="s">
        <v>218</v>
      </c>
      <c r="P1" s="65" t="s">
        <v>56</v>
      </c>
      <c r="Q1" s="65" t="s">
        <v>219</v>
      </c>
      <c r="R1" s="65" t="s">
        <v>37</v>
      </c>
      <c r="S1" s="65" t="s">
        <v>39</v>
      </c>
      <c r="T1" s="65" t="s">
        <v>41</v>
      </c>
      <c r="U1" s="65" t="s">
        <v>43</v>
      </c>
      <c r="V1" s="65" t="s">
        <v>45</v>
      </c>
      <c r="W1" s="65" t="s">
        <v>220</v>
      </c>
      <c r="X1" s="65" t="s">
        <v>221</v>
      </c>
    </row>
    <row r="2" spans="1:24" x14ac:dyDescent="0.15">
      <c r="A2" s="198" t="str">
        <f>B2&amp;"_"&amp;E2&amp;"_"&amp;H2&amp;"_"&amp;I2&amp;"_"&amp;J2</f>
        <v>39008_5_everyone_clear_1</v>
      </c>
      <c r="B2" s="74">
        <v>39008</v>
      </c>
      <c r="C2" s="75" t="str">
        <f ca="1">VLOOKUP($B2,OFFSET([2]quests!$A$1,0,0,COUNTA([2]quests!$A:$A),MATCH(C$1,[2]quests!$1:$1,0)-MATCH($B$1,[2]quests!$1:$1,0)+1),MATCH(C$1,[2]quests!$1:$1,0)-MATCH($B$1,[2]quests!$1:$1,0)+1,FALSE)</f>
        <v>雪の歌姫</v>
      </c>
      <c r="D2" s="75" t="str">
        <f ca="1">VLOOKUP($B2,OFFSET([2]quests!$A$1,0,0,COUNTA([2]quests!$A:$A),MATCH(D$1,[2]quests!$1:$1,0)-MATCH($B$1,[2]quests!$1:$1,0)+1),MATCH(D$1,[2]quests!$1:$1,0)-MATCH($B$1,[2]quests!$1:$1,0)+1,FALSE)</f>
        <v>復刻コラボクエスト</v>
      </c>
      <c r="E2" s="76">
        <v>5</v>
      </c>
      <c r="F2" s="75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【超絶級】雪の歌姫</v>
      </c>
      <c r="G2" s="75" t="str">
        <f ca="1">VLOOKUP($B2&amp;"_"&amp;$E2,OFFSET([2]stages!$A$1,0,0,COUNTA([2]stages!$A:$A),MATCH(G$1,[2]stages!$2:$2,0)-MATCH("temp_stage",[2]stages!$2:$2,0)+1),MATCH(G$1,[2]stages!$2:$2,0)-MATCH("temp_stage",[2]stages!$2:$2,0)+1,FALSE)</f>
        <v>復刻コラボクエスト</v>
      </c>
      <c r="H2" s="77" t="s">
        <v>320</v>
      </c>
      <c r="I2" s="76" t="s">
        <v>321</v>
      </c>
      <c r="J2" s="76">
        <v>1</v>
      </c>
      <c r="K2" s="76">
        <v>100</v>
      </c>
      <c r="L2" s="76" t="s">
        <v>322</v>
      </c>
      <c r="M2" s="76">
        <v>526</v>
      </c>
      <c r="N2" s="201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大滑走 雪ミク&amp;ラビットユキネ</v>
      </c>
      <c r="O2" s="76">
        <v>1</v>
      </c>
      <c r="P2" s="76">
        <v>1</v>
      </c>
      <c r="Q2" s="76">
        <v>1</v>
      </c>
      <c r="R2" s="76">
        <v>0</v>
      </c>
      <c r="S2" s="76">
        <v>0</v>
      </c>
      <c r="T2" s="76">
        <v>0</v>
      </c>
      <c r="U2" s="76">
        <v>0</v>
      </c>
      <c r="V2" s="76">
        <v>1</v>
      </c>
      <c r="W2" s="199" t="s">
        <v>323</v>
      </c>
      <c r="X2" s="200" t="s">
        <v>324</v>
      </c>
    </row>
    <row r="3" spans="1:24" x14ac:dyDescent="0.15">
      <c r="A3" s="198" t="str">
        <f>B3&amp;"_"&amp;E3&amp;"_"&amp;H3&amp;"_"&amp;I3&amp;"_"&amp;J3</f>
        <v>39008_5_everyone_full_member_2</v>
      </c>
      <c r="B3" s="74">
        <v>39008</v>
      </c>
      <c r="C3" s="75" t="str">
        <f ca="1">VLOOKUP($B3,OFFSET([2]quests!$A$1,0,0,COUNTA([2]quests!$A:$A),MATCH(C$1,[2]quests!$1:$1,0)-MATCH($B$1,[2]quests!$1:$1,0)+1),MATCH(C$1,[2]quests!$1:$1,0)-MATCH($B$1,[2]quests!$1:$1,0)+1,FALSE)</f>
        <v>雪の歌姫</v>
      </c>
      <c r="D3" s="75" t="str">
        <f ca="1">VLOOKUP($B3,OFFSET([2]quests!$A$1,0,0,COUNTA([2]quests!$A:$A),MATCH(D$1,[2]quests!$1:$1,0)-MATCH($B$1,[2]quests!$1:$1,0)+1),MATCH(D$1,[2]quests!$1:$1,0)-MATCH($B$1,[2]quests!$1:$1,0)+1,FALSE)</f>
        <v>復刻コラボクエスト</v>
      </c>
      <c r="E3" s="76">
        <v>5</v>
      </c>
      <c r="F3" s="75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【超絶級】雪の歌姫</v>
      </c>
      <c r="G3" s="75" t="str">
        <f ca="1">VLOOKUP($B3&amp;"_"&amp;$E3,OFFSET([2]stages!$A$1,0,0,COUNTA([2]stages!$A:$A),MATCH(G$1,[2]stages!$2:$2,0)-MATCH("temp_stage",[2]stages!$2:$2,0)+1),MATCH(G$1,[2]stages!$2:$2,0)-MATCH("temp_stage",[2]stages!$2:$2,0)+1,FALSE)</f>
        <v>復刻コラボクエスト</v>
      </c>
      <c r="H3" s="77" t="s">
        <v>325</v>
      </c>
      <c r="I3" s="76" t="s">
        <v>329</v>
      </c>
      <c r="J3" s="76">
        <v>2</v>
      </c>
      <c r="K3" s="76">
        <v>100</v>
      </c>
      <c r="L3" s="76" t="s">
        <v>326</v>
      </c>
      <c r="M3" s="76">
        <v>526</v>
      </c>
      <c r="N3" s="201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大滑走 雪ミク&amp;ラビットユキネ</v>
      </c>
      <c r="O3" s="76">
        <v>1</v>
      </c>
      <c r="P3" s="76">
        <v>1</v>
      </c>
      <c r="Q3" s="76">
        <v>1</v>
      </c>
      <c r="R3" s="76">
        <v>0</v>
      </c>
      <c r="S3" s="76">
        <v>0</v>
      </c>
      <c r="T3" s="76">
        <v>0</v>
      </c>
      <c r="U3" s="76">
        <v>0</v>
      </c>
      <c r="V3" s="76">
        <v>1</v>
      </c>
      <c r="W3" s="199" t="s">
        <v>327</v>
      </c>
      <c r="X3" s="200" t="s">
        <v>328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enemy_skill_sets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2017-01-24T08:31:29Z</dcterms:modified>
</cp:coreProperties>
</file>