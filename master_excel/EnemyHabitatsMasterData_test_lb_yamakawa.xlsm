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200" yWindow="460" windowWidth="25480" windowHeight="194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10" l="1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J58" i="11"/>
  <c r="O59" i="9"/>
  <c r="N59" i="9"/>
  <c r="M59" i="9"/>
  <c r="L59" i="9"/>
  <c r="K59" i="9"/>
  <c r="J59" i="9"/>
  <c r="I59" i="9"/>
  <c r="H59" i="9"/>
  <c r="G59" i="9"/>
  <c r="E59" i="9"/>
  <c r="D59" i="9"/>
  <c r="A59" i="9"/>
  <c r="I37" i="9"/>
  <c r="AF13" i="1"/>
  <c r="AI13" i="1"/>
  <c r="J36" i="11"/>
  <c r="J35" i="11"/>
  <c r="O37" i="9"/>
  <c r="N37" i="9"/>
  <c r="M37" i="9"/>
  <c r="L37" i="9"/>
  <c r="K37" i="9"/>
  <c r="J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2" i="1"/>
  <c r="I12" i="1"/>
  <c r="D12" i="1"/>
  <c r="F12" i="1"/>
  <c r="E12" i="1"/>
  <c r="A12" i="1"/>
  <c r="J46" i="11"/>
  <c r="O47" i="9"/>
  <c r="N47" i="9"/>
  <c r="M47" i="9"/>
  <c r="L47" i="9"/>
  <c r="K47" i="9"/>
  <c r="J47" i="9"/>
  <c r="I47" i="9"/>
  <c r="H47" i="9"/>
  <c r="G47" i="9"/>
  <c r="E47" i="9"/>
  <c r="D47" i="9"/>
  <c r="A47" i="9"/>
  <c r="J45" i="11"/>
  <c r="J38" i="11"/>
  <c r="O39" i="9"/>
  <c r="N39" i="9"/>
  <c r="M39" i="9"/>
  <c r="L39" i="9"/>
  <c r="K39" i="9"/>
  <c r="J39" i="9"/>
  <c r="I39" i="9"/>
  <c r="H39" i="9"/>
  <c r="G39" i="9"/>
  <c r="E39" i="9"/>
  <c r="D39" i="9"/>
  <c r="A39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E22" i="9"/>
  <c r="X9" i="1"/>
  <c r="E54" i="9"/>
  <c r="X20" i="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J59" i="11"/>
  <c r="J57" i="11"/>
  <c r="J56" i="11"/>
  <c r="J55" i="11"/>
  <c r="J54" i="11"/>
  <c r="J53" i="11"/>
  <c r="J52" i="11"/>
  <c r="J51" i="11"/>
  <c r="J50" i="11"/>
  <c r="J49" i="11"/>
  <c r="J48" i="11"/>
  <c r="J47" i="11"/>
  <c r="J44" i="11"/>
  <c r="J43" i="11"/>
  <c r="J42" i="11"/>
  <c r="J41" i="11"/>
  <c r="J40" i="11"/>
  <c r="J39" i="11"/>
  <c r="J37" i="11"/>
  <c r="O60" i="9"/>
  <c r="N60" i="9"/>
  <c r="M60" i="9"/>
  <c r="L60" i="9"/>
  <c r="K60" i="9"/>
  <c r="J60" i="9"/>
  <c r="I60" i="9"/>
  <c r="H60" i="9"/>
  <c r="G60" i="9"/>
  <c r="E60" i="9"/>
  <c r="D60" i="9"/>
  <c r="A60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8" i="9"/>
  <c r="N38" i="9"/>
  <c r="M38" i="9"/>
  <c r="L38" i="9"/>
  <c r="K38" i="9"/>
  <c r="J38" i="9"/>
  <c r="I38" i="9"/>
  <c r="H38" i="9"/>
  <c r="G38" i="9"/>
  <c r="E38" i="9"/>
  <c r="D38" i="9"/>
  <c r="A38" i="9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20" i="1"/>
  <c r="AI20" i="1"/>
  <c r="AG20" i="1"/>
  <c r="AE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H9" i="2"/>
  <c r="E9" i="2"/>
  <c r="D9" i="2"/>
  <c r="H2" i="1"/>
  <c r="H3" i="1"/>
  <c r="H4" i="1"/>
  <c r="H5" i="1"/>
  <c r="H6" i="1"/>
  <c r="H7" i="1"/>
  <c r="H8" i="1"/>
  <c r="H9" i="1"/>
  <c r="H10" i="1"/>
  <c r="H11" i="1"/>
  <c r="B9" i="2"/>
  <c r="H8" i="2"/>
  <c r="E8" i="2"/>
  <c r="D8" i="2"/>
  <c r="B8" i="2"/>
  <c r="H7" i="2"/>
  <c r="E7" i="2"/>
  <c r="D7" i="2"/>
  <c r="B7" i="2"/>
  <c r="H6" i="2"/>
  <c r="E6" i="2"/>
  <c r="D6" i="2"/>
  <c r="B6" i="2"/>
  <c r="I8" i="21"/>
  <c r="I3" i="21"/>
  <c r="J3" i="21"/>
  <c r="I4" i="21"/>
  <c r="J4" i="21"/>
  <c r="I5" i="21"/>
  <c r="J5" i="21"/>
  <c r="I6" i="21"/>
  <c r="J6" i="21"/>
  <c r="I7" i="21"/>
  <c r="J7" i="21"/>
  <c r="J8" i="21"/>
  <c r="G8" i="21"/>
  <c r="F8" i="21"/>
  <c r="D8" i="21"/>
  <c r="C8" i="21"/>
  <c r="G7" i="21"/>
  <c r="F7" i="21"/>
  <c r="D7" i="21"/>
  <c r="C7" i="21"/>
  <c r="G6" i="21"/>
  <c r="F6" i="21"/>
  <c r="D6" i="21"/>
  <c r="C6" i="21"/>
  <c r="G5" i="21"/>
  <c r="F5" i="21"/>
  <c r="D5" i="21"/>
  <c r="C5" i="21"/>
  <c r="G4" i="21"/>
  <c r="F4" i="21"/>
  <c r="D4" i="21"/>
  <c r="C4" i="21"/>
  <c r="G3" i="21"/>
  <c r="F3" i="21"/>
  <c r="D3" i="21"/>
  <c r="C3" i="21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T2" i="1"/>
  <c r="E2" i="9"/>
  <c r="X2" i="1"/>
  <c r="J34" i="11"/>
  <c r="J33" i="11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J22" i="11"/>
  <c r="O33" i="9"/>
  <c r="N33" i="9"/>
  <c r="M33" i="9"/>
  <c r="L33" i="9"/>
  <c r="K33" i="9"/>
  <c r="J33" i="9"/>
  <c r="I33" i="9"/>
  <c r="H33" i="9"/>
  <c r="G33" i="9"/>
  <c r="E33" i="9"/>
  <c r="D33" i="9"/>
  <c r="A33" i="9"/>
  <c r="I25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6" i="11"/>
  <c r="J10" i="1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21" i="11"/>
  <c r="J20" i="11"/>
  <c r="J19" i="11"/>
  <c r="J13" i="11"/>
  <c r="J14" i="11"/>
  <c r="J15" i="11"/>
  <c r="J16" i="11"/>
  <c r="J17" i="11"/>
  <c r="J18" i="11"/>
  <c r="J23" i="11"/>
  <c r="J24" i="11"/>
  <c r="J25" i="11"/>
  <c r="J27" i="11"/>
  <c r="J9" i="11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5" i="11"/>
  <c r="J6" i="11"/>
  <c r="J7" i="11"/>
  <c r="J8" i="11"/>
  <c r="J11" i="11"/>
  <c r="J3" i="11"/>
  <c r="J12" i="11"/>
  <c r="J4" i="11"/>
  <c r="D23" i="9"/>
  <c r="A11" i="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A23" i="9"/>
  <c r="O22" i="9"/>
  <c r="N22" i="9"/>
  <c r="M22" i="9"/>
  <c r="L22" i="9"/>
  <c r="K22" i="9"/>
  <c r="J22" i="9"/>
  <c r="I22" i="9"/>
  <c r="H22" i="9"/>
  <c r="G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F9" i="1"/>
  <c r="AI9" i="1"/>
  <c r="AG9" i="1"/>
  <c r="AE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E13" i="16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<sst xmlns="http://schemas.openxmlformats.org/spreadsheetml/2006/main" count="924" uniqueCount="337">
  <si>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</si>
  <si>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</si>
  <si>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</si>
  <si>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</si>
  <si>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</si>
  <si>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</si>
  <si>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</si>
  <si>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</si>
  <si>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</si>
  <si>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</si>
  <si>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</si>
  <si>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</si>
  <si>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</si>
  <si>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</si>
  <si>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</si>
  <si>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</si>
  <si>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</si>
  <si>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</si>
  <si>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</si>
  <si>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</si>
  <si>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</si>
  <si>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</si>
  <si>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</si>
  <si>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</si>
  <si>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</si>
  <si>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</si>
  <si>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</si>
  <si>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</si>
  <si>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</si>
  <si>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</si>
  <si>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</si>
  <si>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</si>
  <si>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</si>
  <si>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</si>
  <si>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</si>
  <si>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</si>
  <si>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</si>
  <si>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</si>
  <si>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</si>
  <si>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</si>
  <si>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</si>
  <si>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</si>
  <si>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</si>
  <si>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</si>
  <si>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</si>
  <si>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</si>
  <si>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</si>
  <si>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</si>
  <si>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</si>
  <si>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</si>
  <si>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</si>
  <si>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</si>
  <si>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</si>
  <si>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</si>
  <si>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</si>
  <si>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</si>
  <si>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</si>
  <si>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</si>
  <si>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</si>
  <si>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</si>
  <si>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</si>
  <si>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</si>
  <si>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</si>
  <si>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</si>
  <si>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</si>
  <si>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</si>
  <si>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</si>
  <si>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</si>
  <si>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</si>
  <si>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</si>
  <si>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</si>
  <si>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</si>
  <si>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</si>
  <si>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</si>
  <si>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</si>
  <si>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</si>
  <si>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</si>
  <si>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</si>
  <si>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</si>
  <si>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</si>
  <si>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</si>
  <si>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</si>
  <si>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</si>
  <si>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</si>
  <si>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</si>
  <si>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</si>
  <si>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</si>
  <si>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</si>
  <si>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</si>
  <si>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</si>
  <si>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</si>
  <si>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</si>
  <si>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</si>
  <si>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</si>
  <si>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</si>
  <si>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</si>
  <si>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</si>
  <si>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</si>
  <si>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</si>
  <si>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</si>
  <si>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</si>
  <si>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</si>
  <si>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</si>
  <si>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</si>
  <si>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</si>
  <si>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</si>
  <si>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</si>
  <si>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</si>
  <si>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</si>
  <si>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</si>
  <si>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</si>
  <si>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</si>
  <si>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</si>
  <si>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</si>
  <si>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</si>
  <si>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</si>
  <si>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</si>
  <si>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</si>
  <si>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</si>
  <si>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</si>
  <si>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</si>
  <si>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</si>
  <si>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</si>
  <si>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</si>
  <si>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</si>
  <si>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</si>
  <si>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</si>
  <si>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</si>
  <si>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</si>
  <si>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</si>
  <si>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</si>
  <si>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</si>
  <si>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</si>
  <si>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</si>
  <si>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</si>
  <si>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</si>
  <si>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</si>
  <si>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</si>
  <si>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</si>
  <si>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</si>
  <si>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</si>
  <si>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</si>
  <si>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</si>
  <si>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</si>
  <si>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</si>
  <si>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</si>
  <si>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</si>
  <si>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</si>
  <si>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</si>
  <si>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</si>
  <si>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</si>
  <si>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</si>
  <si>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</si>
  <si>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</si>
  <si>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</si>
  <si>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</si>
  <si>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</si>
  <si>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</si>
  <si>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</si>
  <si>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</si>
  <si>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</si>
  <si>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</si>
  <si>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</si>
  <si>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</si>
  <si>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</si>
  <si>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</si>
  <si>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</si>
  <si>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</si>
  <si>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</si>
  <si>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</si>
  <si>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</si>
  <si>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</si>
  <si>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</si>
  <si>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</si>
  <si>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</si>
  <si>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</si>
  <si>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</si>
  <si>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</si>
  <si>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</si>
  <si>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</si>
  <si>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</si>
  <si>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</si>
  <si>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</si>
  <si>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</si>
  <si>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</si>
  <si>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</si>
  <si>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</si>
  <si>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</si>
  <si>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</si>
  <si>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</si>
  <si>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</si>
  <si>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</si>
  <si>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</si>
  <si>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</si>
  <si>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</si>
  <si>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</si>
  <si>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</si>
  <si>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</si>
  <si>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</si>
  <si>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</si>
  <si>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</si>
  <si>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</si>
  <si>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</si>
  <si>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</si>
  <si>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</si>
  <si>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</si>
  <si>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</si>
  <si>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</si>
  <si>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</si>
  <si>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</si>
  <si>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</si>
  <si>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</si>
  <si>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</si>
  <si>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</si>
  <si>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</si>
  <si>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</si>
  <si>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</si>
  <si>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</si>
  <si>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</si>
  <si>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</si>
  <si>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</si>
  <si>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</si>
  <si>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</si>
  <si>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</si>
  <si>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</si>
  <si>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</si>
  <si>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</si>
  <si>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</si>
  <si>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</si>
  <si>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</si>
  <si>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</si>
  <si>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</si>
  <si>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</si>
  <si>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</si>
  <si>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</si>
  <si>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</si>
  <si>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</si>
  <si>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</si>
  <si>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</si>
  <si>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</si>
  <si>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</si>
  <si>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</si>
  <si>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</si>
  <si>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</si>
  <si>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</si>
  <si>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</si>
  <si>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</si>
  <si>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</si>
  <si>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</si>
  <si>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</si>
  <si>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</si>
  <si>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</si>
  <si>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</si>
  <si>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null</t>
    <phoneticPr fontId="5"/>
  </si>
  <si>
    <t>[effect:spread, val:0.3]</t>
    <phoneticPr fontId="5"/>
  </si>
  <si>
    <t>全体に中ダメージ</t>
    <rPh sb="0" eb="2">
      <t>ゼンタイ</t>
    </rPh>
    <rPh sb="3" eb="4">
      <t>チュウ</t>
    </rPh>
    <phoneticPr fontId="5"/>
  </si>
  <si>
    <t>単体に中ダメージ</t>
    <rPh sb="0" eb="2">
      <t>タンタイニ</t>
    </rPh>
    <rPh sb="3" eb="4">
      <t>チュウダメージ</t>
    </rPh>
    <phoneticPr fontId="5"/>
  </si>
  <si>
    <t>単体に大ダメージ</t>
    <rPh sb="0" eb="2">
      <t>タンタイニ</t>
    </rPh>
    <rPh sb="3" eb="4">
      <t>ダイ</t>
    </rPh>
    <phoneticPr fontId="5"/>
  </si>
  <si>
    <t>全体攻撃</t>
    <phoneticPr fontId="5"/>
  </si>
  <si>
    <t>[effect:critical, val:0.8, animation:enemy_critical]</t>
    <phoneticPr fontId="5"/>
  </si>
  <si>
    <t>[effect:critical, val:1.2 animation:enemy_critical]</t>
    <phoneticPr fontId="5"/>
  </si>
  <si>
    <t>5回連続単体にダメージ</t>
    <rPh sb="4" eb="6">
      <t>タンタイニ</t>
    </rPh>
    <phoneticPr fontId="5"/>
  </si>
  <si>
    <t>5回連続攻撃</t>
    <phoneticPr fontId="5"/>
  </si>
  <si>
    <t>敵全体の攻撃を上昇</t>
    <rPh sb="0" eb="3">
      <t>テキゼンタイノ</t>
    </rPh>
    <rPh sb="4" eb="6">
      <t>コウゲキヲ</t>
    </rPh>
    <rPh sb="7" eb="9">
      <t>ジョウショウ</t>
    </rPh>
    <phoneticPr fontId="5"/>
  </si>
  <si>
    <t>2ターン敵全体の攻撃力UP</t>
    <rPh sb="4" eb="7">
      <t>テキゼンタイ</t>
    </rPh>
    <rPh sb="8" eb="11">
      <t>コウゲキリョク</t>
    </rPh>
    <phoneticPr fontId="5"/>
  </si>
  <si>
    <t>敵全体の防御をダウン</t>
    <rPh sb="0" eb="3">
      <t>テキゼンタイノ</t>
    </rPh>
    <rPh sb="4" eb="6">
      <t>ボウギョヲ</t>
    </rPh>
    <phoneticPr fontId="5"/>
  </si>
  <si>
    <t>2ターン敵全体の防御力2000DOWN</t>
    <rPh sb="4" eb="7">
      <t>テキゼンタイ</t>
    </rPh>
    <rPh sb="8" eb="11">
      <t>ボウギョ</t>
    </rPh>
    <phoneticPr fontId="5"/>
  </si>
  <si>
    <t>敵全体に弱ウイルス</t>
    <rPh sb="0" eb="3">
      <t>テキゼンタイニ</t>
    </rPh>
    <rPh sb="4" eb="5">
      <t>ジャクウ</t>
    </rPh>
    <phoneticPr fontId="5"/>
  </si>
  <si>
    <t>敵全体にウイルス</t>
    <rPh sb="0" eb="3">
      <t>テキゼンタイニ</t>
    </rPh>
    <phoneticPr fontId="5"/>
  </si>
  <si>
    <t>敵単体にウイルス</t>
    <rPh sb="0" eb="1">
      <t>テキゼンタイニ</t>
    </rPh>
    <rPh sb="1" eb="3">
      <t>タンタイ</t>
    </rPh>
    <phoneticPr fontId="5"/>
  </si>
  <si>
    <t>2ターンカウンター状態</t>
    <rPh sb="9" eb="11">
      <t>ジョウタイ</t>
    </rPh>
    <phoneticPr fontId="5"/>
  </si>
  <si>
    <t>2ターンユニット全体の攻撃をカウンター</t>
    <rPh sb="8" eb="10">
      <t>ゼンタイ</t>
    </rPh>
    <rPh sb="11" eb="13">
      <t>コウゲキヲ</t>
    </rPh>
    <phoneticPr fontId="5"/>
  </si>
  <si>
    <t>2ターンスリープ状態</t>
    <rPh sb="8" eb="10">
      <t>ジョウタイ</t>
    </rPh>
    <phoneticPr fontId="5"/>
  </si>
  <si>
    <t>2ターンスリープ状態</t>
    <phoneticPr fontId="5"/>
  </si>
  <si>
    <t>パネルを5個吸収しダメージ</t>
    <phoneticPr fontId="5"/>
  </si>
  <si>
    <t xml:space="preserve">全パネルを吸収して攻撃(最大5個) </t>
    <rPh sb="0" eb="1">
      <t>ゼn</t>
    </rPh>
    <phoneticPr fontId="5"/>
  </si>
  <si>
    <t>緑属性に大ダメージ</t>
    <rPh sb="0" eb="3">
      <t>ミドリゾク</t>
    </rPh>
    <rPh sb="4" eb="5">
      <t>ダイダメ</t>
    </rPh>
    <phoneticPr fontId="5"/>
  </si>
  <si>
    <t>緑属性のユニットに大ダメージ</t>
    <rPh sb="0" eb="1">
      <t>ミドリ</t>
    </rPh>
    <phoneticPr fontId="5"/>
  </si>
  <si>
    <t>[effect:enemy_message, val1:2, val2:1.8]</t>
    <phoneticPr fontId="5"/>
  </si>
  <si>
    <t>[effect:damage_anti_color, target:unit_one, color:green, val1:1, val2:0.2]</t>
    <phoneticPr fontId="5"/>
  </si>
  <si>
    <t>[effect:rush, count:5, val:0.2]</t>
    <phoneticPr fontId="5"/>
  </si>
  <si>
    <t>[effect:degrade_unit, target:unit_all, turn:2, status:defense, val:2000, calc:add]</t>
    <phoneticPr fontId="5"/>
  </si>
  <si>
    <t>[effect:enemy_counter, target:myself, invoke_condition:unit_all, counter_target:attacker, turn:2, val:0.4, animation:enemy_counter]</t>
    <phoneticPr fontId="5"/>
  </si>
  <si>
    <t>おのれ</t>
    <phoneticPr fontId="5"/>
  </si>
  <si>
    <t>やられた時のセリフ</t>
    <phoneticPr fontId="5"/>
  </si>
  <si>
    <t>[effect:suicide, target:myself, val:0.5]</t>
    <phoneticPr fontId="5"/>
  </si>
  <si>
    <t>HPを50％減少</t>
    <rPh sb="6" eb="8">
      <t>ゲンショウ</t>
    </rPh>
    <phoneticPr fontId="5"/>
  </si>
  <si>
    <t>残りHPの50%消費</t>
    <phoneticPr fontId="5"/>
  </si>
  <si>
    <t>[effect:sleep, target:unit_one, turn:2, rate:1, calc_type:target_one, animation:sleep01]</t>
    <phoneticPr fontId="5"/>
  </si>
  <si>
    <t>unit</t>
  </si>
  <si>
    <t>link</t>
  </si>
  <si>
    <t>[effect:enhance_enemy, target:enemy_all, turn:2, status:attack, val:0.5, calc:mul, animation:enemy_enhance_attack]</t>
    <phoneticPr fontId="5"/>
  </si>
  <si>
    <t>右のバショーから倒しましょう</t>
    <rPh sb="0" eb="1">
      <t>ミギノ</t>
    </rPh>
    <rPh sb="8" eb="9">
      <t>タオソウ</t>
    </rPh>
    <phoneticPr fontId="5"/>
  </si>
  <si>
    <t>ヒロから倒しましょう</t>
    <rPh sb="4" eb="5">
      <t>タオソウ</t>
    </rPh>
    <phoneticPr fontId="5"/>
  </si>
  <si>
    <t>左右のトトから倒しましょう</t>
    <rPh sb="0" eb="2">
      <t>サユウノ</t>
    </rPh>
    <rPh sb="7" eb="8">
      <t>タオソウ</t>
    </rPh>
    <phoneticPr fontId="5"/>
  </si>
  <si>
    <t>左右のヒロから倒しましょう</t>
    <rPh sb="0" eb="2">
      <t>サユウノヒロカラ</t>
    </rPh>
    <rPh sb="7" eb="8">
      <t>タオソウ</t>
    </rPh>
    <phoneticPr fontId="5"/>
  </si>
  <si>
    <t>ウィルスを受けたら解除しましょう</t>
    <rPh sb="5" eb="6">
      <t>ウケタラ</t>
    </rPh>
    <rPh sb="9" eb="11">
      <t>カイジョシヨウ</t>
    </rPh>
    <phoneticPr fontId="5"/>
  </si>
  <si>
    <t>HPが少なくなったら
ハートパネルを割りましょう</t>
    <rPh sb="3" eb="4">
      <t>スクナクナッタラ</t>
    </rPh>
    <rPh sb="18" eb="19">
      <t>ワリマショウ</t>
    </rPh>
    <phoneticPr fontId="5"/>
  </si>
  <si>
    <t>システム適合者</t>
    <phoneticPr fontId="5"/>
  </si>
  <si>
    <t>ALICEが 「アナタ」を呼んでいます</t>
    <phoneticPr fontId="5"/>
  </si>
  <si>
    <t>[effect:break_attack_fix, target:unit_one, val:0, lowest_val:4000, count:5, color:yellow, block01:block_all]</t>
    <phoneticPr fontId="5"/>
  </si>
  <si>
    <t>old</t>
  </si>
  <si>
    <t>単体にウィルス付与攻撃</t>
    <rPh sb="0" eb="2">
      <t>タンタイニ</t>
    </rPh>
    <phoneticPr fontId="5"/>
  </si>
  <si>
    <t>2ターンウィルス+単体攻撃</t>
    <rPh sb="9" eb="13">
      <t>タンタイコウゲキ</t>
    </rPh>
    <phoneticPr fontId="5"/>
  </si>
  <si>
    <t>状態異常キラー</t>
    <rPh sb="0" eb="4">
      <t>ジョウタイイジョウキラー</t>
    </rPh>
    <phoneticPr fontId="5"/>
  </si>
  <si>
    <t>ウィルス状態のユニットに大ダメージ</t>
    <rPh sb="12" eb="13">
      <t>ダイダメー</t>
    </rPh>
    <phoneticPr fontId="5"/>
  </si>
  <si>
    <t>敵単体に弱ウイルス</t>
    <rPh sb="0" eb="1">
      <t>テキゼンタイニ</t>
    </rPh>
    <rPh sb="1" eb="3">
      <t>タンタイ</t>
    </rPh>
    <rPh sb="4" eb="5">
      <t>ジャク</t>
    </rPh>
    <phoneticPr fontId="5"/>
  </si>
  <si>
    <t>[effect:hungup, target:unit_one, turn:2, rate:1, animation:hungup01]</t>
    <phoneticPr fontId="5"/>
  </si>
  <si>
    <t>スキルバインド</t>
    <phoneticPr fontId="5"/>
  </si>
  <si>
    <t>2ターンスキルバインド</t>
    <phoneticPr fontId="5"/>
  </si>
  <si>
    <t>[effect:kamikaze, val:3]</t>
    <phoneticPr fontId="5"/>
  </si>
  <si>
    <t>自爆</t>
    <rPh sb="0" eb="2">
      <t>ジバク</t>
    </rPh>
    <phoneticPr fontId="5"/>
  </si>
  <si>
    <t>自爆攻撃</t>
    <rPh sb="0" eb="4">
      <t>ジバクコウゲキ</t>
    </rPh>
    <phoneticPr fontId="5"/>
  </si>
  <si>
    <t>[effect:freq_turn, target:myself, turn:-1, val:1, animation:enemy_freq_turn]</t>
    <phoneticPr fontId="5"/>
  </si>
  <si>
    <t>攻撃頻度UP</t>
    <rPh sb="0" eb="4">
      <t>コウゲキヒンド</t>
    </rPh>
    <phoneticPr fontId="5"/>
  </si>
  <si>
    <t>自分自身の攻撃頻度UP</t>
    <rPh sb="0" eb="4">
      <t>ジブンジシn</t>
    </rPh>
    <phoneticPr fontId="5"/>
  </si>
  <si>
    <t>[effect:fix_speed, target:myself, turn:4]</t>
    <phoneticPr fontId="5"/>
  </si>
  <si>
    <t>ガガガ…ピィー！</t>
    <phoneticPr fontId="5"/>
  </si>
  <si>
    <t>[effect:damage_abnormal, target:unit_one, val:0.5, status:virus, turn:4, rate:1, val_abnormal:0.1, animation:enemy_virus]</t>
    <phoneticPr fontId="5"/>
  </si>
  <si>
    <t>5ターンウィルス</t>
    <phoneticPr fontId="5"/>
  </si>
  <si>
    <t>4ターンウィルス</t>
    <phoneticPr fontId="5"/>
  </si>
  <si>
    <t>[effect:virus, target:unit_all, turn:4, rate:1, val:0.1, animation:enemy_virus]</t>
    <phoneticPr fontId="5"/>
  </si>
  <si>
    <t>ぐわぐわわ（よくぞいらした）</t>
    <phoneticPr fontId="5"/>
  </si>
  <si>
    <t>ぐわっぐわ（これは珍客）</t>
    <rPh sb="9" eb="11">
      <t>チンキャク</t>
    </rPh>
    <phoneticPr fontId="5"/>
  </si>
  <si>
    <t>自爆まで残り4時間…</t>
    <phoneticPr fontId="5"/>
  </si>
  <si>
    <t>[effect:virus, target:unit_all, turn:4, rate:1, val:0.2, animation:enemy_virus]</t>
    <phoneticPr fontId="5"/>
  </si>
  <si>
    <t>[effect:virus, target:unit_one, turn:4, rate:1, val:0.2, animation:enemy_virus]</t>
    <phoneticPr fontId="5"/>
  </si>
  <si>
    <t>[effect:virus, target:unit_one, turn:5, rate:1, val:0.2, animation:enemy_virus]</t>
    <phoneticPr fontId="5"/>
  </si>
  <si>
    <t>[effect:virus, target:unit_one, turn:5, rate:1, val:0.08, animation:enemy_virus]</t>
    <phoneticPr fontId="5"/>
  </si>
  <si>
    <t>[effect:virus, target:unit_all, turn:5, rate:1, val:0.08, animation:enemy_virus]</t>
    <phoneticPr fontId="5"/>
  </si>
  <si>
    <t>[effect:damage_anti_abnormal, target:unit_one, color:yellow, target_effect01:virus, val1:2, val2:0.5]</t>
    <phoneticPr fontId="5"/>
  </si>
  <si>
    <t>[effect:fix_speed, target:myself, turn:2]</t>
    <phoneticPr fontId="5"/>
  </si>
  <si>
    <t>[effect:fix_speed, target:myself, turn:1]</t>
    <phoneticPr fontId="5"/>
  </si>
  <si>
    <t>ぐわっ！（貴様よくも！）</t>
    <rPh sb="5" eb="7">
      <t>キサマヨクモ</t>
    </rPh>
    <phoneticPr fontId="5"/>
  </si>
  <si>
    <t>ぐわわぐぐぐ！（狼藉者には誅罰を！）</t>
    <rPh sb="8" eb="11">
      <t>rouzekimononi</t>
    </rPh>
    <rPh sb="13" eb="15">
      <t>チュウバツヲ</t>
    </rPh>
    <phoneticPr fontId="5"/>
  </si>
  <si>
    <t>部分変換</t>
    <rPh sb="0" eb="4">
      <t>ブブンヘンカn</t>
    </rPh>
    <phoneticPr fontId="5"/>
  </si>
  <si>
    <t>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ignore01:jammer, count:40, val:0, new_block:damage, target:block_all, count:8, val:0.08, animation:change_range_block]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</si>
</sst>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3" borderId="11" xfId="0" applyFont="1" applyFill="1" applyBorder="1" applyAlignment="1">
      <alignment vertical="center"/>
    </xf>
    <xf numFmtId="0" fontId="16" fillId="0" borderId="22" xfId="0" applyFont="1" applyFill="1" applyBorder="1" applyAlignment="1">
      <alignment vertical="center"/>
    </xf>
    <xf numFmtId="0" fontId="16" fillId="3" borderId="2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22" xfId="0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177" fontId="8" fillId="0" borderId="25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0" borderId="22" xfId="0" applyFont="1" applyFill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2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2" xfId="0" applyFont="1" applyFill="1" applyBorder="1" applyAlignment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32" borderId="11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22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2" borderId="34" xfId="0" applyFont="1" applyFill="1" applyBorder="1" applyAlignment="1">
      <alignment vertical="center"/>
    </xf>
    <xf numFmtId="0" fontId="16" fillId="3" borderId="34" xfId="0" applyFont="1" applyFill="1" applyBorder="1" applyAlignment="1">
      <alignment vertical="center"/>
    </xf>
    <xf numFmtId="0" fontId="14" fillId="7" borderId="35" xfId="0" applyFont="1" applyFill="1" applyBorder="1" applyAlignment="1">
      <alignment vertical="center"/>
    </xf>
    <xf numFmtId="0" fontId="16" fillId="0" borderId="35" xfId="0" applyFont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48501</v>
          </cell>
        </row>
        <row r="256">
          <cell r="A256">
            <v>48502</v>
          </cell>
        </row>
        <row r="257">
          <cell r="A257">
            <v>48701</v>
          </cell>
        </row>
        <row r="258">
          <cell r="A258">
            <v>48702</v>
          </cell>
        </row>
        <row r="259">
          <cell r="A259">
            <v>41001</v>
          </cell>
        </row>
        <row r="260">
          <cell r="A260">
            <v>41002</v>
          </cell>
        </row>
        <row r="261">
          <cell r="A261">
            <v>41003</v>
          </cell>
        </row>
        <row r="262">
          <cell r="A262">
            <v>41004</v>
          </cell>
        </row>
        <row r="263">
          <cell r="A263">
            <v>41005</v>
          </cell>
        </row>
        <row r="264">
          <cell r="A264">
            <v>41006</v>
          </cell>
        </row>
        <row r="265">
          <cell r="A265">
            <v>41007</v>
          </cell>
        </row>
        <row r="266">
          <cell r="A266">
            <v>41008</v>
          </cell>
        </row>
        <row r="267">
          <cell r="A267">
            <v>41009</v>
          </cell>
        </row>
        <row r="268">
          <cell r="A268">
            <v>41010</v>
          </cell>
        </row>
        <row r="269">
          <cell r="A269">
            <v>41011</v>
          </cell>
        </row>
        <row r="270">
          <cell r="A270">
            <v>41012</v>
          </cell>
        </row>
        <row r="271">
          <cell r="A271">
            <v>41013</v>
          </cell>
        </row>
        <row r="272">
          <cell r="A272">
            <v>41014</v>
          </cell>
        </row>
        <row r="273">
          <cell r="A273">
            <v>41015</v>
          </cell>
        </row>
        <row r="274">
          <cell r="A274">
            <v>47001</v>
          </cell>
        </row>
        <row r="275">
          <cell r="A275">
            <v>47002</v>
          </cell>
        </row>
        <row r="276">
          <cell r="A276">
            <v>47003</v>
          </cell>
        </row>
        <row r="277">
          <cell r="A277">
            <v>47004</v>
          </cell>
        </row>
        <row r="278">
          <cell r="A278">
            <v>47005</v>
          </cell>
        </row>
        <row r="279">
          <cell r="A279">
            <v>47006</v>
          </cell>
        </row>
        <row r="280">
          <cell r="A280">
            <v>47007</v>
          </cell>
        </row>
        <row r="281">
          <cell r="A281">
            <v>47008</v>
          </cell>
        </row>
        <row r="282">
          <cell r="A282">
            <v>47009</v>
          </cell>
        </row>
        <row r="283">
          <cell r="A283">
            <v>47010</v>
          </cell>
        </row>
        <row r="284">
          <cell r="A284">
            <v>47011</v>
          </cell>
        </row>
        <row r="285">
          <cell r="A285">
            <v>47012</v>
          </cell>
        </row>
        <row r="286">
          <cell r="A286">
            <v>47013</v>
          </cell>
        </row>
        <row r="287">
          <cell r="A287">
            <v>49001</v>
          </cell>
        </row>
        <row r="288">
          <cell r="A288">
            <v>49002</v>
          </cell>
        </row>
        <row r="289">
          <cell r="A289">
            <v>49003</v>
          </cell>
        </row>
        <row r="290">
          <cell r="A290">
            <v>49004</v>
          </cell>
        </row>
        <row r="291">
          <cell r="A291">
            <v>49005</v>
          </cell>
        </row>
        <row r="292">
          <cell r="A292">
            <v>49006</v>
          </cell>
        </row>
        <row r="293">
          <cell r="A293">
            <v>49007</v>
          </cell>
        </row>
        <row r="294">
          <cell r="A294">
            <v>49008</v>
          </cell>
        </row>
        <row r="295">
          <cell r="A295">
            <v>49009</v>
          </cell>
        </row>
        <row r="296">
          <cell r="A296">
            <v>49010</v>
          </cell>
        </row>
        <row r="297">
          <cell r="A297">
            <v>49011</v>
          </cell>
        </row>
        <row r="298">
          <cell r="A298">
            <v>49012</v>
          </cell>
        </row>
        <row r="299">
          <cell r="A299">
            <v>49013</v>
          </cell>
        </row>
        <row r="300">
          <cell r="A300">
            <v>49014</v>
          </cell>
        </row>
        <row r="301">
          <cell r="A301">
            <v>49015</v>
          </cell>
        </row>
        <row r="302">
          <cell r="A302">
            <v>49016</v>
          </cell>
        </row>
        <row r="303">
          <cell r="A303">
            <v>50001</v>
          </cell>
        </row>
        <row r="304">
          <cell r="A304">
            <v>50002</v>
          </cell>
        </row>
        <row r="305">
          <cell r="A305">
            <v>50003</v>
          </cell>
        </row>
        <row r="306">
          <cell r="A306">
            <v>50004</v>
          </cell>
        </row>
        <row r="307">
          <cell r="A307">
            <v>50005</v>
          </cell>
        </row>
        <row r="308">
          <cell r="A308">
            <v>50006</v>
          </cell>
        </row>
        <row r="309">
          <cell r="A309">
            <v>50007</v>
          </cell>
        </row>
        <row r="310">
          <cell r="A310">
            <v>50008</v>
          </cell>
        </row>
        <row r="311">
          <cell r="A311">
            <v>50009</v>
          </cell>
        </row>
        <row r="312">
          <cell r="A312">
            <v>50010</v>
          </cell>
        </row>
        <row r="313">
          <cell r="A313">
            <v>50011</v>
          </cell>
        </row>
        <row r="314">
          <cell r="A314">
            <v>50012</v>
          </cell>
        </row>
        <row r="315">
          <cell r="A315">
            <v>50013</v>
          </cell>
        </row>
        <row r="316">
          <cell r="A316">
            <v>50014</v>
          </cell>
        </row>
        <row r="317">
          <cell r="A317">
            <v>50015</v>
          </cell>
        </row>
        <row r="318">
          <cell r="A318">
            <v>50016</v>
          </cell>
        </row>
        <row r="319">
          <cell r="A319">
            <v>51001</v>
          </cell>
        </row>
        <row r="320">
          <cell r="A320">
            <v>51002</v>
          </cell>
        </row>
        <row r="321">
          <cell r="A321">
            <v>58001</v>
          </cell>
        </row>
        <row r="322">
          <cell r="A322">
            <v>58002</v>
          </cell>
        </row>
        <row r="323">
          <cell r="A323">
            <v>59001</v>
          </cell>
        </row>
        <row r="324">
          <cell r="A324">
            <v>59002</v>
          </cell>
        </row>
        <row r="325">
          <cell r="A325">
            <v>59003</v>
          </cell>
        </row>
        <row r="326">
          <cell r="A326">
            <v>60001</v>
          </cell>
        </row>
        <row r="327">
          <cell r="A327">
            <v>60002</v>
          </cell>
        </row>
        <row r="328">
          <cell r="A328">
            <v>60003</v>
          </cell>
        </row>
        <row r="329">
          <cell r="A329">
            <v>60004</v>
          </cell>
        </row>
        <row r="330">
          <cell r="A330">
            <v>60005</v>
          </cell>
        </row>
        <row r="331">
          <cell r="A331">
            <v>60006</v>
          </cell>
        </row>
        <row r="332">
          <cell r="A332">
            <v>60007</v>
          </cell>
        </row>
        <row r="333">
          <cell r="A333">
            <v>60010</v>
          </cell>
        </row>
        <row r="334">
          <cell r="A334">
            <v>60011</v>
          </cell>
        </row>
        <row r="335">
          <cell r="A335">
            <v>61011</v>
          </cell>
        </row>
        <row r="336">
          <cell r="A336">
            <v>60012</v>
          </cell>
        </row>
        <row r="337">
          <cell r="A337">
            <v>60013</v>
          </cell>
        </row>
        <row r="338">
          <cell r="A338">
            <v>60014</v>
          </cell>
        </row>
        <row r="339">
          <cell r="A339">
            <v>60015</v>
          </cell>
        </row>
        <row r="340">
          <cell r="A340">
            <v>60016</v>
          </cell>
        </row>
        <row r="341">
          <cell r="A341">
            <v>60017</v>
          </cell>
        </row>
        <row r="342">
          <cell r="A342">
            <v>60018</v>
          </cell>
        </row>
        <row r="343">
          <cell r="A343">
            <v>60019</v>
          </cell>
        </row>
        <row r="344">
          <cell r="A344">
            <v>60020</v>
          </cell>
        </row>
        <row r="345">
          <cell r="A345">
            <v>60025</v>
          </cell>
        </row>
        <row r="346">
          <cell r="A346">
            <v>60026</v>
          </cell>
        </row>
        <row r="347">
          <cell r="A347">
            <v>60027</v>
          </cell>
        </row>
        <row r="348">
          <cell r="A348">
            <v>60028</v>
          </cell>
        </row>
        <row r="349">
          <cell r="A349">
            <v>60029</v>
          </cell>
        </row>
        <row r="350">
          <cell r="A350">
            <v>60030</v>
          </cell>
        </row>
        <row r="351">
          <cell r="A351">
            <v>65523</v>
          </cell>
        </row>
        <row r="352">
          <cell r="A352">
            <v>65524</v>
          </cell>
        </row>
        <row r="353">
          <cell r="A353">
            <v>65525</v>
          </cell>
        </row>
        <row r="354">
          <cell r="A354">
            <v>65526</v>
          </cell>
        </row>
        <row r="355">
          <cell r="A355">
            <v>65527</v>
          </cell>
        </row>
        <row r="356">
          <cell r="A356">
            <v>65528</v>
          </cell>
        </row>
        <row r="357">
          <cell r="A357">
            <v>65529</v>
          </cell>
        </row>
        <row r="358">
          <cell r="A358">
            <v>65530</v>
          </cell>
        </row>
        <row r="359">
          <cell r="A359">
            <v>65531</v>
          </cell>
        </row>
        <row r="360">
          <cell r="A360">
            <v>65532</v>
          </cell>
        </row>
        <row r="361">
          <cell r="A361">
            <v>65533</v>
          </cell>
        </row>
        <row r="362">
          <cell r="A362">
            <v>65534</v>
          </cell>
        </row>
        <row r="363">
          <cell r="A363">
            <v>65535</v>
          </cell>
        </row>
        <row r="364">
          <cell r="A364">
            <v>60021</v>
          </cell>
        </row>
        <row r="365">
          <cell r="A365">
            <v>60022</v>
          </cell>
        </row>
        <row r="366">
          <cell r="A366">
            <v>60023</v>
          </cell>
        </row>
        <row r="367">
          <cell r="A36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48001_1</v>
          </cell>
        </row>
        <row r="874">
          <cell r="A874" t="str">
            <v>48002_1</v>
          </cell>
        </row>
        <row r="875">
          <cell r="A875" t="str">
            <v>48002_2</v>
          </cell>
        </row>
        <row r="876">
          <cell r="A876" t="str">
            <v>48002_3</v>
          </cell>
        </row>
        <row r="877">
          <cell r="A877" t="str">
            <v>48003_1</v>
          </cell>
        </row>
        <row r="878">
          <cell r="A878" t="str">
            <v>48003_2</v>
          </cell>
        </row>
        <row r="879">
          <cell r="A879" t="str">
            <v>48004_1</v>
          </cell>
        </row>
        <row r="880">
          <cell r="A880" t="str">
            <v>48004_2</v>
          </cell>
        </row>
        <row r="881">
          <cell r="A881" t="str">
            <v>48005_1</v>
          </cell>
        </row>
        <row r="882">
          <cell r="A882" t="str">
            <v>48005_2</v>
          </cell>
        </row>
        <row r="883">
          <cell r="A883" t="str">
            <v>48006_1</v>
          </cell>
        </row>
        <row r="884">
          <cell r="A884" t="str">
            <v>48006_2</v>
          </cell>
        </row>
        <row r="885">
          <cell r="A885" t="str">
            <v>48007_1</v>
          </cell>
        </row>
        <row r="886">
          <cell r="A886" t="str">
            <v>48007_2</v>
          </cell>
        </row>
        <row r="887">
          <cell r="A887" t="str">
            <v>48008_1</v>
          </cell>
        </row>
        <row r="888">
          <cell r="A888" t="str">
            <v>48008_2</v>
          </cell>
        </row>
        <row r="889">
          <cell r="A889" t="str">
            <v>48009_1</v>
          </cell>
        </row>
        <row r="890">
          <cell r="A890" t="str">
            <v>48009_2</v>
          </cell>
        </row>
        <row r="891">
          <cell r="A891" t="str">
            <v>48010_1</v>
          </cell>
        </row>
        <row r="892">
          <cell r="A892" t="str">
            <v>48011_1</v>
          </cell>
        </row>
        <row r="893">
          <cell r="A893" t="str">
            <v>48011_2</v>
          </cell>
        </row>
        <row r="894">
          <cell r="A894" t="str">
            <v>48012_1</v>
          </cell>
        </row>
        <row r="895">
          <cell r="A895" t="str">
            <v>48012_2</v>
          </cell>
        </row>
        <row r="896">
          <cell r="A896" t="str">
            <v>48013_1</v>
          </cell>
        </row>
        <row r="897">
          <cell r="A897" t="str">
            <v>48013_2</v>
          </cell>
        </row>
        <row r="898">
          <cell r="A898" t="str">
            <v>48501_1</v>
          </cell>
        </row>
        <row r="899">
          <cell r="A899" t="str">
            <v>48501_2</v>
          </cell>
        </row>
        <row r="900">
          <cell r="A900" t="str">
            <v>48502_1</v>
          </cell>
        </row>
        <row r="901">
          <cell r="A901" t="str">
            <v>48502_2</v>
          </cell>
        </row>
        <row r="902">
          <cell r="A902" t="str">
            <v>48701_1</v>
          </cell>
        </row>
        <row r="903">
          <cell r="A903" t="str">
            <v>48701_2</v>
          </cell>
        </row>
        <row r="904">
          <cell r="A904" t="str">
            <v>48702_1</v>
          </cell>
        </row>
        <row r="905">
          <cell r="A905" t="str">
            <v>48702_2</v>
          </cell>
        </row>
        <row r="906">
          <cell r="A906" t="str">
            <v>49001_1</v>
          </cell>
        </row>
        <row r="907">
          <cell r="A907" t="str">
            <v>49002_1</v>
          </cell>
        </row>
        <row r="908">
          <cell r="A908" t="str">
            <v>49002_2</v>
          </cell>
        </row>
        <row r="909">
          <cell r="A909" t="str">
            <v>49003_1</v>
          </cell>
        </row>
        <row r="910">
          <cell r="A910" t="str">
            <v>49003_2</v>
          </cell>
        </row>
        <row r="911">
          <cell r="A911" t="str">
            <v>49004_1</v>
          </cell>
        </row>
        <row r="912">
          <cell r="A912" t="str">
            <v>49004_2</v>
          </cell>
        </row>
        <row r="913">
          <cell r="A913" t="str">
            <v>49004_3</v>
          </cell>
        </row>
        <row r="914">
          <cell r="A914" t="str">
            <v>49005_1</v>
          </cell>
        </row>
        <row r="915">
          <cell r="A915" t="str">
            <v>49006_1</v>
          </cell>
        </row>
        <row r="916">
          <cell r="A916" t="str">
            <v>49006_2</v>
          </cell>
        </row>
        <row r="917">
          <cell r="A917" t="str">
            <v>49007_1</v>
          </cell>
        </row>
        <row r="918">
          <cell r="A918" t="str">
            <v>49007_2</v>
          </cell>
        </row>
        <row r="919">
          <cell r="A919" t="str">
            <v>49007_3</v>
          </cell>
        </row>
        <row r="920">
          <cell r="A920" t="str">
            <v>49008_1</v>
          </cell>
        </row>
        <row r="921">
          <cell r="A921" t="str">
            <v>49009_1</v>
          </cell>
        </row>
        <row r="922">
          <cell r="A922" t="str">
            <v>49010_1</v>
          </cell>
        </row>
        <row r="923">
          <cell r="A923" t="str">
            <v>49011_1</v>
          </cell>
        </row>
        <row r="924">
          <cell r="A924" t="str">
            <v>49012_1</v>
          </cell>
        </row>
        <row r="925">
          <cell r="A925" t="str">
            <v>49013_1</v>
          </cell>
        </row>
        <row r="926">
          <cell r="A926" t="str">
            <v>49014_1</v>
          </cell>
        </row>
        <row r="927">
          <cell r="A927" t="str">
            <v>49014_2</v>
          </cell>
        </row>
        <row r="928">
          <cell r="A928" t="str">
            <v>49015_1</v>
          </cell>
        </row>
        <row r="929">
          <cell r="A929" t="str">
            <v>49015_2</v>
          </cell>
        </row>
        <row r="930">
          <cell r="A930" t="str">
            <v>49015_3</v>
          </cell>
        </row>
        <row r="931">
          <cell r="A931" t="str">
            <v>49016_1</v>
          </cell>
        </row>
        <row r="932">
          <cell r="A932" t="str">
            <v>49016_2</v>
          </cell>
        </row>
        <row r="933">
          <cell r="A933" t="str">
            <v>50001_1</v>
          </cell>
        </row>
        <row r="934">
          <cell r="A934" t="str">
            <v>50002_1</v>
          </cell>
        </row>
        <row r="935">
          <cell r="A935" t="str">
            <v>50003_1</v>
          </cell>
        </row>
        <row r="936">
          <cell r="A936" t="str">
            <v>50004_1</v>
          </cell>
        </row>
        <row r="937">
          <cell r="A937" t="str">
            <v>50005_1</v>
          </cell>
        </row>
        <row r="938">
          <cell r="A938" t="str">
            <v>50006_1</v>
          </cell>
        </row>
        <row r="939">
          <cell r="A939" t="str">
            <v>50007_1</v>
          </cell>
        </row>
        <row r="940">
          <cell r="A940" t="str">
            <v>50008_1</v>
          </cell>
        </row>
        <row r="941">
          <cell r="A941" t="str">
            <v>50009_1</v>
          </cell>
        </row>
        <row r="942">
          <cell r="A942" t="str">
            <v>50010_1</v>
          </cell>
        </row>
        <row r="943">
          <cell r="A943" t="str">
            <v>50011_1</v>
          </cell>
        </row>
        <row r="944">
          <cell r="A944" t="str">
            <v>50012_1</v>
          </cell>
        </row>
        <row r="945">
          <cell r="A945" t="str">
            <v>50013_1</v>
          </cell>
        </row>
        <row r="946">
          <cell r="A946" t="str">
            <v>50014_1</v>
          </cell>
        </row>
        <row r="947">
          <cell r="A947" t="str">
            <v>50015_1</v>
          </cell>
        </row>
        <row r="948">
          <cell r="A948" t="str">
            <v>50016_1</v>
          </cell>
        </row>
        <row r="949">
          <cell r="A949" t="str">
            <v>51001_1</v>
          </cell>
        </row>
        <row r="950">
          <cell r="A950" t="str">
            <v>51002_1</v>
          </cell>
        </row>
        <row r="951">
          <cell r="A951" t="str">
            <v>58001_1</v>
          </cell>
        </row>
        <row r="952">
          <cell r="A952" t="str">
            <v>58002_1</v>
          </cell>
        </row>
        <row r="953">
          <cell r="A953" t="str">
            <v>59001_1</v>
          </cell>
        </row>
        <row r="954">
          <cell r="A954" t="str">
            <v>59002_1</v>
          </cell>
        </row>
        <row r="955">
          <cell r="A955" t="str">
            <v>59003_1</v>
          </cell>
        </row>
        <row r="956">
          <cell r="A956" t="str">
            <v>59003_2</v>
          </cell>
        </row>
        <row r="957">
          <cell r="A957" t="str">
            <v>60001_1</v>
          </cell>
        </row>
        <row r="958">
          <cell r="A958" t="str">
            <v>60002_1</v>
          </cell>
        </row>
        <row r="959">
          <cell r="A959" t="str">
            <v>60002_2</v>
          </cell>
        </row>
        <row r="960">
          <cell r="A960" t="str">
            <v>60003_1</v>
          </cell>
        </row>
        <row r="961">
          <cell r="A961" t="str">
            <v>60003_2</v>
          </cell>
        </row>
        <row r="962">
          <cell r="A962" t="str">
            <v>60003_3</v>
          </cell>
        </row>
        <row r="963">
          <cell r="A963" t="str">
            <v>60004_1</v>
          </cell>
        </row>
        <row r="964">
          <cell r="A964" t="str">
            <v>60005_1</v>
          </cell>
        </row>
        <row r="965">
          <cell r="A965" t="str">
            <v>60006_1</v>
          </cell>
        </row>
        <row r="966">
          <cell r="A966" t="str">
            <v>60006_2</v>
          </cell>
        </row>
        <row r="967">
          <cell r="A967" t="str">
            <v>60006_3</v>
          </cell>
        </row>
        <row r="968">
          <cell r="A968" t="str">
            <v>60007_1</v>
          </cell>
        </row>
        <row r="969">
          <cell r="A969" t="str">
            <v>60007_2</v>
          </cell>
        </row>
        <row r="970">
          <cell r="A970" t="str">
            <v>60007_3</v>
          </cell>
        </row>
        <row r="971">
          <cell r="A971" t="str">
            <v>60010_1</v>
          </cell>
        </row>
        <row r="972">
          <cell r="A972" t="str">
            <v>60011_1</v>
          </cell>
        </row>
        <row r="973">
          <cell r="A973" t="str">
            <v>60011_2</v>
          </cell>
        </row>
        <row r="974">
          <cell r="A974" t="str">
            <v>60012_1</v>
          </cell>
        </row>
        <row r="975">
          <cell r="A975" t="str">
            <v>60013_1</v>
          </cell>
        </row>
        <row r="976">
          <cell r="A976" t="str">
            <v>60013_2</v>
          </cell>
        </row>
        <row r="977">
          <cell r="A977" t="str">
            <v>60013_3</v>
          </cell>
        </row>
        <row r="978">
          <cell r="A978" t="str">
            <v>60014_1</v>
          </cell>
        </row>
        <row r="979">
          <cell r="A979" t="str">
            <v>60015_1</v>
          </cell>
        </row>
        <row r="980">
          <cell r="A980" t="str">
            <v>60016_1</v>
          </cell>
        </row>
        <row r="981">
          <cell r="A981" t="str">
            <v>60017_1</v>
          </cell>
        </row>
        <row r="982">
          <cell r="A982" t="str">
            <v>60018_1</v>
          </cell>
        </row>
        <row r="983">
          <cell r="A983" t="str">
            <v>60019_1</v>
          </cell>
        </row>
        <row r="984">
          <cell r="A984" t="str">
            <v>60020_1</v>
          </cell>
        </row>
        <row r="985">
          <cell r="A985" t="str">
            <v>60021_3</v>
          </cell>
        </row>
        <row r="986">
          <cell r="A986" t="str">
            <v>60022_3</v>
          </cell>
        </row>
        <row r="987">
          <cell r="A987" t="str">
            <v>60023_3</v>
          </cell>
        </row>
        <row r="988">
          <cell r="A988" t="str">
            <v>60024_3</v>
          </cell>
        </row>
        <row r="989">
          <cell r="A989" t="str">
            <v>60025_1</v>
          </cell>
        </row>
        <row r="990">
          <cell r="A990" t="str">
            <v>60026_1</v>
          </cell>
        </row>
        <row r="991">
          <cell r="A991" t="str">
            <v>61011_1</v>
          </cell>
        </row>
        <row r="992">
          <cell r="A992" t="str">
            <v>60027_1</v>
          </cell>
        </row>
        <row r="993">
          <cell r="A993" t="str">
            <v>60028_1</v>
          </cell>
        </row>
        <row r="994">
          <cell r="A994" t="str">
            <v>60029_1</v>
          </cell>
        </row>
        <row r="995">
          <cell r="A995" t="str">
            <v>60030_1</v>
          </cell>
        </row>
        <row r="996">
          <cell r="A996" t="str">
            <v>65523_1</v>
          </cell>
        </row>
        <row r="997">
          <cell r="A997" t="str">
            <v>65523_2</v>
          </cell>
        </row>
        <row r="998">
          <cell r="A998" t="str">
            <v>65523_3</v>
          </cell>
        </row>
        <row r="999">
          <cell r="A999" t="str">
            <v>65524_1</v>
          </cell>
        </row>
        <row r="1000">
          <cell r="A1000" t="str">
            <v>65524_2</v>
          </cell>
        </row>
        <row r="1001">
          <cell r="A1001" t="str">
            <v>65525_1</v>
          </cell>
        </row>
        <row r="1002">
          <cell r="A1002" t="str">
            <v>65526_1</v>
          </cell>
        </row>
        <row r="1003">
          <cell r="A1003" t="str">
            <v>65526_2</v>
          </cell>
        </row>
        <row r="1004">
          <cell r="A1004" t="str">
            <v>65527_1</v>
          </cell>
        </row>
        <row r="1005">
          <cell r="A1005" t="str">
            <v>65528_1</v>
          </cell>
        </row>
        <row r="1006">
          <cell r="A1006" t="str">
            <v>65529_1</v>
          </cell>
        </row>
        <row r="1007">
          <cell r="A1007" t="str">
            <v>65530_1</v>
          </cell>
        </row>
        <row r="1008">
          <cell r="A1008" t="str">
            <v>65531_1</v>
          </cell>
        </row>
        <row r="1009">
          <cell r="A1009" t="str">
            <v>65531_2</v>
          </cell>
        </row>
        <row r="1010">
          <cell r="A1010" t="str">
            <v>65532_1</v>
          </cell>
        </row>
        <row r="1011">
          <cell r="A1011" t="str">
            <v>65532_2</v>
          </cell>
        </row>
        <row r="1012">
          <cell r="A1012" t="str">
            <v>65533_1</v>
          </cell>
        </row>
        <row r="1013">
          <cell r="A1013" t="str">
            <v>65533_2</v>
          </cell>
        </row>
        <row r="1014">
          <cell r="A1014" t="str">
            <v>65534_1</v>
          </cell>
        </row>
        <row r="1015">
          <cell r="A1015" t="str">
            <v>65534_2</v>
          </cell>
        </row>
        <row r="1016">
          <cell r="A1016" t="str">
            <v>65535_1</v>
          </cell>
        </row>
        <row r="1017">
          <cell r="A1017" t="str">
            <v>65535_2</v>
          </cell>
        </row>
        <row r="1018">
          <cell r="A1018" t="str">
            <v>65535_3</v>
          </cell>
        </row>
        <row r="1019">
          <cell r="A1019" t="str">
            <v>65535_4</v>
          </cell>
        </row>
        <row r="1020">
          <cell r="A1020" t="str">
            <v>65535_5</v>
          </cell>
        </row>
        <row r="1021">
          <cell r="A1021" t="str">
            <v>65535_6</v>
          </cell>
        </row>
        <row r="1022">
          <cell r="A1022" t="str">
            <v>65535_7</v>
          </cell>
        </row>
        <row r="1023">
          <cell r="A1023" t="str">
            <v>65535_8</v>
          </cell>
        </row>
        <row r="1024">
          <cell r="A1024" t="str">
            <v>65535_9</v>
          </cell>
        </row>
        <row r="1025">
          <cell r="A102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1436</v>
          </cell>
        </row>
        <row r="1349">
          <cell r="A1349">
            <v>1437</v>
          </cell>
        </row>
        <row r="1350">
          <cell r="A1350">
            <v>1438</v>
          </cell>
        </row>
        <row r="1351">
          <cell r="A1351">
            <v>1439</v>
          </cell>
        </row>
        <row r="1352">
          <cell r="A1352">
            <v>1440</v>
          </cell>
        </row>
        <row r="1353">
          <cell r="A1353">
            <v>1441</v>
          </cell>
        </row>
        <row r="1354">
          <cell r="A1354">
            <v>1442</v>
          </cell>
        </row>
        <row r="1355">
          <cell r="A1355">
            <v>1443</v>
          </cell>
        </row>
        <row r="1356">
          <cell r="A1356">
            <v>1444</v>
          </cell>
        </row>
        <row r="1357">
          <cell r="A1357">
            <v>1445</v>
          </cell>
        </row>
        <row r="1358">
          <cell r="A1358">
            <v>1446</v>
          </cell>
        </row>
        <row r="1359">
          <cell r="A1359">
            <v>1447</v>
          </cell>
        </row>
        <row r="1360">
          <cell r="A1360">
            <v>1448</v>
          </cell>
        </row>
        <row r="1361">
          <cell r="A1361">
            <v>1449</v>
          </cell>
        </row>
        <row r="1362">
          <cell r="A1362">
            <v>1450</v>
          </cell>
        </row>
        <row r="1363">
          <cell r="A1363">
            <v>1451</v>
          </cell>
        </row>
        <row r="1364">
          <cell r="A1364">
            <v>1466</v>
          </cell>
        </row>
        <row r="1365">
          <cell r="A1365">
            <v>1467</v>
          </cell>
        </row>
        <row r="1366">
          <cell r="A1366">
            <v>1468</v>
          </cell>
        </row>
        <row r="1367">
          <cell r="A1367">
            <v>1469</v>
          </cell>
        </row>
        <row r="1368">
          <cell r="A1368">
            <v>1470</v>
          </cell>
        </row>
        <row r="1369">
          <cell r="A1369">
            <v>1471</v>
          </cell>
        </row>
        <row r="1370">
          <cell r="A1370">
            <v>1495</v>
          </cell>
        </row>
        <row r="1371">
          <cell r="A1371">
            <v>1496</v>
          </cell>
        </row>
        <row r="1372">
          <cell r="A1372">
            <v>1497</v>
          </cell>
        </row>
        <row r="1373">
          <cell r="A1373">
            <v>1498</v>
          </cell>
        </row>
        <row r="1374">
          <cell r="A1374">
            <v>1499</v>
          </cell>
        </row>
        <row r="1375">
          <cell r="A1375">
            <v>1500</v>
          </cell>
        </row>
        <row r="1376">
          <cell r="A1376">
            <v>1501</v>
          </cell>
        </row>
        <row r="1377">
          <cell r="A1377">
            <v>1502</v>
          </cell>
        </row>
        <row r="1378">
          <cell r="A1378">
            <v>1503</v>
          </cell>
        </row>
        <row r="1379">
          <cell r="A1379">
            <v>1504</v>
          </cell>
        </row>
        <row r="1380">
          <cell r="A1380">
            <v>1505</v>
          </cell>
        </row>
        <row r="1381">
          <cell r="A1381">
            <v>1506</v>
          </cell>
        </row>
        <row r="1382">
          <cell r="A1382">
            <v>1507</v>
          </cell>
        </row>
        <row r="1383">
          <cell r="A1383">
            <v>1508</v>
          </cell>
        </row>
        <row r="1384">
          <cell r="A1384">
            <v>1509</v>
          </cell>
        </row>
        <row r="1385">
          <cell r="A1385">
            <v>1510</v>
          </cell>
        </row>
        <row r="1386">
          <cell r="A1386">
            <v>1511</v>
          </cell>
        </row>
        <row r="1387">
          <cell r="A1387">
            <v>1512</v>
          </cell>
        </row>
        <row r="1388">
          <cell r="A1388">
            <v>1523</v>
          </cell>
        </row>
        <row r="1389">
          <cell r="A1389">
            <v>1524</v>
          </cell>
        </row>
        <row r="1390">
          <cell r="A1390">
            <v>1525</v>
          </cell>
        </row>
        <row r="1391">
          <cell r="A1391">
            <v>1526</v>
          </cell>
        </row>
        <row r="1392">
          <cell r="A1392">
            <v>1551</v>
          </cell>
        </row>
        <row r="1393">
          <cell r="A1393">
            <v>1552</v>
          </cell>
        </row>
        <row r="1394">
          <cell r="A1394">
            <v>1553</v>
          </cell>
        </row>
        <row r="1395">
          <cell r="A1395">
            <v>1554</v>
          </cell>
        </row>
        <row r="1396">
          <cell r="A1396">
            <v>1555</v>
          </cell>
        </row>
        <row r="1397">
          <cell r="A1397">
            <v>1556</v>
          </cell>
        </row>
        <row r="1398">
          <cell r="A1398">
            <v>1557</v>
          </cell>
        </row>
        <row r="1399">
          <cell r="A1399">
            <v>1558</v>
          </cell>
        </row>
        <row r="1400">
          <cell r="A1400">
            <v>1559</v>
          </cell>
        </row>
        <row r="1401">
          <cell r="A1401">
            <v>1560</v>
          </cell>
        </row>
        <row r="1402">
          <cell r="A1402">
            <v>1561</v>
          </cell>
        </row>
        <row r="1403">
          <cell r="A1403">
            <v>1562</v>
          </cell>
        </row>
        <row r="1404">
          <cell r="A1404">
            <v>1563</v>
          </cell>
        </row>
        <row r="1405">
          <cell r="A1405">
            <v>1564</v>
          </cell>
        </row>
        <row r="1406">
          <cell r="A1406">
            <v>1565</v>
          </cell>
        </row>
        <row r="1407">
          <cell r="A1407">
            <v>1566</v>
          </cell>
        </row>
        <row r="1408">
          <cell r="A1408">
            <v>1567</v>
          </cell>
        </row>
        <row r="1409">
          <cell r="A1409">
            <v>1568</v>
          </cell>
        </row>
        <row r="1410">
          <cell r="A1410">
            <v>1569</v>
          </cell>
        </row>
        <row r="1411">
          <cell r="A1411">
            <v>1570</v>
          </cell>
        </row>
        <row r="1412">
          <cell r="A1412">
            <v>1571</v>
          </cell>
        </row>
        <row r="1413">
          <cell r="A1413">
            <v>1572</v>
          </cell>
        </row>
        <row r="1414">
          <cell r="A1414">
            <v>1573</v>
          </cell>
        </row>
        <row r="1415">
          <cell r="A1415">
            <v>1574</v>
          </cell>
        </row>
        <row r="1416">
          <cell r="A1416">
            <v>1575</v>
          </cell>
        </row>
        <row r="1417">
          <cell r="A1417">
            <v>1576</v>
          </cell>
        </row>
        <row r="1418">
          <cell r="A1418">
            <v>1577</v>
          </cell>
        </row>
        <row r="1419">
          <cell r="A1419">
            <v>1578</v>
          </cell>
        </row>
        <row r="1420">
          <cell r="A1420">
            <v>1579</v>
          </cell>
        </row>
        <row r="1421">
          <cell r="A1421">
            <v>1580</v>
          </cell>
        </row>
        <row r="1422">
          <cell r="A1422">
            <v>1581</v>
          </cell>
        </row>
        <row r="1423">
          <cell r="A1423">
            <v>1582</v>
          </cell>
        </row>
        <row r="1424">
          <cell r="A1424">
            <v>1583</v>
          </cell>
        </row>
        <row r="1425">
          <cell r="A1425">
            <v>1584</v>
          </cell>
        </row>
        <row r="1426">
          <cell r="A1426">
            <v>1585</v>
          </cell>
        </row>
        <row r="1427">
          <cell r="A1427">
            <v>1586</v>
          </cell>
        </row>
        <row r="1428">
          <cell r="A1428">
            <v>1587</v>
          </cell>
        </row>
        <row r="1429">
          <cell r="A1429">
            <v>1588</v>
          </cell>
        </row>
        <row r="1430">
          <cell r="A1430">
            <v>5001</v>
          </cell>
        </row>
        <row r="1431">
          <cell r="A1431">
            <v>5002</v>
          </cell>
        </row>
        <row r="1432">
          <cell r="A1432">
            <v>5003</v>
          </cell>
        </row>
        <row r="1433">
          <cell r="A1433">
            <v>5004</v>
          </cell>
        </row>
        <row r="1434">
          <cell r="A1434">
            <v>5005</v>
          </cell>
        </row>
        <row r="1435">
          <cell r="A1435">
            <v>5006</v>
          </cell>
        </row>
        <row r="1436">
          <cell r="A1436">
            <v>5007</v>
          </cell>
        </row>
        <row r="1437">
          <cell r="A1437">
            <v>5008</v>
          </cell>
        </row>
        <row r="1438">
          <cell r="A1438">
            <v>6001</v>
          </cell>
        </row>
        <row r="1439">
          <cell r="A1439">
            <v>6002</v>
          </cell>
        </row>
        <row r="1440">
          <cell r="A1440">
            <v>6003</v>
          </cell>
        </row>
        <row r="1441">
          <cell r="A1441">
            <v>6004</v>
          </cell>
        </row>
        <row r="1442">
          <cell r="A1442">
            <v>6005</v>
          </cell>
        </row>
        <row r="1443">
          <cell r="A1443">
            <v>6006</v>
          </cell>
        </row>
        <row r="1444">
          <cell r="A1444">
            <v>6007</v>
          </cell>
        </row>
        <row r="1445">
          <cell r="A1445">
            <v>6008</v>
          </cell>
        </row>
        <row r="1446">
          <cell r="A1446">
            <v>6009</v>
          </cell>
        </row>
        <row r="1447">
          <cell r="A1447">
            <v>6010</v>
          </cell>
        </row>
        <row r="1448">
          <cell r="A1448">
            <v>6011</v>
          </cell>
        </row>
        <row r="1449">
          <cell r="A1449">
            <v>6012</v>
          </cell>
        </row>
        <row r="1450">
          <cell r="A1450">
            <v>6013</v>
          </cell>
        </row>
        <row r="1451">
          <cell r="A1451">
            <v>6014</v>
          </cell>
        </row>
        <row r="1452">
          <cell r="A1452">
            <v>6015</v>
          </cell>
        </row>
        <row r="1453">
          <cell r="A1453">
            <v>6016</v>
          </cell>
        </row>
        <row r="1454">
          <cell r="A1454">
            <v>6017</v>
          </cell>
        </row>
        <row r="1455">
          <cell r="A1455">
            <v>6018</v>
          </cell>
        </row>
        <row r="1456">
          <cell r="A1456">
            <v>6019</v>
          </cell>
        </row>
        <row r="1457">
          <cell r="A1457">
            <v>6020</v>
          </cell>
        </row>
        <row r="1458">
          <cell r="A1458">
            <v>8001</v>
          </cell>
        </row>
        <row r="1459">
          <cell r="A1459">
            <v>8002</v>
          </cell>
        </row>
        <row r="1460">
          <cell r="A1460">
            <v>8003</v>
          </cell>
        </row>
        <row r="1461">
          <cell r="A1461">
            <v>8004</v>
          </cell>
        </row>
        <row r="1462">
          <cell r="A1462">
            <v>8005</v>
          </cell>
        </row>
        <row r="1463">
          <cell r="A1463">
            <v>8006</v>
          </cell>
        </row>
        <row r="1464">
          <cell r="A1464">
            <v>8007</v>
          </cell>
        </row>
        <row r="1465">
          <cell r="A1465">
            <v>8008</v>
          </cell>
        </row>
        <row r="1466">
          <cell r="A1466">
            <v>8009</v>
          </cell>
        </row>
        <row r="1467">
          <cell r="A1467">
            <v>8010</v>
          </cell>
        </row>
        <row r="1468">
          <cell r="A1468">
            <v>8011</v>
          </cell>
        </row>
        <row r="1469">
          <cell r="A1469">
            <v>8012</v>
          </cell>
        </row>
        <row r="1470">
          <cell r="A1470">
            <v>8013</v>
          </cell>
        </row>
        <row r="1471">
          <cell r="A1471">
            <v>8014</v>
          </cell>
        </row>
        <row r="1472">
          <cell r="A1472">
            <v>8015</v>
          </cell>
        </row>
        <row r="1473">
          <cell r="A1473">
            <v>8016</v>
          </cell>
        </row>
        <row r="1474">
          <cell r="A1474">
            <v>8017</v>
          </cell>
        </row>
        <row r="1475">
          <cell r="A1475">
            <v>8018</v>
          </cell>
        </row>
        <row r="1476">
          <cell r="A1476">
            <v>8019</v>
          </cell>
        </row>
        <row r="1477">
          <cell r="A1477">
            <v>8020</v>
          </cell>
        </row>
        <row r="1478">
          <cell r="A1478">
            <v>8021</v>
          </cell>
        </row>
        <row r="1479">
          <cell r="A1479">
            <v>8022</v>
          </cell>
        </row>
        <row r="1480">
          <cell r="A1480">
            <v>8023</v>
          </cell>
        </row>
        <row r="1481">
          <cell r="A1481">
            <v>8024</v>
          </cell>
        </row>
        <row r="1482">
          <cell r="A1482">
            <v>8025</v>
          </cell>
        </row>
        <row r="1483">
          <cell r="A1483">
            <v>8026</v>
          </cell>
        </row>
        <row r="1484">
          <cell r="A1484">
            <v>8027</v>
          </cell>
        </row>
        <row r="1485">
          <cell r="A1485">
            <v>8028</v>
          </cell>
        </row>
        <row r="1486">
          <cell r="A1486">
            <v>8029</v>
          </cell>
        </row>
        <row r="1487">
          <cell r="A1487">
            <v>8030</v>
          </cell>
        </row>
        <row r="1488">
          <cell r="A1488">
            <v>8031</v>
          </cell>
        </row>
        <row r="1489">
          <cell r="A1489">
            <v>8032</v>
          </cell>
        </row>
        <row r="1490">
          <cell r="A1490">
            <v>8033</v>
          </cell>
        </row>
        <row r="1491">
          <cell r="A1491">
            <v>8034</v>
          </cell>
        </row>
        <row r="1492">
          <cell r="A1492">
            <v>8035</v>
          </cell>
        </row>
        <row r="1493">
          <cell r="A1493">
            <v>8036</v>
          </cell>
        </row>
        <row r="1494">
          <cell r="A1494">
            <v>8037</v>
          </cell>
        </row>
        <row r="1495">
          <cell r="A1495">
            <v>8038</v>
          </cell>
        </row>
        <row r="1496">
          <cell r="A1496">
            <v>8039</v>
          </cell>
        </row>
        <row r="1497">
          <cell r="A1497">
            <v>8040</v>
          </cell>
        </row>
        <row r="1498">
          <cell r="A1498">
            <v>8041</v>
          </cell>
        </row>
        <row r="1499">
          <cell r="A1499">
            <v>8042</v>
          </cell>
        </row>
        <row r="1500">
          <cell r="A1500">
            <v>8043</v>
          </cell>
        </row>
        <row r="1501">
          <cell r="A1501">
            <v>8044</v>
          </cell>
        </row>
        <row r="1502">
          <cell r="A1502">
            <v>8045</v>
          </cell>
        </row>
        <row r="1503">
          <cell r="A1503">
            <v>8046</v>
          </cell>
        </row>
        <row r="1504">
          <cell r="A1504">
            <v>8047</v>
          </cell>
        </row>
        <row r="1505">
          <cell r="A1505">
            <v>8048</v>
          </cell>
        </row>
        <row r="1506">
          <cell r="A1506">
            <v>8049</v>
          </cell>
        </row>
        <row r="1507">
          <cell r="A1507">
            <v>8050</v>
          </cell>
        </row>
        <row r="1508">
          <cell r="A1508">
            <v>8051</v>
          </cell>
        </row>
        <row r="1509">
          <cell r="A1509">
            <v>8052</v>
          </cell>
        </row>
        <row r="1510">
          <cell r="A1510">
            <v>8053</v>
          </cell>
        </row>
        <row r="1511">
          <cell r="A1511">
            <v>8054</v>
          </cell>
        </row>
        <row r="1512">
          <cell r="A1512">
            <v>8055</v>
          </cell>
        </row>
        <row r="1513">
          <cell r="A1513">
            <v>8056</v>
          </cell>
        </row>
        <row r="1514">
          <cell r="A1514">
            <v>8057</v>
          </cell>
        </row>
        <row r="1515">
          <cell r="A1515">
            <v>8058</v>
          </cell>
        </row>
        <row r="1516">
          <cell r="A1516">
            <v>8059</v>
          </cell>
        </row>
        <row r="1517">
          <cell r="A1517">
            <v>8060</v>
          </cell>
        </row>
        <row r="1518">
          <cell r="A1518">
            <v>8061</v>
          </cell>
        </row>
        <row r="1519">
          <cell r="A1519">
            <v>8062</v>
          </cell>
        </row>
        <row r="1520">
          <cell r="A1520">
            <v>8063</v>
          </cell>
        </row>
        <row r="1521">
          <cell r="A1521">
            <v>8064</v>
          </cell>
        </row>
        <row r="1522">
          <cell r="A1522">
            <v>8065</v>
          </cell>
        </row>
        <row r="1523">
          <cell r="A1523">
            <v>8066</v>
          </cell>
        </row>
        <row r="1524">
          <cell r="A1524">
            <v>8067</v>
          </cell>
        </row>
        <row r="1525">
          <cell r="A1525">
            <v>8068</v>
          </cell>
        </row>
        <row r="1526">
          <cell r="A1526">
            <v>8069</v>
          </cell>
        </row>
        <row r="1527">
          <cell r="A1527">
            <v>8070</v>
          </cell>
        </row>
        <row r="1528">
          <cell r="A1528">
            <v>8071</v>
          </cell>
        </row>
        <row r="1529">
          <cell r="A1529">
            <v>8072</v>
          </cell>
        </row>
        <row r="1530">
          <cell r="A1530">
            <v>8073</v>
          </cell>
        </row>
        <row r="1531">
          <cell r="A1531">
            <v>8074</v>
          </cell>
        </row>
        <row r="1532">
          <cell r="A1532">
            <v>8077</v>
          </cell>
        </row>
        <row r="1533">
          <cell r="A1533">
            <v>8078</v>
          </cell>
        </row>
        <row r="1534">
          <cell r="A1534">
            <v>8079</v>
          </cell>
        </row>
        <row r="1535">
          <cell r="A1535">
            <v>8080</v>
          </cell>
        </row>
        <row r="1536">
          <cell r="A1536">
            <v>8081</v>
          </cell>
        </row>
        <row r="1537">
          <cell r="A1537">
            <v>8082</v>
          </cell>
        </row>
        <row r="1538">
          <cell r="A1538">
            <v>8083</v>
          </cell>
        </row>
        <row r="1539">
          <cell r="A1539">
            <v>8084</v>
          </cell>
        </row>
        <row r="1540">
          <cell r="A1540">
            <v>8085</v>
          </cell>
        </row>
        <row r="1541">
          <cell r="A1541">
            <v>8086</v>
          </cell>
        </row>
        <row r="1542">
          <cell r="A1542">
            <v>8087</v>
          </cell>
        </row>
        <row r="1543">
          <cell r="A1543">
            <v>8088</v>
          </cell>
        </row>
        <row r="1544">
          <cell r="A1544">
            <v>8089</v>
          </cell>
        </row>
        <row r="1545">
          <cell r="A1545">
            <v>8090</v>
          </cell>
        </row>
        <row r="1546">
          <cell r="A1546">
            <v>8095</v>
          </cell>
        </row>
        <row r="1547">
          <cell r="A1547">
            <v>8096</v>
          </cell>
        </row>
        <row r="1548">
          <cell r="A1548">
            <v>8097</v>
          </cell>
        </row>
        <row r="1549">
          <cell r="A1549">
            <v>8098</v>
          </cell>
        </row>
        <row r="1550">
          <cell r="A1550">
            <v>8099</v>
          </cell>
        </row>
        <row r="1551">
          <cell r="A1551">
            <v>8100</v>
          </cell>
        </row>
        <row r="1552">
          <cell r="A1552">
            <v>8101</v>
          </cell>
        </row>
        <row r="1553">
          <cell r="A1553">
            <v>8102</v>
          </cell>
        </row>
        <row r="1554">
          <cell r="A1554">
            <v>8103</v>
          </cell>
        </row>
        <row r="1555">
          <cell r="A1555">
            <v>8104</v>
          </cell>
        </row>
        <row r="1556">
          <cell r="A1556">
            <v>8105</v>
          </cell>
        </row>
        <row r="1557">
          <cell r="A1557">
            <v>8106</v>
          </cell>
        </row>
        <row r="1558">
          <cell r="A1558">
            <v>8111</v>
          </cell>
        </row>
        <row r="1559">
          <cell r="A1559">
            <v>8112</v>
          </cell>
        </row>
        <row r="1560">
          <cell r="A1560">
            <v>8113</v>
          </cell>
        </row>
        <row r="1561">
          <cell r="A1561">
            <v>8114</v>
          </cell>
        </row>
        <row r="1562">
          <cell r="A1562">
            <v>8115</v>
          </cell>
        </row>
        <row r="1563">
          <cell r="A1563">
            <v>8116</v>
          </cell>
        </row>
        <row r="1564">
          <cell r="A1564">
            <v>8117</v>
          </cell>
        </row>
        <row r="1565">
          <cell r="A1565">
            <v>8118</v>
          </cell>
        </row>
        <row r="1566">
          <cell r="A1566">
            <v>8119</v>
          </cell>
        </row>
        <row r="1567">
          <cell r="A1567">
            <v>8120</v>
          </cell>
        </row>
        <row r="1568">
          <cell r="A1568">
            <v>8121</v>
          </cell>
        </row>
        <row r="1569">
          <cell r="A1569">
            <v>8122</v>
          </cell>
        </row>
        <row r="1570">
          <cell r="A1570">
            <v>9001</v>
          </cell>
        </row>
        <row r="1571">
          <cell r="A1571">
            <v>9002</v>
          </cell>
        </row>
        <row r="1572">
          <cell r="A1572">
            <v>9003</v>
          </cell>
        </row>
        <row r="1573">
          <cell r="A1573">
            <v>9004</v>
          </cell>
        </row>
        <row r="1574">
          <cell r="A1574">
            <v>9005</v>
          </cell>
        </row>
        <row r="1575">
          <cell r="A1575">
            <v>9006</v>
          </cell>
        </row>
        <row r="1576">
          <cell r="A1576">
            <v>9007</v>
          </cell>
        </row>
        <row r="1577">
          <cell r="A1577">
            <v>9008</v>
          </cell>
        </row>
        <row r="1578">
          <cell r="A1578">
            <v>10101</v>
          </cell>
        </row>
        <row r="1579">
          <cell r="A1579">
            <v>10102</v>
          </cell>
        </row>
        <row r="1580">
          <cell r="A158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3" sqref="B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301</v>
      </c>
      <c r="B2" s="57" t="s">
        <v>106</v>
      </c>
      <c r="C2" s="63">
        <v>65532</v>
      </c>
      <c r="D2" s="57" t="s">
        <v>107</v>
      </c>
      <c r="E2" s="56" t="str">
        <f>B2&amp;C2&amp;D2</f>
        <v>floors_65532.tmp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301</v>
      </c>
      <c r="B3" s="57" t="s">
        <v>109</v>
      </c>
      <c r="C3" s="63">
        <v>65532</v>
      </c>
      <c r="D3" s="57" t="s">
        <v>107</v>
      </c>
      <c r="E3" s="56" t="str">
        <f>B3&amp;C3&amp;D3</f>
        <v>enemy_habitats_65532.tmp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301</v>
      </c>
      <c r="B4" s="57" t="s">
        <v>111</v>
      </c>
      <c r="C4" s="63">
        <v>65532</v>
      </c>
      <c r="D4" s="57" t="s">
        <v>107</v>
      </c>
      <c r="E4" s="56" t="str">
        <f>B4&amp;C4&amp;D4</f>
        <v>enemy_habitat_S_65532.tmp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301</v>
      </c>
      <c r="B5" s="57" t="s">
        <v>113</v>
      </c>
      <c r="C5" s="63">
        <v>65532</v>
      </c>
      <c r="D5" s="57" t="s">
        <v>107</v>
      </c>
      <c r="E5" s="56" t="str">
        <f>B5&amp;C5&amp;D5</f>
        <v>enemy_skill_sets_65532.tmp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301</v>
      </c>
      <c r="B6" s="57" t="s">
        <v>115</v>
      </c>
      <c r="C6" s="63">
        <v>65532</v>
      </c>
      <c r="D6" s="57" t="s">
        <v>116</v>
      </c>
      <c r="E6" s="56" t="str">
        <f t="shared" ref="E6:E10" si="0">B6&amp;C6&amp;D6</f>
        <v>enemy_skills_tmp_65532.tmp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301</v>
      </c>
      <c r="B7" s="57" t="s">
        <v>117</v>
      </c>
      <c r="C7" s="63">
        <v>65532</v>
      </c>
      <c r="D7" s="57" t="s">
        <v>107</v>
      </c>
      <c r="E7" s="56" t="str">
        <f>B7&amp;C7&amp;D7</f>
        <v>enemy_skills_i18n_65532.tmp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301</v>
      </c>
      <c r="B8" s="57" t="s">
        <v>119</v>
      </c>
      <c r="C8" s="63">
        <v>65532</v>
      </c>
      <c r="D8" s="57" t="s">
        <v>120</v>
      </c>
      <c r="E8" s="56" t="str">
        <f t="shared" si="0"/>
        <v>enemy_skill_triggers_65532.tmp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301</v>
      </c>
      <c r="B9" s="68" t="s">
        <v>177</v>
      </c>
      <c r="C9" s="63">
        <v>65532</v>
      </c>
      <c r="D9" s="68" t="s">
        <v>171</v>
      </c>
      <c r="E9" s="69" t="str">
        <f t="shared" si="0"/>
        <v>stage_bug_bonuses_65532.tmp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187</v>
      </c>
      <c r="B10" s="68" t="s">
        <v>202</v>
      </c>
      <c r="C10" s="63">
        <v>65532</v>
      </c>
      <c r="D10" s="68" t="s">
        <v>180</v>
      </c>
      <c r="E10" s="69" t="str">
        <f t="shared" si="0"/>
        <v>stage_hints_data_c_65532.tmp</v>
      </c>
      <c r="F10" s="68" t="s">
        <v>211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187</v>
      </c>
      <c r="B11" s="68" t="s">
        <v>203</v>
      </c>
      <c r="C11" s="63">
        <v>65532</v>
      </c>
      <c r="D11" s="68" t="s">
        <v>171</v>
      </c>
      <c r="E11" s="69" t="str">
        <f t="shared" ref="E11:E13" si="1">B11&amp;C11&amp;D11</f>
        <v>stage_hints_data_f_65532.tmp</v>
      </c>
      <c r="F11" s="68" t="s">
        <v>213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8" t="s">
        <v>204</v>
      </c>
      <c r="B12" s="68" t="s">
        <v>205</v>
      </c>
      <c r="C12" s="63">
        <v>65532</v>
      </c>
      <c r="D12" s="68" t="s">
        <v>171</v>
      </c>
      <c r="E12" s="69" t="str">
        <f t="shared" si="1"/>
        <v>stage_hints_i18n_65532.tmp</v>
      </c>
      <c r="F12" s="68" t="s">
        <v>214</v>
      </c>
      <c r="G12" s="74" t="s">
        <v>206</v>
      </c>
      <c r="H12" s="96" t="s">
        <v>207</v>
      </c>
      <c r="I12" s="73" t="s">
        <v>208</v>
      </c>
      <c r="J12" s="100" t="s">
        <v>209</v>
      </c>
      <c r="K12" s="67" t="s">
        <v>210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8" t="s">
        <v>250</v>
      </c>
      <c r="B13" s="68" t="s">
        <v>249</v>
      </c>
      <c r="C13" s="63">
        <v>65532</v>
      </c>
      <c r="D13" s="68" t="s">
        <v>230</v>
      </c>
      <c r="E13" s="69" t="str">
        <f t="shared" si="1"/>
        <v>stage_bonuses_65532.tmp</v>
      </c>
      <c r="F13" s="68" t="s">
        <v>229</v>
      </c>
      <c r="G13" s="73" t="s">
        <v>231</v>
      </c>
      <c r="H13" s="73" t="s">
        <v>232</v>
      </c>
      <c r="I13" s="73" t="s">
        <v>233</v>
      </c>
      <c r="J13" s="73" t="s">
        <v>234</v>
      </c>
      <c r="K13" s="73" t="s">
        <v>235</v>
      </c>
      <c r="L13" s="73" t="s">
        <v>236</v>
      </c>
      <c r="M13" s="73" t="s">
        <v>237</v>
      </c>
      <c r="N13" s="73" t="s">
        <v>238</v>
      </c>
      <c r="O13" s="73" t="s">
        <v>239</v>
      </c>
      <c r="P13" s="73" t="s">
        <v>240</v>
      </c>
      <c r="Q13" s="73" t="s">
        <v>241</v>
      </c>
      <c r="R13" s="73" t="s">
        <v>242</v>
      </c>
      <c r="S13" s="73" t="s">
        <v>243</v>
      </c>
      <c r="T13" s="73" t="s">
        <v>244</v>
      </c>
      <c r="U13" s="73" t="s">
        <v>245</v>
      </c>
      <c r="V13" s="73" t="s">
        <v>246</v>
      </c>
      <c r="W13" s="73" t="s">
        <v>247</v>
      </c>
      <c r="X13" s="73" t="s">
        <v>248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E6" sqref="E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65532_1-1</v>
      </c>
      <c r="B2" s="16" t="str">
        <f>IF(COUNTIF(enemy_habitats!$H:$H,A2),"OK","NG")</f>
        <v>OK</v>
      </c>
      <c r="C2" s="7">
        <v>65532</v>
      </c>
      <c r="D2" s="11" t="str">
        <f ca="1">VLOOKUP($C2,OFFSET([2]quests!$A$1,0,0,COUNTA([2]quests!$A:$A),MATCH(D$1,[2]quests!$1:$1,0)-MATCH($C$1,[2]quests!$1:$1,0)+1),MATCH(D$1,[2]quests!$1:$1,0)-MATCH($C$1,[2]quests!$1:$1,0)+1,FALSE)</f>
        <v>【LB山川】検証クエスト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 t="shared" ref="G2:G9" si="1">C2&amp;"_"&amp;F2</f>
        <v>65532_1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【LB山川】検証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65532_1-2</v>
      </c>
      <c r="B3" s="16" t="str">
        <f>IF(COUNTIF(enemy_habitats!$H:$H,A3),"OK","NG")</f>
        <v>OK</v>
      </c>
      <c r="C3" s="7">
        <v>65532</v>
      </c>
      <c r="D3" s="11" t="str">
        <f ca="1">VLOOKUP($C3,OFFSET([2]quests!$A$1,0,0,COUNTA([2]quests!$A:$A),MATCH(D$1,[2]quests!$1:$1,0)-MATCH($C$1,[2]quests!$1:$1,0)+1),MATCH(D$1,[2]quests!$1:$1,0)-MATCH($C$1,[2]quests!$1:$1,0)+1,FALSE)</f>
        <v>【LB山川】検証クエスト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1</v>
      </c>
      <c r="G3" s="23" t="str">
        <f t="shared" si="1"/>
        <v>65532_1</v>
      </c>
      <c r="H3" s="15" t="str">
        <f ca="1">VLOOKUP($G3,OFFSET([2]stages!$A$1,0,0,COUNTA([2]stages!$A:$A),MATCH(H$1,[2]stages!$2:$2,0)-MATCH($G$1,[2]stages!$2:$2,0)+1),MATCH(H$1,[2]stages!$2:$2,0)-MATCH($G$1,[2]stages!$2:$2,0)+1,FALSE)</f>
        <v>【LB山川】検証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65532_1-3</v>
      </c>
      <c r="B4" s="16" t="str">
        <f>IF(COUNTIF(enemy_habitats!$H:$H,A4),"OK","NG")</f>
        <v>OK</v>
      </c>
      <c r="C4" s="7">
        <v>65532</v>
      </c>
      <c r="D4" s="11" t="str">
        <f ca="1">VLOOKUP($C4,OFFSET([2]quests!$A$1,0,0,COUNTA([2]quests!$A:$A),MATCH(D$1,[2]quests!$1:$1,0)-MATCH($C$1,[2]quests!$1:$1,0)+1),MATCH(D$1,[2]quests!$1:$1,0)-MATCH($C$1,[2]quests!$1:$1,0)+1,FALSE)</f>
        <v>【LB山川】検証クエスト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1</v>
      </c>
      <c r="G4" s="23" t="str">
        <f t="shared" si="1"/>
        <v>65532_1</v>
      </c>
      <c r="H4" s="15" t="str">
        <f ca="1">VLOOKUP($G4,OFFSET([2]stages!$A$1,0,0,COUNTA([2]stages!$A:$A),MATCH(H$1,[2]stages!$2:$2,0)-MATCH($G$1,[2]stages!$2:$2,0)+1),MATCH(H$1,[2]stages!$2:$2,0)-MATCH($G$1,[2]stages!$2:$2,0)+1,FALSE)</f>
        <v>【LB山川】検証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65532_1-4</v>
      </c>
      <c r="B5" s="16" t="str">
        <f>IF(COUNTIF(enemy_habitats!$H:$H,A5),"OK","NG")</f>
        <v>OK</v>
      </c>
      <c r="C5" s="7">
        <v>65532</v>
      </c>
      <c r="D5" s="11" t="str">
        <f ca="1">VLOOKUP($C5,OFFSET([2]quests!$A$1,0,0,COUNTA([2]quests!$A:$A),MATCH(D$1,[2]quests!$1:$1,0)-MATCH($C$1,[2]quests!$1:$1,0)+1),MATCH(D$1,[2]quests!$1:$1,0)-MATCH($C$1,[2]quests!$1:$1,0)+1,FALSE)</f>
        <v>【LB山川】検証クエスト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1</v>
      </c>
      <c r="G5" s="23" t="str">
        <f t="shared" si="1"/>
        <v>65532_1</v>
      </c>
      <c r="H5" s="15" t="str">
        <f ca="1">VLOOKUP($G5,OFFSET([2]stages!$A$1,0,0,COUNTA([2]stages!$A:$A),MATCH(H$1,[2]stages!$2:$2,0)-MATCH($G$1,[2]stages!$2:$2,0)+1),MATCH(H$1,[2]stages!$2:$2,0)-MATCH($G$1,[2]stages!$2:$2,0)+1,FALSE)</f>
        <v>【LB山川】検証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65532_2-1</v>
      </c>
      <c r="B6" s="16" t="str">
        <f>IF(COUNTIF(enemy_habitats!$H:$H,A6),"OK","NG")</f>
        <v>OK</v>
      </c>
      <c r="C6" s="7">
        <v>65532</v>
      </c>
      <c r="D6" s="11" t="str">
        <f ca="1">VLOOKUP($C6,OFFSET([2]quests!$A$1,0,0,COUNTA([2]quests!$A:$A),MATCH(D$1,[2]quests!$1:$1,0)-MATCH($C$1,[2]quests!$1:$1,0)+1),MATCH(D$1,[2]quests!$1:$1,0)-MATCH($C$1,[2]quests!$1:$1,0)+1,FALSE)</f>
        <v>【LB山川】検証クエスト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検証</v>
      </c>
      <c r="F6" s="21">
        <v>2</v>
      </c>
      <c r="G6" s="23" t="str">
        <f t="shared" si="1"/>
        <v>65532_2</v>
      </c>
      <c r="H6" s="15" t="str">
        <f ca="1">VLOOKUP($G6,OFFSET([2]stages!$A$1,0,0,COUNTA([2]stages!$A:$A),MATCH(H$1,[2]stages!$2:$2,0)-MATCH($G$1,[2]stages!$2:$2,0)+1),MATCH(H$1,[2]stages!$2:$2,0)-MATCH($G$1,[2]stages!$2:$2,0)+1,FALSE)</f>
        <v>【LB山川】検証プレイ用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65532_2-2</v>
      </c>
      <c r="B7" s="16" t="str">
        <f>IF(COUNTIF(enemy_habitats!$H:$H,A7),"OK","NG")</f>
        <v>OK</v>
      </c>
      <c r="C7" s="7">
        <v>65532</v>
      </c>
      <c r="D7" s="11" t="str">
        <f ca="1">VLOOKUP($C7,OFFSET([2]quests!$A$1,0,0,COUNTA([2]quests!$A:$A),MATCH(D$1,[2]quests!$1:$1,0)-MATCH($C$1,[2]quests!$1:$1,0)+1),MATCH(D$1,[2]quests!$1:$1,0)-MATCH($C$1,[2]quests!$1:$1,0)+1,FALSE)</f>
        <v>【LB山川】検証クエスト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検証</v>
      </c>
      <c r="F7" s="21">
        <v>2</v>
      </c>
      <c r="G7" s="23" t="str">
        <f t="shared" si="1"/>
        <v>65532_2</v>
      </c>
      <c r="H7" s="15" t="str">
        <f ca="1">VLOOKUP($G7,OFFSET([2]stages!$A$1,0,0,COUNTA([2]stages!$A:$A),MATCH(H$1,[2]stages!$2:$2,0)-MATCH($G$1,[2]stages!$2:$2,0)+1),MATCH(H$1,[2]stages!$2:$2,0)-MATCH($G$1,[2]stages!$2:$2,0)+1,FALSE)</f>
        <v>【LB山川】検証プレイ用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65532_2-3</v>
      </c>
      <c r="B8" s="16" t="str">
        <f>IF(COUNTIF(enemy_habitats!$H:$H,A8),"OK","NG")</f>
        <v>OK</v>
      </c>
      <c r="C8" s="7">
        <v>65532</v>
      </c>
      <c r="D8" s="11" t="str">
        <f ca="1">VLOOKUP($C8,OFFSET([2]quests!$A$1,0,0,COUNTA([2]quests!$A:$A),MATCH(D$1,[2]quests!$1:$1,0)-MATCH($C$1,[2]quests!$1:$1,0)+1),MATCH(D$1,[2]quests!$1:$1,0)-MATCH($C$1,[2]quests!$1:$1,0)+1,FALSE)</f>
        <v>【LB山川】検証クエスト</v>
      </c>
      <c r="E8" s="18" t="str">
        <f ca="1">VLOOKUP($C8,OFFSET([2]quests!$A$1,0,0,COUNTA([2]quests!$A:$A),MATCH(E$1,[2]quests!$1:$1,0)-MATCH($C$1,[2]quests!$1:$1,0)+1),MATCH(E$1,[2]quests!$1:$1,0)-MATCH($C$1,[2]quests!$1:$1,0)+1,FALSE)</f>
        <v>検証</v>
      </c>
      <c r="F8" s="21">
        <v>2</v>
      </c>
      <c r="G8" s="23" t="str">
        <f t="shared" si="1"/>
        <v>65532_2</v>
      </c>
      <c r="H8" s="15" t="str">
        <f ca="1">VLOOKUP($G8,OFFSET([2]stages!$A$1,0,0,COUNTA([2]stages!$A:$A),MATCH(H$1,[2]stages!$2:$2,0)-MATCH($G$1,[2]stages!$2:$2,0)+1),MATCH(H$1,[2]stages!$2:$2,0)-MATCH($G$1,[2]stages!$2:$2,0)+1,FALSE)</f>
        <v>【LB山川】検証プレイ用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65532_2-4</v>
      </c>
      <c r="B9" s="16" t="str">
        <f>IF(COUNTIF(enemy_habitats!$H:$H,A9),"OK","NG")</f>
        <v>OK</v>
      </c>
      <c r="C9" s="7">
        <v>65532</v>
      </c>
      <c r="D9" s="11" t="str">
        <f ca="1">VLOOKUP($C9,OFFSET([2]quests!$A$1,0,0,COUNTA([2]quests!$A:$A),MATCH(D$1,[2]quests!$1:$1,0)-MATCH($C$1,[2]quests!$1:$1,0)+1),MATCH(D$1,[2]quests!$1:$1,0)-MATCH($C$1,[2]quests!$1:$1,0)+1,FALSE)</f>
        <v>【LB山川】検証クエスト</v>
      </c>
      <c r="E9" s="18" t="str">
        <f ca="1">VLOOKUP($C9,OFFSET([2]quests!$A$1,0,0,COUNTA([2]quests!$A:$A),MATCH(E$1,[2]quests!$1:$1,0)-MATCH($C$1,[2]quests!$1:$1,0)+1),MATCH(E$1,[2]quests!$1:$1,0)-MATCH($C$1,[2]quests!$1:$1,0)+1,FALSE)</f>
        <v>検証</v>
      </c>
      <c r="F9" s="21">
        <v>2</v>
      </c>
      <c r="G9" s="23" t="str">
        <f t="shared" si="1"/>
        <v>65532_2</v>
      </c>
      <c r="H9" s="15" t="str">
        <f ca="1">VLOOKUP($G9,OFFSET([2]stages!$A$1,0,0,COUNTA([2]stages!$A:$A),MATCH(H$1,[2]stages!$2:$2,0)-MATCH($G$1,[2]stages!$2:$2,0)+1),MATCH(H$1,[2]stages!$2:$2,0)-MATCH($G$1,[2]stages!$2:$2,0)+1,FALSE)</f>
        <v>【LB山川】検証プレイ用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0"/>
  <sheetViews>
    <sheetView showGridLines="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N13" sqref="AN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251</v>
      </c>
      <c r="U1" s="26" t="s">
        <v>50</v>
      </c>
      <c r="V1" s="101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2" si="0">B2&amp;"_"&amp;C2&amp;"-"&amp;G2&amp;"/"&amp;L2&amp;"&lt;lv"&amp;R2&amp;"&gt;s"&amp;AC2</f>
        <v>65532_1-1/372&lt;lv50&gt;s2</v>
      </c>
      <c r="B2" s="22">
        <v>65532</v>
      </c>
      <c r="C2" s="21">
        <v>1</v>
      </c>
      <c r="D2" s="2" t="str">
        <f t="shared" ref="D2:D12" si="1">B2&amp;"_"&amp;C2</f>
        <v>65532_1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【LB山川】検証クエスト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【LB山川】検証</v>
      </c>
      <c r="G2" s="21">
        <v>1</v>
      </c>
      <c r="H2" s="15" t="str">
        <f t="shared" ref="H2:H12" si="2">B2&amp;"_"&amp;C2&amp;"-"&amp;G2</f>
        <v>65532_1-1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253</v>
      </c>
      <c r="L2" s="20">
        <v>372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バショー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5">
        <v>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10506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3028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" s="47">
        <v>65532001</v>
      </c>
      <c r="Z2" s="6">
        <v>1</v>
      </c>
      <c r="AA2" s="6">
        <v>100</v>
      </c>
      <c r="AB2" s="6">
        <v>0</v>
      </c>
      <c r="AC2" s="17">
        <v>2</v>
      </c>
      <c r="AD2" s="24">
        <v>372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12" ca="1" si="3">AF2</f>
        <v>2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65532_1-1/372&lt;lv60&gt;s2</v>
      </c>
      <c r="B3" s="22">
        <v>65532</v>
      </c>
      <c r="C3" s="21">
        <v>1</v>
      </c>
      <c r="D3" s="2" t="str">
        <f t="shared" si="1"/>
        <v>65532_1</v>
      </c>
      <c r="E3" s="4" t="str">
        <f ca="1">VLOOKUP($B3,OFFSET([2]quests!$A$1,0,0,COUNTA([2]quests!$A:$A),MATCH(E$1,[2]quests!$1:$1,0)-MATCH($B$1,[2]quests!$1:$1,0)+1),MATCH(E$1,[2]quests!$1:$1,0)-MATCH($B$1,[2]quests!$1:$1,0)+1,FALSE)</f>
        <v>【LB山川】検証クエスト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【LB山川】検証</v>
      </c>
      <c r="G3" s="21">
        <v>1</v>
      </c>
      <c r="H3" s="15" t="str">
        <f t="shared" si="2"/>
        <v>65532_1-1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253</v>
      </c>
      <c r="L3" s="20">
        <v>372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バショー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12546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3616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2ターン敵全体の攻撃力UP</v>
      </c>
      <c r="Y3" s="47">
        <v>65532002</v>
      </c>
      <c r="Z3" s="6">
        <v>1</v>
      </c>
      <c r="AA3" s="6">
        <v>100</v>
      </c>
      <c r="AB3" s="6">
        <v>0</v>
      </c>
      <c r="AC3" s="17">
        <v>2</v>
      </c>
      <c r="AD3" s="24">
        <v>372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3"/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65532_1-2/1236&lt;lv90&gt;s3</v>
      </c>
      <c r="B4" s="22">
        <v>65532</v>
      </c>
      <c r="C4" s="21">
        <v>1</v>
      </c>
      <c r="D4" s="2" t="str">
        <f t="shared" si="1"/>
        <v>65532_1</v>
      </c>
      <c r="E4" s="4" t="str">
        <f ca="1">VLOOKUP($B4,OFFSET([2]quests!$A$1,0,0,COUNTA([2]quests!$A:$A),MATCH(E$1,[2]quests!$1:$1,0)-MATCH($B$1,[2]quests!$1:$1,0)+1),MATCH(E$1,[2]quests!$1:$1,0)-MATCH($B$1,[2]quests!$1:$1,0)+1,FALSE)</f>
        <v>【LB山川】検証クエスト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【LB山川】検証</v>
      </c>
      <c r="G4" s="21">
        <v>2</v>
      </c>
      <c r="H4" s="15" t="str">
        <f t="shared" si="2"/>
        <v>65532_1-2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253</v>
      </c>
      <c r="L4" s="20">
        <v>1236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千利休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90</v>
      </c>
      <c r="S4" s="25">
        <v>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116571</v>
      </c>
      <c r="U4" s="25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9371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4" s="47">
        <v>65532003</v>
      </c>
      <c r="Z4" s="6">
        <v>1</v>
      </c>
      <c r="AA4" s="6">
        <v>100</v>
      </c>
      <c r="AB4" s="6">
        <v>1</v>
      </c>
      <c r="AC4" s="17">
        <v>3</v>
      </c>
      <c r="AD4" s="24">
        <v>1236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65532_1-2/47&lt;lv60&gt;s2</v>
      </c>
      <c r="B5" s="22">
        <v>65532</v>
      </c>
      <c r="C5" s="21">
        <v>1</v>
      </c>
      <c r="D5" s="2" t="str">
        <f t="shared" si="1"/>
        <v>65532_1</v>
      </c>
      <c r="E5" s="4" t="str">
        <f ca="1">VLOOKUP($B5,OFFSET([2]quests!$A$1,0,0,COUNTA([2]quests!$A:$A),MATCH(E$1,[2]quests!$1:$1,0)-MATCH($B$1,[2]quests!$1:$1,0)+1),MATCH(E$1,[2]quests!$1:$1,0)-MATCH($B$1,[2]quests!$1:$1,0)+1,FALSE)</f>
        <v>【LB山川】検証クエスト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【LB山川】検証</v>
      </c>
      <c r="G5" s="21">
        <v>2</v>
      </c>
      <c r="H5" s="15" t="str">
        <f t="shared" si="2"/>
        <v>65532_1-2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253</v>
      </c>
      <c r="L5" s="20">
        <v>47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ヒロ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5">
        <v>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12054</v>
      </c>
      <c r="U5" s="25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5452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全体攻撃</v>
      </c>
      <c r="Y5" s="62">
        <v>65532004</v>
      </c>
      <c r="Z5" s="6">
        <v>1</v>
      </c>
      <c r="AA5" s="6">
        <v>100</v>
      </c>
      <c r="AB5" s="6">
        <v>0</v>
      </c>
      <c r="AC5" s="17">
        <v>2</v>
      </c>
      <c r="AD5" s="24">
        <v>47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ヒロ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3"/>
        <v>2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65532_1-3/366&lt;lv60&gt;s1</v>
      </c>
      <c r="B6" s="22">
        <v>65532</v>
      </c>
      <c r="C6" s="21">
        <v>1</v>
      </c>
      <c r="D6" s="2" t="str">
        <f t="shared" si="1"/>
        <v>65532_1</v>
      </c>
      <c r="E6" s="4" t="str">
        <f ca="1">VLOOKUP($B6,OFFSET([2]quests!$A$1,0,0,COUNTA([2]quests!$A:$A),MATCH(E$1,[2]quests!$1:$1,0)-MATCH($B$1,[2]quests!$1:$1,0)+1),MATCH(E$1,[2]quests!$1:$1,0)-MATCH($B$1,[2]quests!$1:$1,0)+1,FALSE)</f>
        <v>【LB山川】検証クエスト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【LB山川】検証</v>
      </c>
      <c r="G6" s="21">
        <v>3</v>
      </c>
      <c r="H6" s="15" t="str">
        <f t="shared" si="2"/>
        <v>65532_1-3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253</v>
      </c>
      <c r="L6" s="20">
        <v>366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トト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60</v>
      </c>
      <c r="S6" s="25">
        <v>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12054</v>
      </c>
      <c r="U6" s="25">
        <v>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4100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単体に中ダメージ</v>
      </c>
      <c r="Y6" s="62">
        <v>65532005</v>
      </c>
      <c r="Z6" s="6">
        <v>1</v>
      </c>
      <c r="AA6" s="6">
        <v>100</v>
      </c>
      <c r="AB6" s="6">
        <v>0</v>
      </c>
      <c r="AC6" s="17">
        <v>1</v>
      </c>
      <c r="AD6" s="24">
        <v>366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トト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3"/>
        <v>2</v>
      </c>
      <c r="AJ6" s="8">
        <v>20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65532_1-3/372&lt;lv60&gt;s2</v>
      </c>
      <c r="B7" s="22">
        <v>65532</v>
      </c>
      <c r="C7" s="21">
        <v>1</v>
      </c>
      <c r="D7" s="2" t="str">
        <f t="shared" si="1"/>
        <v>65532_1</v>
      </c>
      <c r="E7" s="4" t="str">
        <f ca="1">VLOOKUP($B7,OFFSET([2]quests!$A$1,0,0,COUNTA([2]quests!$A:$A),MATCH(E$1,[2]quests!$1:$1,0)-MATCH($B$1,[2]quests!$1:$1,0)+1),MATCH(E$1,[2]quests!$1:$1,0)-MATCH($B$1,[2]quests!$1:$1,0)+1,FALSE)</f>
        <v>【LB山川】検証クエスト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【LB山川】検証</v>
      </c>
      <c r="G7" s="21">
        <v>3</v>
      </c>
      <c r="H7" s="15" t="str">
        <f t="shared" si="2"/>
        <v>65532_1-3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253</v>
      </c>
      <c r="L7" s="20">
        <v>372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バショー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60</v>
      </c>
      <c r="S7" s="25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12546</v>
      </c>
      <c r="U7" s="25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3616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全体攻撃</v>
      </c>
      <c r="Y7" s="62">
        <v>65532006</v>
      </c>
      <c r="Z7" s="6">
        <v>1</v>
      </c>
      <c r="AA7" s="6">
        <v>100</v>
      </c>
      <c r="AB7" s="6">
        <v>0</v>
      </c>
      <c r="AC7" s="17">
        <v>2</v>
      </c>
      <c r="AD7" s="24">
        <v>372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3"/>
        <v>2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65532_1-3/366&lt;lv55&gt;s1</v>
      </c>
      <c r="B8" s="22">
        <v>65532</v>
      </c>
      <c r="C8" s="21">
        <v>1</v>
      </c>
      <c r="D8" s="2" t="str">
        <f t="shared" si="1"/>
        <v>65532_1</v>
      </c>
      <c r="E8" s="4" t="str">
        <f ca="1">VLOOKUP($B8,OFFSET([2]quests!$A$1,0,0,COUNTA([2]quests!$A:$A),MATCH(E$1,[2]quests!$1:$1,0)-MATCH($B$1,[2]quests!$1:$1,0)+1),MATCH(E$1,[2]quests!$1:$1,0)-MATCH($B$1,[2]quests!$1:$1,0)+1,FALSE)</f>
        <v>【LB山川】検証クエスト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【LB山川】検証</v>
      </c>
      <c r="G8" s="21">
        <v>3</v>
      </c>
      <c r="H8" s="15" t="str">
        <f t="shared" si="2"/>
        <v>65532_1-3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253</v>
      </c>
      <c r="L8" s="20">
        <v>366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トト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55</v>
      </c>
      <c r="S8" s="25">
        <v>1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11074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3766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単体に中ダメージ</v>
      </c>
      <c r="Y8" s="62">
        <v>65532005</v>
      </c>
      <c r="Z8" s="6">
        <v>1</v>
      </c>
      <c r="AA8" s="6">
        <v>100</v>
      </c>
      <c r="AB8" s="6">
        <v>0</v>
      </c>
      <c r="AC8" s="17">
        <v>1</v>
      </c>
      <c r="AD8" s="24">
        <v>366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トト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3"/>
        <v>2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65532_1-4/1236&lt;lv100&gt;s2</v>
      </c>
      <c r="B9" s="22">
        <v>65532</v>
      </c>
      <c r="C9" s="21">
        <v>1</v>
      </c>
      <c r="D9" s="2" t="str">
        <f t="shared" si="1"/>
        <v>65532_1</v>
      </c>
      <c r="E9" s="4" t="str">
        <f ca="1">VLOOKUP($B9,OFFSET([2]quests!$A$1,0,0,COUNTA([2]quests!$A:$A),MATCH(E$1,[2]quests!$1:$1,0)-MATCH($B$1,[2]quests!$1:$1,0)+1),MATCH(E$1,[2]quests!$1:$1,0)-MATCH($B$1,[2]quests!$1:$1,0)+1,FALSE)</f>
        <v>【LB山川】検証クエスト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【LB山川】検証</v>
      </c>
      <c r="G9" s="21">
        <v>4</v>
      </c>
      <c r="H9" s="15" t="str">
        <f t="shared" si="2"/>
        <v>65532_1-4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1236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千利休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100</v>
      </c>
      <c r="S9" s="25">
        <v>1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129311</v>
      </c>
      <c r="U9" s="25">
        <v>1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10395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4ターンウィルス</v>
      </c>
      <c r="Y9" s="104">
        <v>65532007</v>
      </c>
      <c r="Z9" s="6">
        <v>1</v>
      </c>
      <c r="AA9" s="6">
        <v>100</v>
      </c>
      <c r="AB9" s="6">
        <v>1</v>
      </c>
      <c r="AC9" s="17">
        <v>2</v>
      </c>
      <c r="AD9" s="24">
        <v>1236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ca="1" si="3"/>
        <v>4</v>
      </c>
      <c r="AJ9" s="8">
        <v>80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65532_1-4/47&lt;lv70&gt;s2</v>
      </c>
      <c r="B10" s="22">
        <v>65532</v>
      </c>
      <c r="C10" s="21">
        <v>1</v>
      </c>
      <c r="D10" s="2" t="str">
        <f t="shared" si="1"/>
        <v>65532_1</v>
      </c>
      <c r="E10" s="4" t="str">
        <f ca="1">VLOOKUP($B10,OFFSET([2]quests!$A$1,0,0,COUNTA([2]quests!$A:$A),MATCH(E$1,[2]quests!$1:$1,0)-MATCH($B$1,[2]quests!$1:$1,0)+1),MATCH(E$1,[2]quests!$1:$1,0)-MATCH($B$1,[2]quests!$1:$1,0)+1,FALSE)</f>
        <v>【LB山川】検証クエスト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【LB山川】検証</v>
      </c>
      <c r="G10" s="21">
        <v>4</v>
      </c>
      <c r="H10" s="15" t="str">
        <f t="shared" si="2"/>
        <v>65532_1-4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253</v>
      </c>
      <c r="L10" s="20">
        <v>47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ヒロ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70</v>
      </c>
      <c r="S10" s="25">
        <v>1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14014</v>
      </c>
      <c r="U10" s="25">
        <v>1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6339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単体に大ダメージ</v>
      </c>
      <c r="Y10" s="104">
        <v>65532008</v>
      </c>
      <c r="Z10" s="6">
        <v>1</v>
      </c>
      <c r="AA10" s="6">
        <v>100</v>
      </c>
      <c r="AB10" s="6">
        <v>0</v>
      </c>
      <c r="AC10" s="17">
        <v>2</v>
      </c>
      <c r="AD10" s="24">
        <v>47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ヒロ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ca="1" si="3"/>
        <v>2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thickBot="1" x14ac:dyDescent="0.2">
      <c r="A11" s="126" t="str">
        <f t="shared" si="0"/>
        <v>65532_1-4/47&lt;lv65&gt;s1</v>
      </c>
      <c r="B11" s="127">
        <v>65532</v>
      </c>
      <c r="C11" s="128">
        <v>1</v>
      </c>
      <c r="D11" s="129" t="str">
        <f t="shared" si="1"/>
        <v>65532_1</v>
      </c>
      <c r="E11" s="130" t="str">
        <f ca="1">VLOOKUP($B11,OFFSET([2]quests!$A$1,0,0,COUNTA([2]quests!$A:$A),MATCH(E$1,[2]quests!$1:$1,0)-MATCH($B$1,[2]quests!$1:$1,0)+1),MATCH(E$1,[2]quests!$1:$1,0)-MATCH($B$1,[2]quests!$1:$1,0)+1,FALSE)</f>
        <v>【LB山川】検証クエスト</v>
      </c>
      <c r="F11" s="130" t="str">
        <f ca="1">VLOOKUP($D11,OFFSET([2]stages!$A$1,0,0,COUNTA([2]stages!$A:$A),MATCH(F$1,[2]stages!$2:$2,0)-MATCH($D$1,[2]stages!$2:$2,0)+1),MATCH(F$1,[2]stages!$2:$2,0)-MATCH($D$1,[2]stages!$2:$2,0)+1,FALSE)</f>
        <v>【LB山川】検証</v>
      </c>
      <c r="G11" s="128">
        <v>4</v>
      </c>
      <c r="H11" s="129" t="str">
        <f t="shared" si="2"/>
        <v>65532_1-4</v>
      </c>
      <c r="I11" s="130">
        <f ca="1">VLOOKUP($H11,OFFSET(floors!$A$1,0,0,COUNTA(floors!$A:$A),MATCH(I$1,floors!$1:$1,0)-MATCH($H$1,floors!$1:$1,0)+1),MATCH(I$1,floors!$1:$1,0)-MATCH($H$1,floors!$1:$1,0)+1,FALSE)</f>
        <v>60</v>
      </c>
      <c r="J11" s="130">
        <f ca="1">VLOOKUP($H11,OFFSET(floors!$A$1,0,0,COUNTA(floors!$A:$A),MATCH(J$1,floors!$1:$1,0)-MATCH($H$1,floors!$1:$1,0)+1),MATCH(J$1,floors!$1:$1,0)-MATCH($H$1,floors!$1:$1,0)+1,FALSE)</f>
        <v>60</v>
      </c>
      <c r="K11" s="131" t="s">
        <v>253</v>
      </c>
      <c r="L11" s="132">
        <v>47</v>
      </c>
      <c r="M11" s="133" t="str">
        <f ca="1">VLOOKUP($L11,OFFSET([3]enemies!$A$1,0,0,COUNTA([3]enemies!$A:$A),MATCH(M$1,[3]enemies!$1:$1,0)-MATCH($L$1,[3]enemies!$1:$1,0)+1),MATCH(M$1,[3]enemies!$1:$1,0)-MATCH($L$1,[3]enemies!$1:$1,0)+1,FALSE)</f>
        <v>ヒロ</v>
      </c>
      <c r="N11" s="133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33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33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33">
        <f ca="1">VLOOKUP($L11,OFFSET([3]enemies!$A$1,0,0,COUNTA([3]enemies!$A:$A),MATCH(Q$1,[3]enemies!$1:$1,0)-MATCH($L$1,[3]enemies!$1:$1,0)+1),MATCH(Q$1,[3]enemies!$1:$1,0)-MATCH($L$1,[3]enemies!$1:$1,0)+1,FALSE)</f>
        <v>15</v>
      </c>
      <c r="R11" s="134">
        <v>65</v>
      </c>
      <c r="S11" s="135">
        <v>1</v>
      </c>
      <c r="T11" s="136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13034</v>
      </c>
      <c r="U11" s="135">
        <v>1</v>
      </c>
      <c r="V11" s="136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5896</v>
      </c>
      <c r="W11" s="134">
        <v>0</v>
      </c>
      <c r="X11" s="130" t="str">
        <f ca="1">VLOOKUP($Y11,OFFSET(enemy_skill_sets!$B$1,0,0,COUNTA(enemy_skill_sets!$B:$B),MATCH(M$1,enemy_skill_sets!$1:$1,0)-MATCH($Y$1,enemy_skill_sets!$1:$1,0)+2),MATCH(M$1,enemy_skill_sets!$1:$1,0)-MATCH($Y$1,enemy_skill_sets!$1:$1,0)+2,FALSE)</f>
        <v>4ターンウィルス</v>
      </c>
      <c r="Y11" s="108">
        <v>65532009</v>
      </c>
      <c r="Z11" s="137">
        <v>1</v>
      </c>
      <c r="AA11" s="137">
        <v>100</v>
      </c>
      <c r="AB11" s="137">
        <v>0</v>
      </c>
      <c r="AC11" s="133">
        <v>1</v>
      </c>
      <c r="AD11" s="138">
        <v>47</v>
      </c>
      <c r="AE11" s="130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ヒロ</v>
      </c>
      <c r="AF11" s="130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130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139">
        <v>1</v>
      </c>
      <c r="AI11" s="138">
        <f t="shared" ca="1" si="3"/>
        <v>2</v>
      </c>
      <c r="AJ11" s="140">
        <v>20</v>
      </c>
      <c r="AK11" s="139">
        <v>0</v>
      </c>
      <c r="AL11" s="139">
        <v>0</v>
      </c>
      <c r="AM11" s="139">
        <v>0</v>
      </c>
      <c r="AN11" s="139">
        <v>0</v>
      </c>
      <c r="AO11" s="139">
        <v>1</v>
      </c>
      <c r="AP11" s="141">
        <v>1</v>
      </c>
    </row>
    <row r="12" spans="1:42" ht="21" customHeight="1" x14ac:dyDescent="0.15">
      <c r="A12" s="16" t="str">
        <f t="shared" si="0"/>
        <v>65532_2-1/55&lt;lv51&gt;s2</v>
      </c>
      <c r="B12" s="22">
        <v>65532</v>
      </c>
      <c r="C12" s="21">
        <v>2</v>
      </c>
      <c r="D12" s="2" t="str">
        <f t="shared" si="1"/>
        <v>65532_2</v>
      </c>
      <c r="E12" s="4" t="str">
        <f ca="1">VLOOKUP($B12,OFFSET([2]quests!$A$1,0,0,COUNTA([2]quests!$A:$A),MATCH(E$1,[2]quests!$1:$1,0)-MATCH($B$1,[2]quests!$1:$1,0)+1),MATCH(E$1,[2]quests!$1:$1,0)-MATCH($B$1,[2]quests!$1:$1,0)+1,FALSE)</f>
        <v>【LB山川】検証クエスト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【LB山川】検証プレイ用</v>
      </c>
      <c r="G12" s="21">
        <v>1</v>
      </c>
      <c r="H12" s="15" t="str">
        <f t="shared" si="2"/>
        <v>65532_2-1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88</v>
      </c>
      <c r="L12" s="20">
        <v>55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マミコ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51</v>
      </c>
      <c r="S12" s="25">
        <v>1.5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14509.5</v>
      </c>
      <c r="U12" s="25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3150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2" s="104">
        <v>65532012</v>
      </c>
      <c r="Z12" s="6">
        <v>1</v>
      </c>
      <c r="AA12" s="6">
        <v>100</v>
      </c>
      <c r="AB12" s="6">
        <v>0</v>
      </c>
      <c r="AC12" s="17">
        <v>2</v>
      </c>
      <c r="AD12" s="24">
        <v>55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4">
        <f t="shared" ca="1" si="3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ref="A13:A20" si="4">B13&amp;"_"&amp;C13&amp;"-"&amp;G13&amp;"/"&amp;L13&amp;"&lt;lv"&amp;R13&amp;"&gt;s"&amp;AC13</f>
        <v>65532_2-1/1236&lt;lv50&gt;s2</v>
      </c>
      <c r="B13" s="22">
        <v>65532</v>
      </c>
      <c r="C13" s="114">
        <v>2</v>
      </c>
      <c r="D13" s="115" t="str">
        <f t="shared" ref="D13:D20" si="5">B13&amp;"_"&amp;C13</f>
        <v>65532_2</v>
      </c>
      <c r="E13" s="4" t="str">
        <f ca="1">VLOOKUP($B13,OFFSET([2]quests!$A$1,0,0,COUNTA([2]quests!$A:$A),MATCH(E$1,[2]quests!$1:$1,0)-MATCH($B$1,[2]quests!$1:$1,0)+1),MATCH(E$1,[2]quests!$1:$1,0)-MATCH($B$1,[2]quests!$1:$1,0)+1,FALSE)</f>
        <v>【LB山川】検証クエスト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【LB山川】検証プレイ用</v>
      </c>
      <c r="G13" s="114">
        <v>1</v>
      </c>
      <c r="H13" s="115" t="str">
        <f t="shared" ref="H13:H20" si="6">B13&amp;"_"&amp;C13&amp;"-"&amp;G13</f>
        <v>65532_2-1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16" t="s">
        <v>253</v>
      </c>
      <c r="L13" s="117">
        <v>1236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千利休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118">
        <v>50</v>
      </c>
      <c r="S13" s="119">
        <v>1.2</v>
      </c>
      <c r="T13" s="120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78733.2</v>
      </c>
      <c r="U13" s="119">
        <v>1</v>
      </c>
      <c r="V13" s="120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5274</v>
      </c>
      <c r="W13" s="118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2ターンウィルス+単体攻撃</v>
      </c>
      <c r="Y13" s="104">
        <v>65532011</v>
      </c>
      <c r="Z13" s="121">
        <v>1</v>
      </c>
      <c r="AA13" s="121">
        <v>100</v>
      </c>
      <c r="AB13" s="121">
        <v>1</v>
      </c>
      <c r="AC13" s="17">
        <v>2</v>
      </c>
      <c r="AD13" s="122">
        <v>1236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123">
        <v>1</v>
      </c>
      <c r="AI13" s="122">
        <f t="shared" ref="AI13:AI20" ca="1" si="7">AF13</f>
        <v>4</v>
      </c>
      <c r="AJ13" s="124">
        <v>0</v>
      </c>
      <c r="AK13" s="123">
        <v>0</v>
      </c>
      <c r="AL13" s="123">
        <v>0</v>
      </c>
      <c r="AM13" s="123">
        <v>0</v>
      </c>
      <c r="AN13" s="123">
        <v>0</v>
      </c>
      <c r="AO13" s="123">
        <v>1</v>
      </c>
      <c r="AP13" s="125">
        <v>1</v>
      </c>
    </row>
    <row r="14" spans="1:42" ht="21" customHeight="1" x14ac:dyDescent="0.15">
      <c r="A14" s="16" t="str">
        <f t="shared" si="4"/>
        <v>65532_2-1/55&lt;lv50&gt;s2</v>
      </c>
      <c r="B14" s="22">
        <v>65532</v>
      </c>
      <c r="C14" s="21">
        <v>2</v>
      </c>
      <c r="D14" s="2" t="str">
        <f t="shared" si="5"/>
        <v>65532_2</v>
      </c>
      <c r="E14" s="4" t="str">
        <f ca="1">VLOOKUP($B14,OFFSET([2]quests!$A$1,0,0,COUNTA([2]quests!$A:$A),MATCH(E$1,[2]quests!$1:$1,0)-MATCH($B$1,[2]quests!$1:$1,0)+1),MATCH(E$1,[2]quests!$1:$1,0)-MATCH($B$1,[2]quests!$1:$1,0)+1,FALSE)</f>
        <v>【LB山川】検証クエスト</v>
      </c>
      <c r="F14" s="4" t="str">
        <f ca="1">VLOOKUP($D14,OFFSET([2]stages!$A$1,0,0,COUNTA([2]stages!$A:$A),MATCH(F$1,[2]stages!$2:$2,0)-MATCH($D$1,[2]stages!$2:$2,0)+1),MATCH(F$1,[2]stages!$2:$2,0)-MATCH($D$1,[2]stages!$2:$2,0)+1,FALSE)</f>
        <v>【LB山川】検証プレイ用</v>
      </c>
      <c r="G14" s="21">
        <v>1</v>
      </c>
      <c r="H14" s="15" t="str">
        <f t="shared" si="6"/>
        <v>65532_2-1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253</v>
      </c>
      <c r="L14" s="20">
        <v>55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マミコ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50</v>
      </c>
      <c r="S14" s="25">
        <v>1.5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14232</v>
      </c>
      <c r="U14" s="25">
        <v>1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3090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4" s="104">
        <v>65532012</v>
      </c>
      <c r="Z14" s="6">
        <v>1</v>
      </c>
      <c r="AA14" s="6">
        <v>100</v>
      </c>
      <c r="AB14" s="6">
        <v>0</v>
      </c>
      <c r="AC14" s="17">
        <v>2</v>
      </c>
      <c r="AD14" s="24">
        <v>55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4">
        <f t="shared" ca="1" si="7"/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4"/>
        <v>65532_2-2/32&lt;lv60&gt;s2</v>
      </c>
      <c r="B15" s="22">
        <v>65532</v>
      </c>
      <c r="C15" s="21">
        <v>2</v>
      </c>
      <c r="D15" s="2" t="str">
        <f t="shared" si="5"/>
        <v>65532_2</v>
      </c>
      <c r="E15" s="4" t="str">
        <f ca="1">VLOOKUP($B15,OFFSET([2]quests!$A$1,0,0,COUNTA([2]quests!$A:$A),MATCH(E$1,[2]quests!$1:$1,0)-MATCH($B$1,[2]quests!$1:$1,0)+1),MATCH(E$1,[2]quests!$1:$1,0)-MATCH($B$1,[2]quests!$1:$1,0)+1,FALSE)</f>
        <v>【LB山川】検証クエスト</v>
      </c>
      <c r="F15" s="4" t="str">
        <f ca="1">VLOOKUP($D15,OFFSET([2]stages!$A$1,0,0,COUNTA([2]stages!$A:$A),MATCH(F$1,[2]stages!$2:$2,0)-MATCH($D$1,[2]stages!$2:$2,0)+1),MATCH(F$1,[2]stages!$2:$2,0)-MATCH($D$1,[2]stages!$2:$2,0)+1,FALSE)</f>
        <v>【LB山川】検証プレイ用</v>
      </c>
      <c r="G15" s="21">
        <v>2</v>
      </c>
      <c r="H15" s="15" t="str">
        <f t="shared" si="6"/>
        <v>65532_2-2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253</v>
      </c>
      <c r="L15" s="20">
        <v>32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沈黙のジャミング マービー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5">
        <v>1.5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16273.5</v>
      </c>
      <c r="U15" s="25">
        <v>1.5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5031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2ターンスキルバインド</v>
      </c>
      <c r="Y15" s="104">
        <v>65532013</v>
      </c>
      <c r="Z15" s="6">
        <v>1</v>
      </c>
      <c r="AA15" s="6">
        <v>100</v>
      </c>
      <c r="AB15" s="6">
        <v>0</v>
      </c>
      <c r="AC15" s="17">
        <v>2</v>
      </c>
      <c r="AD15" s="24">
        <v>32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沈黙のジャミング マービー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4">
        <f t="shared" ca="1" si="7"/>
        <v>2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4"/>
        <v>65532_2-2/32&lt;lv55&gt;s2</v>
      </c>
      <c r="B16" s="22">
        <v>65532</v>
      </c>
      <c r="C16" s="21">
        <v>2</v>
      </c>
      <c r="D16" s="2" t="str">
        <f t="shared" si="5"/>
        <v>65532_2</v>
      </c>
      <c r="E16" s="4" t="str">
        <f ca="1">VLOOKUP($B16,OFFSET([2]quests!$A$1,0,0,COUNTA([2]quests!$A:$A),MATCH(E$1,[2]quests!$1:$1,0)-MATCH($B$1,[2]quests!$1:$1,0)+1),MATCH(E$1,[2]quests!$1:$1,0)-MATCH($B$1,[2]quests!$1:$1,0)+1,FALSE)</f>
        <v>【LB山川】検証クエスト</v>
      </c>
      <c r="F16" s="4" t="str">
        <f ca="1">VLOOKUP($D16,OFFSET([2]stages!$A$1,0,0,COUNTA([2]stages!$A:$A),MATCH(F$1,[2]stages!$2:$2,0)-MATCH($D$1,[2]stages!$2:$2,0)+1),MATCH(F$1,[2]stages!$2:$2,0)-MATCH($D$1,[2]stages!$2:$2,0)+1,FALSE)</f>
        <v>【LB山川】検証プレイ用</v>
      </c>
      <c r="G16" s="21">
        <v>2</v>
      </c>
      <c r="H16" s="15" t="str">
        <f t="shared" si="6"/>
        <v>65532_2-2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253</v>
      </c>
      <c r="L16" s="20">
        <v>32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沈黙のジャミング マービー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55</v>
      </c>
      <c r="S16" s="25">
        <v>1.5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14950.5</v>
      </c>
      <c r="U16" s="25">
        <v>1.7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5239.3999999999996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2ターンスキルバインド</v>
      </c>
      <c r="Y16" s="104">
        <v>65532013</v>
      </c>
      <c r="Z16" s="6">
        <v>1</v>
      </c>
      <c r="AA16" s="6">
        <v>100</v>
      </c>
      <c r="AB16" s="6">
        <v>0</v>
      </c>
      <c r="AC16" s="17">
        <v>2</v>
      </c>
      <c r="AD16" s="24">
        <v>32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沈黙のジャミング マービー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7">
        <v>1</v>
      </c>
      <c r="AI16" s="24">
        <f t="shared" ca="1" si="7"/>
        <v>2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4"/>
        <v>65532_2-3/8&lt;lv70&gt;s4</v>
      </c>
      <c r="B17" s="22">
        <v>65532</v>
      </c>
      <c r="C17" s="21">
        <v>2</v>
      </c>
      <c r="D17" s="2" t="str">
        <f t="shared" si="5"/>
        <v>65532_2</v>
      </c>
      <c r="E17" s="4" t="str">
        <f ca="1">VLOOKUP($B17,OFFSET([2]quests!$A$1,0,0,COUNTA([2]quests!$A:$A),MATCH(E$1,[2]quests!$1:$1,0)-MATCH($B$1,[2]quests!$1:$1,0)+1),MATCH(E$1,[2]quests!$1:$1,0)-MATCH($B$1,[2]quests!$1:$1,0)+1,FALSE)</f>
        <v>【LB山川】検証クエスト</v>
      </c>
      <c r="F17" s="4" t="str">
        <f ca="1">VLOOKUP($D17,OFFSET([2]stages!$A$1,0,0,COUNTA([2]stages!$A:$A),MATCH(F$1,[2]stages!$2:$2,0)-MATCH($D$1,[2]stages!$2:$2,0)+1),MATCH(F$1,[2]stages!$2:$2,0)-MATCH($D$1,[2]stages!$2:$2,0)+1,FALSE)</f>
        <v>【LB山川】検証プレイ用</v>
      </c>
      <c r="G17" s="21">
        <v>3</v>
      </c>
      <c r="H17" s="15" t="str">
        <f t="shared" si="6"/>
        <v>65532_2-3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253</v>
      </c>
      <c r="L17" s="20">
        <v>8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ハイボルテージ エレキポット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Drop1T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70</v>
      </c>
      <c r="S17" s="25">
        <v>2.5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35035</v>
      </c>
      <c r="U17" s="25">
        <v>2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11526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自爆攻撃</v>
      </c>
      <c r="Y17" s="104">
        <v>65532014</v>
      </c>
      <c r="Z17" s="6">
        <v>1</v>
      </c>
      <c r="AA17" s="6">
        <v>100</v>
      </c>
      <c r="AB17" s="6">
        <v>0</v>
      </c>
      <c r="AC17" s="17">
        <v>4</v>
      </c>
      <c r="AD17" s="24">
        <v>8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ハイボルテージ エレキポット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Drop1T</v>
      </c>
      <c r="AH17" s="7">
        <v>1</v>
      </c>
      <c r="AI17" s="24">
        <f t="shared" ca="1" si="7"/>
        <v>2</v>
      </c>
      <c r="AJ17" s="8">
        <v>20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4"/>
        <v>65532_2-3/64&lt;lv50&gt;s2</v>
      </c>
      <c r="B18" s="22">
        <v>65532</v>
      </c>
      <c r="C18" s="21">
        <v>2</v>
      </c>
      <c r="D18" s="2" t="str">
        <f t="shared" si="5"/>
        <v>65532_2</v>
      </c>
      <c r="E18" s="4" t="str">
        <f ca="1">VLOOKUP($B18,OFFSET([2]quests!$A$1,0,0,COUNTA([2]quests!$A:$A),MATCH(E$1,[2]quests!$1:$1,0)-MATCH($B$1,[2]quests!$1:$1,0)+1),MATCH(E$1,[2]quests!$1:$1,0)-MATCH($B$1,[2]quests!$1:$1,0)+1,FALSE)</f>
        <v>【LB山川】検証クエスト</v>
      </c>
      <c r="F18" s="4" t="str">
        <f ca="1">VLOOKUP($D18,OFFSET([2]stages!$A$1,0,0,COUNTA([2]stages!$A:$A),MATCH(F$1,[2]stages!$2:$2,0)-MATCH($D$1,[2]stages!$2:$2,0)+1),MATCH(F$1,[2]stages!$2:$2,0)-MATCH($D$1,[2]stages!$2:$2,0)+1,FALSE)</f>
        <v>【LB山川】検証プレイ用</v>
      </c>
      <c r="G18" s="21">
        <v>3</v>
      </c>
      <c r="H18" s="15" t="str">
        <f t="shared" si="6"/>
        <v>65532_2-3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253</v>
      </c>
      <c r="L18" s="20">
        <v>64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フレイムエッジ トニー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50</v>
      </c>
      <c r="S18" s="25">
        <v>1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29979</v>
      </c>
      <c r="U18" s="25">
        <v>1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5191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単体に中ダメージ</v>
      </c>
      <c r="Y18" s="104">
        <v>65532015</v>
      </c>
      <c r="Z18" s="6">
        <v>1</v>
      </c>
      <c r="AA18" s="6">
        <v>100</v>
      </c>
      <c r="AB18" s="6">
        <v>0</v>
      </c>
      <c r="AC18" s="17">
        <v>2</v>
      </c>
      <c r="AD18" s="24">
        <v>64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フレイムエッジ トニー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Drop1N</v>
      </c>
      <c r="AH18" s="7">
        <v>1</v>
      </c>
      <c r="AI18" s="24">
        <f t="shared" ca="1" si="7"/>
        <v>3</v>
      </c>
      <c r="AJ18" s="8">
        <v>20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4"/>
        <v>65532_2-3/64&lt;lv40&gt;s2</v>
      </c>
      <c r="B19" s="22">
        <v>65532</v>
      </c>
      <c r="C19" s="21">
        <v>2</v>
      </c>
      <c r="D19" s="2" t="str">
        <f t="shared" si="5"/>
        <v>65532_2</v>
      </c>
      <c r="E19" s="4" t="str">
        <f ca="1">VLOOKUP($B19,OFFSET([2]quests!$A$1,0,0,COUNTA([2]quests!$A:$A),MATCH(E$1,[2]quests!$1:$1,0)-MATCH($B$1,[2]quests!$1:$1,0)+1),MATCH(E$1,[2]quests!$1:$1,0)-MATCH($B$1,[2]quests!$1:$1,0)+1,FALSE)</f>
        <v>【LB山川】検証クエスト</v>
      </c>
      <c r="F19" s="4" t="str">
        <f ca="1">VLOOKUP($D19,OFFSET([2]stages!$A$1,0,0,COUNTA([2]stages!$A:$A),MATCH(F$1,[2]stages!$2:$2,0)-MATCH($D$1,[2]stages!$2:$2,0)+1),MATCH(F$1,[2]stages!$2:$2,0)-MATCH($D$1,[2]stages!$2:$2,0)+1,FALSE)</f>
        <v>【LB山川】検証プレイ用</v>
      </c>
      <c r="G19" s="21">
        <v>3</v>
      </c>
      <c r="H19" s="15" t="str">
        <f t="shared" si="6"/>
        <v>65532_2-3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253</v>
      </c>
      <c r="L19" s="20">
        <v>64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フレイムエッジ トニー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40</v>
      </c>
      <c r="S19" s="25">
        <v>1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24158</v>
      </c>
      <c r="U19" s="25">
        <v>1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4183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4ターンウィルス</v>
      </c>
      <c r="Y19" s="104">
        <v>65532016</v>
      </c>
      <c r="Z19" s="6">
        <v>1</v>
      </c>
      <c r="AA19" s="6">
        <v>100</v>
      </c>
      <c r="AB19" s="6">
        <v>0</v>
      </c>
      <c r="AC19" s="17">
        <v>2</v>
      </c>
      <c r="AD19" s="24">
        <v>64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フレイムエッジ トニー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3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Drop1N</v>
      </c>
      <c r="AH19" s="7">
        <v>1</v>
      </c>
      <c r="AI19" s="24">
        <f t="shared" ca="1" si="7"/>
        <v>3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4"/>
        <v>65532_2-4/1237&lt;lv50&gt;s2</v>
      </c>
      <c r="B20" s="22">
        <v>65532</v>
      </c>
      <c r="C20" s="21">
        <v>2</v>
      </c>
      <c r="D20" s="2" t="str">
        <f t="shared" si="5"/>
        <v>65532_2</v>
      </c>
      <c r="E20" s="4" t="str">
        <f ca="1">VLOOKUP($B20,OFFSET([2]quests!$A$1,0,0,COUNTA([2]quests!$A:$A),MATCH(E$1,[2]quests!$1:$1,0)-MATCH($B$1,[2]quests!$1:$1,0)+1),MATCH(E$1,[2]quests!$1:$1,0)-MATCH($B$1,[2]quests!$1:$1,0)+1,FALSE)</f>
        <v>【LB山川】検証クエスト</v>
      </c>
      <c r="F20" s="4" t="str">
        <f ca="1">VLOOKUP($D20,OFFSET([2]stages!$A$1,0,0,COUNTA([2]stages!$A:$A),MATCH(F$1,[2]stages!$2:$2,0)-MATCH($D$1,[2]stages!$2:$2,0)+1),MATCH(F$1,[2]stages!$2:$2,0)-MATCH($D$1,[2]stages!$2:$2,0)+1,FALSE)</f>
        <v>【LB山川】検証プレイ用</v>
      </c>
      <c r="G20" s="21">
        <v>4</v>
      </c>
      <c r="H20" s="15" t="str">
        <f t="shared" si="6"/>
        <v>65532_2-4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1</v>
      </c>
      <c r="L20" s="20">
        <v>1237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夢茶の目付役 千利休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60</v>
      </c>
      <c r="R20" s="5">
        <v>50</v>
      </c>
      <c r="S20" s="25">
        <v>2</v>
      </c>
      <c r="T20" s="102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171598</v>
      </c>
      <c r="U20" s="25">
        <v>1.3</v>
      </c>
      <c r="V20" s="102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7384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単体に中ダメージ</v>
      </c>
      <c r="Y20" s="104">
        <v>65532017</v>
      </c>
      <c r="Z20" s="6">
        <v>1</v>
      </c>
      <c r="AA20" s="6">
        <v>100</v>
      </c>
      <c r="AB20" s="6">
        <v>1</v>
      </c>
      <c r="AC20" s="17">
        <v>2</v>
      </c>
      <c r="AD20" s="24">
        <v>1236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4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Drop2N</v>
      </c>
      <c r="AH20" s="7">
        <v>1</v>
      </c>
      <c r="AI20" s="24">
        <f t="shared" ca="1" si="7"/>
        <v>4</v>
      </c>
      <c r="AJ20" s="8">
        <v>80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AA3" sqref="AA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251</v>
      </c>
      <c r="V1" s="26" t="s">
        <v>50</v>
      </c>
      <c r="W1" s="101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thickBot="1" x14ac:dyDescent="0.2">
      <c r="A2" s="126" t="str">
        <f>B2&amp;"_"&amp;C2&amp;"-"&amp;G2&amp;"/"&amp;M2&amp;"&lt;lv"&amp;S2&amp;"&gt;sq"&amp;K2&amp;"st"&amp;L2</f>
        <v>65532_1-4/1237&lt;lv100&gt;sq1st2</v>
      </c>
      <c r="B2" s="127">
        <v>65532</v>
      </c>
      <c r="C2" s="128">
        <v>1</v>
      </c>
      <c r="D2" s="129" t="str">
        <f>B2&amp;"_"&amp;C2</f>
        <v>65532_1</v>
      </c>
      <c r="E2" s="130" t="str">
        <f ca="1">VLOOKUP($B2,OFFSET([2]quests!$A$1,0,0,COUNTA([2]quests!$A:$A),MATCH(E$1,[2]quests!$1:$1,0)-MATCH($B$1,[2]quests!$1:$1,0)+1),MATCH(E$1,[2]quests!$1:$1,0)-MATCH($B$1,[2]quests!$1:$1,0)+1,FALSE)</f>
        <v>【LB山川】検証クエスト</v>
      </c>
      <c r="F2" s="130" t="str">
        <f ca="1">VLOOKUP($D2,OFFSET([2]stages!$A$1,0,0,COUNTA([2]stages!$A:$A),MATCH(F$1,[2]stages!$2:$2,0)-MATCH($D$1,[2]stages!$2:$2,0)+1),MATCH(F$1,[2]stages!$2:$2,0)-MATCH($D$1,[2]stages!$2:$2,0)+1,FALSE)</f>
        <v>【LB山川】検証</v>
      </c>
      <c r="G2" s="128">
        <v>4</v>
      </c>
      <c r="H2" s="129" t="str">
        <f>B2&amp;"_"&amp;C2&amp;"-"&amp;G2</f>
        <v>65532_1-4</v>
      </c>
      <c r="I2" s="130">
        <f ca="1">VLOOKUP($H2,OFFSET(floors!$A$1,0,0,COUNTA(floors!$A:$A),MATCH(I$1,floors!$1:$1,0)-MATCH($H$1,floors!$1:$1,0)+1),MATCH(I$1,floors!$1:$1,0)-MATCH($H$1,floors!$1:$1,0)+1,FALSE)</f>
        <v>60</v>
      </c>
      <c r="J2" s="130">
        <f ca="1">VLOOKUP($H2,OFFSET(floors!$A$1,0,0,COUNTA(floors!$A:$A),MATCH(J$1,floors!$1:$1,0)-MATCH($H$1,floors!$1:$1,0)+1),MATCH(J$1,floors!$1:$1,0)-MATCH($H$1,floors!$1:$1,0)+1,FALSE)</f>
        <v>60</v>
      </c>
      <c r="K2" s="131">
        <v>1</v>
      </c>
      <c r="L2" s="131">
        <v>2</v>
      </c>
      <c r="M2" s="132">
        <v>1237</v>
      </c>
      <c r="N2" s="133" t="str">
        <f ca="1">VLOOKUP($M2,OFFSET([3]enemies!$A$1,0,0,COUNTA([3]enemies!$A:$A),MATCH(N$1,[3]enemies!$1:$1,0)-MATCH($M$1,[3]enemies!$1:$1,0)+1),MATCH(N$1,[3]enemies!$1:$1,0)-MATCH($M$1,[3]enemies!$1:$1,0)+1,FALSE)</f>
        <v>夢茶の目付役 千利休</v>
      </c>
      <c r="O2" s="133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33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33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33">
        <f ca="1">VLOOKUP($M2,OFFSET([3]enemies!$A$1,0,0,COUNTA([3]enemies!$A:$A),MATCH(R$1,[3]enemies!$1:$1,0)-MATCH($M$1,[3]enemies!$1:$1,0)+1),MATCH(R$1,[3]enemies!$1:$1,0)-MATCH($M$1,[3]enemies!$1:$1,0)+1,FALSE)</f>
        <v>60</v>
      </c>
      <c r="S2" s="134">
        <v>100</v>
      </c>
      <c r="T2" s="135">
        <v>1</v>
      </c>
      <c r="U2" s="13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169099</v>
      </c>
      <c r="V2" s="135">
        <v>1</v>
      </c>
      <c r="W2" s="13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11195</v>
      </c>
      <c r="X2" s="134">
        <v>0</v>
      </c>
      <c r="Y2" s="130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30">
        <v>65532010</v>
      </c>
      <c r="AA2" s="143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65532_2-4/1237&lt;lv50&gt;sq1st2</v>
      </c>
      <c r="B3" s="22">
        <v>65532</v>
      </c>
      <c r="C3" s="114">
        <v>2</v>
      </c>
      <c r="D3" s="115" t="str">
        <f>B3&amp;"_"&amp;C3</f>
        <v>65532_2</v>
      </c>
      <c r="E3" s="4" t="str">
        <f ca="1">VLOOKUP($B3,OFFSET([2]quests!$A$1,0,0,COUNTA([2]quests!$A:$A),MATCH(E$1,[2]quests!$1:$1,0)-MATCH($B$1,[2]quests!$1:$1,0)+1),MATCH(E$1,[2]quests!$1:$1,0)-MATCH($B$1,[2]quests!$1:$1,0)+1,FALSE)</f>
        <v>【LB山川】検証クエスト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【LB山川】検証プレイ用</v>
      </c>
      <c r="G3" s="114">
        <v>4</v>
      </c>
      <c r="H3" s="115" t="str">
        <f>B3&amp;"_"&amp;C3&amp;"-"&amp;G3</f>
        <v>65532_2-4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16">
        <v>1</v>
      </c>
      <c r="L3" s="116">
        <v>2</v>
      </c>
      <c r="M3" s="117">
        <v>1237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夢茶の目付役 千利休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18">
        <v>50</v>
      </c>
      <c r="T3" s="119">
        <v>1.8</v>
      </c>
      <c r="U3" s="12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154438.20000000001</v>
      </c>
      <c r="V3" s="119">
        <v>1.1000000000000001</v>
      </c>
      <c r="W3" s="12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6248.0000000000009</v>
      </c>
      <c r="X3" s="118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65532018</v>
      </c>
      <c r="AA3" s="142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tabSelected="1" zoomScale="106" zoomScaleNormal="106" zoomScalePageLayoutView="106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65532001</v>
      </c>
      <c r="B2" s="47" t="s">
        <v>336</v>
      </c>
      <c r="C2" s="50">
        <v>1</v>
      </c>
      <c r="D2" s="50" t="s">
        <v>127</v>
      </c>
      <c r="E2" s="51" t="s">
        <v>335</v>
      </c>
      <c r="F2" s="51" t="s">
        <v>258</v>
      </c>
      <c r="G2" s="64" t="str">
        <f t="shared" ref="G2:G18" si="0">IFERROR(LEFT(B2,FIND("],",B2)),B2)</f>
        <v>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ignore01:jammer, count:40, val:0, new_block:damage, target:block_all, count:8, val:0.08, animation:change_range_block]</v>
      </c>
      <c r="H2" s="64">
        <f t="shared" ref="H2:H18" si="1">FIND("effect:",G2)+7</f>
        <v>9</v>
      </c>
      <c r="I2" s="64">
        <f t="shared" ref="I2:I18" si="2">IFERROR(FIND(",",G2),LEN(G2))</f>
        <v>27</v>
      </c>
      <c r="J2" s="64">
        <f t="shared" ref="J2:J18" si="3">FIND("target:",G2)+7</f>
        <v>319</v>
      </c>
      <c r="K2" s="64">
        <f t="shared" ref="K2:K18" si="4">FIND(",",G2,I2+1)</f>
        <v>43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18" si="5">IFERROR(RIGHT(B2,LEN(B2)-FIND("],",B2)-1),"none")</f>
        <v>none</v>
      </c>
      <c r="N2" s="48" t="str">
        <f>IFERROR(LEFT(M2,FIND("],",M2)+S12),M2)</f>
        <v>none</v>
      </c>
      <c r="O2" s="64" t="e">
        <f t="shared" ref="O2:O18" si="6">FIND("effect:",N2)+7</f>
        <v>#VALUE!</v>
      </c>
      <c r="P2" s="64">
        <f t="shared" ref="P2:P18" si="7">IFERROR(FIND(",",N2),LEN(N2))</f>
        <v>4</v>
      </c>
      <c r="Q2" s="64" t="e">
        <f t="shared" ref="Q2:Q18" si="8">FIND("target:",N2)+7</f>
        <v>#VALUE!</v>
      </c>
      <c r="R2" s="64" t="e">
        <f t="shared" ref="R2:R18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18" si="10">IFERROR(RIGHT(M2,LEN(M2)-FIND("],",M2)-1),"none")</f>
        <v>none</v>
      </c>
      <c r="U2" s="64" t="e">
        <f t="shared" ref="U2:U18" si="11">FIND("effect:",T2)+7</f>
        <v>#VALUE!</v>
      </c>
      <c r="V2" s="64">
        <f t="shared" ref="V2:V18" si="12">IFERROR(FIND(",",T2),LEN(T2))</f>
        <v>4</v>
      </c>
      <c r="W2" s="64" t="e">
        <f t="shared" ref="W2:W18" si="13">FIND("target:",T2)+7</f>
        <v>#VALUE!</v>
      </c>
      <c r="X2" s="64" t="e">
        <f t="shared" ref="X2:X18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65532002</v>
      </c>
      <c r="B3" s="47" t="s">
        <v>254</v>
      </c>
      <c r="C3" s="50">
        <v>1</v>
      </c>
      <c r="D3" s="50" t="s">
        <v>127</v>
      </c>
      <c r="E3" s="51" t="s">
        <v>255</v>
      </c>
      <c r="F3" s="51" t="s">
        <v>258</v>
      </c>
      <c r="G3" s="64" t="str">
        <f t="shared" si="0"/>
        <v>[effect:spread, val:0.3]</v>
      </c>
      <c r="H3" s="64">
        <f t="shared" si="1"/>
        <v>9</v>
      </c>
      <c r="I3" s="64">
        <f t="shared" si="2"/>
        <v>15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IFERROR(VLOOKUP(MID(G3,J3,K3-J3),[6]skilldef!$C:$D,2,FALSE),"-") &amp; " / " &amp; IFERROR(VLOOKUP(MID(G3,H3,I3-H3),[6]skilldef!$A:$B,2,FALSE),"-")</f>
        <v>- / 全体攻撃</v>
      </c>
      <c r="M3" s="64" t="str">
        <f t="shared" si="5"/>
        <v>none</v>
      </c>
      <c r="N3" s="48" t="str">
        <f>IFERROR(LEFT(M3,FIND("],",M3)+S13),M3)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65532003</v>
      </c>
      <c r="B4" s="47" t="s">
        <v>259</v>
      </c>
      <c r="C4" s="50">
        <v>1</v>
      </c>
      <c r="D4" s="50" t="s">
        <v>127</v>
      </c>
      <c r="E4" s="51" t="s">
        <v>256</v>
      </c>
      <c r="F4" s="51" t="s">
        <v>256</v>
      </c>
      <c r="G4" s="64" t="str">
        <f t="shared" si="0"/>
        <v>[effect:critical, val:0.8, animation:enemy_critical]</v>
      </c>
      <c r="H4" s="64">
        <f t="shared" si="1"/>
        <v>9</v>
      </c>
      <c r="I4" s="64">
        <f t="shared" si="2"/>
        <v>17</v>
      </c>
      <c r="J4" s="64" t="e">
        <f t="shared" si="3"/>
        <v>#VALUE!</v>
      </c>
      <c r="K4" s="64">
        <f t="shared" si="4"/>
        <v>26</v>
      </c>
      <c r="L4" s="64" t="str">
        <f>IFERROR(VLOOKUP(MID(G4,J4,K4-J4),[6]skilldef!$C:$D,2,FALSE),"-") &amp; " / " &amp; IFERROR(VLOOKUP(MID(G4,H4,I4-H4),[6]skilldef!$A:$B,2,FALSE),"-")</f>
        <v>- / 大攻撃</v>
      </c>
      <c r="M4" s="64" t="str">
        <f t="shared" si="5"/>
        <v>none</v>
      </c>
      <c r="N4" s="48" t="str">
        <f>IFERROR(LEFT(M4,FIND("],",M4)+S14),M4)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65532004</v>
      </c>
      <c r="B5" s="47" t="s">
        <v>260</v>
      </c>
      <c r="C5" s="50">
        <v>1</v>
      </c>
      <c r="D5" s="50" t="s">
        <v>127</v>
      </c>
      <c r="E5" s="51" t="s">
        <v>257</v>
      </c>
      <c r="F5" s="51" t="s">
        <v>257</v>
      </c>
      <c r="G5" s="64" t="str">
        <f t="shared" si="0"/>
        <v>[effect:critical, val:1.2 animation:enemy_critical]</v>
      </c>
      <c r="H5" s="64">
        <f t="shared" si="1"/>
        <v>9</v>
      </c>
      <c r="I5" s="64">
        <f t="shared" si="2"/>
        <v>17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IFERROR(VLOOKUP(MID(G5,J5,K5-J5),[6]skilldef!$C:$D,2,FALSE),"-") &amp; " / " &amp; IFERROR(VLOOKUP(MID(G5,H5,I5-H5),[6]skilldef!$A:$B,2,FALSE),"-")</f>
        <v>- / 大攻撃</v>
      </c>
      <c r="M5" s="64" t="str">
        <f t="shared" si="5"/>
        <v>none</v>
      </c>
      <c r="N5" s="48" t="str">
        <f>IFERROR(LEFT(M5,FIND("],",M5)+S15),M5)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65532005</v>
      </c>
      <c r="B6" s="47" t="s">
        <v>280</v>
      </c>
      <c r="C6" s="50">
        <v>1</v>
      </c>
      <c r="D6" s="50" t="s">
        <v>127</v>
      </c>
      <c r="E6" s="51" t="s">
        <v>261</v>
      </c>
      <c r="F6" s="51" t="s">
        <v>262</v>
      </c>
      <c r="G6" s="64" t="str">
        <f t="shared" si="0"/>
        <v>[effect:rush, count:5, val:0.2]</v>
      </c>
      <c r="H6" s="64">
        <f t="shared" si="1"/>
        <v>9</v>
      </c>
      <c r="I6" s="64">
        <f t="shared" si="2"/>
        <v>13</v>
      </c>
      <c r="J6" s="64" t="e">
        <f t="shared" si="3"/>
        <v>#VALUE!</v>
      </c>
      <c r="K6" s="64">
        <f t="shared" si="4"/>
        <v>22</v>
      </c>
      <c r="L6" s="64" t="str">
        <f>IFERROR(VLOOKUP(MID(G6,J6,K6-J6),[6]skilldef!$C:$D,2,FALSE),"-") &amp; " / " &amp; IFERROR(VLOOKUP(MID(G6,H6,I6-H6),[6]skilldef!$A:$B,2,FALSE),"-")</f>
        <v>- / 連続攻撃</v>
      </c>
      <c r="M6" s="64" t="str">
        <f t="shared" si="5"/>
        <v>none</v>
      </c>
      <c r="N6" s="48" t="str">
        <f>IFERROR(LEFT(M6,FIND("],",M6)+S16),M6)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65532006</v>
      </c>
      <c r="B7" s="47" t="s">
        <v>291</v>
      </c>
      <c r="C7" s="50">
        <v>1</v>
      </c>
      <c r="D7" s="50" t="s">
        <v>127</v>
      </c>
      <c r="E7" s="51" t="s">
        <v>263</v>
      </c>
      <c r="F7" s="51" t="s">
        <v>264</v>
      </c>
      <c r="G7" s="64" t="str">
        <f t="shared" si="0"/>
        <v>[effect:enhance_enemy, target:enemy_all, turn:2, status:attack, val:0.5, calc:mul, animation:enemy_enhance_attack]</v>
      </c>
      <c r="H7" s="64">
        <f t="shared" si="1"/>
        <v>9</v>
      </c>
      <c r="I7" s="64">
        <f t="shared" si="2"/>
        <v>22</v>
      </c>
      <c r="J7" s="64">
        <f t="shared" si="3"/>
        <v>31</v>
      </c>
      <c r="K7" s="64">
        <f t="shared" si="4"/>
        <v>40</v>
      </c>
      <c r="L7" s="64" t="str">
        <f>IFERROR(VLOOKUP(MID(G7,J7,K7-J7),[6]skilldef!$C:$D,2,FALSE),"-") &amp; " / " &amp; IFERROR(VLOOKUP(MID(G7,H7,I7-H7),[6]skilldef!$A:$B,2,FALSE),"-")</f>
        <v>敵全体に / ステータス強化</v>
      </c>
      <c r="M7" s="64" t="str">
        <f t="shared" si="5"/>
        <v>none</v>
      </c>
      <c r="N7" s="48" t="str">
        <f>IFERROR(LEFT(M7,FIND("],",M7)+#REF!),M7)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65532007</v>
      </c>
      <c r="B8" s="47" t="s">
        <v>281</v>
      </c>
      <c r="C8" s="50">
        <v>1</v>
      </c>
      <c r="D8" s="50" t="s">
        <v>127</v>
      </c>
      <c r="E8" s="51" t="s">
        <v>265</v>
      </c>
      <c r="F8" s="51" t="s">
        <v>266</v>
      </c>
      <c r="G8" s="64" t="str">
        <f t="shared" si="0"/>
        <v>[effect:degrade_unit, target:unit_all, turn:2, status:defense, val:2000, calc:add]</v>
      </c>
      <c r="H8" s="64">
        <f t="shared" si="1"/>
        <v>9</v>
      </c>
      <c r="I8" s="64">
        <f t="shared" si="2"/>
        <v>21</v>
      </c>
      <c r="J8" s="64">
        <f t="shared" si="3"/>
        <v>30</v>
      </c>
      <c r="K8" s="64">
        <f t="shared" si="4"/>
        <v>38</v>
      </c>
      <c r="L8" s="64" t="str">
        <f>IFERROR(VLOOKUP(MID(G8,J8,K8-J8),[6]skilldef!$C:$D,2,FALSE),"-") &amp; " / " &amp; IFERROR(VLOOKUP(MID(G8,H8,I8-H8),[6]skilldef!$A:$B,2,FALSE),"-")</f>
        <v>味方全体に / ステータスDOWN</v>
      </c>
      <c r="M8" s="64" t="str">
        <f t="shared" si="5"/>
        <v>none</v>
      </c>
      <c r="N8" s="48" t="str">
        <f>IFERROR(LEFT(M8,FIND("],",M8)+#REF!),M8)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65532008</v>
      </c>
      <c r="B9" s="47" t="s">
        <v>329</v>
      </c>
      <c r="C9" s="50">
        <v>1</v>
      </c>
      <c r="D9" s="50" t="s">
        <v>127</v>
      </c>
      <c r="E9" s="51" t="s">
        <v>267</v>
      </c>
      <c r="F9" s="51" t="s">
        <v>319</v>
      </c>
      <c r="G9" s="64" t="str">
        <f t="shared" si="0"/>
        <v>[effect:virus, target:unit_all, turn:5, rate:1, val:0.08, animation:enemy_virus]</v>
      </c>
      <c r="H9" s="64">
        <f t="shared" si="1"/>
        <v>9</v>
      </c>
      <c r="I9" s="64">
        <f t="shared" si="2"/>
        <v>14</v>
      </c>
      <c r="J9" s="64">
        <f t="shared" si="3"/>
        <v>23</v>
      </c>
      <c r="K9" s="64">
        <f t="shared" si="4"/>
        <v>31</v>
      </c>
      <c r="L9" s="64" t="str">
        <f>IFERROR(VLOOKUP(MID(G9,J9,K9-J9),[6]skilldef!$C:$D,2,FALSE),"-") &amp; " / " &amp; IFERROR(VLOOKUP(MID(G9,H9,I9-H9),[6]skilldef!$A:$B,2,FALSE),"-")</f>
        <v>味方全体に / ウィルス</v>
      </c>
      <c r="M9" s="64" t="str">
        <f t="shared" si="5"/>
        <v>none</v>
      </c>
      <c r="N9" s="48" t="str">
        <f>IFERROR(LEFT(M9,FIND("],",M9)+#REF!),M9)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65532009</v>
      </c>
      <c r="B10" s="47" t="s">
        <v>321</v>
      </c>
      <c r="C10" s="50">
        <v>1</v>
      </c>
      <c r="D10" s="50" t="s">
        <v>127</v>
      </c>
      <c r="E10" s="51" t="s">
        <v>267</v>
      </c>
      <c r="F10" s="51" t="s">
        <v>320</v>
      </c>
      <c r="G10" s="64" t="str">
        <f t="shared" si="0"/>
        <v>[effect:virus, target:unit_all, turn:4, rate:1, val:0.1, animation:enemy_virus]</v>
      </c>
      <c r="H10" s="64">
        <f t="shared" si="1"/>
        <v>9</v>
      </c>
      <c r="I10" s="64">
        <f t="shared" si="2"/>
        <v>14</v>
      </c>
      <c r="J10" s="64">
        <f t="shared" si="3"/>
        <v>23</v>
      </c>
      <c r="K10" s="64">
        <f t="shared" si="4"/>
        <v>31</v>
      </c>
      <c r="L10" s="64" t="str">
        <f>IFERROR(VLOOKUP(MID(G10,J10,K10-J10),[6]skilldef!$C:$D,2,FALSE),"-") &amp; " / " &amp; IFERROR(VLOOKUP(MID(G10,H10,I10-H10),[6]skilldef!$A:$B,2,FALSE),"-")</f>
        <v>味方全体に / ウィルス</v>
      </c>
      <c r="M10" s="64" t="str">
        <f t="shared" si="5"/>
        <v>none</v>
      </c>
      <c r="N10" s="48" t="str">
        <f>IFERROR(LEFT(M10,FIND("],",M10)+#REF!),M10)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65532010</v>
      </c>
      <c r="B11" s="47" t="s">
        <v>325</v>
      </c>
      <c r="C11" s="50">
        <v>1</v>
      </c>
      <c r="D11" s="50" t="s">
        <v>127</v>
      </c>
      <c r="E11" s="51" t="s">
        <v>268</v>
      </c>
      <c r="F11" s="51" t="s">
        <v>320</v>
      </c>
      <c r="G11" s="64" t="str">
        <f t="shared" si="0"/>
        <v>[effect:virus, target:unit_all, turn:4, rate:1, val:0.2, animation:enemy_virus]</v>
      </c>
      <c r="H11" s="64">
        <f t="shared" si="1"/>
        <v>9</v>
      </c>
      <c r="I11" s="64">
        <f t="shared" si="2"/>
        <v>14</v>
      </c>
      <c r="J11" s="64">
        <f t="shared" si="3"/>
        <v>23</v>
      </c>
      <c r="K11" s="64">
        <f t="shared" si="4"/>
        <v>31</v>
      </c>
      <c r="L11" s="64" t="str">
        <f>IFERROR(VLOOKUP(MID(G11,J11,K11-J11),[6]skilldef!$C:$D,2,FALSE),"-") &amp; " / " &amp; IFERROR(VLOOKUP(MID(G11,H11,I11-H11),[6]skilldef!$A:$B,2,FALSE),"-")</f>
        <v>味方全体に / ウィルス</v>
      </c>
      <c r="M11" s="64" t="str">
        <f t="shared" si="5"/>
        <v>none</v>
      </c>
      <c r="N11" s="48" t="str">
        <f>IFERROR(LEFT(M11,FIND("],",M11)+#REF!),M11)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65532011</v>
      </c>
      <c r="B12" s="47" t="s">
        <v>326</v>
      </c>
      <c r="C12" s="50">
        <v>1</v>
      </c>
      <c r="D12" s="50" t="s">
        <v>127</v>
      </c>
      <c r="E12" s="51" t="s">
        <v>269</v>
      </c>
      <c r="F12" s="51" t="s">
        <v>320</v>
      </c>
      <c r="G12" s="64" t="str">
        <f t="shared" si="0"/>
        <v>[effect:virus, target:unit_one, turn:4, rate:1, val:0.2, animation:enemy_virus]</v>
      </c>
      <c r="H12" s="64">
        <f t="shared" si="1"/>
        <v>9</v>
      </c>
      <c r="I12" s="64">
        <f t="shared" si="2"/>
        <v>14</v>
      </c>
      <c r="J12" s="64">
        <f t="shared" si="3"/>
        <v>23</v>
      </c>
      <c r="K12" s="64">
        <f t="shared" si="4"/>
        <v>31</v>
      </c>
      <c r="L12" s="64" t="str">
        <f>IFERROR(VLOOKUP(MID(G12,J12,K12-J12),[6]skilldef!$C:$D,2,FALSE),"-") &amp; " / " &amp; IFERROR(VLOOKUP(MID(G12,H12,I12-H12),[6]skilldef!$A:$B,2,FALSE),"-")</f>
        <v>味方単体に / ウィルス</v>
      </c>
      <c r="M12" s="64" t="str">
        <f t="shared" si="5"/>
        <v>none</v>
      </c>
      <c r="N12" s="48" t="str">
        <f>IFERROR(LEFT(M12,FIND("],",M12)+#REF!),M12)</f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65532021</v>
      </c>
      <c r="B13" s="47" t="s">
        <v>282</v>
      </c>
      <c r="C13" s="50">
        <v>1</v>
      </c>
      <c r="D13" s="50" t="s">
        <v>127</v>
      </c>
      <c r="E13" s="51" t="s">
        <v>270</v>
      </c>
      <c r="F13" s="51" t="s">
        <v>271</v>
      </c>
      <c r="G13" s="64" t="str">
        <f t="shared" si="0"/>
        <v>[effect:enemy_counter, target:myself, invoke_condition:unit_all, counter_target:attacker, turn:2, val:0.4, animation:enemy_counter]</v>
      </c>
      <c r="H13" s="64">
        <f t="shared" si="1"/>
        <v>9</v>
      </c>
      <c r="I13" s="64">
        <f t="shared" si="2"/>
        <v>22</v>
      </c>
      <c r="J13" s="64">
        <f t="shared" si="3"/>
        <v>31</v>
      </c>
      <c r="K13" s="64">
        <f t="shared" si="4"/>
        <v>37</v>
      </c>
      <c r="L13" s="64" t="str">
        <f>IFERROR(VLOOKUP(MID(G13,J13,K13-J13),[6]skilldef!$C:$D,2,FALSE),"-") &amp; " / " &amp; IFERROR(VLOOKUP(MID(G13,H13,I13-H13),[6]skilldef!$A:$B,2,FALSE),"-")</f>
        <v>自分自身に / カウンター</v>
      </c>
      <c r="M13" s="64" t="str">
        <f t="shared" si="5"/>
        <v>none</v>
      </c>
      <c r="N13" s="48" t="str">
        <f>IFERROR(LEFT(M13,FIND("],",M13)+#REF!),M13)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65532013</v>
      </c>
      <c r="B14" s="47" t="s">
        <v>288</v>
      </c>
      <c r="C14" s="50">
        <v>1</v>
      </c>
      <c r="D14" s="50" t="s">
        <v>127</v>
      </c>
      <c r="E14" s="51" t="s">
        <v>272</v>
      </c>
      <c r="F14" s="51" t="s">
        <v>273</v>
      </c>
      <c r="G14" s="64" t="str">
        <f t="shared" si="0"/>
        <v>[effect:sleep, target:unit_one, turn:2, rate:1, calc_type:target_one, animation:sleep01]</v>
      </c>
      <c r="H14" s="64">
        <f t="shared" si="1"/>
        <v>9</v>
      </c>
      <c r="I14" s="64">
        <f t="shared" si="2"/>
        <v>14</v>
      </c>
      <c r="J14" s="64">
        <f t="shared" si="3"/>
        <v>23</v>
      </c>
      <c r="K14" s="64">
        <f t="shared" si="4"/>
        <v>31</v>
      </c>
      <c r="L14" s="64" t="str">
        <f>IFERROR(VLOOKUP(MID(G14,J14,K14-J14),[6]skilldef!$C:$D,2,FALSE),"-") &amp; " / " &amp; IFERROR(VLOOKUP(MID(G14,H14,I14-H14),[6]skilldef!$A:$B,2,FALSE),"-")</f>
        <v>味方単体に / スリープ</v>
      </c>
      <c r="M14" s="64" t="str">
        <f t="shared" si="5"/>
        <v>none</v>
      </c>
      <c r="N14" s="48" t="str">
        <f>IFERROR(LEFT(M14,FIND("],",M14)+#REF!),M14)</f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65532014</v>
      </c>
      <c r="B15" s="47" t="s">
        <v>300</v>
      </c>
      <c r="C15" s="50">
        <v>1</v>
      </c>
      <c r="D15" s="50" t="s">
        <v>127</v>
      </c>
      <c r="E15" s="51" t="s">
        <v>274</v>
      </c>
      <c r="F15" s="51" t="s">
        <v>275</v>
      </c>
      <c r="G15" s="64" t="str">
        <f t="shared" si="0"/>
        <v>[effect:break_attack_fix, target:unit_one, val:0, lowest_val:4000, count:5, color:yellow, block01:block_all]</v>
      </c>
      <c r="H15" s="64">
        <f t="shared" si="1"/>
        <v>9</v>
      </c>
      <c r="I15" s="64">
        <f t="shared" si="2"/>
        <v>25</v>
      </c>
      <c r="J15" s="64">
        <f t="shared" si="3"/>
        <v>34</v>
      </c>
      <c r="K15" s="64">
        <f t="shared" si="4"/>
        <v>42</v>
      </c>
      <c r="L15" s="64" t="str">
        <f>IFERROR(VLOOKUP(MID(G15,J15,K15-J15),[6]skilldef!$C:$D,2,FALSE),"-") &amp; " / " &amp; IFERROR(VLOOKUP(MID(G15,H15,I15-H15),[6]skilldef!$A:$B,2,FALSE),"-")</f>
        <v>味方単体に / -</v>
      </c>
      <c r="M15" s="64" t="str">
        <f t="shared" si="5"/>
        <v>none</v>
      </c>
      <c r="N15" s="48" t="str">
        <f>IFERROR(LEFT(M15,FIND("],",M15)+#REF!),M15)</f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65532015</v>
      </c>
      <c r="B16" s="47" t="s">
        <v>279</v>
      </c>
      <c r="C16" s="50">
        <v>1</v>
      </c>
      <c r="D16" s="50" t="s">
        <v>127</v>
      </c>
      <c r="E16" s="51" t="s">
        <v>276</v>
      </c>
      <c r="F16" s="51" t="s">
        <v>277</v>
      </c>
      <c r="G16" s="64" t="str">
        <f t="shared" si="0"/>
        <v>[effect:damage_anti_color, target:unit_one, color:green, val1:1, val2:0.2]</v>
      </c>
      <c r="H16" s="64">
        <f t="shared" si="1"/>
        <v>9</v>
      </c>
      <c r="I16" s="64">
        <f t="shared" si="2"/>
        <v>26</v>
      </c>
      <c r="J16" s="64">
        <f t="shared" si="3"/>
        <v>35</v>
      </c>
      <c r="K16" s="64">
        <f t="shared" si="4"/>
        <v>43</v>
      </c>
      <c r="L16" s="64" t="str">
        <f>IFERROR(VLOOKUP(MID(G16,J16,K16-J16),[6]skilldef!$C:$D,2,FALSE),"-") &amp; " / " &amp; IFERROR(VLOOKUP(MID(G16,H16,I16-H16),[6]skilldef!$A:$B,2,FALSE),"-")</f>
        <v>味方単体に / 属性キラー</v>
      </c>
      <c r="M16" s="64" t="str">
        <f t="shared" si="5"/>
        <v>none</v>
      </c>
      <c r="N16" s="48" t="str">
        <f>IFERROR(LEFT(M16,FIND("],",M16)+#REF!),M16)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65532016</v>
      </c>
      <c r="B17" s="47" t="s">
        <v>278</v>
      </c>
      <c r="C17" s="50">
        <v>1</v>
      </c>
      <c r="D17" s="50" t="s">
        <v>127</v>
      </c>
      <c r="E17" s="51" t="s">
        <v>283</v>
      </c>
      <c r="F17" s="51" t="s">
        <v>284</v>
      </c>
      <c r="G17" s="64" t="str">
        <f t="shared" si="0"/>
        <v>[effect:enemy_message, val1:2, val2:1.8]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30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none</v>
      </c>
      <c r="N17" s="48" t="str">
        <f>IFERROR(LEFT(M17,FIND("],",M17)+#REF!),M17)</f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65532017</v>
      </c>
      <c r="B18" s="47" t="s">
        <v>285</v>
      </c>
      <c r="C18" s="50">
        <v>1</v>
      </c>
      <c r="D18" s="50" t="s">
        <v>127</v>
      </c>
      <c r="E18" s="51" t="s">
        <v>286</v>
      </c>
      <c r="F18" s="51" t="s">
        <v>287</v>
      </c>
      <c r="G18" s="64" t="str">
        <f t="shared" si="0"/>
        <v>[effect:suicide, target:myself, val:0.5]</v>
      </c>
      <c r="H18" s="64">
        <f t="shared" si="1"/>
        <v>9</v>
      </c>
      <c r="I18" s="64">
        <f t="shared" si="2"/>
        <v>16</v>
      </c>
      <c r="J18" s="64">
        <f t="shared" si="3"/>
        <v>25</v>
      </c>
      <c r="K18" s="64">
        <f t="shared" si="4"/>
        <v>31</v>
      </c>
      <c r="L18" s="64" t="str">
        <f>IFERROR(VLOOKUP(MID(G18,J18,K18-J18),[6]skilldef!$C:$D,2,FALSE),"-") &amp; " / " &amp; IFERROR(VLOOKUP(MID(G18,H18,I18-H18),[6]skilldef!$A:$B,2,FALSE),"-")</f>
        <v>自分自身に / -</v>
      </c>
      <c r="M18" s="64" t="str">
        <f t="shared" si="5"/>
        <v>none</v>
      </c>
      <c r="N18" s="48" t="str">
        <f>IFERROR(LEFT(M18,FIND("],",M18)+#REF!),M18)</f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45">
        <v>65532018</v>
      </c>
      <c r="B19" s="47" t="s">
        <v>318</v>
      </c>
      <c r="C19" s="50">
        <v>1</v>
      </c>
      <c r="D19" s="50" t="s">
        <v>127</v>
      </c>
      <c r="E19" s="51" t="s">
        <v>302</v>
      </c>
      <c r="F19" s="51" t="s">
        <v>303</v>
      </c>
      <c r="G19" s="64" t="str">
        <f t="shared" ref="G19:G20" si="15">IFERROR(LEFT(B19,FIND("],",B19)),B19)</f>
        <v>[effect:damage_abnormal, target:unit_one, val:0.5, status:virus, turn:4, rate:1, val_abnormal:0.1, animation:enemy_virus]</v>
      </c>
      <c r="H19" s="64">
        <f t="shared" ref="H19:H20" si="16">FIND("effect:",G19)+7</f>
        <v>9</v>
      </c>
      <c r="I19" s="64">
        <f t="shared" ref="I19:I20" si="17">IFERROR(FIND(",",G19),LEN(G19))</f>
        <v>24</v>
      </c>
      <c r="J19" s="64">
        <f t="shared" ref="J19:J20" si="18">FIND("target:",G19)+7</f>
        <v>33</v>
      </c>
      <c r="K19" s="64">
        <f t="shared" ref="K19:K20" si="19">FIND(",",G19,I19+1)</f>
        <v>41</v>
      </c>
      <c r="L19" s="64" t="str">
        <f>IFERROR(VLOOKUP(MID(G19,J19,K19-J19),[6]skilldef!$C:$D,2,FALSE),"-") &amp; " / " &amp; IFERROR(VLOOKUP(MID(G19,H19,I19-H19),[6]skilldef!$A:$B,2,FALSE),"-")</f>
        <v>味方単体に / -</v>
      </c>
      <c r="M19" s="64" t="str">
        <f t="shared" ref="M19:M20" si="20">IFERROR(RIGHT(B19,LEN(B19)-FIND("],",B19)-1),"none")</f>
        <v>none</v>
      </c>
      <c r="N19" s="48" t="str">
        <f>IFERROR(LEFT(M19,FIND("],",M19)+#REF!),M19)</f>
        <v>none</v>
      </c>
      <c r="O19" s="64" t="e">
        <f t="shared" ref="O19:O20" si="21">FIND("effect:",N19)+7</f>
        <v>#VALUE!</v>
      </c>
      <c r="P19" s="64">
        <f t="shared" ref="P19:P20" si="22">IFERROR(FIND(",",N19),LEN(N19))</f>
        <v>4</v>
      </c>
      <c r="Q19" s="64" t="e">
        <f t="shared" ref="Q19:Q20" si="23">FIND("target:",N19)+7</f>
        <v>#VALUE!</v>
      </c>
      <c r="R19" s="64" t="e">
        <f t="shared" ref="R19:R20" si="24">FIND(",",N19,P19+1)</f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ref="T19:T20" si="25">IFERROR(RIGHT(M19,LEN(M19)-FIND("],",M19)-1),"none")</f>
        <v>none</v>
      </c>
      <c r="U19" s="64" t="e">
        <f t="shared" ref="U19:U20" si="26">FIND("effect:",T19)+7</f>
        <v>#VALUE!</v>
      </c>
      <c r="V19" s="64">
        <f t="shared" ref="V19:V20" si="27">IFERROR(FIND(",",T19),LEN(T19))</f>
        <v>4</v>
      </c>
      <c r="W19" s="64" t="e">
        <f t="shared" ref="W19:W20" si="28">FIND("target:",T19)+7</f>
        <v>#VALUE!</v>
      </c>
      <c r="X19" s="64" t="e">
        <f t="shared" ref="X19:X20" si="29">FIND(",",T19,V19+1)</f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45">
        <v>65532019</v>
      </c>
      <c r="B20" s="47" t="s">
        <v>330</v>
      </c>
      <c r="C20" s="50">
        <v>1</v>
      </c>
      <c r="D20" s="50" t="s">
        <v>127</v>
      </c>
      <c r="E20" s="51" t="s">
        <v>304</v>
      </c>
      <c r="F20" s="51" t="s">
        <v>305</v>
      </c>
      <c r="G20" s="64" t="str">
        <f t="shared" si="15"/>
        <v>[effect:damage_anti_abnormal, target:unit_one, color:yellow, target_effect01:virus, val1:2, val2:0.5]</v>
      </c>
      <c r="H20" s="64">
        <f t="shared" si="16"/>
        <v>9</v>
      </c>
      <c r="I20" s="64">
        <f t="shared" si="17"/>
        <v>29</v>
      </c>
      <c r="J20" s="64">
        <f t="shared" si="18"/>
        <v>38</v>
      </c>
      <c r="K20" s="64">
        <f t="shared" si="19"/>
        <v>46</v>
      </c>
      <c r="L20" s="64" t="str">
        <f>IFERROR(VLOOKUP(MID(G20,J20,K20-J20),[6]skilldef!$C:$D,2,FALSE),"-") &amp; " / " &amp; IFERROR(VLOOKUP(MID(G20,H20,I20-H20),[6]skilldef!$A:$B,2,FALSE),"-")</f>
        <v>味方単体に / -</v>
      </c>
      <c r="M20" s="64" t="str">
        <f t="shared" si="20"/>
        <v>none</v>
      </c>
      <c r="N20" s="48" t="str">
        <f>IFERROR(LEFT(M20,FIND("],",M20)+#REF!),M20)</f>
        <v>none</v>
      </c>
      <c r="O20" s="64" t="e">
        <f t="shared" si="21"/>
        <v>#VALUE!</v>
      </c>
      <c r="P20" s="64">
        <f t="shared" si="22"/>
        <v>4</v>
      </c>
      <c r="Q20" s="64" t="e">
        <f t="shared" si="23"/>
        <v>#VALUE!</v>
      </c>
      <c r="R20" s="64" t="e">
        <f t="shared" si="24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25"/>
        <v>none</v>
      </c>
      <c r="U20" s="64" t="e">
        <f t="shared" si="26"/>
        <v>#VALUE!</v>
      </c>
      <c r="V20" s="64">
        <f t="shared" si="27"/>
        <v>4</v>
      </c>
      <c r="W20" s="64" t="e">
        <f t="shared" si="28"/>
        <v>#VALUE!</v>
      </c>
      <c r="X20" s="64" t="e">
        <f t="shared" si="29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45">
        <v>65532020</v>
      </c>
      <c r="B21" s="47" t="s">
        <v>328</v>
      </c>
      <c r="C21" s="50">
        <v>1</v>
      </c>
      <c r="D21" s="50" t="s">
        <v>127</v>
      </c>
      <c r="E21" s="51" t="s">
        <v>306</v>
      </c>
      <c r="F21" s="51" t="s">
        <v>319</v>
      </c>
      <c r="G21" s="64" t="str">
        <f t="shared" ref="G21:G24" si="30">IFERROR(LEFT(B21,FIND("],",B21)),B21)</f>
        <v>[effect:virus, target:unit_one, turn:5, rate:1, val:0.08, animation:enemy_virus]</v>
      </c>
      <c r="H21" s="64">
        <f t="shared" ref="H21:H24" si="31">FIND("effect:",G21)+7</f>
        <v>9</v>
      </c>
      <c r="I21" s="64">
        <f t="shared" ref="I21:I24" si="32">IFERROR(FIND(",",G21),LEN(G21))</f>
        <v>14</v>
      </c>
      <c r="J21" s="64">
        <f t="shared" ref="J21:J24" si="33">FIND("target:",G21)+7</f>
        <v>23</v>
      </c>
      <c r="K21" s="64">
        <f t="shared" ref="K21:K24" si="34">FIND(",",G21,I21+1)</f>
        <v>31</v>
      </c>
      <c r="L21" s="64" t="str">
        <f>IFERROR(VLOOKUP(MID(G21,J21,K21-J21),[6]skilldef!$C:$D,2,FALSE),"-") &amp; " / " &amp; IFERROR(VLOOKUP(MID(G21,H21,I21-H21),[6]skilldef!$A:$B,2,FALSE),"-")</f>
        <v>味方単体に / ウィルス</v>
      </c>
      <c r="M21" s="64" t="str">
        <f t="shared" ref="M21:M24" si="35">IFERROR(RIGHT(B21,LEN(B21)-FIND("],",B21)-1),"none")</f>
        <v>none</v>
      </c>
      <c r="N21" s="48" t="str">
        <f>IFERROR(LEFT(M21,FIND("],",M21)+#REF!),M21)</f>
        <v>none</v>
      </c>
      <c r="O21" s="64" t="e">
        <f t="shared" ref="O21:O24" si="36">FIND("effect:",N21)+7</f>
        <v>#VALUE!</v>
      </c>
      <c r="P21" s="64">
        <f t="shared" ref="P21:P24" si="37">IFERROR(FIND(",",N21),LEN(N21))</f>
        <v>4</v>
      </c>
      <c r="Q21" s="64" t="e">
        <f t="shared" ref="Q21:Q24" si="38">FIND("target:",N21)+7</f>
        <v>#VALUE!</v>
      </c>
      <c r="R21" s="64" t="e">
        <f t="shared" ref="R21:R24" si="39">FIND(",",N21,P21+1)</f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ref="T21:T24" si="40">IFERROR(RIGHT(M21,LEN(M21)-FIND("],",M21)-1),"none")</f>
        <v>none</v>
      </c>
      <c r="U21" s="64" t="e">
        <f t="shared" ref="U21:U24" si="41">FIND("effect:",T21)+7</f>
        <v>#VALUE!</v>
      </c>
      <c r="V21" s="64">
        <f t="shared" ref="V21:V24" si="42">IFERROR(FIND(",",T21),LEN(T21))</f>
        <v>4</v>
      </c>
      <c r="W21" s="64" t="e">
        <f t="shared" ref="W21:W24" si="43">FIND("target:",T21)+7</f>
        <v>#VALUE!</v>
      </c>
      <c r="X21" s="64" t="e">
        <f t="shared" ref="X21:X24" si="44">FIND(",",T21,V21+1)</f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45">
        <v>65532012</v>
      </c>
      <c r="B22" s="47" t="s">
        <v>307</v>
      </c>
      <c r="C22" s="50">
        <v>1</v>
      </c>
      <c r="D22" s="50" t="s">
        <v>127</v>
      </c>
      <c r="E22" s="51" t="s">
        <v>308</v>
      </c>
      <c r="F22" s="51" t="s">
        <v>309</v>
      </c>
      <c r="G22" s="64" t="str">
        <f t="shared" si="30"/>
        <v>[effect:hungup, target:unit_one, turn:2, rate:1, animation:hungup01]</v>
      </c>
      <c r="H22" s="64">
        <f t="shared" si="31"/>
        <v>9</v>
      </c>
      <c r="I22" s="64">
        <f t="shared" si="32"/>
        <v>15</v>
      </c>
      <c r="J22" s="64">
        <f t="shared" si="33"/>
        <v>24</v>
      </c>
      <c r="K22" s="64">
        <f t="shared" si="34"/>
        <v>32</v>
      </c>
      <c r="L22" s="64" t="str">
        <f>IFERROR(VLOOKUP(MID(G22,J22,K22-J22),[6]skilldef!$C:$D,2,FALSE),"-") &amp; " / " &amp; IFERROR(VLOOKUP(MID(G22,H22,I22-H22),[6]skilldef!$A:$B,2,FALSE),"-")</f>
        <v>味方単体に / ハングアップ</v>
      </c>
      <c r="M22" s="64" t="str">
        <f t="shared" si="35"/>
        <v>none</v>
      </c>
      <c r="N22" s="48" t="str">
        <f>IFERROR(LEFT(M22,FIND("],",M22)+#REF!),M22)</f>
        <v>none</v>
      </c>
      <c r="O22" s="64" t="e">
        <f t="shared" si="36"/>
        <v>#VALUE!</v>
      </c>
      <c r="P22" s="64">
        <f t="shared" si="37"/>
        <v>4</v>
      </c>
      <c r="Q22" s="64" t="e">
        <f t="shared" si="38"/>
        <v>#VALUE!</v>
      </c>
      <c r="R22" s="64" t="e">
        <f t="shared" si="39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40"/>
        <v>none</v>
      </c>
      <c r="U22" s="64" t="e">
        <f t="shared" si="41"/>
        <v>#VALUE!</v>
      </c>
      <c r="V22" s="64">
        <f t="shared" si="42"/>
        <v>4</v>
      </c>
      <c r="W22" s="64" t="e">
        <f t="shared" si="43"/>
        <v>#VALUE!</v>
      </c>
      <c r="X22" s="64" t="e">
        <f t="shared" si="44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45">
        <v>65532022</v>
      </c>
      <c r="B23" s="47" t="s">
        <v>310</v>
      </c>
      <c r="C23" s="50">
        <v>1</v>
      </c>
      <c r="D23" s="50" t="s">
        <v>127</v>
      </c>
      <c r="E23" s="51" t="s">
        <v>311</v>
      </c>
      <c r="F23" s="51" t="s">
        <v>312</v>
      </c>
      <c r="G23" s="64" t="str">
        <f t="shared" si="30"/>
        <v>[effect:kamikaze, val:3]</v>
      </c>
      <c r="H23" s="64">
        <f t="shared" si="31"/>
        <v>9</v>
      </c>
      <c r="I23" s="64">
        <f t="shared" si="32"/>
        <v>17</v>
      </c>
      <c r="J23" s="64" t="e">
        <f t="shared" si="33"/>
        <v>#VALUE!</v>
      </c>
      <c r="K23" s="64" t="e">
        <f t="shared" si="34"/>
        <v>#VALUE!</v>
      </c>
      <c r="L23" s="64" t="str">
        <f>IFERROR(VLOOKUP(MID(G23,J23,K23-J23),[6]skilldef!$C:$D,2,FALSE),"-") &amp; " / " &amp; IFERROR(VLOOKUP(MID(G23,H23,I23-H23),[6]skilldef!$A:$B,2,FALSE),"-")</f>
        <v>- / 自爆</v>
      </c>
      <c r="M23" s="64" t="str">
        <f t="shared" si="35"/>
        <v>none</v>
      </c>
      <c r="N23" s="48" t="str">
        <f>IFERROR(LEFT(M23,FIND("],",M23)+#REF!),M23)</f>
        <v>none</v>
      </c>
      <c r="O23" s="64" t="e">
        <f t="shared" si="36"/>
        <v>#VALUE!</v>
      </c>
      <c r="P23" s="64">
        <f t="shared" si="37"/>
        <v>4</v>
      </c>
      <c r="Q23" s="64" t="e">
        <f t="shared" si="38"/>
        <v>#VALUE!</v>
      </c>
      <c r="R23" s="64" t="e">
        <f t="shared" si="39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40"/>
        <v>none</v>
      </c>
      <c r="U23" s="64" t="e">
        <f t="shared" si="41"/>
        <v>#VALUE!</v>
      </c>
      <c r="V23" s="64">
        <f t="shared" si="42"/>
        <v>4</v>
      </c>
      <c r="W23" s="64" t="e">
        <f t="shared" si="43"/>
        <v>#VALUE!</v>
      </c>
      <c r="X23" s="64" t="e">
        <f t="shared" si="44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45">
        <v>65532023</v>
      </c>
      <c r="B24" s="47" t="s">
        <v>313</v>
      </c>
      <c r="C24" s="50">
        <v>1</v>
      </c>
      <c r="D24" s="50" t="s">
        <v>127</v>
      </c>
      <c r="E24" s="51" t="s">
        <v>314</v>
      </c>
      <c r="F24" s="51" t="s">
        <v>315</v>
      </c>
      <c r="G24" s="64" t="str">
        <f t="shared" si="30"/>
        <v>[effect:freq_turn, target:myself, turn:-1, val:1, animation:enemy_freq_turn]</v>
      </c>
      <c r="H24" s="64">
        <f t="shared" si="31"/>
        <v>9</v>
      </c>
      <c r="I24" s="64">
        <f t="shared" si="32"/>
        <v>18</v>
      </c>
      <c r="J24" s="64">
        <f t="shared" si="33"/>
        <v>27</v>
      </c>
      <c r="K24" s="64">
        <f t="shared" si="34"/>
        <v>33</v>
      </c>
      <c r="L24" s="64" t="str">
        <f>IFERROR(VLOOKUP(MID(G24,J24,K24-J24),[6]skilldef!$C:$D,2,FALSE),"-") &amp; " / " &amp; IFERROR(VLOOKUP(MID(G24,H24,I24-H24),[6]skilldef!$A:$B,2,FALSE),"-")</f>
        <v>自分自身に / 攻撃頻度がUP</v>
      </c>
      <c r="M24" s="64" t="str">
        <f t="shared" si="35"/>
        <v>none</v>
      </c>
      <c r="N24" s="48" t="str">
        <f>IFERROR(LEFT(M24,FIND("],",M24)+#REF!),M24)</f>
        <v>none</v>
      </c>
      <c r="O24" s="64" t="e">
        <f t="shared" si="36"/>
        <v>#VALUE!</v>
      </c>
      <c r="P24" s="64">
        <f t="shared" si="37"/>
        <v>4</v>
      </c>
      <c r="Q24" s="64" t="e">
        <f t="shared" si="38"/>
        <v>#VALUE!</v>
      </c>
      <c r="R24" s="64" t="e">
        <f t="shared" si="39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40"/>
        <v>none</v>
      </c>
      <c r="U24" s="64" t="e">
        <f t="shared" si="41"/>
        <v>#VALUE!</v>
      </c>
      <c r="V24" s="64">
        <f t="shared" si="42"/>
        <v>4</v>
      </c>
      <c r="W24" s="64" t="e">
        <f t="shared" si="43"/>
        <v>#VALUE!</v>
      </c>
      <c r="X24" s="64" t="e">
        <f t="shared" si="44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45">
        <v>65532024</v>
      </c>
      <c r="B25" s="47" t="s">
        <v>327</v>
      </c>
      <c r="C25" s="50">
        <v>1</v>
      </c>
      <c r="D25" s="50" t="s">
        <v>127</v>
      </c>
      <c r="E25" s="51" t="s">
        <v>269</v>
      </c>
      <c r="F25" s="51" t="s">
        <v>319</v>
      </c>
      <c r="G25" s="64" t="str">
        <f t="shared" ref="G25:G26" si="45">IFERROR(LEFT(B25,FIND("],",B25)),B25)</f>
        <v>[effect:virus, target:unit_one, turn:5, rate:1, val:0.2, animation:enemy_virus]</v>
      </c>
      <c r="H25" s="64">
        <f t="shared" ref="H25:H26" si="46">FIND("effect:",G25)+7</f>
        <v>9</v>
      </c>
      <c r="I25" s="64">
        <f t="shared" ref="I25:I26" si="47">IFERROR(FIND(",",G25),LEN(G25))</f>
        <v>14</v>
      </c>
      <c r="J25" s="64">
        <f t="shared" ref="J25:J26" si="48">FIND("target:",G25)+7</f>
        <v>23</v>
      </c>
      <c r="K25" s="64">
        <f t="shared" ref="K25:K26" si="49">FIND(",",G25,I25+1)</f>
        <v>31</v>
      </c>
      <c r="L25" s="64" t="str">
        <f>IFERROR(VLOOKUP(MID(G25,J25,K25-J25),[6]skilldef!$C:$D,2,FALSE),"-") &amp; " / " &amp; IFERROR(VLOOKUP(MID(G25,H25,I25-H25),[6]skilldef!$A:$B,2,FALSE),"-")</f>
        <v>味方単体に / ウィルス</v>
      </c>
      <c r="M25" s="64" t="str">
        <f t="shared" ref="M25:M26" si="50">IFERROR(RIGHT(B25,LEN(B25)-FIND("],",B25)-1),"none")</f>
        <v>none</v>
      </c>
      <c r="N25" s="48" t="str">
        <f>IFERROR(LEFT(M25,FIND("],",M25)+#REF!),M25)</f>
        <v>none</v>
      </c>
      <c r="O25" s="64" t="e">
        <f t="shared" ref="O25:O26" si="51">FIND("effect:",N25)+7</f>
        <v>#VALUE!</v>
      </c>
      <c r="P25" s="64">
        <f t="shared" ref="P25:P26" si="52">IFERROR(FIND(",",N25),LEN(N25))</f>
        <v>4</v>
      </c>
      <c r="Q25" s="64" t="e">
        <f t="shared" ref="Q25:Q26" si="53">FIND("target:",N25)+7</f>
        <v>#VALUE!</v>
      </c>
      <c r="R25" s="64" t="e">
        <f t="shared" ref="R25:R26" si="54">FIND(",",N25,P25+1)</f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6" si="55">IFERROR(RIGHT(M25,LEN(M25)-FIND("],",M25)-1),"none")</f>
        <v>none</v>
      </c>
      <c r="U25" s="64" t="e">
        <f t="shared" ref="U25:U26" si="56">FIND("effect:",T25)+7</f>
        <v>#VALUE!</v>
      </c>
      <c r="V25" s="64">
        <f t="shared" ref="V25:V26" si="57">IFERROR(FIND(",",T25),LEN(T25))</f>
        <v>4</v>
      </c>
      <c r="W25" s="64" t="e">
        <f t="shared" ref="W25:W26" si="58">FIND("target:",T25)+7</f>
        <v>#VALUE!</v>
      </c>
      <c r="X25" s="64" t="e">
        <f t="shared" ref="X25:X26" si="59">FIND(",",T25,V25+1)</f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45">
        <v>65532025</v>
      </c>
      <c r="B26" s="47" t="s">
        <v>331</v>
      </c>
      <c r="C26" s="50">
        <v>1</v>
      </c>
      <c r="D26" s="50" t="s">
        <v>127</v>
      </c>
      <c r="E26" s="51" t="s">
        <v>323</v>
      </c>
      <c r="F26" s="51" t="s">
        <v>322</v>
      </c>
      <c r="G26" s="64" t="str">
        <f t="shared" si="45"/>
        <v>[effect:fix_speed, target:myself, turn:2]</v>
      </c>
      <c r="H26" s="64">
        <f t="shared" si="46"/>
        <v>9</v>
      </c>
      <c r="I26" s="64">
        <f t="shared" si="47"/>
        <v>18</v>
      </c>
      <c r="J26" s="64">
        <f t="shared" si="48"/>
        <v>27</v>
      </c>
      <c r="K26" s="64">
        <f t="shared" si="49"/>
        <v>33</v>
      </c>
      <c r="L26" s="64" t="str">
        <f>IFERROR(VLOOKUP(MID(G26,J26,K26-J26),[6]skilldef!$C:$D,2,FALSE),"-") &amp; " / " &amp; IFERROR(VLOOKUP(MID(G26,H26,I26-H26),[6]skilldef!$A:$B,2,FALSE),"-")</f>
        <v>自分自身に / 行動値設定</v>
      </c>
      <c r="M26" s="64" t="str">
        <f t="shared" si="50"/>
        <v>none</v>
      </c>
      <c r="N26" s="48" t="str">
        <f>IFERROR(LEFT(M26,FIND("],",M26)+#REF!),M26)</f>
        <v>none</v>
      </c>
      <c r="O26" s="64" t="e">
        <f t="shared" si="51"/>
        <v>#VALUE!</v>
      </c>
      <c r="P26" s="64">
        <f t="shared" si="52"/>
        <v>4</v>
      </c>
      <c r="Q26" s="64" t="e">
        <f t="shared" si="53"/>
        <v>#VALUE!</v>
      </c>
      <c r="R26" s="64" t="e">
        <f t="shared" si="54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55"/>
        <v>none</v>
      </c>
      <c r="U26" s="64" t="e">
        <f t="shared" si="56"/>
        <v>#VALUE!</v>
      </c>
      <c r="V26" s="64">
        <f t="shared" si="57"/>
        <v>4</v>
      </c>
      <c r="W26" s="64" t="e">
        <f t="shared" si="58"/>
        <v>#VALUE!</v>
      </c>
      <c r="X26" s="64" t="e">
        <f t="shared" si="59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45">
        <v>65532026</v>
      </c>
      <c r="B27" s="47" t="s">
        <v>316</v>
      </c>
      <c r="C27" s="50">
        <v>1</v>
      </c>
      <c r="D27" s="50" t="s">
        <v>127</v>
      </c>
      <c r="E27" s="51" t="s">
        <v>317</v>
      </c>
      <c r="F27" s="51" t="s">
        <v>324</v>
      </c>
      <c r="G27" s="64" t="str">
        <f t="shared" ref="G27" si="60">IFERROR(LEFT(B27,FIND("],",B27)),B27)</f>
        <v>[effect:fix_speed, target:myself, turn:4]</v>
      </c>
      <c r="H27" s="64">
        <f t="shared" ref="H27" si="61">FIND("effect:",G27)+7</f>
        <v>9</v>
      </c>
      <c r="I27" s="64">
        <f t="shared" ref="I27" si="62">IFERROR(FIND(",",G27),LEN(G27))</f>
        <v>18</v>
      </c>
      <c r="J27" s="64">
        <f t="shared" ref="J27" si="63">FIND("target:",G27)+7</f>
        <v>27</v>
      </c>
      <c r="K27" s="64">
        <f t="shared" ref="K27" si="64">FIND(",",G27,I27+1)</f>
        <v>33</v>
      </c>
      <c r="L27" s="64" t="str">
        <f>IFERROR(VLOOKUP(MID(G27,J27,K27-J27),[6]skilldef!$C:$D,2,FALSE),"-") &amp; " / " &amp; IFERROR(VLOOKUP(MID(G27,H27,I27-H27),[6]skilldef!$A:$B,2,FALSE),"-")</f>
        <v>自分自身に / 行動値設定</v>
      </c>
      <c r="M27" s="64" t="str">
        <f t="shared" ref="M27" si="65">IFERROR(RIGHT(B27,LEN(B27)-FIND("],",B27)-1),"none")</f>
        <v>none</v>
      </c>
      <c r="N27" s="48" t="str">
        <f>IFERROR(LEFT(M27,FIND("],",M27)+#REF!),M27)</f>
        <v>none</v>
      </c>
      <c r="O27" s="64" t="e">
        <f t="shared" ref="O27" si="66">FIND("effect:",N27)+7</f>
        <v>#VALUE!</v>
      </c>
      <c r="P27" s="64">
        <f t="shared" ref="P27" si="67">IFERROR(FIND(",",N27),LEN(N27))</f>
        <v>4</v>
      </c>
      <c r="Q27" s="64" t="e">
        <f t="shared" ref="Q27" si="68">FIND("target:",N27)+7</f>
        <v>#VALUE!</v>
      </c>
      <c r="R27" s="64" t="e">
        <f t="shared" ref="R27" si="69">FIND(",",N27,P27+1)</f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ref="T27" si="70">IFERROR(RIGHT(M27,LEN(M27)-FIND("],",M27)-1),"none")</f>
        <v>none</v>
      </c>
      <c r="U27" s="64" t="e">
        <f t="shared" ref="U27" si="71">FIND("effect:",T27)+7</f>
        <v>#VALUE!</v>
      </c>
      <c r="V27" s="64">
        <f t="shared" ref="V27" si="72">IFERROR(FIND(",",T27),LEN(T27))</f>
        <v>4</v>
      </c>
      <c r="W27" s="64" t="e">
        <f t="shared" ref="W27" si="73">FIND("target:",T27)+7</f>
        <v>#VALUE!</v>
      </c>
      <c r="X27" s="64" t="e">
        <f t="shared" ref="X27" si="74">FIND(",",T27,V27+1)</f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45">
        <v>65532027</v>
      </c>
      <c r="B28" s="47" t="s">
        <v>332</v>
      </c>
      <c r="C28" s="50">
        <v>1</v>
      </c>
      <c r="D28" s="50" t="s">
        <v>127</v>
      </c>
      <c r="E28" s="51" t="s">
        <v>333</v>
      </c>
      <c r="F28" s="51" t="s">
        <v>334</v>
      </c>
      <c r="G28" s="64" t="str">
        <f t="shared" ref="G28" si="75">IFERROR(LEFT(B28,FIND("],",B28)),B28)</f>
        <v>[effect:fix_speed, target:myself, turn:1]</v>
      </c>
      <c r="H28" s="64">
        <f t="shared" ref="H28" si="76">FIND("effect:",G28)+7</f>
        <v>9</v>
      </c>
      <c r="I28" s="64">
        <f t="shared" ref="I28" si="77">IFERROR(FIND(",",G28),LEN(G28))</f>
        <v>18</v>
      </c>
      <c r="J28" s="64">
        <f t="shared" ref="J28" si="78">FIND("target:",G28)+7</f>
        <v>27</v>
      </c>
      <c r="K28" s="64">
        <f t="shared" ref="K28" si="79">FIND(",",G28,I28+1)</f>
        <v>33</v>
      </c>
      <c r="L28" s="64" t="str">
        <f>IFERROR(VLOOKUP(MID(G28,J28,K28-J28),[6]skilldef!$C:$D,2,FALSE),"-") &amp; " / " &amp; IFERROR(VLOOKUP(MID(G28,H28,I28-H28),[6]skilldef!$A:$B,2,FALSE),"-")</f>
        <v>自分自身に / 行動値設定</v>
      </c>
      <c r="M28" s="64" t="str">
        <f t="shared" ref="M28" si="80">IFERROR(RIGHT(B28,LEN(B28)-FIND("],",B28)-1),"none")</f>
        <v>none</v>
      </c>
      <c r="N28" s="48" t="str">
        <f>IFERROR(LEFT(M28,FIND("],",M28)+#REF!),M28)</f>
        <v>none</v>
      </c>
      <c r="O28" s="64" t="e">
        <f t="shared" ref="O28" si="81">FIND("effect:",N28)+7</f>
        <v>#VALUE!</v>
      </c>
      <c r="P28" s="64">
        <f t="shared" ref="P28" si="82">IFERROR(FIND(",",N28),LEN(N28))</f>
        <v>4</v>
      </c>
      <c r="Q28" s="64" t="e">
        <f t="shared" ref="Q28" si="83">FIND("target:",N28)+7</f>
        <v>#VALUE!</v>
      </c>
      <c r="R28" s="64" t="e">
        <f t="shared" ref="R28" si="84">FIND(",",N28,P28+1)</f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ref="T28" si="85">IFERROR(RIGHT(M28,LEN(M28)-FIND("],",M28)-1),"none")</f>
        <v>none</v>
      </c>
      <c r="U28" s="64" t="e">
        <f t="shared" ref="U28" si="86">FIND("effect:",T28)+7</f>
        <v>#VALUE!</v>
      </c>
      <c r="V28" s="64">
        <f t="shared" ref="V28" si="87">IFERROR(FIND(",",T28),LEN(T28))</f>
        <v>4</v>
      </c>
      <c r="W28" s="64" t="e">
        <f t="shared" ref="W28" si="88">FIND("target:",T28)+7</f>
        <v>#VALUE!</v>
      </c>
      <c r="X28" s="64" t="e">
        <f t="shared" ref="X28" si="89">FIND(",",T28,V28+1)</f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workbookViewId="0">
      <pane ySplit="1" topLeftCell="A2" activePane="bottomLeft" state="frozenSplit"/>
      <selection pane="bottomLeft" activeCell="G3" sqref="G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65532001</v>
      </c>
      <c r="B2" s="47">
        <v>1</v>
      </c>
      <c r="C2" s="47" t="s">
        <v>88</v>
      </c>
      <c r="D2" s="47">
        <v>100</v>
      </c>
      <c r="E2" s="104" t="s">
        <v>89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65532002</v>
      </c>
      <c r="B3" s="47">
        <v>0</v>
      </c>
      <c r="C3" s="47" t="s">
        <v>88</v>
      </c>
      <c r="D3" s="47">
        <v>50</v>
      </c>
      <c r="E3" s="104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ref="J3" si="1">D3</f>
        <v>50</v>
      </c>
    </row>
    <row r="4" spans="1:11" ht="21" customHeight="1" thickBot="1" x14ac:dyDescent="0.2">
      <c r="A4" s="106">
        <v>65532003</v>
      </c>
      <c r="B4" s="106">
        <v>0</v>
      </c>
      <c r="C4" s="106" t="s">
        <v>88</v>
      </c>
      <c r="D4" s="106">
        <v>20</v>
      </c>
      <c r="E4" s="106" t="s">
        <v>89</v>
      </c>
      <c r="F4" s="106" t="s">
        <v>89</v>
      </c>
      <c r="G4" s="106" t="s">
        <v>89</v>
      </c>
      <c r="H4" s="106" t="s">
        <v>89</v>
      </c>
      <c r="I4" s="106" t="s">
        <v>89</v>
      </c>
      <c r="J4" s="107">
        <f t="shared" ref="J4:J12" si="2">D4</f>
        <v>20</v>
      </c>
    </row>
    <row r="5" spans="1:11" ht="21" customHeight="1" x14ac:dyDescent="0.15">
      <c r="A5" s="104">
        <v>65532004</v>
      </c>
      <c r="B5" s="104">
        <v>0</v>
      </c>
      <c r="C5" s="104" t="s">
        <v>88</v>
      </c>
      <c r="D5" s="104">
        <v>100</v>
      </c>
      <c r="E5" s="104" t="s">
        <v>89</v>
      </c>
      <c r="F5" s="104" t="s">
        <v>89</v>
      </c>
      <c r="G5" s="104" t="s">
        <v>89</v>
      </c>
      <c r="H5" s="104" t="s">
        <v>89</v>
      </c>
      <c r="I5" s="104" t="s">
        <v>89</v>
      </c>
      <c r="J5" s="105">
        <f t="shared" ref="J5:J11" si="3">D5</f>
        <v>100</v>
      </c>
    </row>
    <row r="6" spans="1:11" ht="21" customHeight="1" thickBot="1" x14ac:dyDescent="0.2">
      <c r="A6" s="106">
        <v>65532005</v>
      </c>
      <c r="B6" s="106">
        <v>0</v>
      </c>
      <c r="C6" s="108" t="s">
        <v>88</v>
      </c>
      <c r="D6" s="106">
        <v>80</v>
      </c>
      <c r="E6" s="106" t="s">
        <v>89</v>
      </c>
      <c r="F6" s="106" t="s">
        <v>89</v>
      </c>
      <c r="G6" s="106" t="s">
        <v>89</v>
      </c>
      <c r="H6" s="106" t="s">
        <v>89</v>
      </c>
      <c r="I6" s="108" t="s">
        <v>88</v>
      </c>
      <c r="J6" s="107">
        <f t="shared" si="3"/>
        <v>80</v>
      </c>
      <c r="K6" s="109"/>
    </row>
    <row r="7" spans="1:11" ht="21" customHeight="1" x14ac:dyDescent="0.15">
      <c r="A7" s="104">
        <v>65532006</v>
      </c>
      <c r="B7" s="104">
        <v>0</v>
      </c>
      <c r="C7" s="47" t="s">
        <v>88</v>
      </c>
      <c r="D7" s="104">
        <v>100</v>
      </c>
      <c r="E7" s="104" t="s">
        <v>89</v>
      </c>
      <c r="F7" s="104" t="s">
        <v>89</v>
      </c>
      <c r="G7" s="104" t="s">
        <v>89</v>
      </c>
      <c r="H7" s="104" t="s">
        <v>89</v>
      </c>
      <c r="I7" s="104" t="s">
        <v>89</v>
      </c>
      <c r="J7" s="105">
        <f t="shared" si="3"/>
        <v>100</v>
      </c>
    </row>
    <row r="8" spans="1:11" ht="21" customHeight="1" x14ac:dyDescent="0.15">
      <c r="A8" s="47">
        <v>65532007</v>
      </c>
      <c r="B8" s="47">
        <v>0</v>
      </c>
      <c r="C8" s="47">
        <v>20</v>
      </c>
      <c r="D8" s="47">
        <v>60</v>
      </c>
      <c r="E8" s="104">
        <v>50</v>
      </c>
      <c r="F8" s="47" t="s">
        <v>89</v>
      </c>
      <c r="G8" s="47" t="s">
        <v>89</v>
      </c>
      <c r="H8" s="47" t="s">
        <v>89</v>
      </c>
      <c r="I8" s="104" t="s">
        <v>89</v>
      </c>
      <c r="J8" s="48">
        <f t="shared" si="3"/>
        <v>60</v>
      </c>
    </row>
    <row r="9" spans="1:11" ht="21" customHeight="1" thickBot="1" x14ac:dyDescent="0.2">
      <c r="A9" s="47">
        <v>65532008</v>
      </c>
      <c r="B9" s="47">
        <v>0</v>
      </c>
      <c r="C9" s="47">
        <v>10</v>
      </c>
      <c r="D9" s="47">
        <v>30</v>
      </c>
      <c r="E9" s="104">
        <v>50</v>
      </c>
      <c r="F9" s="47" t="s">
        <v>89</v>
      </c>
      <c r="G9" s="47" t="s">
        <v>89</v>
      </c>
      <c r="H9" s="47" t="s">
        <v>89</v>
      </c>
      <c r="I9" s="104" t="s">
        <v>89</v>
      </c>
      <c r="J9" s="48">
        <f t="shared" ref="J9:J10" si="4">D9</f>
        <v>30</v>
      </c>
      <c r="K9" s="109"/>
    </row>
    <row r="10" spans="1:11" ht="21" customHeight="1" thickBot="1" x14ac:dyDescent="0.2">
      <c r="A10" s="47">
        <v>65532009</v>
      </c>
      <c r="B10" s="47">
        <v>0</v>
      </c>
      <c r="C10" s="47">
        <v>40</v>
      </c>
      <c r="D10" s="47">
        <v>100</v>
      </c>
      <c r="E10" s="47" t="s">
        <v>89</v>
      </c>
      <c r="F10" s="47" t="s">
        <v>89</v>
      </c>
      <c r="G10" s="47" t="s">
        <v>89</v>
      </c>
      <c r="H10" s="47" t="s">
        <v>89</v>
      </c>
      <c r="I10" s="47">
        <v>47</v>
      </c>
      <c r="J10" s="48">
        <f t="shared" si="4"/>
        <v>100</v>
      </c>
      <c r="K10" s="109"/>
    </row>
    <row r="11" spans="1:11" ht="21" customHeight="1" thickBot="1" x14ac:dyDescent="0.2">
      <c r="A11" s="106">
        <v>65532010</v>
      </c>
      <c r="B11" s="108">
        <v>0</v>
      </c>
      <c r="C11" s="108">
        <v>30</v>
      </c>
      <c r="D11" s="108">
        <v>100</v>
      </c>
      <c r="E11" s="108" t="s">
        <v>89</v>
      </c>
      <c r="F11" s="108" t="s">
        <v>89</v>
      </c>
      <c r="G11" s="108" t="s">
        <v>89</v>
      </c>
      <c r="H11" s="108" t="s">
        <v>89</v>
      </c>
      <c r="I11" s="108">
        <v>47</v>
      </c>
      <c r="J11" s="110">
        <f t="shared" si="3"/>
        <v>100</v>
      </c>
      <c r="K11" s="109"/>
    </row>
    <row r="12" spans="1:11" ht="21" customHeight="1" x14ac:dyDescent="0.15">
      <c r="A12" s="104">
        <v>65532011</v>
      </c>
      <c r="B12" s="104">
        <v>0</v>
      </c>
      <c r="C12" s="104" t="s">
        <v>88</v>
      </c>
      <c r="D12" s="104">
        <v>100</v>
      </c>
      <c r="E12" s="104" t="s">
        <v>89</v>
      </c>
      <c r="F12" s="104" t="s">
        <v>89</v>
      </c>
      <c r="G12" s="47" t="s">
        <v>89</v>
      </c>
      <c r="H12" s="104" t="s">
        <v>89</v>
      </c>
      <c r="I12" s="104" t="s">
        <v>89</v>
      </c>
      <c r="J12" s="105">
        <f t="shared" si="2"/>
        <v>100</v>
      </c>
    </row>
    <row r="13" spans="1:11" ht="21" customHeight="1" thickBot="1" x14ac:dyDescent="0.2">
      <c r="A13" s="106">
        <v>65532012</v>
      </c>
      <c r="B13" s="108">
        <v>0</v>
      </c>
      <c r="C13" s="108" t="s">
        <v>88</v>
      </c>
      <c r="D13" s="108">
        <v>70</v>
      </c>
      <c r="E13" s="106" t="s">
        <v>89</v>
      </c>
      <c r="F13" s="108" t="s">
        <v>89</v>
      </c>
      <c r="G13" s="106" t="s">
        <v>89</v>
      </c>
      <c r="H13" s="108" t="s">
        <v>89</v>
      </c>
      <c r="I13" s="108" t="s">
        <v>89</v>
      </c>
      <c r="J13" s="110">
        <f t="shared" ref="J13:J31" si="5">D13</f>
        <v>70</v>
      </c>
      <c r="K13" s="109"/>
    </row>
    <row r="14" spans="1:11" ht="21" customHeight="1" x14ac:dyDescent="0.15">
      <c r="A14" s="104">
        <v>65532013</v>
      </c>
      <c r="B14" s="104">
        <v>0</v>
      </c>
      <c r="C14" s="104" t="s">
        <v>88</v>
      </c>
      <c r="D14" s="104">
        <v>100</v>
      </c>
      <c r="E14" s="104" t="s">
        <v>89</v>
      </c>
      <c r="F14" s="104" t="s">
        <v>89</v>
      </c>
      <c r="G14" s="104" t="s">
        <v>89</v>
      </c>
      <c r="H14" s="104" t="s">
        <v>89</v>
      </c>
      <c r="I14" s="104" t="s">
        <v>89</v>
      </c>
      <c r="J14" s="105">
        <f t="shared" si="5"/>
        <v>100</v>
      </c>
    </row>
    <row r="15" spans="1:11" ht="21" customHeight="1" x14ac:dyDescent="0.15">
      <c r="A15" s="47">
        <v>65532014</v>
      </c>
      <c r="B15" s="104">
        <v>0</v>
      </c>
      <c r="C15" s="104" t="s">
        <v>88</v>
      </c>
      <c r="D15" s="104">
        <v>20</v>
      </c>
      <c r="E15" s="104" t="s">
        <v>89</v>
      </c>
      <c r="F15" s="104" t="s">
        <v>89</v>
      </c>
      <c r="G15" s="47" t="s">
        <v>89</v>
      </c>
      <c r="H15" s="104" t="s">
        <v>89</v>
      </c>
      <c r="I15" s="104" t="s">
        <v>89</v>
      </c>
      <c r="J15" s="105">
        <f t="shared" si="5"/>
        <v>20</v>
      </c>
    </row>
    <row r="16" spans="1:11" ht="21" customHeight="1" thickBot="1" x14ac:dyDescent="0.2">
      <c r="A16" s="106">
        <v>65532015</v>
      </c>
      <c r="B16" s="108">
        <v>0</v>
      </c>
      <c r="C16" s="108" t="s">
        <v>88</v>
      </c>
      <c r="D16" s="108">
        <v>10</v>
      </c>
      <c r="E16" s="106" t="s">
        <v>89</v>
      </c>
      <c r="F16" s="108" t="s">
        <v>89</v>
      </c>
      <c r="G16" s="106" t="s">
        <v>89</v>
      </c>
      <c r="H16" s="108" t="s">
        <v>89</v>
      </c>
      <c r="I16" s="108" t="s">
        <v>89</v>
      </c>
      <c r="J16" s="110">
        <f t="shared" si="5"/>
        <v>10</v>
      </c>
      <c r="K16" s="109"/>
    </row>
    <row r="17" spans="1:11" ht="21" customHeight="1" x14ac:dyDescent="0.15">
      <c r="A17" s="104">
        <v>65532016</v>
      </c>
      <c r="B17" s="104">
        <v>0</v>
      </c>
      <c r="C17" s="104" t="s">
        <v>88</v>
      </c>
      <c r="D17" s="104">
        <v>100</v>
      </c>
      <c r="E17" s="104" t="s">
        <v>89</v>
      </c>
      <c r="F17" s="104" t="s">
        <v>89</v>
      </c>
      <c r="G17" s="104" t="s">
        <v>89</v>
      </c>
      <c r="H17" s="104" t="s">
        <v>89</v>
      </c>
      <c r="I17" s="104" t="s">
        <v>89</v>
      </c>
      <c r="J17" s="105">
        <f t="shared" si="5"/>
        <v>100</v>
      </c>
    </row>
    <row r="18" spans="1:11" ht="21" customHeight="1" thickBot="1" x14ac:dyDescent="0.2">
      <c r="A18" s="106">
        <v>65532017</v>
      </c>
      <c r="B18" s="108">
        <v>0</v>
      </c>
      <c r="C18" s="108" t="s">
        <v>88</v>
      </c>
      <c r="D18" s="108">
        <v>50</v>
      </c>
      <c r="E18" s="106" t="s">
        <v>89</v>
      </c>
      <c r="F18" s="108" t="s">
        <v>89</v>
      </c>
      <c r="G18" s="106" t="s">
        <v>89</v>
      </c>
      <c r="H18" s="108" t="s">
        <v>89</v>
      </c>
      <c r="I18" s="108" t="s">
        <v>89</v>
      </c>
      <c r="J18" s="110">
        <f t="shared" si="5"/>
        <v>50</v>
      </c>
      <c r="K18" s="109"/>
    </row>
    <row r="19" spans="1:11" ht="21" customHeight="1" x14ac:dyDescent="0.15">
      <c r="A19" s="104">
        <v>65532018</v>
      </c>
      <c r="B19" s="104">
        <v>0</v>
      </c>
      <c r="C19" s="104" t="s">
        <v>88</v>
      </c>
      <c r="D19" s="104">
        <v>100</v>
      </c>
      <c r="E19" s="104" t="s">
        <v>89</v>
      </c>
      <c r="F19" s="104" t="s">
        <v>89</v>
      </c>
      <c r="G19" s="104" t="s">
        <v>89</v>
      </c>
      <c r="H19" s="104" t="s">
        <v>89</v>
      </c>
      <c r="I19" s="104" t="s">
        <v>89</v>
      </c>
      <c r="J19" s="105">
        <f t="shared" ref="J19:J21" si="6">D19</f>
        <v>100</v>
      </c>
    </row>
    <row r="20" spans="1:11" ht="21" customHeight="1" x14ac:dyDescent="0.15">
      <c r="A20" s="47">
        <v>65532019</v>
      </c>
      <c r="B20" s="104">
        <v>0</v>
      </c>
      <c r="C20" s="104" t="s">
        <v>88</v>
      </c>
      <c r="D20" s="104">
        <v>20</v>
      </c>
      <c r="E20" s="104" t="s">
        <v>89</v>
      </c>
      <c r="F20" s="104" t="s">
        <v>89</v>
      </c>
      <c r="G20" s="47" t="s">
        <v>89</v>
      </c>
      <c r="H20" s="104" t="s">
        <v>89</v>
      </c>
      <c r="I20" s="104" t="s">
        <v>89</v>
      </c>
      <c r="J20" s="105">
        <f t="shared" si="6"/>
        <v>20</v>
      </c>
    </row>
    <row r="21" spans="1:11" ht="21" customHeight="1" thickBot="1" x14ac:dyDescent="0.2">
      <c r="A21" s="106">
        <v>65532020</v>
      </c>
      <c r="B21" s="108">
        <v>0</v>
      </c>
      <c r="C21" s="108" t="s">
        <v>88</v>
      </c>
      <c r="D21" s="108">
        <v>10</v>
      </c>
      <c r="E21" s="106" t="s">
        <v>89</v>
      </c>
      <c r="F21" s="108" t="s">
        <v>89</v>
      </c>
      <c r="G21" s="106" t="s">
        <v>89</v>
      </c>
      <c r="H21" s="108" t="s">
        <v>89</v>
      </c>
      <c r="I21" s="108" t="s">
        <v>89</v>
      </c>
      <c r="J21" s="110">
        <f t="shared" si="6"/>
        <v>10</v>
      </c>
      <c r="K21" s="109"/>
    </row>
    <row r="22" spans="1:11" ht="21" customHeight="1" x14ac:dyDescent="0.15">
      <c r="A22" s="104">
        <v>65532021</v>
      </c>
      <c r="B22" s="104">
        <v>0</v>
      </c>
      <c r="C22" s="104" t="s">
        <v>88</v>
      </c>
      <c r="D22" s="104">
        <v>100</v>
      </c>
      <c r="E22" s="104" t="s">
        <v>89</v>
      </c>
      <c r="F22" s="104" t="s">
        <v>89</v>
      </c>
      <c r="G22" s="47" t="s">
        <v>89</v>
      </c>
      <c r="H22" s="104" t="s">
        <v>89</v>
      </c>
      <c r="I22" s="104" t="s">
        <v>89</v>
      </c>
      <c r="J22" s="105">
        <f t="shared" si="5"/>
        <v>100</v>
      </c>
    </row>
    <row r="23" spans="1:11" ht="21" customHeight="1" x14ac:dyDescent="0.15">
      <c r="A23" s="47">
        <v>65532022</v>
      </c>
      <c r="B23" s="104">
        <v>0</v>
      </c>
      <c r="C23" s="47">
        <v>10</v>
      </c>
      <c r="D23" s="104">
        <v>50</v>
      </c>
      <c r="E23" s="104">
        <v>50</v>
      </c>
      <c r="F23" s="104" t="s">
        <v>89</v>
      </c>
      <c r="G23" s="47" t="s">
        <v>89</v>
      </c>
      <c r="H23" s="104" t="s">
        <v>89</v>
      </c>
      <c r="I23" s="104" t="s">
        <v>89</v>
      </c>
      <c r="J23" s="105">
        <f t="shared" si="5"/>
        <v>50</v>
      </c>
    </row>
    <row r="24" spans="1:11" ht="21" customHeight="1" x14ac:dyDescent="0.15">
      <c r="A24" s="47">
        <v>65532023</v>
      </c>
      <c r="B24" s="104">
        <v>0</v>
      </c>
      <c r="C24" s="47">
        <v>20</v>
      </c>
      <c r="D24" s="104">
        <v>50</v>
      </c>
      <c r="E24" s="104">
        <v>50</v>
      </c>
      <c r="F24" s="104" t="s">
        <v>89</v>
      </c>
      <c r="G24" s="47" t="s">
        <v>89</v>
      </c>
      <c r="H24" s="104" t="s">
        <v>89</v>
      </c>
      <c r="I24" s="104" t="s">
        <v>89</v>
      </c>
      <c r="J24" s="105">
        <f t="shared" si="5"/>
        <v>50</v>
      </c>
    </row>
    <row r="25" spans="1:11" ht="21" customHeight="1" x14ac:dyDescent="0.15">
      <c r="A25" s="47">
        <v>65532024</v>
      </c>
      <c r="B25" s="47">
        <v>0</v>
      </c>
      <c r="C25" s="47">
        <v>40</v>
      </c>
      <c r="D25" s="47">
        <v>100</v>
      </c>
      <c r="E25" s="47" t="s">
        <v>89</v>
      </c>
      <c r="F25" s="47" t="s">
        <v>89</v>
      </c>
      <c r="G25" s="47" t="s">
        <v>89</v>
      </c>
      <c r="H25" s="47" t="s">
        <v>89</v>
      </c>
      <c r="I25" s="47">
        <v>47</v>
      </c>
      <c r="J25" s="48">
        <f t="shared" si="5"/>
        <v>100</v>
      </c>
    </row>
    <row r="26" spans="1:11" ht="21" customHeight="1" thickBot="1" x14ac:dyDescent="0.2">
      <c r="A26" s="106">
        <v>65532025</v>
      </c>
      <c r="B26" s="108">
        <v>0</v>
      </c>
      <c r="C26" s="108">
        <v>30</v>
      </c>
      <c r="D26" s="108">
        <v>100</v>
      </c>
      <c r="E26" s="108" t="s">
        <v>89</v>
      </c>
      <c r="F26" s="108" t="s">
        <v>89</v>
      </c>
      <c r="G26" s="108" t="s">
        <v>89</v>
      </c>
      <c r="H26" s="108" t="s">
        <v>89</v>
      </c>
      <c r="I26" s="108">
        <v>47</v>
      </c>
      <c r="J26" s="110">
        <f t="shared" ref="J26" si="7">D26</f>
        <v>100</v>
      </c>
    </row>
    <row r="27" spans="1:11" ht="21" customHeight="1" x14ac:dyDescent="0.15">
      <c r="A27" s="104">
        <v>65532026</v>
      </c>
      <c r="B27" s="104">
        <v>0</v>
      </c>
      <c r="C27" s="104" t="s">
        <v>88</v>
      </c>
      <c r="D27" s="104">
        <v>100</v>
      </c>
      <c r="E27" s="104" t="s">
        <v>89</v>
      </c>
      <c r="F27" s="104" t="s">
        <v>89</v>
      </c>
      <c r="G27" s="104" t="s">
        <v>89</v>
      </c>
      <c r="H27" s="104" t="s">
        <v>89</v>
      </c>
      <c r="I27" s="104" t="s">
        <v>89</v>
      </c>
      <c r="J27" s="105">
        <f t="shared" si="5"/>
        <v>100</v>
      </c>
    </row>
    <row r="28" spans="1:11" ht="21" customHeight="1" x14ac:dyDescent="0.15">
      <c r="A28" s="47">
        <v>65532027</v>
      </c>
      <c r="B28" s="104">
        <v>0</v>
      </c>
      <c r="C28" s="104" t="s">
        <v>88</v>
      </c>
      <c r="D28" s="104">
        <v>70</v>
      </c>
      <c r="E28" s="104" t="s">
        <v>89</v>
      </c>
      <c r="F28" s="104" t="s">
        <v>89</v>
      </c>
      <c r="G28" s="47" t="s">
        <v>89</v>
      </c>
      <c r="H28" s="104" t="s">
        <v>89</v>
      </c>
      <c r="I28" s="104" t="s">
        <v>89</v>
      </c>
      <c r="J28" s="105">
        <f t="shared" si="5"/>
        <v>70</v>
      </c>
    </row>
    <row r="29" spans="1:11" ht="21" customHeight="1" thickBot="1" x14ac:dyDescent="0.2">
      <c r="A29" s="106">
        <v>65532028</v>
      </c>
      <c r="B29" s="108">
        <v>0</v>
      </c>
      <c r="C29" s="108" t="s">
        <v>88</v>
      </c>
      <c r="D29" s="108">
        <v>30</v>
      </c>
      <c r="E29" s="106" t="s">
        <v>89</v>
      </c>
      <c r="F29" s="108" t="s">
        <v>89</v>
      </c>
      <c r="G29" s="106" t="s">
        <v>89</v>
      </c>
      <c r="H29" s="108" t="s">
        <v>89</v>
      </c>
      <c r="I29" s="108" t="s">
        <v>89</v>
      </c>
      <c r="J29" s="110">
        <f t="shared" si="5"/>
        <v>30</v>
      </c>
      <c r="K29" s="109"/>
    </row>
    <row r="30" spans="1:11" ht="21" customHeight="1" x14ac:dyDescent="0.15">
      <c r="A30" s="104">
        <v>65532029</v>
      </c>
      <c r="B30" s="104">
        <v>0</v>
      </c>
      <c r="C30" s="104" t="s">
        <v>88</v>
      </c>
      <c r="D30" s="104">
        <v>100</v>
      </c>
      <c r="E30" s="104" t="s">
        <v>89</v>
      </c>
      <c r="F30" s="104" t="s">
        <v>89</v>
      </c>
      <c r="G30" s="104" t="s">
        <v>89</v>
      </c>
      <c r="H30" s="104" t="s">
        <v>89</v>
      </c>
      <c r="I30" s="104" t="s">
        <v>89</v>
      </c>
      <c r="J30" s="105">
        <f t="shared" si="5"/>
        <v>100</v>
      </c>
    </row>
    <row r="31" spans="1:11" ht="21" customHeight="1" x14ac:dyDescent="0.15">
      <c r="A31" s="47">
        <v>65532030</v>
      </c>
      <c r="B31" s="104">
        <v>0</v>
      </c>
      <c r="C31" s="104" t="s">
        <v>88</v>
      </c>
      <c r="D31" s="104">
        <v>50</v>
      </c>
      <c r="E31" s="104" t="s">
        <v>89</v>
      </c>
      <c r="F31" s="104" t="s">
        <v>89</v>
      </c>
      <c r="G31" s="47" t="s">
        <v>89</v>
      </c>
      <c r="H31" s="104" t="s">
        <v>89</v>
      </c>
      <c r="I31" s="104" t="s">
        <v>89</v>
      </c>
      <c r="J31" s="105">
        <f t="shared" si="5"/>
        <v>50</v>
      </c>
    </row>
    <row r="32" spans="1:11" ht="21" customHeight="1" thickBot="1" x14ac:dyDescent="0.2">
      <c r="A32" s="106">
        <v>65532031</v>
      </c>
      <c r="B32" s="106">
        <v>0</v>
      </c>
      <c r="C32" s="106" t="s">
        <v>88</v>
      </c>
      <c r="D32" s="106">
        <v>20</v>
      </c>
      <c r="E32" s="106" t="s">
        <v>89</v>
      </c>
      <c r="F32" s="106" t="s">
        <v>89</v>
      </c>
      <c r="G32" s="106" t="s">
        <v>89</v>
      </c>
      <c r="H32" s="106" t="s">
        <v>89</v>
      </c>
      <c r="I32" s="106" t="s">
        <v>89</v>
      </c>
      <c r="J32" s="107">
        <f t="shared" ref="J32:J58" si="8">D32</f>
        <v>20</v>
      </c>
    </row>
    <row r="33" spans="1:11" ht="21" customHeight="1" x14ac:dyDescent="0.15">
      <c r="A33" s="104">
        <v>65532032</v>
      </c>
      <c r="B33" s="104">
        <v>0</v>
      </c>
      <c r="C33" s="47">
        <v>10</v>
      </c>
      <c r="D33" s="104">
        <v>50</v>
      </c>
      <c r="E33" s="104" t="s">
        <v>89</v>
      </c>
      <c r="F33" s="104" t="s">
        <v>89</v>
      </c>
      <c r="G33" s="47" t="s">
        <v>89</v>
      </c>
      <c r="H33" s="104" t="s">
        <v>89</v>
      </c>
      <c r="I33" s="104" t="s">
        <v>89</v>
      </c>
      <c r="J33" s="105">
        <f t="shared" si="8"/>
        <v>50</v>
      </c>
    </row>
    <row r="34" spans="1:11" ht="21" customHeight="1" thickBot="1" x14ac:dyDescent="0.2">
      <c r="A34" s="108">
        <v>65532033</v>
      </c>
      <c r="B34" s="106">
        <v>0</v>
      </c>
      <c r="C34" s="106">
        <v>20</v>
      </c>
      <c r="D34" s="106">
        <v>50</v>
      </c>
      <c r="E34" s="106" t="s">
        <v>89</v>
      </c>
      <c r="F34" s="106" t="s">
        <v>89</v>
      </c>
      <c r="G34" s="106" t="s">
        <v>89</v>
      </c>
      <c r="H34" s="106" t="s">
        <v>89</v>
      </c>
      <c r="I34" s="106" t="s">
        <v>89</v>
      </c>
      <c r="J34" s="107">
        <f t="shared" si="8"/>
        <v>50</v>
      </c>
    </row>
    <row r="35" spans="1:11" ht="21" customHeight="1" x14ac:dyDescent="0.15">
      <c r="A35" s="144">
        <v>65532057</v>
      </c>
      <c r="B35" s="104">
        <v>0</v>
      </c>
      <c r="C35" s="104">
        <v>10</v>
      </c>
      <c r="D35" s="104">
        <v>40</v>
      </c>
      <c r="E35" s="104" t="s">
        <v>88</v>
      </c>
      <c r="F35" s="104" t="s">
        <v>88</v>
      </c>
      <c r="G35" s="104" t="s">
        <v>88</v>
      </c>
      <c r="H35" s="104" t="s">
        <v>88</v>
      </c>
      <c r="I35" s="104" t="s">
        <v>88</v>
      </c>
      <c r="J35" s="105">
        <f t="shared" ref="J35:J36" si="9">D35</f>
        <v>40</v>
      </c>
    </row>
    <row r="36" spans="1:11" ht="21" customHeight="1" thickBot="1" x14ac:dyDescent="0.2">
      <c r="A36" s="146">
        <v>65532058</v>
      </c>
      <c r="B36" s="106">
        <v>0</v>
      </c>
      <c r="C36" s="108">
        <v>5</v>
      </c>
      <c r="D36" s="108">
        <v>90</v>
      </c>
      <c r="E36" s="106" t="s">
        <v>88</v>
      </c>
      <c r="F36" s="106" t="s">
        <v>88</v>
      </c>
      <c r="G36" s="106" t="s">
        <v>88</v>
      </c>
      <c r="H36" s="106" t="s">
        <v>88</v>
      </c>
      <c r="I36" s="108" t="s">
        <v>88</v>
      </c>
      <c r="J36" s="107">
        <f t="shared" si="9"/>
        <v>90</v>
      </c>
      <c r="K36" s="109"/>
    </row>
    <row r="37" spans="1:11" ht="21" customHeight="1" x14ac:dyDescent="0.15">
      <c r="A37" s="145">
        <v>65532035</v>
      </c>
      <c r="B37" s="47">
        <v>0</v>
      </c>
      <c r="C37" s="47">
        <v>10</v>
      </c>
      <c r="D37" s="47">
        <v>40</v>
      </c>
      <c r="E37" s="104" t="s">
        <v>88</v>
      </c>
      <c r="F37" s="47" t="s">
        <v>88</v>
      </c>
      <c r="G37" s="47" t="s">
        <v>88</v>
      </c>
      <c r="H37" s="47" t="s">
        <v>88</v>
      </c>
      <c r="I37" s="47" t="s">
        <v>88</v>
      </c>
      <c r="J37" s="48">
        <f t="shared" si="8"/>
        <v>40</v>
      </c>
    </row>
    <row r="38" spans="1:11" ht="21" customHeight="1" x14ac:dyDescent="0.15">
      <c r="A38" s="145">
        <v>65532036</v>
      </c>
      <c r="B38" s="47">
        <v>0</v>
      </c>
      <c r="C38" s="104">
        <v>5</v>
      </c>
      <c r="D38" s="47">
        <v>100</v>
      </c>
      <c r="E38" s="47" t="s">
        <v>88</v>
      </c>
      <c r="F38" s="47" t="s">
        <v>88</v>
      </c>
      <c r="G38" s="47" t="s">
        <v>88</v>
      </c>
      <c r="H38" s="47" t="s">
        <v>88</v>
      </c>
      <c r="I38" s="47" t="s">
        <v>88</v>
      </c>
      <c r="J38" s="48">
        <f t="shared" ref="J38" si="10">D38</f>
        <v>100</v>
      </c>
    </row>
    <row r="39" spans="1:11" ht="21" customHeight="1" thickBot="1" x14ac:dyDescent="0.2">
      <c r="A39" s="148">
        <v>65532055</v>
      </c>
      <c r="B39" s="108">
        <v>1</v>
      </c>
      <c r="C39" s="108" t="s">
        <v>88</v>
      </c>
      <c r="D39" s="108">
        <v>100</v>
      </c>
      <c r="E39" s="108" t="s">
        <v>88</v>
      </c>
      <c r="F39" s="108" t="s">
        <v>88</v>
      </c>
      <c r="G39" s="108" t="s">
        <v>88</v>
      </c>
      <c r="H39" s="108" t="s">
        <v>88</v>
      </c>
      <c r="I39" s="108" t="s">
        <v>88</v>
      </c>
      <c r="J39" s="110">
        <f t="shared" si="8"/>
        <v>100</v>
      </c>
    </row>
    <row r="40" spans="1:11" ht="21" customHeight="1" x14ac:dyDescent="0.15">
      <c r="A40" s="144">
        <v>65532037</v>
      </c>
      <c r="B40" s="104">
        <v>0</v>
      </c>
      <c r="C40" s="104">
        <v>10</v>
      </c>
      <c r="D40" s="104">
        <v>40</v>
      </c>
      <c r="E40" s="104" t="s">
        <v>88</v>
      </c>
      <c r="F40" s="104" t="s">
        <v>88</v>
      </c>
      <c r="G40" s="104" t="s">
        <v>88</v>
      </c>
      <c r="H40" s="104" t="s">
        <v>88</v>
      </c>
      <c r="I40" s="104" t="s">
        <v>88</v>
      </c>
      <c r="J40" s="105">
        <f t="shared" si="8"/>
        <v>40</v>
      </c>
    </row>
    <row r="41" spans="1:11" ht="21" customHeight="1" thickBot="1" x14ac:dyDescent="0.2">
      <c r="A41" s="146">
        <v>65532038</v>
      </c>
      <c r="B41" s="106">
        <v>0</v>
      </c>
      <c r="C41" s="108">
        <v>5</v>
      </c>
      <c r="D41" s="108">
        <v>90</v>
      </c>
      <c r="E41" s="106" t="s">
        <v>88</v>
      </c>
      <c r="F41" s="106" t="s">
        <v>88</v>
      </c>
      <c r="G41" s="106" t="s">
        <v>88</v>
      </c>
      <c r="H41" s="106" t="s">
        <v>88</v>
      </c>
      <c r="I41" s="108" t="s">
        <v>88</v>
      </c>
      <c r="J41" s="107">
        <f t="shared" si="8"/>
        <v>90</v>
      </c>
      <c r="K41" s="109"/>
    </row>
    <row r="42" spans="1:11" ht="21" customHeight="1" x14ac:dyDescent="0.15">
      <c r="A42" s="144">
        <v>65532039</v>
      </c>
      <c r="B42" s="104">
        <v>0</v>
      </c>
      <c r="C42" s="147" t="s">
        <v>88</v>
      </c>
      <c r="D42" s="104">
        <v>50</v>
      </c>
      <c r="E42" s="104" t="s">
        <v>88</v>
      </c>
      <c r="F42" s="104" t="s">
        <v>88</v>
      </c>
      <c r="G42" s="104" t="s">
        <v>88</v>
      </c>
      <c r="H42" s="104" t="s">
        <v>88</v>
      </c>
      <c r="I42" s="104" t="s">
        <v>88</v>
      </c>
      <c r="J42" s="105">
        <f t="shared" si="8"/>
        <v>50</v>
      </c>
    </row>
    <row r="43" spans="1:11" ht="21" customHeight="1" thickBot="1" x14ac:dyDescent="0.2">
      <c r="A43" s="146">
        <v>65532040</v>
      </c>
      <c r="B43" s="106">
        <v>0</v>
      </c>
      <c r="C43" s="108" t="s">
        <v>88</v>
      </c>
      <c r="D43" s="106">
        <v>90</v>
      </c>
      <c r="E43" s="106" t="s">
        <v>88</v>
      </c>
      <c r="F43" s="106" t="s">
        <v>88</v>
      </c>
      <c r="G43" s="106" t="s">
        <v>88</v>
      </c>
      <c r="H43" s="106" t="s">
        <v>88</v>
      </c>
      <c r="I43" s="106" t="s">
        <v>88</v>
      </c>
      <c r="J43" s="107">
        <f t="shared" si="8"/>
        <v>90</v>
      </c>
    </row>
    <row r="44" spans="1:11" ht="21" customHeight="1" x14ac:dyDescent="0.15">
      <c r="A44" s="144">
        <v>65532041</v>
      </c>
      <c r="B44" s="104">
        <v>0</v>
      </c>
      <c r="C44" s="147" t="s">
        <v>88</v>
      </c>
      <c r="D44" s="104">
        <v>50</v>
      </c>
      <c r="E44" s="104" t="s">
        <v>88</v>
      </c>
      <c r="F44" s="104" t="s">
        <v>88</v>
      </c>
      <c r="G44" s="104" t="s">
        <v>88</v>
      </c>
      <c r="H44" s="104" t="s">
        <v>88</v>
      </c>
      <c r="I44" s="104" t="s">
        <v>88</v>
      </c>
      <c r="J44" s="105">
        <f t="shared" si="8"/>
        <v>50</v>
      </c>
    </row>
    <row r="45" spans="1:11" ht="21" customHeight="1" thickBot="1" x14ac:dyDescent="0.2">
      <c r="A45" s="146">
        <v>65532042</v>
      </c>
      <c r="B45" s="108">
        <v>0</v>
      </c>
      <c r="C45" s="108" t="s">
        <v>88</v>
      </c>
      <c r="D45" s="106">
        <v>90</v>
      </c>
      <c r="E45" s="106" t="s">
        <v>88</v>
      </c>
      <c r="F45" s="108" t="s">
        <v>88</v>
      </c>
      <c r="G45" s="106" t="s">
        <v>88</v>
      </c>
      <c r="H45" s="108" t="s">
        <v>88</v>
      </c>
      <c r="I45" s="108" t="s">
        <v>88</v>
      </c>
      <c r="J45" s="110">
        <f t="shared" si="8"/>
        <v>90</v>
      </c>
      <c r="K45" s="109"/>
    </row>
    <row r="46" spans="1:11" s="153" customFormat="1" ht="21" customHeight="1" x14ac:dyDescent="0.15">
      <c r="A46" s="150">
        <v>65532043</v>
      </c>
      <c r="B46" s="147">
        <v>0</v>
      </c>
      <c r="C46" s="147" t="s">
        <v>88</v>
      </c>
      <c r="D46" s="147">
        <v>100</v>
      </c>
      <c r="E46" s="147" t="s">
        <v>88</v>
      </c>
      <c r="F46" s="147" t="s">
        <v>88</v>
      </c>
      <c r="G46" s="147" t="s">
        <v>88</v>
      </c>
      <c r="H46" s="147" t="s">
        <v>88</v>
      </c>
      <c r="I46" s="147" t="s">
        <v>88</v>
      </c>
      <c r="J46" s="151">
        <f t="shared" ref="J46" si="11">D46</f>
        <v>100</v>
      </c>
      <c r="K46" s="152"/>
    </row>
    <row r="47" spans="1:11" ht="21" customHeight="1" thickBot="1" x14ac:dyDescent="0.2">
      <c r="A47" s="148">
        <v>65532056</v>
      </c>
      <c r="B47" s="108">
        <v>1</v>
      </c>
      <c r="C47" s="108" t="s">
        <v>88</v>
      </c>
      <c r="D47" s="108">
        <v>100</v>
      </c>
      <c r="E47" s="108" t="s">
        <v>88</v>
      </c>
      <c r="F47" s="108" t="s">
        <v>88</v>
      </c>
      <c r="G47" s="108" t="s">
        <v>88</v>
      </c>
      <c r="H47" s="108" t="s">
        <v>88</v>
      </c>
      <c r="I47" s="108" t="s">
        <v>88</v>
      </c>
      <c r="J47" s="110">
        <f t="shared" si="8"/>
        <v>100</v>
      </c>
    </row>
    <row r="48" spans="1:11" ht="21" customHeight="1" x14ac:dyDescent="0.15">
      <c r="A48" s="144">
        <v>65532044</v>
      </c>
      <c r="B48" s="104">
        <v>0</v>
      </c>
      <c r="C48" s="104">
        <v>10</v>
      </c>
      <c r="D48" s="104">
        <v>30</v>
      </c>
      <c r="E48" s="104" t="s">
        <v>88</v>
      </c>
      <c r="F48" s="104" t="s">
        <v>88</v>
      </c>
      <c r="G48" s="104" t="s">
        <v>88</v>
      </c>
      <c r="H48" s="104" t="s">
        <v>88</v>
      </c>
      <c r="I48" s="104" t="s">
        <v>88</v>
      </c>
      <c r="J48" s="105">
        <f t="shared" si="8"/>
        <v>30</v>
      </c>
    </row>
    <row r="49" spans="1:11" ht="21" customHeight="1" thickBot="1" x14ac:dyDescent="0.2">
      <c r="A49" s="146">
        <v>65532045</v>
      </c>
      <c r="B49" s="108">
        <v>0</v>
      </c>
      <c r="C49" s="108">
        <v>6</v>
      </c>
      <c r="D49" s="108">
        <v>100</v>
      </c>
      <c r="E49" s="106" t="s">
        <v>88</v>
      </c>
      <c r="F49" s="108" t="s">
        <v>88</v>
      </c>
      <c r="G49" s="106" t="s">
        <v>88</v>
      </c>
      <c r="H49" s="108" t="s">
        <v>88</v>
      </c>
      <c r="I49" s="108" t="s">
        <v>88</v>
      </c>
      <c r="J49" s="110">
        <f t="shared" si="8"/>
        <v>100</v>
      </c>
      <c r="K49" s="109"/>
    </row>
    <row r="50" spans="1:11" ht="21" customHeight="1" x14ac:dyDescent="0.15">
      <c r="A50" s="144">
        <v>65532046</v>
      </c>
      <c r="B50" s="104">
        <v>0</v>
      </c>
      <c r="C50" s="104">
        <v>10</v>
      </c>
      <c r="D50" s="104">
        <v>20</v>
      </c>
      <c r="E50" s="104" t="s">
        <v>88</v>
      </c>
      <c r="F50" s="104" t="s">
        <v>88</v>
      </c>
      <c r="G50" s="104" t="s">
        <v>88</v>
      </c>
      <c r="H50" s="104" t="s">
        <v>88</v>
      </c>
      <c r="I50" s="104" t="s">
        <v>88</v>
      </c>
      <c r="J50" s="105">
        <f t="shared" si="8"/>
        <v>20</v>
      </c>
    </row>
    <row r="51" spans="1:11" ht="21" customHeight="1" x14ac:dyDescent="0.15">
      <c r="A51" s="145">
        <v>65532047</v>
      </c>
      <c r="B51" s="104">
        <v>0</v>
      </c>
      <c r="C51" s="104">
        <v>10</v>
      </c>
      <c r="D51" s="104">
        <v>50</v>
      </c>
      <c r="E51" s="104" t="s">
        <v>88</v>
      </c>
      <c r="F51" s="104" t="s">
        <v>88</v>
      </c>
      <c r="G51" s="47" t="s">
        <v>88</v>
      </c>
      <c r="H51" s="104" t="s">
        <v>88</v>
      </c>
      <c r="I51" s="104" t="s">
        <v>88</v>
      </c>
      <c r="J51" s="105">
        <f t="shared" si="8"/>
        <v>50</v>
      </c>
    </row>
    <row r="52" spans="1:11" ht="21" customHeight="1" thickBot="1" x14ac:dyDescent="0.2">
      <c r="A52" s="146">
        <v>65532048</v>
      </c>
      <c r="B52" s="108">
        <v>0</v>
      </c>
      <c r="C52" s="108">
        <v>5</v>
      </c>
      <c r="D52" s="108">
        <v>100</v>
      </c>
      <c r="E52" s="106" t="s">
        <v>88</v>
      </c>
      <c r="F52" s="108" t="s">
        <v>88</v>
      </c>
      <c r="G52" s="106" t="s">
        <v>88</v>
      </c>
      <c r="H52" s="108" t="s">
        <v>88</v>
      </c>
      <c r="I52" s="108" t="s">
        <v>88</v>
      </c>
      <c r="J52" s="110">
        <f t="shared" si="8"/>
        <v>100</v>
      </c>
      <c r="K52" s="109"/>
    </row>
    <row r="53" spans="1:11" ht="21" customHeight="1" x14ac:dyDescent="0.15">
      <c r="A53" s="144">
        <v>65532049</v>
      </c>
      <c r="B53" s="104">
        <v>0</v>
      </c>
      <c r="C53" s="104">
        <v>10</v>
      </c>
      <c r="D53" s="104">
        <v>20</v>
      </c>
      <c r="E53" s="104" t="s">
        <v>88</v>
      </c>
      <c r="F53" s="104" t="s">
        <v>88</v>
      </c>
      <c r="G53" s="47" t="s">
        <v>88</v>
      </c>
      <c r="H53" s="104" t="s">
        <v>88</v>
      </c>
      <c r="I53" s="104" t="s">
        <v>88</v>
      </c>
      <c r="J53" s="105">
        <f t="shared" si="8"/>
        <v>20</v>
      </c>
    </row>
    <row r="54" spans="1:11" ht="21" customHeight="1" thickBot="1" x14ac:dyDescent="0.2">
      <c r="A54" s="146">
        <v>65532050</v>
      </c>
      <c r="B54" s="106">
        <v>0</v>
      </c>
      <c r="C54" s="106">
        <v>5</v>
      </c>
      <c r="D54" s="106">
        <v>100</v>
      </c>
      <c r="E54" s="106" t="s">
        <v>88</v>
      </c>
      <c r="F54" s="106" t="s">
        <v>88</v>
      </c>
      <c r="G54" s="106" t="s">
        <v>88</v>
      </c>
      <c r="H54" s="106" t="s">
        <v>88</v>
      </c>
      <c r="I54" s="106" t="s">
        <v>88</v>
      </c>
      <c r="J54" s="107">
        <f t="shared" si="8"/>
        <v>100</v>
      </c>
    </row>
    <row r="55" spans="1:11" ht="21" customHeight="1" x14ac:dyDescent="0.15">
      <c r="A55" s="144">
        <v>65532051</v>
      </c>
      <c r="B55" s="104">
        <v>0</v>
      </c>
      <c r="C55" s="104">
        <v>10</v>
      </c>
      <c r="D55" s="104">
        <v>30</v>
      </c>
      <c r="E55" s="104" t="s">
        <v>88</v>
      </c>
      <c r="F55" s="104" t="s">
        <v>88</v>
      </c>
      <c r="G55" s="104" t="s">
        <v>88</v>
      </c>
      <c r="H55" s="104" t="s">
        <v>88</v>
      </c>
      <c r="I55" s="104" t="s">
        <v>88</v>
      </c>
      <c r="J55" s="105">
        <f t="shared" si="8"/>
        <v>30</v>
      </c>
    </row>
    <row r="56" spans="1:11" ht="21" customHeight="1" x14ac:dyDescent="0.15">
      <c r="A56" s="145">
        <v>65532052</v>
      </c>
      <c r="B56" s="104">
        <v>0</v>
      </c>
      <c r="C56" s="104">
        <v>10</v>
      </c>
      <c r="D56" s="104">
        <v>50</v>
      </c>
      <c r="E56" s="104" t="s">
        <v>88</v>
      </c>
      <c r="F56" s="104" t="s">
        <v>88</v>
      </c>
      <c r="G56" s="104" t="s">
        <v>88</v>
      </c>
      <c r="H56" s="104" t="s">
        <v>88</v>
      </c>
      <c r="I56" s="104" t="s">
        <v>88</v>
      </c>
      <c r="J56" s="105">
        <f t="shared" si="8"/>
        <v>50</v>
      </c>
    </row>
    <row r="57" spans="1:11" ht="21" customHeight="1" x14ac:dyDescent="0.15">
      <c r="A57" s="145">
        <v>65532053</v>
      </c>
      <c r="B57" s="47">
        <v>0</v>
      </c>
      <c r="C57" s="47">
        <v>10</v>
      </c>
      <c r="D57" s="47">
        <v>60</v>
      </c>
      <c r="E57" s="47" t="s">
        <v>88</v>
      </c>
      <c r="F57" s="47" t="s">
        <v>88</v>
      </c>
      <c r="G57" s="47" t="s">
        <v>88</v>
      </c>
      <c r="H57" s="47" t="s">
        <v>88</v>
      </c>
      <c r="I57" s="47" t="s">
        <v>88</v>
      </c>
      <c r="J57" s="48">
        <f t="shared" si="8"/>
        <v>60</v>
      </c>
    </row>
    <row r="58" spans="1:11" ht="21" customHeight="1" x14ac:dyDescent="0.15">
      <c r="A58" s="145">
        <v>65532054</v>
      </c>
      <c r="B58" s="47">
        <v>0</v>
      </c>
      <c r="C58" s="47">
        <v>5</v>
      </c>
      <c r="D58" s="104">
        <v>100</v>
      </c>
      <c r="E58" s="47" t="s">
        <v>88</v>
      </c>
      <c r="F58" s="47" t="s">
        <v>88</v>
      </c>
      <c r="G58" s="47" t="s">
        <v>88</v>
      </c>
      <c r="H58" s="47" t="s">
        <v>88</v>
      </c>
      <c r="I58" s="47" t="s">
        <v>88</v>
      </c>
      <c r="J58" s="48">
        <f t="shared" si="8"/>
        <v>100</v>
      </c>
    </row>
    <row r="59" spans="1:11" ht="21" customHeight="1" thickBot="1" x14ac:dyDescent="0.2">
      <c r="A59" s="148">
        <v>65532034</v>
      </c>
      <c r="B59" s="108">
        <v>1</v>
      </c>
      <c r="C59" s="108" t="s">
        <v>88</v>
      </c>
      <c r="D59" s="108">
        <v>100</v>
      </c>
      <c r="E59" s="108" t="s">
        <v>88</v>
      </c>
      <c r="F59" s="108" t="s">
        <v>88</v>
      </c>
      <c r="G59" s="108" t="s">
        <v>88</v>
      </c>
      <c r="H59" s="108" t="s">
        <v>88</v>
      </c>
      <c r="I59" s="108" t="s">
        <v>88</v>
      </c>
      <c r="J59" s="110">
        <f t="shared" ref="J59" si="12">D59</f>
        <v>100</v>
      </c>
    </row>
  </sheetData>
  <autoFilter ref="A1:G1"/>
  <phoneticPr fontId="5"/>
  <conditionalFormatting sqref="K60:K1048576 K1:K2">
    <cfRule type="duplicateValues" dxfId="57" priority="79"/>
  </conditionalFormatting>
  <conditionalFormatting sqref="K4">
    <cfRule type="duplicateValues" dxfId="56" priority="78"/>
  </conditionalFormatting>
  <conditionalFormatting sqref="K5">
    <cfRule type="duplicateValues" dxfId="55" priority="77"/>
  </conditionalFormatting>
  <conditionalFormatting sqref="K6">
    <cfRule type="duplicateValues" dxfId="54" priority="76"/>
  </conditionalFormatting>
  <conditionalFormatting sqref="K7">
    <cfRule type="duplicateValues" dxfId="53" priority="75"/>
  </conditionalFormatting>
  <conditionalFormatting sqref="K8">
    <cfRule type="duplicateValues" dxfId="52" priority="74"/>
  </conditionalFormatting>
  <conditionalFormatting sqref="K11">
    <cfRule type="duplicateValues" dxfId="51" priority="73"/>
  </conditionalFormatting>
  <conditionalFormatting sqref="K12">
    <cfRule type="duplicateValues" dxfId="50" priority="72"/>
  </conditionalFormatting>
  <conditionalFormatting sqref="K13">
    <cfRule type="duplicateValues" dxfId="49" priority="71"/>
  </conditionalFormatting>
  <conditionalFormatting sqref="K14">
    <cfRule type="duplicateValues" dxfId="48" priority="70"/>
  </conditionalFormatting>
  <conditionalFormatting sqref="K15">
    <cfRule type="duplicateValues" dxfId="47" priority="69"/>
  </conditionalFormatting>
  <conditionalFormatting sqref="K16">
    <cfRule type="duplicateValues" dxfId="46" priority="68"/>
  </conditionalFormatting>
  <conditionalFormatting sqref="K17">
    <cfRule type="duplicateValues" dxfId="45" priority="67"/>
  </conditionalFormatting>
  <conditionalFormatting sqref="K18">
    <cfRule type="duplicateValues" dxfId="44" priority="66"/>
  </conditionalFormatting>
  <conditionalFormatting sqref="K22">
    <cfRule type="duplicateValues" dxfId="43" priority="56"/>
  </conditionalFormatting>
  <conditionalFormatting sqref="K23">
    <cfRule type="duplicateValues" dxfId="42" priority="55"/>
  </conditionalFormatting>
  <conditionalFormatting sqref="K24">
    <cfRule type="duplicateValues" dxfId="41" priority="54"/>
  </conditionalFormatting>
  <conditionalFormatting sqref="K25">
    <cfRule type="duplicateValues" dxfId="40" priority="53"/>
  </conditionalFormatting>
  <conditionalFormatting sqref="K27">
    <cfRule type="duplicateValues" dxfId="39" priority="52"/>
  </conditionalFormatting>
  <conditionalFormatting sqref="K28">
    <cfRule type="duplicateValues" dxfId="38" priority="51"/>
  </conditionalFormatting>
  <conditionalFormatting sqref="K29">
    <cfRule type="duplicateValues" dxfId="37" priority="50"/>
  </conditionalFormatting>
  <conditionalFormatting sqref="K30">
    <cfRule type="duplicateValues" dxfId="36" priority="49"/>
  </conditionalFormatting>
  <conditionalFormatting sqref="K31">
    <cfRule type="duplicateValues" dxfId="35" priority="48"/>
  </conditionalFormatting>
  <conditionalFormatting sqref="K32">
    <cfRule type="duplicateValues" dxfId="34" priority="47"/>
  </conditionalFormatting>
  <conditionalFormatting sqref="K3">
    <cfRule type="duplicateValues" dxfId="33" priority="46"/>
  </conditionalFormatting>
  <conditionalFormatting sqref="K9">
    <cfRule type="duplicateValues" dxfId="32" priority="45"/>
  </conditionalFormatting>
  <conditionalFormatting sqref="K19">
    <cfRule type="duplicateValues" dxfId="31" priority="44"/>
  </conditionalFormatting>
  <conditionalFormatting sqref="K20">
    <cfRule type="duplicateValues" dxfId="30" priority="43"/>
  </conditionalFormatting>
  <conditionalFormatting sqref="K21">
    <cfRule type="duplicateValues" dxfId="29" priority="42"/>
  </conditionalFormatting>
  <conditionalFormatting sqref="K10">
    <cfRule type="duplicateValues" dxfId="28" priority="41"/>
  </conditionalFormatting>
  <conditionalFormatting sqref="K26">
    <cfRule type="duplicateValues" dxfId="27" priority="40"/>
  </conditionalFormatting>
  <conditionalFormatting sqref="K33">
    <cfRule type="duplicateValues" dxfId="26" priority="38"/>
  </conditionalFormatting>
  <conditionalFormatting sqref="K34">
    <cfRule type="duplicateValues" dxfId="25" priority="37"/>
  </conditionalFormatting>
  <conditionalFormatting sqref="K39">
    <cfRule type="duplicateValues" dxfId="24" priority="35"/>
  </conditionalFormatting>
  <conditionalFormatting sqref="K40">
    <cfRule type="duplicateValues" dxfId="23" priority="34"/>
  </conditionalFormatting>
  <conditionalFormatting sqref="K41">
    <cfRule type="duplicateValues" dxfId="22" priority="33"/>
  </conditionalFormatting>
  <conditionalFormatting sqref="K42">
    <cfRule type="duplicateValues" dxfId="21" priority="32"/>
  </conditionalFormatting>
  <conditionalFormatting sqref="K43">
    <cfRule type="duplicateValues" dxfId="20" priority="31"/>
  </conditionalFormatting>
  <conditionalFormatting sqref="K44">
    <cfRule type="duplicateValues" dxfId="19" priority="29"/>
  </conditionalFormatting>
  <conditionalFormatting sqref="K45">
    <cfRule type="duplicateValues" dxfId="18" priority="28"/>
  </conditionalFormatting>
  <conditionalFormatting sqref="K47">
    <cfRule type="duplicateValues" dxfId="17" priority="27"/>
  </conditionalFormatting>
  <conditionalFormatting sqref="K48">
    <cfRule type="duplicateValues" dxfId="16" priority="24"/>
  </conditionalFormatting>
  <conditionalFormatting sqref="K49">
    <cfRule type="duplicateValues" dxfId="15" priority="23"/>
  </conditionalFormatting>
  <conditionalFormatting sqref="K53">
    <cfRule type="duplicateValues" dxfId="14" priority="22"/>
  </conditionalFormatting>
  <conditionalFormatting sqref="K54">
    <cfRule type="duplicateValues" dxfId="13" priority="21"/>
  </conditionalFormatting>
  <conditionalFormatting sqref="K55">
    <cfRule type="duplicateValues" dxfId="12" priority="18"/>
  </conditionalFormatting>
  <conditionalFormatting sqref="K56">
    <cfRule type="duplicateValues" dxfId="11" priority="15"/>
  </conditionalFormatting>
  <conditionalFormatting sqref="K57">
    <cfRule type="duplicateValues" dxfId="10" priority="14"/>
  </conditionalFormatting>
  <conditionalFormatting sqref="K59">
    <cfRule type="duplicateValues" dxfId="9" priority="13"/>
  </conditionalFormatting>
  <conditionalFormatting sqref="K37">
    <cfRule type="duplicateValues" dxfId="8" priority="12"/>
  </conditionalFormatting>
  <conditionalFormatting sqref="K50">
    <cfRule type="duplicateValues" dxfId="7" priority="10"/>
  </conditionalFormatting>
  <conditionalFormatting sqref="K51">
    <cfRule type="duplicateValues" dxfId="6" priority="9"/>
  </conditionalFormatting>
  <conditionalFormatting sqref="K52">
    <cfRule type="duplicateValues" dxfId="5" priority="8"/>
  </conditionalFormatting>
  <conditionalFormatting sqref="K38">
    <cfRule type="duplicateValues" dxfId="4" priority="5"/>
  </conditionalFormatting>
  <conditionalFormatting sqref="K46">
    <cfRule type="duplicateValues" dxfId="3" priority="4"/>
  </conditionalFormatting>
  <conditionalFormatting sqref="K35">
    <cfRule type="duplicateValues" dxfId="2" priority="3"/>
  </conditionalFormatting>
  <conditionalFormatting sqref="K36">
    <cfRule type="duplicateValues" dxfId="1" priority="2"/>
  </conditionalFormatting>
  <conditionalFormatting sqref="K5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0"/>
  <sheetViews>
    <sheetView showGridLines="0" workbookViewId="0">
      <pane xSplit="5" ySplit="1" topLeftCell="F17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6.83203125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65532001_65532001</v>
      </c>
      <c r="B2" s="47">
        <v>65532001</v>
      </c>
      <c r="C2" s="47">
        <v>65532001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部分変換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7">
        <v>65532001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65532001_65532004</v>
      </c>
      <c r="B3" s="47">
        <v>65532001</v>
      </c>
      <c r="C3" s="47">
        <v>65532004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単体に大ダメージ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単体に大ダメージ</v>
      </c>
      <c r="F3" s="47">
        <v>65532002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/>
    </row>
    <row r="4" spans="1:18" ht="21" customHeight="1" thickBot="1" x14ac:dyDescent="0.2">
      <c r="A4" s="109" t="str">
        <f t="shared" si="1"/>
        <v>65532001_65532005</v>
      </c>
      <c r="B4" s="106">
        <v>65532001</v>
      </c>
      <c r="C4" s="106">
        <v>65532005</v>
      </c>
      <c r="D4" s="112" t="str">
        <f ca="1">VLOOKUP($C4,OFFSET(enemy_skills!$A$1,0,0,COUNTA(enemy_skills!$A:$A),MATCH(D$1,enemy_skills!$1:$1,0)-MATCH("enemy_skill_id",enemy_skills!$1:$1,0)+1),MATCH(D$1,enemy_skills!$1:$1,0)-MATCH("enemy_skill_id",enemy_skills!$1:$1,0)+1,FALSE)</f>
        <v>5回連続単体にダメージ</v>
      </c>
      <c r="E4" s="112" t="str">
        <f ca="1">VLOOKUP($C4,OFFSET(enemy_skills!$A$1,0,0,COUNTA(enemy_skills!$A:$A),MATCH(E$1,enemy_skills!$1:$1,0)-MATCH("enemy_skill_id",enemy_skills!$1:$1,0)+1),MATCH(E$1,enemy_skills!$1:$1,0)-MATCH("enemy_skill_id",enemy_skills!$1:$1,0)+1,FALSE)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" s="106">
        <v>65532003</v>
      </c>
      <c r="G4" s="10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0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0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10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0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0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0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0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0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106"/>
      <c r="Q4" s="106"/>
      <c r="R4" s="106"/>
    </row>
    <row r="5" spans="1:18" ht="21" customHeight="1" x14ac:dyDescent="0.15">
      <c r="A5" s="39" t="str">
        <f t="shared" si="1"/>
        <v>65532002_65532006</v>
      </c>
      <c r="B5" s="104">
        <v>65532002</v>
      </c>
      <c r="C5" s="104">
        <v>65532006</v>
      </c>
      <c r="D5" s="111" t="str">
        <f ca="1">VLOOKUP($C5,OFFSET(enemy_skills!$A$1,0,0,COUNTA(enemy_skills!$A:$A),MATCH(D$1,enemy_skills!$1:$1,0)-MATCH("enemy_skill_id",enemy_skills!$1:$1,0)+1),MATCH(D$1,enemy_skills!$1:$1,0)-MATCH("enemy_skill_id",enemy_skills!$1:$1,0)+1,FALSE)</f>
        <v>敵全体の攻撃を上昇</v>
      </c>
      <c r="E5" s="111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2ターン敵全体の攻撃力UP</v>
      </c>
      <c r="F5" s="104">
        <v>65532004</v>
      </c>
      <c r="G5" s="10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0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0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0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0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05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0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0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0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04"/>
      <c r="Q5" s="104"/>
      <c r="R5" s="104"/>
    </row>
    <row r="6" spans="1:18" ht="21" customHeight="1" thickBot="1" x14ac:dyDescent="0.2">
      <c r="A6" s="109" t="str">
        <f t="shared" si="1"/>
        <v>65532002_65532007</v>
      </c>
      <c r="B6" s="106">
        <v>65532002</v>
      </c>
      <c r="C6" s="106">
        <v>65532007</v>
      </c>
      <c r="D6" s="112" t="str">
        <f ca="1">VLOOKUP($C6,OFFSET(enemy_skills!$A$1,0,0,COUNTA(enemy_skills!$A:$A),MATCH(D$1,enemy_skills!$1:$1,0)-MATCH("enemy_skill_id",enemy_skills!$1:$1,0)+1),MATCH(D$1,enemy_skills!$1:$1,0)-MATCH("enemy_skill_id",enemy_skills!$1:$1,0)+1,FALSE)</f>
        <v>敵全体の防御をダウン</v>
      </c>
      <c r="E6" s="112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2ターン敵全体の防御力2000DOWN</v>
      </c>
      <c r="F6" s="106">
        <v>65532005</v>
      </c>
      <c r="G6" s="10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0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0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" s="10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0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0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0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0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0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" s="106"/>
      <c r="Q6" s="106"/>
      <c r="R6" s="106"/>
    </row>
    <row r="7" spans="1:18" ht="21" customHeight="1" x14ac:dyDescent="0.15">
      <c r="A7" s="39" t="str">
        <f t="shared" si="1"/>
        <v>65532003_65532008</v>
      </c>
      <c r="B7" s="104">
        <v>65532003</v>
      </c>
      <c r="C7" s="104">
        <v>65532008</v>
      </c>
      <c r="D7" s="111" t="str">
        <f ca="1">VLOOKUP($C7,OFFSET(enemy_skills!$A$1,0,0,COUNTA(enemy_skills!$A:$A),MATCH(D$1,enemy_skills!$1:$1,0)-MATCH("enemy_skill_id",enemy_skills!$1:$1,0)+1),MATCH(D$1,enemy_skills!$1:$1,0)-MATCH("enemy_skill_id",enemy_skills!$1:$1,0)+1,FALSE)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7" s="111" t="str">
        <f ca="1">VLOOKUP($C7,OFFSET(enemy_skills!$A$1,0,0,COUNTA(enemy_skills!$A:$A),MATCH(E$1,enemy_skills!$1:$1,0)-MATCH("enemy_skill_id",enemy_skills!$1:$1,0)+1),MATCH(E$1,enemy_skills!$1:$1,0)-MATCH("enemy_skill_id",enemy_skills!$1:$1,0)+1,FALSE)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7" s="104">
        <v>65532006</v>
      </c>
      <c r="G7" s="10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0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10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0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0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0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10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0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0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04"/>
      <c r="Q7" s="104"/>
      <c r="R7" s="104"/>
    </row>
    <row r="8" spans="1:18" ht="21" customHeight="1" x14ac:dyDescent="0.15">
      <c r="A8" s="39" t="str">
        <f t="shared" ref="A8:A16" si="2">B8&amp;"_"&amp;C8</f>
        <v>65532003_65532004</v>
      </c>
      <c r="B8" s="47">
        <v>65532003</v>
      </c>
      <c r="C8" s="47">
        <v>65532004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単体に大ダメージ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単体に大ダメージ</v>
      </c>
      <c r="F8" s="47">
        <v>65532007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8" s="47"/>
      <c r="Q8" s="47"/>
      <c r="R8" s="47"/>
    </row>
    <row r="9" spans="1:18" ht="21" customHeight="1" x14ac:dyDescent="0.15">
      <c r="A9" s="39" t="str">
        <f t="shared" si="2"/>
        <v>65532003_65532001</v>
      </c>
      <c r="B9" s="47">
        <v>65532003</v>
      </c>
      <c r="C9" s="47">
        <v>65532001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部分変換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65532008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si="2"/>
        <v>65532003_65532016</v>
      </c>
      <c r="B10" s="47">
        <v>65532003</v>
      </c>
      <c r="C10" s="47">
        <v>65532016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おのれ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やられた時のセリフ</v>
      </c>
      <c r="F10" s="47">
        <v>65532009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47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thickBot="1" x14ac:dyDescent="0.2">
      <c r="A11" s="109" t="str">
        <f t="shared" si="2"/>
        <v>65532003_65532017</v>
      </c>
      <c r="B11" s="106">
        <v>65532003</v>
      </c>
      <c r="C11" s="106">
        <v>65532017</v>
      </c>
      <c r="D11" s="11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HPを50％減少</v>
      </c>
      <c r="E11" s="11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残りHPの50%消費</v>
      </c>
      <c r="F11" s="106">
        <v>65532010</v>
      </c>
      <c r="G11" s="10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0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10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0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47</v>
      </c>
      <c r="O11" s="10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06"/>
      <c r="Q11" s="106"/>
      <c r="R11" s="106"/>
    </row>
    <row r="12" spans="1:18" ht="21" customHeight="1" x14ac:dyDescent="0.15">
      <c r="A12" s="39" t="str">
        <f t="shared" si="2"/>
        <v>65532004_65532002</v>
      </c>
      <c r="B12" s="104">
        <v>65532004</v>
      </c>
      <c r="C12" s="104">
        <v>65532002</v>
      </c>
      <c r="D12" s="11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12" s="11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104">
        <v>65532011</v>
      </c>
      <c r="G12" s="10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05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10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0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0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05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10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0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0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04"/>
      <c r="Q12" s="104"/>
      <c r="R12" s="104"/>
    </row>
    <row r="13" spans="1:18" ht="21" customHeight="1" thickBot="1" x14ac:dyDescent="0.2">
      <c r="A13" s="109" t="str">
        <f t="shared" si="2"/>
        <v>65532004_65532012</v>
      </c>
      <c r="B13" s="106">
        <v>65532004</v>
      </c>
      <c r="C13" s="106">
        <v>65532012</v>
      </c>
      <c r="D13" s="11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スキルバインド</v>
      </c>
      <c r="E13" s="11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13" s="106">
        <v>65532012</v>
      </c>
      <c r="G13" s="10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0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10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10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0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0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10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0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0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106"/>
      <c r="Q13" s="106"/>
      <c r="R13" s="106"/>
    </row>
    <row r="14" spans="1:18" ht="21" customHeight="1" x14ac:dyDescent="0.15">
      <c r="A14" s="39" t="str">
        <f t="shared" si="2"/>
        <v>65532005_65532003</v>
      </c>
      <c r="B14" s="104">
        <v>65532005</v>
      </c>
      <c r="C14" s="104">
        <v>65532003</v>
      </c>
      <c r="D14" s="11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単体に中ダメージ</v>
      </c>
      <c r="E14" s="11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単体に中ダメージ</v>
      </c>
      <c r="F14" s="104">
        <v>65532013</v>
      </c>
      <c r="G14" s="10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05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0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0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0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05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0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0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0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4"/>
      <c r="Q14" s="104"/>
      <c r="R14" s="104"/>
    </row>
    <row r="15" spans="1:18" ht="21" customHeight="1" x14ac:dyDescent="0.15">
      <c r="A15" s="39" t="str">
        <f t="shared" si="2"/>
        <v>65532005_65532013</v>
      </c>
      <c r="B15" s="47">
        <v>65532005</v>
      </c>
      <c r="C15" s="47">
        <v>65532013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2ターンスリープ状態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2ターンスリープ状態</v>
      </c>
      <c r="F15" s="47">
        <v>65532014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47"/>
      <c r="Q15" s="47"/>
      <c r="R15" s="47"/>
    </row>
    <row r="16" spans="1:18" ht="21" customHeight="1" thickBot="1" x14ac:dyDescent="0.2">
      <c r="A16" s="109" t="str">
        <f t="shared" si="2"/>
        <v>65532005_65532014</v>
      </c>
      <c r="B16" s="106">
        <v>65532005</v>
      </c>
      <c r="C16" s="106">
        <v>65532014</v>
      </c>
      <c r="D16" s="11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パネルを5個吸収しダメージ</v>
      </c>
      <c r="E16" s="112" t="str">
        <f ca="1">VLOOKUP($C16,OFFSET(enemy_skills!$A$1,0,0,COUNTA(enemy_skills!$A:$A),MATCH(E$1,enemy_skills!$1:$1,0)-MATCH("enemy_skill_id",enemy_skills!$1:$1,0)+1),MATCH(E$1,enemy_skills!$1:$1,0)-MATCH("enemy_skill_id",enemy_skills!$1:$1,0)+1,FALSE)</f>
        <v xml:space="preserve">全パネルを吸収して攻撃(最大5個) </v>
      </c>
      <c r="F16" s="106">
        <v>65532015</v>
      </c>
      <c r="G16" s="10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0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10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6" s="10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0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0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0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10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0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6" s="106"/>
      <c r="Q16" s="106"/>
      <c r="R16" s="106"/>
    </row>
    <row r="17" spans="1:18" ht="21" customHeight="1" x14ac:dyDescent="0.15">
      <c r="A17" s="39" t="str">
        <f t="shared" ref="A17:A25" si="3">B17&amp;"_"&amp;C17</f>
        <v>65532006_65532002</v>
      </c>
      <c r="B17" s="104">
        <v>65532006</v>
      </c>
      <c r="C17" s="104">
        <v>65532002</v>
      </c>
      <c r="D17" s="11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17" s="11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104">
        <v>65532016</v>
      </c>
      <c r="G17" s="10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0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10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0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5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0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0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04"/>
      <c r="Q17" s="104"/>
      <c r="R17" s="104"/>
    </row>
    <row r="18" spans="1:18" ht="21" customHeight="1" thickBot="1" x14ac:dyDescent="0.2">
      <c r="A18" s="109" t="str">
        <f t="shared" si="3"/>
        <v>65532006_65532009</v>
      </c>
      <c r="B18" s="106">
        <v>65532006</v>
      </c>
      <c r="C18" s="106">
        <v>65532009</v>
      </c>
      <c r="D18" s="11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18" s="11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18" s="106">
        <v>65532017</v>
      </c>
      <c r="G18" s="10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0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10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10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0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0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10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0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0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106"/>
      <c r="Q18" s="106"/>
      <c r="R18" s="106"/>
    </row>
    <row r="19" spans="1:18" ht="21" customHeight="1" x14ac:dyDescent="0.15">
      <c r="A19" s="39" t="str">
        <f t="shared" si="3"/>
        <v>65532005_65532003</v>
      </c>
      <c r="B19" s="104">
        <v>65532005</v>
      </c>
      <c r="C19" s="104">
        <v>65532003</v>
      </c>
      <c r="D19" s="11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単体に中ダメージ</v>
      </c>
      <c r="E19" s="11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単体に中ダメージ</v>
      </c>
      <c r="F19" s="104">
        <v>65532018</v>
      </c>
      <c r="G19" s="10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10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10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0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0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05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10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0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0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04"/>
      <c r="Q19" s="104"/>
      <c r="R19" s="104"/>
    </row>
    <row r="20" spans="1:18" ht="21" customHeight="1" x14ac:dyDescent="0.15">
      <c r="A20" s="39" t="str">
        <f t="shared" si="3"/>
        <v>65532005_65532013</v>
      </c>
      <c r="B20" s="47">
        <v>65532005</v>
      </c>
      <c r="C20" s="47">
        <v>65532013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2ターンスリープ状態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2ターンスリープ状態</v>
      </c>
      <c r="F20" s="47">
        <v>65532019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0" s="47"/>
      <c r="Q20" s="47"/>
      <c r="R20" s="47"/>
    </row>
    <row r="21" spans="1:18" ht="21" customHeight="1" thickBot="1" x14ac:dyDescent="0.2">
      <c r="A21" s="109" t="str">
        <f t="shared" si="3"/>
        <v>65532005_65532014</v>
      </c>
      <c r="B21" s="106">
        <v>65532005</v>
      </c>
      <c r="C21" s="106">
        <v>65532014</v>
      </c>
      <c r="D21" s="11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パネルを5個吸収しダメージ</v>
      </c>
      <c r="E21" s="112" t="str">
        <f ca="1">VLOOKUP($C21,OFFSET(enemy_skills!$A$1,0,0,COUNTA(enemy_skills!$A:$A),MATCH(E$1,enemy_skills!$1:$1,0)-MATCH("enemy_skill_id",enemy_skills!$1:$1,0)+1),MATCH(E$1,enemy_skills!$1:$1,0)-MATCH("enemy_skill_id",enemy_skills!$1:$1,0)+1,FALSE)</f>
        <v xml:space="preserve">全パネルを吸収して攻撃(最大5個) </v>
      </c>
      <c r="F21" s="106">
        <v>65532020</v>
      </c>
      <c r="G21" s="10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10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10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21" s="10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0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0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10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0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0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21" s="106"/>
      <c r="Q21" s="106"/>
      <c r="R21" s="106"/>
    </row>
    <row r="22" spans="1:18" ht="21" customHeight="1" x14ac:dyDescent="0.15">
      <c r="A22" s="39" t="str">
        <f t="shared" si="3"/>
        <v>65532007_65532010</v>
      </c>
      <c r="B22" s="104">
        <v>65532007</v>
      </c>
      <c r="C22" s="104">
        <v>65532010</v>
      </c>
      <c r="D22" s="11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敵全体にウイルス</v>
      </c>
      <c r="E22" s="11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22" s="104">
        <v>65532021</v>
      </c>
      <c r="G22" s="10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05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10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0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5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10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0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0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04"/>
      <c r="Q22" s="104"/>
      <c r="R22" s="104"/>
    </row>
    <row r="23" spans="1:18" ht="21" customHeight="1" x14ac:dyDescent="0.15">
      <c r="A23" s="39" t="str">
        <f t="shared" si="3"/>
        <v>65532007_65532002</v>
      </c>
      <c r="B23" s="47">
        <v>65532007</v>
      </c>
      <c r="C23" s="47">
        <v>65532002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65532022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si="3"/>
        <v>65532007_65532004</v>
      </c>
      <c r="B24" s="47">
        <v>65532007</v>
      </c>
      <c r="C24" s="47">
        <v>65532004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単体に大ダメージ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単体に大ダメージ</v>
      </c>
      <c r="F24" s="47">
        <v>65532023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47"/>
    </row>
    <row r="25" spans="1:18" ht="21" customHeight="1" x14ac:dyDescent="0.15">
      <c r="A25" s="39" t="str">
        <f t="shared" si="3"/>
        <v>65532007_65532016</v>
      </c>
      <c r="B25" s="47">
        <v>65532007</v>
      </c>
      <c r="C25" s="47">
        <v>65532016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おのれ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やられた時のセリフ</v>
      </c>
      <c r="F25" s="47">
        <v>65532024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47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thickBot="1" x14ac:dyDescent="0.2">
      <c r="A26" s="109" t="str">
        <f t="shared" ref="A26:A29" si="4">B26&amp;"_"&amp;C26</f>
        <v>65532007_65532017</v>
      </c>
      <c r="B26" s="106">
        <v>65532007</v>
      </c>
      <c r="C26" s="106">
        <v>65532017</v>
      </c>
      <c r="D26" s="11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HPを50％減少</v>
      </c>
      <c r="E26" s="11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残りHPの50%消費</v>
      </c>
      <c r="F26" s="106">
        <v>65532025</v>
      </c>
      <c r="G26" s="10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10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10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0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0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0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10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0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47</v>
      </c>
      <c r="O26" s="10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06"/>
      <c r="Q26" s="106"/>
      <c r="R26" s="106"/>
    </row>
    <row r="27" spans="1:18" ht="21" customHeight="1" x14ac:dyDescent="0.15">
      <c r="A27" s="39" t="str">
        <f t="shared" si="4"/>
        <v>65532008_65532004</v>
      </c>
      <c r="B27" s="104">
        <v>65532008</v>
      </c>
      <c r="C27" s="104">
        <v>65532004</v>
      </c>
      <c r="D27" s="11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単体に大ダメージ</v>
      </c>
      <c r="E27" s="11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単体に大ダメージ</v>
      </c>
      <c r="F27" s="104">
        <v>65532026</v>
      </c>
      <c r="G27" s="10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0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10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0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0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05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10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0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0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04"/>
      <c r="Q27" s="104"/>
      <c r="R27" s="104"/>
    </row>
    <row r="28" spans="1:18" ht="21" customHeight="1" x14ac:dyDescent="0.15">
      <c r="A28" s="39" t="str">
        <f t="shared" si="4"/>
        <v>65532008_65532002</v>
      </c>
      <c r="B28" s="47">
        <v>65532008</v>
      </c>
      <c r="C28" s="47">
        <v>65532002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" s="47">
        <v>65532027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8" s="47"/>
      <c r="Q28" s="47"/>
      <c r="R28" s="47"/>
    </row>
    <row r="29" spans="1:18" ht="21" customHeight="1" thickBot="1" x14ac:dyDescent="0.2">
      <c r="A29" s="109" t="str">
        <f t="shared" si="4"/>
        <v>65532008_65532012</v>
      </c>
      <c r="B29" s="106">
        <v>65532008</v>
      </c>
      <c r="C29" s="106">
        <v>65532012</v>
      </c>
      <c r="D29" s="11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スキルバインド</v>
      </c>
      <c r="E29" s="11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29" s="106">
        <v>65532028</v>
      </c>
      <c r="G29" s="10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10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10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9" s="10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0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0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10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0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0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9" s="106"/>
      <c r="Q29" s="106"/>
      <c r="R29" s="106"/>
    </row>
    <row r="30" spans="1:18" ht="21" customHeight="1" x14ac:dyDescent="0.15">
      <c r="A30" s="39" t="str">
        <f t="shared" ref="A30:A57" si="5">B30&amp;"_"&amp;C30</f>
        <v>65532009_65532011</v>
      </c>
      <c r="B30" s="104">
        <v>65532009</v>
      </c>
      <c r="C30" s="104">
        <v>65532011</v>
      </c>
      <c r="D30" s="11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敵単体にウイルス</v>
      </c>
      <c r="E30" s="11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30" s="104">
        <v>65532029</v>
      </c>
      <c r="G30" s="10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05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10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0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0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05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10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0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0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04"/>
      <c r="Q30" s="104"/>
      <c r="R30" s="104"/>
    </row>
    <row r="31" spans="1:18" ht="21" customHeight="1" x14ac:dyDescent="0.15">
      <c r="A31" s="39" t="str">
        <f t="shared" si="5"/>
        <v>65532009_65532006</v>
      </c>
      <c r="B31" s="47">
        <v>65532009</v>
      </c>
      <c r="C31" s="47">
        <v>65532006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敵全体の攻撃を上昇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2ターン敵全体の攻撃力UP</v>
      </c>
      <c r="F31" s="47">
        <v>65532030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 thickBot="1" x14ac:dyDescent="0.2">
      <c r="A32" s="109" t="str">
        <f t="shared" si="5"/>
        <v>65532009_65532015</v>
      </c>
      <c r="B32" s="106">
        <v>65532009</v>
      </c>
      <c r="C32" s="106">
        <v>65532015</v>
      </c>
      <c r="D32" s="11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緑属性に大ダメージ</v>
      </c>
      <c r="E32" s="11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32" s="106">
        <v>65532031</v>
      </c>
      <c r="G32" s="10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0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10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10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0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0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0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0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0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106"/>
      <c r="Q32" s="106"/>
      <c r="R32" s="106"/>
    </row>
    <row r="33" spans="1:18" ht="21" customHeight="1" x14ac:dyDescent="0.15">
      <c r="A33" s="39" t="str">
        <f t="shared" si="5"/>
        <v>65532010_65532010</v>
      </c>
      <c r="B33" s="104">
        <v>65532010</v>
      </c>
      <c r="C33" s="104">
        <v>65532010</v>
      </c>
      <c r="D33" s="111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敵全体にウイルス</v>
      </c>
      <c r="E33" s="111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33" s="104">
        <v>65532021</v>
      </c>
      <c r="G33" s="10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105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10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0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0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05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10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0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0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04"/>
      <c r="Q33" s="104"/>
      <c r="R33" s="104"/>
    </row>
    <row r="34" spans="1:18" ht="21" customHeight="1" x14ac:dyDescent="0.15">
      <c r="A34" s="39" t="str">
        <f t="shared" si="5"/>
        <v>65532010_65532002</v>
      </c>
      <c r="B34" s="104">
        <v>65532010</v>
      </c>
      <c r="C34" s="47">
        <v>65532002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7">
        <v>65532032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thickBot="1" x14ac:dyDescent="0.2">
      <c r="A35" s="109" t="str">
        <f t="shared" si="5"/>
        <v>65532010_65532004</v>
      </c>
      <c r="B35" s="108">
        <v>65532010</v>
      </c>
      <c r="C35" s="106">
        <v>65532004</v>
      </c>
      <c r="D35" s="11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単体に大ダメージ</v>
      </c>
      <c r="E35" s="11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単体に大ダメージ</v>
      </c>
      <c r="F35" s="108">
        <v>65532033</v>
      </c>
      <c r="G35" s="10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0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5" s="10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10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0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0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10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0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0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106"/>
      <c r="Q35" s="106"/>
      <c r="R35" s="106"/>
    </row>
    <row r="36" spans="1:18" ht="21" customHeight="1" x14ac:dyDescent="0.15">
      <c r="A36" s="39" t="str">
        <f t="shared" ref="A36:A37" si="6">B36&amp;"_"&amp;C36</f>
        <v>65532012_65532008</v>
      </c>
      <c r="B36" s="144">
        <v>65532012</v>
      </c>
      <c r="C36" s="104">
        <v>65532008</v>
      </c>
      <c r="D36" s="111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36" s="111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36" s="147">
        <v>65532057</v>
      </c>
      <c r="G36" s="10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105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6" s="10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10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0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05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10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0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0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104"/>
      <c r="Q36" s="104"/>
      <c r="R36" s="104"/>
    </row>
    <row r="37" spans="1:18" ht="21" customHeight="1" thickBot="1" x14ac:dyDescent="0.2">
      <c r="A37" s="109" t="str">
        <f t="shared" si="6"/>
        <v>65532012_65532020</v>
      </c>
      <c r="B37" s="146">
        <v>65532012</v>
      </c>
      <c r="C37" s="106">
        <v>65532020</v>
      </c>
      <c r="D37" s="11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敵単体に弱ウイルス</v>
      </c>
      <c r="E37" s="11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37" s="108">
        <v>65532058</v>
      </c>
      <c r="G37" s="10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0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7" s="10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37" s="10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0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0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10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0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0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37" s="106"/>
      <c r="Q37" s="106"/>
      <c r="R37" s="106"/>
    </row>
    <row r="38" spans="1:18" ht="21" customHeight="1" x14ac:dyDescent="0.15">
      <c r="A38" s="39" t="str">
        <f t="shared" si="5"/>
        <v>65532011_65532018</v>
      </c>
      <c r="B38" s="144">
        <v>65532011</v>
      </c>
      <c r="C38" s="47">
        <v>65532018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単体にウィルス付与攻撃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38" s="104">
        <v>65532035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8" s="47"/>
      <c r="Q38" s="47"/>
      <c r="R38" s="47"/>
    </row>
    <row r="39" spans="1:18" ht="21" customHeight="1" thickBot="1" x14ac:dyDescent="0.2">
      <c r="A39" s="109" t="str">
        <f t="shared" ref="A39" si="7">B39&amp;"_"&amp;C39</f>
        <v>65532011_65532009</v>
      </c>
      <c r="B39" s="145">
        <v>65532011</v>
      </c>
      <c r="C39" s="47">
        <v>65532009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39" s="47">
        <v>65532036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thickBot="1" x14ac:dyDescent="0.2">
      <c r="A40" s="109" t="str">
        <f t="shared" si="5"/>
        <v>65532011_65532025</v>
      </c>
      <c r="B40" s="148">
        <v>65532011</v>
      </c>
      <c r="C40" s="108">
        <v>65532025</v>
      </c>
      <c r="D40" s="149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ぐわっぐわ（これは珍客）</v>
      </c>
      <c r="E40" s="14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ぐわぐわわ（よくぞいらした）</v>
      </c>
      <c r="F40" s="108">
        <v>65532055</v>
      </c>
      <c r="G40" s="110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110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110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10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10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10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110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10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10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08"/>
      <c r="Q40" s="108"/>
      <c r="R40" s="108"/>
    </row>
    <row r="41" spans="1:18" ht="21" customHeight="1" x14ac:dyDescent="0.15">
      <c r="A41" s="39" t="str">
        <f t="shared" si="5"/>
        <v>65532012_65532008</v>
      </c>
      <c r="B41" s="144">
        <v>65532012</v>
      </c>
      <c r="C41" s="104">
        <v>65532008</v>
      </c>
      <c r="D41" s="111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41" s="111" t="str">
        <f ca="1">VLOOKUP($C41,OFFSET(enemy_skills!$A$1,0,0,COUNTA(enemy_skills!$A:$A),MATCH(E$1,enemy_skills!$1:$1,0)-MATCH("enemy_skill_id",enemy_skills!$1:$1,0)+1),MATCH(E$1,enemy_skills!$1:$1,0)-MATCH("enemy_skill_id",enemy_skills!$1:$1,0)+1,FALSE)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41" s="147">
        <v>65532037</v>
      </c>
      <c r="G41" s="10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0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1" s="10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1" s="10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0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05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10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0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0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1" s="104"/>
      <c r="Q41" s="104"/>
      <c r="R41" s="104"/>
    </row>
    <row r="42" spans="1:18" ht="21" customHeight="1" thickBot="1" x14ac:dyDescent="0.2">
      <c r="A42" s="109" t="str">
        <f t="shared" si="5"/>
        <v>65532012_65532020</v>
      </c>
      <c r="B42" s="146">
        <v>65532012</v>
      </c>
      <c r="C42" s="106">
        <v>65532020</v>
      </c>
      <c r="D42" s="11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敵単体に弱ウイルス</v>
      </c>
      <c r="E42" s="11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42" s="108">
        <v>65532038</v>
      </c>
      <c r="G42" s="10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0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2" s="10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42" s="10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0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0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10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0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0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42" s="106"/>
      <c r="Q42" s="106"/>
      <c r="R42" s="106"/>
    </row>
    <row r="43" spans="1:18" ht="21" customHeight="1" x14ac:dyDescent="0.15">
      <c r="A43" s="39" t="str">
        <f t="shared" si="5"/>
        <v>65532013_65532012</v>
      </c>
      <c r="B43" s="144">
        <v>65532013</v>
      </c>
      <c r="C43" s="104">
        <v>65532012</v>
      </c>
      <c r="D43" s="111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スキルバインド</v>
      </c>
      <c r="E43" s="111" t="str">
        <f ca="1">VLOOKUP($C43,OFFSET(enemy_skills!$A$1,0,0,COUNTA(enemy_skills!$A:$A),MATCH(E$1,enemy_skills!$1:$1,0)-MATCH("enemy_skill_id",enemy_skills!$1:$1,0)+1),MATCH(E$1,enemy_skills!$1:$1,0)-MATCH("enemy_skill_id",enemy_skills!$1:$1,0)+1,FALSE)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43" s="147">
        <v>65532039</v>
      </c>
      <c r="G43" s="10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05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10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105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0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05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10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05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0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104"/>
      <c r="Q43" s="104"/>
      <c r="R43" s="104"/>
    </row>
    <row r="44" spans="1:18" ht="21" customHeight="1" thickBot="1" x14ac:dyDescent="0.2">
      <c r="A44" s="109" t="str">
        <f t="shared" si="5"/>
        <v>65532013_65532021</v>
      </c>
      <c r="B44" s="146">
        <v>65532013</v>
      </c>
      <c r="C44" s="106">
        <v>65532021</v>
      </c>
      <c r="D44" s="11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2ターンカウンター状態</v>
      </c>
      <c r="E44" s="11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2ターンユニット全体の攻撃をカウンター</v>
      </c>
      <c r="F44" s="108">
        <v>65532040</v>
      </c>
      <c r="G44" s="10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0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10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44" s="10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0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0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10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10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0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44" s="106"/>
      <c r="Q44" s="106"/>
      <c r="R44" s="106"/>
    </row>
    <row r="45" spans="1:18" ht="21" customHeight="1" x14ac:dyDescent="0.15">
      <c r="A45" s="39" t="str">
        <f t="shared" si="5"/>
        <v>65532013_65532012</v>
      </c>
      <c r="B45" s="144">
        <v>65532013</v>
      </c>
      <c r="C45" s="104">
        <v>65532012</v>
      </c>
      <c r="D45" s="111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スキルバインド</v>
      </c>
      <c r="E45" s="111" t="str">
        <f ca="1">VLOOKUP($C45,OFFSET(enemy_skills!$A$1,0,0,COUNTA(enemy_skills!$A:$A),MATCH(E$1,enemy_skills!$1:$1,0)-MATCH("enemy_skill_id",enemy_skills!$1:$1,0)+1),MATCH(E$1,enemy_skills!$1:$1,0)-MATCH("enemy_skill_id",enemy_skills!$1:$1,0)+1,FALSE)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45" s="147">
        <v>65532041</v>
      </c>
      <c r="G45" s="10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05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10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105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0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05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105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05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05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104"/>
      <c r="Q45" s="104"/>
      <c r="R45" s="104"/>
    </row>
    <row r="46" spans="1:18" ht="21" customHeight="1" thickBot="1" x14ac:dyDescent="0.2">
      <c r="A46" s="109" t="str">
        <f t="shared" si="5"/>
        <v>65532013_65532021</v>
      </c>
      <c r="B46" s="144">
        <v>65532013</v>
      </c>
      <c r="C46" s="106">
        <v>65532021</v>
      </c>
      <c r="D46" s="11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2ターンカウンター状態</v>
      </c>
      <c r="E46" s="11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2ターンユニット全体の攻撃をカウンター</v>
      </c>
      <c r="F46" s="108">
        <v>65532042</v>
      </c>
      <c r="G46" s="10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07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0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46" s="10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0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0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10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0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0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46" s="106"/>
      <c r="Q46" s="106"/>
      <c r="R46" s="106"/>
    </row>
    <row r="47" spans="1:18" ht="21" customHeight="1" x14ac:dyDescent="0.15">
      <c r="A47" s="39" t="str">
        <f t="shared" ref="A47" si="8">B47&amp;"_"&amp;C47</f>
        <v>65532014_65532022</v>
      </c>
      <c r="B47" s="150">
        <v>65532014</v>
      </c>
      <c r="C47" s="147">
        <v>65532022</v>
      </c>
      <c r="D47" s="15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自爆</v>
      </c>
      <c r="E47" s="15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47" s="147">
        <v>65532043</v>
      </c>
      <c r="G47" s="151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51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151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51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51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51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151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51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51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47"/>
      <c r="Q47" s="147"/>
      <c r="R47" s="147"/>
    </row>
    <row r="48" spans="1:18" ht="21" customHeight="1" thickBot="1" x14ac:dyDescent="0.2">
      <c r="A48" s="39" t="str">
        <f t="shared" si="5"/>
        <v>65532014_65532026</v>
      </c>
      <c r="B48" s="148">
        <v>65532014</v>
      </c>
      <c r="C48" s="108">
        <v>65532026</v>
      </c>
      <c r="D48" s="149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ガガガ…ピィー！</v>
      </c>
      <c r="E48" s="149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自爆まで残り4時間…</v>
      </c>
      <c r="F48" s="108">
        <v>65532056</v>
      </c>
      <c r="G48" s="110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10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110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10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10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10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110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10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10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08"/>
      <c r="Q48" s="108"/>
      <c r="R48" s="108"/>
    </row>
    <row r="49" spans="1:18" ht="21" customHeight="1" x14ac:dyDescent="0.15">
      <c r="A49" s="39" t="str">
        <f t="shared" si="5"/>
        <v>65532015_65532003</v>
      </c>
      <c r="B49" s="144">
        <v>65532015</v>
      </c>
      <c r="C49" s="104">
        <v>65532003</v>
      </c>
      <c r="D49" s="11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単体に中ダメージ</v>
      </c>
      <c r="E49" s="11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単体に中ダメージ</v>
      </c>
      <c r="F49" s="147">
        <v>65532044</v>
      </c>
      <c r="G49" s="10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05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9" s="10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9" s="105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0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05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105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05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105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9" s="104"/>
      <c r="Q49" s="104"/>
      <c r="R49" s="104"/>
    </row>
    <row r="50" spans="1:18" ht="21" customHeight="1" thickBot="1" x14ac:dyDescent="0.2">
      <c r="A50" s="109" t="str">
        <f t="shared" si="5"/>
        <v>65532015_65532002</v>
      </c>
      <c r="B50" s="146">
        <v>65532015</v>
      </c>
      <c r="C50" s="106">
        <v>65532002</v>
      </c>
      <c r="D50" s="11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全体に中ダメージ</v>
      </c>
      <c r="E50" s="11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108">
        <v>65532045</v>
      </c>
      <c r="G50" s="10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0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0" s="10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0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0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0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10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0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0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06"/>
      <c r="Q50" s="106"/>
      <c r="R50" s="106"/>
    </row>
    <row r="51" spans="1:18" ht="21" customHeight="1" x14ac:dyDescent="0.15">
      <c r="A51" s="39" t="str">
        <f t="shared" si="5"/>
        <v>65532016_65532009</v>
      </c>
      <c r="B51" s="144">
        <v>65532016</v>
      </c>
      <c r="C51" s="104">
        <v>65532009</v>
      </c>
      <c r="D51" s="11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敵全体に弱ウイルス</v>
      </c>
      <c r="E51" s="11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51" s="147">
        <v>65532046</v>
      </c>
      <c r="G51" s="105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05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1" s="105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1" s="105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05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05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105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05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05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1" s="104"/>
      <c r="Q51" s="104"/>
      <c r="R51" s="104"/>
    </row>
    <row r="52" spans="1:18" ht="21" customHeight="1" x14ac:dyDescent="0.15">
      <c r="A52" s="39" t="str">
        <f t="shared" si="5"/>
        <v>65532016_65532023</v>
      </c>
      <c r="B52" s="144">
        <v>65532016</v>
      </c>
      <c r="C52" s="47">
        <v>65532023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攻撃頻度UP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自分自身の攻撃頻度UP</v>
      </c>
      <c r="F52" s="104">
        <v>65532047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2" s="47"/>
      <c r="Q52" s="47"/>
      <c r="R52" s="47"/>
    </row>
    <row r="53" spans="1:18" ht="21" customHeight="1" thickBot="1" x14ac:dyDescent="0.2">
      <c r="A53" s="109" t="str">
        <f t="shared" si="5"/>
        <v>65532016_65532003</v>
      </c>
      <c r="B53" s="146">
        <v>65532016</v>
      </c>
      <c r="C53" s="106">
        <v>65532003</v>
      </c>
      <c r="D53" s="11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単体に中ダメージ</v>
      </c>
      <c r="E53" s="11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単体に中ダメージ</v>
      </c>
      <c r="F53" s="108">
        <v>65532048</v>
      </c>
      <c r="G53" s="10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0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3" s="10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0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0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0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10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0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0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06"/>
      <c r="Q53" s="106"/>
      <c r="R53" s="106"/>
    </row>
    <row r="54" spans="1:18" ht="21" customHeight="1" x14ac:dyDescent="0.15">
      <c r="A54" s="39" t="str">
        <f t="shared" si="5"/>
        <v>65532017_65532003</v>
      </c>
      <c r="B54" s="144">
        <v>65532017</v>
      </c>
      <c r="C54" s="104">
        <v>65532003</v>
      </c>
      <c r="D54" s="11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単体に中ダメージ</v>
      </c>
      <c r="E54" s="11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単体に中ダメージ</v>
      </c>
      <c r="F54" s="147">
        <v>65532049</v>
      </c>
      <c r="G54" s="105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05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4" s="105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4" s="105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05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05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105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05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05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4" s="104"/>
      <c r="Q54" s="104"/>
      <c r="R54" s="104"/>
    </row>
    <row r="55" spans="1:18" ht="21" customHeight="1" thickBot="1" x14ac:dyDescent="0.2">
      <c r="A55" s="109" t="str">
        <f t="shared" si="5"/>
        <v>65532017_65532010</v>
      </c>
      <c r="B55" s="146">
        <v>65532017</v>
      </c>
      <c r="C55" s="106">
        <v>65532010</v>
      </c>
      <c r="D55" s="11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敵全体にウイルス</v>
      </c>
      <c r="E55" s="11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55" s="108">
        <v>65532050</v>
      </c>
      <c r="G55" s="10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10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5" s="10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0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0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0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10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0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0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06"/>
      <c r="Q55" s="106"/>
      <c r="R55" s="106"/>
    </row>
    <row r="56" spans="1:18" ht="21" customHeight="1" x14ac:dyDescent="0.15">
      <c r="A56" s="39" t="str">
        <f t="shared" si="5"/>
        <v>65532018_65532019</v>
      </c>
      <c r="B56" s="144">
        <v>65532018</v>
      </c>
      <c r="C56" s="104">
        <v>65532019</v>
      </c>
      <c r="D56" s="111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状態異常キラー</v>
      </c>
      <c r="E56" s="111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56" s="147">
        <v>65532051</v>
      </c>
      <c r="G56" s="105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105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6" s="105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6" s="105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05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05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105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105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105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6" s="104"/>
      <c r="Q56" s="104"/>
      <c r="R56" s="104"/>
    </row>
    <row r="57" spans="1:18" ht="21" customHeight="1" x14ac:dyDescent="0.15">
      <c r="A57" s="39" t="str">
        <f t="shared" si="5"/>
        <v>65532018_65532018</v>
      </c>
      <c r="B57" s="144">
        <v>65532018</v>
      </c>
      <c r="C57" s="47">
        <v>65532018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単体にウィルス付与攻撃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57" s="47">
        <v>65532052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7" s="47"/>
      <c r="Q57" s="47"/>
      <c r="R57" s="47"/>
    </row>
    <row r="58" spans="1:18" ht="21" customHeight="1" x14ac:dyDescent="0.15">
      <c r="A58" s="39" t="str">
        <f t="shared" ref="A58:A60" si="9">B58&amp;"_"&amp;C58</f>
        <v>65532018_65532010</v>
      </c>
      <c r="B58" s="144">
        <v>65532018</v>
      </c>
      <c r="C58" s="47">
        <v>65532010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敵全体にウイルス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58" s="47">
        <v>65532053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8" s="47"/>
      <c r="Q58" s="47"/>
      <c r="R58" s="47"/>
    </row>
    <row r="59" spans="1:18" ht="21" customHeight="1" thickBot="1" x14ac:dyDescent="0.2">
      <c r="A59" s="109" t="str">
        <f t="shared" ref="A59" si="10">B59&amp;"_"&amp;C59</f>
        <v>65532018_65532024</v>
      </c>
      <c r="B59" s="145">
        <v>65532018</v>
      </c>
      <c r="C59" s="47">
        <v>65532024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敵単体にウイルス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59" s="47">
        <v>65532054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thickBot="1" x14ac:dyDescent="0.2">
      <c r="A60" s="109" t="str">
        <f t="shared" si="9"/>
        <v>65532018_65532027</v>
      </c>
      <c r="B60" s="148">
        <v>65532018</v>
      </c>
      <c r="C60" s="108">
        <v>65532027</v>
      </c>
      <c r="D60" s="149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ぐわっ！（貴様よくも！）</v>
      </c>
      <c r="E60" s="149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ぐわわぐぐぐ！（狼藉者には誅罰を！）</v>
      </c>
      <c r="F60" s="47">
        <v>65532034</v>
      </c>
      <c r="G60" s="110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110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110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10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10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10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110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10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10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08"/>
      <c r="Q60" s="108"/>
      <c r="R60" s="108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2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65532</v>
      </c>
      <c r="B2" s="57">
        <v>1</v>
      </c>
      <c r="C2" s="71" t="str">
        <f t="shared" ref="C2:C12" si="0">A2&amp; "_"&amp;B2</f>
        <v>65532_1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289</v>
      </c>
      <c r="G2" s="57">
        <v>1236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250</v>
      </c>
      <c r="Q2" s="57" t="s">
        <v>169</v>
      </c>
      <c r="R2" s="57" t="s">
        <v>170</v>
      </c>
    </row>
    <row r="3" spans="1:18" x14ac:dyDescent="0.15">
      <c r="A3" s="57">
        <v>65532</v>
      </c>
      <c r="B3" s="57">
        <v>1</v>
      </c>
      <c r="C3" s="71" t="str">
        <f t="shared" si="0"/>
        <v>65532_1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168</v>
      </c>
      <c r="G3" s="57">
        <v>6500</v>
      </c>
      <c r="H3" s="57" t="s">
        <v>253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169</v>
      </c>
      <c r="R3" s="57" t="s">
        <v>170</v>
      </c>
    </row>
    <row r="4" spans="1:18" x14ac:dyDescent="0.15">
      <c r="A4" s="57">
        <v>65532</v>
      </c>
      <c r="B4" s="57">
        <v>1</v>
      </c>
      <c r="C4" s="71" t="str">
        <f t="shared" si="0"/>
        <v>65532_1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290</v>
      </c>
      <c r="G4" s="57">
        <v>25</v>
      </c>
      <c r="H4" s="57" t="s">
        <v>253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150</v>
      </c>
      <c r="Q4" s="57" t="s">
        <v>169</v>
      </c>
      <c r="R4" s="57" t="s">
        <v>170</v>
      </c>
    </row>
    <row r="5" spans="1:18" x14ac:dyDescent="0.15">
      <c r="A5" s="57">
        <v>65532</v>
      </c>
      <c r="B5" s="57">
        <v>1</v>
      </c>
      <c r="C5" s="71" t="str">
        <f t="shared" si="0"/>
        <v>65532_1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289</v>
      </c>
      <c r="G5" s="57">
        <v>344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169</v>
      </c>
      <c r="R5" s="57" t="s">
        <v>170</v>
      </c>
    </row>
    <row r="6" spans="1:18" x14ac:dyDescent="0.15">
      <c r="A6" s="57">
        <v>65532</v>
      </c>
      <c r="B6" s="57">
        <v>1</v>
      </c>
      <c r="C6" s="71" t="str">
        <f t="shared" si="0"/>
        <v>65532_1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289</v>
      </c>
      <c r="G6" s="57">
        <v>345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56</v>
      </c>
      <c r="Q6" s="57" t="s">
        <v>169</v>
      </c>
      <c r="R6" s="57" t="s">
        <v>170</v>
      </c>
    </row>
    <row r="7" spans="1:18" x14ac:dyDescent="0.15">
      <c r="A7" s="57">
        <v>65532</v>
      </c>
      <c r="B7" s="57">
        <v>1</v>
      </c>
      <c r="C7" s="71" t="str">
        <f t="shared" si="0"/>
        <v>65532_1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289</v>
      </c>
      <c r="G7" s="57">
        <v>346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56</v>
      </c>
      <c r="Q7" s="57" t="s">
        <v>169</v>
      </c>
      <c r="R7" s="57" t="s">
        <v>170</v>
      </c>
    </row>
    <row r="8" spans="1:18" x14ac:dyDescent="0.15">
      <c r="A8" s="57">
        <v>65532</v>
      </c>
      <c r="B8" s="57">
        <v>1</v>
      </c>
      <c r="C8" s="71" t="str">
        <f t="shared" si="0"/>
        <v>65532_1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289</v>
      </c>
      <c r="G8" s="57">
        <v>354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150</v>
      </c>
      <c r="Q8" s="57" t="s">
        <v>169</v>
      </c>
      <c r="R8" s="57" t="s">
        <v>170</v>
      </c>
    </row>
    <row r="9" spans="1:18" x14ac:dyDescent="0.15">
      <c r="A9" s="57">
        <v>65532</v>
      </c>
      <c r="B9" s="57">
        <v>1</v>
      </c>
      <c r="C9" s="71" t="str">
        <f t="shared" si="0"/>
        <v>65532_1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289</v>
      </c>
      <c r="G9" s="57">
        <v>121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7" t="s">
        <v>169</v>
      </c>
      <c r="R9" s="57" t="s">
        <v>170</v>
      </c>
    </row>
    <row r="10" spans="1:18" x14ac:dyDescent="0.15">
      <c r="A10" s="57">
        <v>65532</v>
      </c>
      <c r="B10" s="57">
        <v>1</v>
      </c>
      <c r="C10" s="71" t="str">
        <f t="shared" si="0"/>
        <v>65532_1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289</v>
      </c>
      <c r="G10" s="57">
        <v>122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7" t="s">
        <v>169</v>
      </c>
      <c r="R10" s="57" t="s">
        <v>170</v>
      </c>
    </row>
    <row r="11" spans="1:18" x14ac:dyDescent="0.15">
      <c r="A11" s="57">
        <v>65532</v>
      </c>
      <c r="B11" s="57">
        <v>1</v>
      </c>
      <c r="C11" s="71" t="str">
        <f t="shared" si="0"/>
        <v>65532_1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289</v>
      </c>
      <c r="G11" s="57">
        <v>123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50</v>
      </c>
      <c r="Q11" s="57" t="s">
        <v>169</v>
      </c>
      <c r="R11" s="57" t="s">
        <v>170</v>
      </c>
    </row>
    <row r="12" spans="1:18" x14ac:dyDescent="0.15">
      <c r="A12" s="57">
        <v>65532</v>
      </c>
      <c r="B12" s="57">
        <v>1</v>
      </c>
      <c r="C12" s="71" t="str">
        <f t="shared" si="0"/>
        <v>65532_1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289</v>
      </c>
      <c r="G12" s="57">
        <v>125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10</v>
      </c>
      <c r="Q12" s="57" t="s">
        <v>169</v>
      </c>
      <c r="R12" s="57" t="s">
        <v>170</v>
      </c>
    </row>
  </sheetData>
  <phoneticPr fontId="5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6"/>
  <sheetViews>
    <sheetView showGridLines="0" workbookViewId="0">
      <pane ySplit="1" topLeftCell="A2" activePane="bottomLeft" state="frozen"/>
      <selection pane="bottomLeft" activeCell="L41" sqref="L4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2" t="s">
        <v>195</v>
      </c>
      <c r="J1" s="79" t="s">
        <v>126</v>
      </c>
      <c r="K1" s="78" t="s">
        <v>186</v>
      </c>
      <c r="L1" s="93" t="s">
        <v>185</v>
      </c>
      <c r="M1" s="80" t="s">
        <v>196</v>
      </c>
    </row>
    <row r="2" spans="1:13" x14ac:dyDescent="0.15">
      <c r="A2" s="81" t="s">
        <v>201</v>
      </c>
      <c r="B2" s="82">
        <v>65532</v>
      </c>
      <c r="C2" s="83" t="str">
        <f ca="1">VLOOKUP($B2,OFFSET([2]quests!$A$1,0,0,COUNTA([2]quests!$A:$A),MATCH(C$1,[2]quests!$1:$1,0)-MATCH($B$1,[2]quests!$1:$1,0)+1),MATCH(C$1,[2]quests!$1:$1,0)-MATCH($B$1,[2]quests!$1:$1,0)+1,FALSE)</f>
        <v>【LB山川】検証クエスト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【LB山川】検証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>
        <v>0</v>
      </c>
      <c r="I2">
        <v>12</v>
      </c>
      <c r="J2" s="84" t="s">
        <v>198</v>
      </c>
      <c r="K2" s="94" t="str">
        <f>VLOOKUP(I2,[7]stage_hints!$A:$C,3,FALSE)</f>
        <v>ユニットのお気に入り登録</v>
      </c>
      <c r="L2" s="95" t="str">
        <f>VLOOKUP(I2,[7]stage_hints!$A:$D,4,FALSE)</f>
        <v>大事なユニットを誤って消さないように_x000D_フォルダから「お気に入り登録」しましょう</v>
      </c>
      <c r="M2" s="57" t="s">
        <v>212</v>
      </c>
    </row>
    <row r="3" spans="1:13" x14ac:dyDescent="0.15">
      <c r="A3" s="81" t="s">
        <v>201</v>
      </c>
      <c r="B3" s="82">
        <v>65532</v>
      </c>
      <c r="C3" s="83" t="str">
        <f ca="1">VLOOKUP($B3,OFFSET([2]quests!$A$1,0,0,COUNTA([2]quests!$A:$A),MATCH(C$1,[2]quests!$1:$1,0)-MATCH($B$1,[2]quests!$1:$1,0)+1),MATCH(C$1,[2]quests!$1:$1,0)-MATCH($B$1,[2]quests!$1:$1,0)+1,FALSE)</f>
        <v>【LB山川】検証クエスト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【LB山川】検証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>
        <v>0</v>
      </c>
      <c r="I3">
        <v>17</v>
      </c>
      <c r="J3" s="84" t="s">
        <v>198</v>
      </c>
      <c r="K3" s="94" t="str">
        <f>VLOOKUP(I3,[7]stage_hints!$A:$C,3,FALSE)</f>
        <v>リンクガチャ</v>
      </c>
      <c r="L3" s="95" t="str">
        <f>VLOOKUP(I3,[7]stage_hints!$A:$D,4,FALSE)</f>
        <v>無料のリンクガチャを回して_x000D_経験値素材や売却素材を獲得しましょう</v>
      </c>
      <c r="M3" s="57" t="s">
        <v>212</v>
      </c>
    </row>
    <row r="4" spans="1:13" x14ac:dyDescent="0.15">
      <c r="A4" s="81" t="s">
        <v>201</v>
      </c>
      <c r="B4" s="82">
        <v>65532</v>
      </c>
      <c r="C4" s="83" t="str">
        <f ca="1">VLOOKUP($B4,OFFSET([2]quests!$A$1,0,0,COUNTA([2]quests!$A:$A),MATCH(C$1,[2]quests!$1:$1,0)-MATCH($B$1,[2]quests!$1:$1,0)+1),MATCH(C$1,[2]quests!$1:$1,0)-MATCH($B$1,[2]quests!$1:$1,0)+1,FALSE)</f>
        <v>【LB山川】検証クエスト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検証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【LB山川】検証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5">
        <v>0</v>
      </c>
      <c r="I4">
        <v>19</v>
      </c>
      <c r="J4" s="84" t="s">
        <v>198</v>
      </c>
      <c r="K4" s="94" t="str">
        <f>VLOOKUP(I4,[7]stage_hints!$A:$C,3,FALSE)</f>
        <v>ソロ専用タワーオブザクイーン</v>
      </c>
      <c r="L4" s="95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7" t="s">
        <v>212</v>
      </c>
    </row>
    <row r="5" spans="1:13" x14ac:dyDescent="0.15">
      <c r="A5" s="81" t="s">
        <v>201</v>
      </c>
      <c r="B5" s="82">
        <v>65532</v>
      </c>
      <c r="C5" s="83" t="str">
        <f ca="1">VLOOKUP($B5,OFFSET([2]quests!$A$1,0,0,COUNTA([2]quests!$A:$A),MATCH(C$1,[2]quests!$1:$1,0)-MATCH($B$1,[2]quests!$1:$1,0)+1),MATCH(C$1,[2]quests!$1:$1,0)-MATCH($B$1,[2]quests!$1:$1,0)+1,FALSE)</f>
        <v>【LB山川】検証クエスト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検証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【LB山川】検証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5">
        <v>0</v>
      </c>
      <c r="I5">
        <v>21</v>
      </c>
      <c r="J5" s="84" t="s">
        <v>198</v>
      </c>
      <c r="K5" s="94" t="str">
        <f>VLOOKUP(I5,[7]stage_hints!$A:$C,3,FALSE)</f>
        <v>スキルを有効に</v>
      </c>
      <c r="L5" s="95" t="str">
        <f>VLOOKUP(I5,[7]stage_hints!$A:$D,4,FALSE)</f>
        <v>ターン経過でユニットのスキルが使えます_x000D_強力スキルでバトルを有利に進めましょう</v>
      </c>
      <c r="M5" s="57" t="s">
        <v>212</v>
      </c>
    </row>
    <row r="6" spans="1:13" x14ac:dyDescent="0.15">
      <c r="A6" s="81" t="s">
        <v>201</v>
      </c>
      <c r="B6" s="82">
        <v>65532</v>
      </c>
      <c r="C6" s="83" t="str">
        <f ca="1">VLOOKUP($B6,OFFSET([2]quests!$A$1,0,0,COUNTA([2]quests!$A:$A),MATCH(C$1,[2]quests!$1:$1,0)-MATCH($B$1,[2]quests!$1:$1,0)+1),MATCH(C$1,[2]quests!$1:$1,0)-MATCH($B$1,[2]quests!$1:$1,0)+1,FALSE)</f>
        <v>【LB山川】検証クエスト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検証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【LB山川】検証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5">
        <v>0</v>
      </c>
      <c r="I6">
        <v>27</v>
      </c>
      <c r="J6" s="84" t="s">
        <v>198</v>
      </c>
      <c r="K6" s="94" t="str">
        <f>VLOOKUP(I6,[7]stage_hints!$A:$C,3,FALSE)</f>
        <v>ホーム画面からデッキを編成</v>
      </c>
      <c r="L6" s="95" t="str">
        <f>VLOOKUP(I6,[7]stage_hints!$A:$D,4,FALSE)</f>
        <v>ホーム画面でユニットを長押しすると_x000D_すぐにパーティ編成に移動できます</v>
      </c>
      <c r="M6" s="57" t="s">
        <v>212</v>
      </c>
    </row>
    <row r="7" spans="1:13" x14ac:dyDescent="0.15">
      <c r="A7" s="81" t="s">
        <v>201</v>
      </c>
      <c r="B7" s="82">
        <v>65532</v>
      </c>
      <c r="C7" s="83" t="str">
        <f ca="1">VLOOKUP($B7,OFFSET([2]quests!$A$1,0,0,COUNTA([2]quests!$A:$A),MATCH(C$1,[2]quests!$1:$1,0)-MATCH($B$1,[2]quests!$1:$1,0)+1),MATCH(C$1,[2]quests!$1:$1,0)-MATCH($B$1,[2]quests!$1:$1,0)+1,FALSE)</f>
        <v>【LB山川】検証クエスト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検証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【LB山川】検証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5">
        <v>0</v>
      </c>
      <c r="I7">
        <v>28</v>
      </c>
      <c r="J7" s="84" t="s">
        <v>198</v>
      </c>
      <c r="K7" s="94" t="str">
        <f>VLOOKUP(I7,[7]stage_hints!$A:$C,3,FALSE)</f>
        <v>ステータス情報は長押しで</v>
      </c>
      <c r="L7" s="95" t="str">
        <f>VLOOKUP(I7,[7]stage_hints!$A:$D,4,FALSE)</f>
        <v>ユニットのアイコンを長押しすると_x000D_ステータス情報を確認することができます</v>
      </c>
      <c r="M7" s="57" t="s">
        <v>212</v>
      </c>
    </row>
    <row r="8" spans="1:13" x14ac:dyDescent="0.15">
      <c r="A8" s="81" t="s">
        <v>201</v>
      </c>
      <c r="B8" s="82">
        <v>65532</v>
      </c>
      <c r="C8" s="83" t="str">
        <f ca="1">VLOOKUP($B8,OFFSET([2]quests!$A$1,0,0,COUNTA([2]quests!$A:$A),MATCH(C$1,[2]quests!$1:$1,0)-MATCH($B$1,[2]quests!$1:$1,0)+1),MATCH(C$1,[2]quests!$1:$1,0)-MATCH($B$1,[2]quests!$1:$1,0)+1,FALSE)</f>
        <v>【LB山川】検証クエスト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検証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【LB山川】検証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5">
        <v>0</v>
      </c>
      <c r="I8">
        <v>29</v>
      </c>
      <c r="J8" s="84" t="s">
        <v>198</v>
      </c>
      <c r="K8" s="94" t="str">
        <f>VLOOKUP(I8,[7]stage_hints!$A:$C,3,FALSE)</f>
        <v>「バグ」のメリット</v>
      </c>
      <c r="L8" s="95" t="str">
        <f>VLOOKUP(I8,[7]stage_hints!$A:$D,4,FALSE)</f>
        <v>ユニットの「バグ」を増やすと_x000D_報酬をもらえる確率がアップします</v>
      </c>
      <c r="M8" s="57" t="s">
        <v>212</v>
      </c>
    </row>
    <row r="9" spans="1:13" x14ac:dyDescent="0.15">
      <c r="A9" s="81" t="s">
        <v>201</v>
      </c>
      <c r="B9" s="82">
        <v>65532</v>
      </c>
      <c r="C9" s="83" t="str">
        <f ca="1">VLOOKUP($B9,OFFSET([2]quests!$A$1,0,0,COUNTA([2]quests!$A:$A),MATCH(C$1,[2]quests!$1:$1,0)-MATCH($B$1,[2]quests!$1:$1,0)+1),MATCH(C$1,[2]quests!$1:$1,0)-MATCH($B$1,[2]quests!$1:$1,0)+1,FALSE)</f>
        <v>【LB山川】検証クエスト</v>
      </c>
      <c r="D9" s="83" t="str">
        <f ca="1">VLOOKUP($B9,OFFSET([2]quests!$A$1,0,0,COUNTA([2]quests!$A:$A),MATCH(D$1,[2]quests!$1:$1,0)-MATCH($B$1,[2]quests!$1:$1,0)+1),MATCH(D$1,[2]quests!$1:$1,0)-MATCH($B$1,[2]quests!$1:$1,0)+1,FALSE)</f>
        <v>検証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【LB山川】検証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検証</v>
      </c>
      <c r="H9" s="85">
        <v>0</v>
      </c>
      <c r="I9">
        <v>30</v>
      </c>
      <c r="J9" s="84" t="s">
        <v>198</v>
      </c>
      <c r="K9" s="94" t="str">
        <f>VLOOKUP(I9,[7]stage_hints!$A:$C,3,FALSE)</f>
        <v>「バグ」の増やし方</v>
      </c>
      <c r="L9" s="95" t="str">
        <f>VLOOKUP(I9,[7]stage_hints!$A:$D,4,FALSE)</f>
        <v>同じユニット同士を強化で合成すると_x000D_「バグ」を増やすことができます</v>
      </c>
      <c r="M9" s="57" t="s">
        <v>212</v>
      </c>
    </row>
    <row r="10" spans="1:13" x14ac:dyDescent="0.15">
      <c r="A10" s="81" t="s">
        <v>201</v>
      </c>
      <c r="B10" s="82">
        <v>65532</v>
      </c>
      <c r="C10" s="83" t="str">
        <f ca="1">VLOOKUP($B10,OFFSET([2]quests!$A$1,0,0,COUNTA([2]quests!$A:$A),MATCH(C$1,[2]quests!$1:$1,0)-MATCH($B$1,[2]quests!$1:$1,0)+1),MATCH(C$1,[2]quests!$1:$1,0)-MATCH($B$1,[2]quests!$1:$1,0)+1,FALSE)</f>
        <v>【LB山川】検証クエスト</v>
      </c>
      <c r="D10" s="83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【LB山川】検証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検証</v>
      </c>
      <c r="H10" s="85">
        <v>0</v>
      </c>
      <c r="I10">
        <v>32</v>
      </c>
      <c r="J10" s="84" t="s">
        <v>198</v>
      </c>
      <c r="K10" s="94" t="str">
        <f>VLOOKUP(I10,[7]stage_hints!$A:$C,3,FALSE)</f>
        <v>敵の連続攻撃には</v>
      </c>
      <c r="L10" s="95" t="str">
        <f>VLOOKUP(I10,[7]stage_hints!$A:$D,4,FALSE)</f>
        <v>カウンタースキルを持つユニットがいれば_x000D_ダメージ回数分の反撃ができます</v>
      </c>
      <c r="M10" s="57" t="s">
        <v>212</v>
      </c>
    </row>
    <row r="11" spans="1:13" x14ac:dyDescent="0.15">
      <c r="A11" s="81" t="s">
        <v>201</v>
      </c>
      <c r="B11" s="82">
        <v>65532</v>
      </c>
      <c r="C11" s="83" t="str">
        <f ca="1">VLOOKUP($B11,OFFSET([2]quests!$A$1,0,0,COUNTA([2]quests!$A:$A),MATCH(C$1,[2]quests!$1:$1,0)-MATCH($B$1,[2]quests!$1:$1,0)+1),MATCH(C$1,[2]quests!$1:$1,0)-MATCH($B$1,[2]quests!$1:$1,0)+1,FALSE)</f>
        <v>【LB山川】検証クエスト</v>
      </c>
      <c r="D11" s="83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【LB山川】検証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検証</v>
      </c>
      <c r="H11" s="85">
        <v>0</v>
      </c>
      <c r="I11">
        <v>33</v>
      </c>
      <c r="J11" s="84" t="s">
        <v>198</v>
      </c>
      <c r="K11" s="94" t="str">
        <f>VLOOKUP(I11,[7]stage_hints!$A:$C,3,FALSE)</f>
        <v>敵のカウンター攻撃には</v>
      </c>
      <c r="L11" s="95" t="str">
        <f>VLOOKUP(I11,[7]stage_hints!$A:$D,4,FALSE)</f>
        <v>カウンターブレイクスキルを持っていれば_x000D_敵のカウンターを解除して攻撃ができます</v>
      </c>
      <c r="M11" s="57" t="s">
        <v>212</v>
      </c>
    </row>
    <row r="12" spans="1:13" x14ac:dyDescent="0.15">
      <c r="A12" s="81" t="s">
        <v>201</v>
      </c>
      <c r="B12" s="82">
        <v>65532</v>
      </c>
      <c r="C12" s="83" t="str">
        <f ca="1">VLOOKUP($B12,OFFSET([2]quests!$A$1,0,0,COUNTA([2]quests!$A:$A),MATCH(C$1,[2]quests!$1:$1,0)-MATCH($B$1,[2]quests!$1:$1,0)+1),MATCH(C$1,[2]quests!$1:$1,0)-MATCH($B$1,[2]quests!$1:$1,0)+1,FALSE)</f>
        <v>【LB山川】検証クエスト</v>
      </c>
      <c r="D12" s="83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【LB山川】検証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検証</v>
      </c>
      <c r="H12" s="85">
        <v>0</v>
      </c>
      <c r="I12">
        <v>34</v>
      </c>
      <c r="J12" s="84" t="s">
        <v>198</v>
      </c>
      <c r="K12" s="94" t="str">
        <f>VLOOKUP(I12,[7]stage_hints!$A:$C,3,FALSE)</f>
        <v>ステータスをスキルで下げられたら</v>
      </c>
      <c r="L12" s="95" t="str">
        <f>VLOOKUP(I12,[7]stage_hints!$A:$D,4,FALSE)</f>
        <v>ステータスダウンのスキルを受けたら_x000D_ステータスアップスキルで上書きしましょう</v>
      </c>
      <c r="M12" s="57" t="s">
        <v>212</v>
      </c>
    </row>
    <row r="13" spans="1:13" x14ac:dyDescent="0.15">
      <c r="A13" s="81" t="s">
        <v>201</v>
      </c>
      <c r="B13" s="82">
        <v>65532</v>
      </c>
      <c r="C13" s="83" t="str">
        <f ca="1">VLOOKUP($B13,OFFSET([2]quests!$A$1,0,0,COUNTA([2]quests!$A:$A),MATCH(C$1,[2]quests!$1:$1,0)-MATCH($B$1,[2]quests!$1:$1,0)+1),MATCH(C$1,[2]quests!$1:$1,0)-MATCH($B$1,[2]quests!$1:$1,0)+1,FALSE)</f>
        <v>【LB山川】検証クエスト</v>
      </c>
      <c r="D13" s="83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【LB山川】検証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検証</v>
      </c>
      <c r="H13" s="85">
        <v>0</v>
      </c>
      <c r="I13">
        <v>35</v>
      </c>
      <c r="J13" s="84" t="s">
        <v>198</v>
      </c>
      <c r="K13" s="94" t="str">
        <f>VLOOKUP(I13,[7]stage_hints!$A:$C,3,FALSE)</f>
        <v>敵のステータスがスキルで上がったら</v>
      </c>
      <c r="L13" s="95" t="str">
        <f>VLOOKUP(I13,[7]stage_hints!$A:$D,4,FALSE)</f>
        <v>敵のステータスがスキルでアップしたときは_x000D_ステータスダウンスキルで上書きしましょう</v>
      </c>
      <c r="M13" s="57" t="s">
        <v>212</v>
      </c>
    </row>
    <row r="14" spans="1:13" x14ac:dyDescent="0.15">
      <c r="A14" s="81" t="s">
        <v>201</v>
      </c>
      <c r="B14" s="82">
        <v>65532</v>
      </c>
      <c r="C14" s="83" t="str">
        <f ca="1">VLOOKUP($B14,OFFSET([2]quests!$A$1,0,0,COUNTA([2]quests!$A:$A),MATCH(C$1,[2]quests!$1:$1,0)-MATCH($B$1,[2]quests!$1:$1,0)+1),MATCH(C$1,[2]quests!$1:$1,0)-MATCH($B$1,[2]quests!$1:$1,0)+1,FALSE)</f>
        <v>【LB山川】検証クエスト</v>
      </c>
      <c r="D14" s="83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【LB山川】検証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検証</v>
      </c>
      <c r="H14" s="85">
        <v>0</v>
      </c>
      <c r="I14">
        <v>36</v>
      </c>
      <c r="J14" s="84" t="s">
        <v>198</v>
      </c>
      <c r="K14" s="94" t="str">
        <f>VLOOKUP(I14,[7]stage_hints!$A:$C,3,FALSE)</f>
        <v>タワーオブザクイーンのボス</v>
      </c>
      <c r="L14" s="95" t="str">
        <f>VLOOKUP(I14,[7]stage_hints!$A:$D,4,FALSE)</f>
        <v>「タワーオブザクイーン」最上階のボスは_x000D_15階の初回クリア報酬で獲得できるほか_x000D_その階にて低確率でドロップもします</v>
      </c>
      <c r="M14" s="57" t="s">
        <v>212</v>
      </c>
    </row>
    <row r="15" spans="1:13" x14ac:dyDescent="0.15">
      <c r="A15" s="81" t="s">
        <v>201</v>
      </c>
      <c r="B15" s="82">
        <v>65532</v>
      </c>
      <c r="C15" s="83" t="str">
        <f ca="1">VLOOKUP($B15,OFFSET([2]quests!$A$1,0,0,COUNTA([2]quests!$A:$A),MATCH(C$1,[2]quests!$1:$1,0)-MATCH($B$1,[2]quests!$1:$1,0)+1),MATCH(C$1,[2]quests!$1:$1,0)-MATCH($B$1,[2]quests!$1:$1,0)+1,FALSE)</f>
        <v>【LB山川】検証クエスト</v>
      </c>
      <c r="D15" s="83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【LB山川】検証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検証</v>
      </c>
      <c r="H15" s="85">
        <v>0</v>
      </c>
      <c r="I15">
        <v>37</v>
      </c>
      <c r="J15" s="84" t="s">
        <v>198</v>
      </c>
      <c r="K15" s="94" t="str">
        <f>VLOOKUP(I15,[7]stage_hints!$A:$C,3,FALSE)</f>
        <v>限界突破値の引き継ぎ</v>
      </c>
      <c r="L15" s="95" t="str">
        <f>VLOOKUP(I15,[7]stage_hints!$A:$D,4,FALSE)</f>
        <v>同じユニットを強化で合成すると_x000D_限界突破値を引き継げます（覚醒前後も可）</v>
      </c>
      <c r="M15" s="57" t="s">
        <v>212</v>
      </c>
    </row>
    <row r="16" spans="1:13" x14ac:dyDescent="0.15">
      <c r="A16" s="81" t="s">
        <v>201</v>
      </c>
      <c r="B16" s="82">
        <v>65532</v>
      </c>
      <c r="C16" s="83" t="str">
        <f ca="1">VLOOKUP($B16,OFFSET([2]quests!$A$1,0,0,COUNTA([2]quests!$A:$A),MATCH(C$1,[2]quests!$1:$1,0)-MATCH($B$1,[2]quests!$1:$1,0)+1),MATCH(C$1,[2]quests!$1:$1,0)-MATCH($B$1,[2]quests!$1:$1,0)+1,FALSE)</f>
        <v>【LB山川】検証クエスト</v>
      </c>
      <c r="D16" s="83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【LB山川】検証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検証</v>
      </c>
      <c r="H16" s="85">
        <v>0</v>
      </c>
      <c r="I16">
        <v>39</v>
      </c>
      <c r="J16" s="84" t="s">
        <v>198</v>
      </c>
      <c r="K16" s="94" t="str">
        <f>VLOOKUP(I16,[7]stage_hints!$A:$C,3,FALSE)</f>
        <v>システム適合者を確認</v>
      </c>
      <c r="L16" s="95" t="str">
        <f>VLOOKUP(I16,[7]stage_hints!$A:$D,4,FALSE)</f>
        <v>ALICEが 「アナタ」を呼んでいます</v>
      </c>
      <c r="M16" s="57" t="s">
        <v>212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8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150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90" t="s">
        <v>194</v>
      </c>
      <c r="J1" s="92" t="s">
        <v>195</v>
      </c>
      <c r="K1" s="79" t="s">
        <v>126</v>
      </c>
      <c r="L1" s="78" t="s">
        <v>186</v>
      </c>
      <c r="M1" s="93" t="s">
        <v>185</v>
      </c>
      <c r="N1" s="80" t="s">
        <v>196</v>
      </c>
    </row>
    <row r="2" spans="1:14" x14ac:dyDescent="0.15">
      <c r="A2" s="81" t="s">
        <v>197</v>
      </c>
      <c r="B2" s="82">
        <v>65532</v>
      </c>
      <c r="C2" s="83" t="str">
        <f ca="1">VLOOKUP($B2,OFFSET([2]quests!$A$1,0,0,COUNTA([2]quests!$A:$A),MATCH(C$1,[2]quests!$1:$1,0)-MATCH($B$1,[2]quests!$1:$1,0)+1),MATCH(C$1,[2]quests!$1:$1,0)-MATCH($B$1,[2]quests!$1:$1,0)+1,FALSE)</f>
        <v>【LB山川】検証クエスト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【LB山川】検証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>
        <v>1</v>
      </c>
      <c r="I2" s="91">
        <f t="shared" ref="I2:I8" si="0">ROW()-1</f>
        <v>1</v>
      </c>
      <c r="J2" s="86" t="str">
        <f>B2&amp;TEXT(I2,"00")</f>
        <v>6553201</v>
      </c>
      <c r="K2" s="84" t="s">
        <v>198</v>
      </c>
      <c r="L2" s="87" t="s">
        <v>199</v>
      </c>
      <c r="M2" s="88" t="s">
        <v>292</v>
      </c>
      <c r="N2" s="57" t="s">
        <v>200</v>
      </c>
    </row>
    <row r="3" spans="1:14" x14ac:dyDescent="0.15">
      <c r="A3" s="81" t="s">
        <v>197</v>
      </c>
      <c r="B3" s="82">
        <v>65532</v>
      </c>
      <c r="C3" s="83" t="str">
        <f ca="1">VLOOKUP($B3,OFFSET([2]quests!$A$1,0,0,COUNTA([2]quests!$A:$A),MATCH(C$1,[2]quests!$1:$1,0)-MATCH($B$1,[2]quests!$1:$1,0)+1),MATCH(C$1,[2]quests!$1:$1,0)-MATCH($B$1,[2]quests!$1:$1,0)+1,FALSE)</f>
        <v>【LB山川】検証クエスト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【LB山川】検証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>
        <v>2</v>
      </c>
      <c r="I3" s="91">
        <f t="shared" si="0"/>
        <v>2</v>
      </c>
      <c r="J3" s="86" t="str">
        <f t="shared" ref="J3:J8" si="1">B3&amp;TEXT(I3,"00")</f>
        <v>6553202</v>
      </c>
      <c r="K3" s="84" t="s">
        <v>198</v>
      </c>
      <c r="L3" s="87" t="s">
        <v>199</v>
      </c>
      <c r="M3" s="88" t="s">
        <v>293</v>
      </c>
      <c r="N3" s="57" t="s">
        <v>200</v>
      </c>
    </row>
    <row r="4" spans="1:14" x14ac:dyDescent="0.15">
      <c r="A4" s="81" t="s">
        <v>197</v>
      </c>
      <c r="B4" s="82">
        <v>65532</v>
      </c>
      <c r="C4" s="83" t="str">
        <f ca="1">VLOOKUP($B4,OFFSET([2]quests!$A$1,0,0,COUNTA([2]quests!$A:$A),MATCH(C$1,[2]quests!$1:$1,0)-MATCH($B$1,[2]quests!$1:$1,0)+1),MATCH(C$1,[2]quests!$1:$1,0)-MATCH($B$1,[2]quests!$1:$1,0)+1,FALSE)</f>
        <v>【LB山川】検証クエスト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検証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【LB山川】検証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5">
        <v>3</v>
      </c>
      <c r="I4" s="91">
        <f t="shared" si="0"/>
        <v>3</v>
      </c>
      <c r="J4" s="86" t="str">
        <f t="shared" si="1"/>
        <v>6553203</v>
      </c>
      <c r="K4" s="84" t="s">
        <v>198</v>
      </c>
      <c r="L4" s="87" t="s">
        <v>199</v>
      </c>
      <c r="M4" s="88" t="s">
        <v>294</v>
      </c>
      <c r="N4" s="57" t="s">
        <v>200</v>
      </c>
    </row>
    <row r="5" spans="1:14" x14ac:dyDescent="0.15">
      <c r="A5" s="81" t="s">
        <v>197</v>
      </c>
      <c r="B5" s="82">
        <v>65532</v>
      </c>
      <c r="C5" s="83" t="str">
        <f ca="1">VLOOKUP($B5,OFFSET([2]quests!$A$1,0,0,COUNTA([2]quests!$A:$A),MATCH(C$1,[2]quests!$1:$1,0)-MATCH($B$1,[2]quests!$1:$1,0)+1),MATCH(C$1,[2]quests!$1:$1,0)-MATCH($B$1,[2]quests!$1:$1,0)+1,FALSE)</f>
        <v>【LB山川】検証クエスト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検証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【LB山川】検証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5">
        <v>4</v>
      </c>
      <c r="I5" s="91">
        <f t="shared" si="0"/>
        <v>4</v>
      </c>
      <c r="J5" s="86" t="str">
        <f t="shared" si="1"/>
        <v>6553204</v>
      </c>
      <c r="K5" s="84" t="s">
        <v>198</v>
      </c>
      <c r="L5" s="87" t="s">
        <v>199</v>
      </c>
      <c r="M5" s="88" t="s">
        <v>295</v>
      </c>
      <c r="N5" s="57" t="s">
        <v>200</v>
      </c>
    </row>
    <row r="6" spans="1:14" x14ac:dyDescent="0.15">
      <c r="A6" s="81" t="s">
        <v>197</v>
      </c>
      <c r="B6" s="82">
        <v>65532</v>
      </c>
      <c r="C6" s="83" t="str">
        <f ca="1">VLOOKUP($B6,OFFSET([2]quests!$A$1,0,0,COUNTA([2]quests!$A:$A),MATCH(C$1,[2]quests!$1:$1,0)-MATCH($B$1,[2]quests!$1:$1,0)+1),MATCH(C$1,[2]quests!$1:$1,0)-MATCH($B$1,[2]quests!$1:$1,0)+1,FALSE)</f>
        <v>【LB山川】検証クエスト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検証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【LB山川】検証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5">
        <v>4</v>
      </c>
      <c r="I6" s="91">
        <f t="shared" si="0"/>
        <v>5</v>
      </c>
      <c r="J6" s="86" t="str">
        <f t="shared" si="1"/>
        <v>6553205</v>
      </c>
      <c r="K6" s="84" t="s">
        <v>198</v>
      </c>
      <c r="L6" s="87" t="s">
        <v>199</v>
      </c>
      <c r="M6" s="88" t="s">
        <v>296</v>
      </c>
      <c r="N6" s="57" t="s">
        <v>200</v>
      </c>
    </row>
    <row r="7" spans="1:14" ht="28" x14ac:dyDescent="0.15">
      <c r="A7" s="81" t="s">
        <v>197</v>
      </c>
      <c r="B7" s="82">
        <v>65532</v>
      </c>
      <c r="C7" s="83" t="str">
        <f ca="1">VLOOKUP($B7,OFFSET([2]quests!$A$1,0,0,COUNTA([2]quests!$A:$A),MATCH(C$1,[2]quests!$1:$1,0)-MATCH($B$1,[2]quests!$1:$1,0)+1),MATCH(C$1,[2]quests!$1:$1,0)-MATCH($B$1,[2]quests!$1:$1,0)+1,FALSE)</f>
        <v>【LB山川】検証クエスト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検証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【LB山川】検証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5">
        <v>4</v>
      </c>
      <c r="I7" s="91">
        <f t="shared" si="0"/>
        <v>6</v>
      </c>
      <c r="J7" s="86" t="str">
        <f t="shared" si="1"/>
        <v>6553206</v>
      </c>
      <c r="K7" s="84" t="s">
        <v>198</v>
      </c>
      <c r="L7" s="87" t="s">
        <v>199</v>
      </c>
      <c r="M7" s="113" t="s">
        <v>297</v>
      </c>
      <c r="N7" s="57" t="s">
        <v>200</v>
      </c>
    </row>
    <row r="8" spans="1:14" x14ac:dyDescent="0.15">
      <c r="A8" s="81" t="s">
        <v>201</v>
      </c>
      <c r="B8" s="82">
        <v>65532</v>
      </c>
      <c r="C8" s="83" t="str">
        <f ca="1">VLOOKUP($B8,OFFSET([2]quests!$A$1,0,0,COUNTA([2]quests!$A:$A),MATCH(C$1,[2]quests!$1:$1,0)-MATCH($B$1,[2]quests!$1:$1,0)+1),MATCH(C$1,[2]quests!$1:$1,0)-MATCH($B$1,[2]quests!$1:$1,0)+1,FALSE)</f>
        <v>【LB山川】検証クエスト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検証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【LB山川】検証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5">
        <v>4</v>
      </c>
      <c r="I8" s="91">
        <f t="shared" si="0"/>
        <v>7</v>
      </c>
      <c r="J8" s="86" t="str">
        <f t="shared" si="1"/>
        <v>6553207</v>
      </c>
      <c r="K8" s="84" t="s">
        <v>198</v>
      </c>
      <c r="L8" s="87" t="s">
        <v>298</v>
      </c>
      <c r="M8" s="113" t="s">
        <v>299</v>
      </c>
      <c r="N8" s="57" t="s">
        <v>200</v>
      </c>
    </row>
  </sheetData>
  <phoneticPr fontId="5"/>
  <dataValidations count="1">
    <dataValidation type="list" allowBlank="1" showInputMessage="1" showErrorMessage="1" sqref="A2:A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3" sqref="A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215</v>
      </c>
      <c r="B1" s="98" t="s">
        <v>216</v>
      </c>
      <c r="C1" s="77" t="s">
        <v>217</v>
      </c>
      <c r="D1" s="77" t="s">
        <v>33</v>
      </c>
      <c r="E1" s="98" t="s">
        <v>218</v>
      </c>
      <c r="F1" s="77" t="s">
        <v>219</v>
      </c>
      <c r="G1" s="77" t="s">
        <v>33</v>
      </c>
      <c r="H1" s="98" t="s">
        <v>220</v>
      </c>
      <c r="I1" s="98" t="s">
        <v>221</v>
      </c>
      <c r="J1" s="98" t="s">
        <v>222</v>
      </c>
      <c r="K1" s="73" t="s">
        <v>223</v>
      </c>
      <c r="L1" s="73" t="s">
        <v>224</v>
      </c>
      <c r="M1" s="73" t="s">
        <v>156</v>
      </c>
      <c r="N1" s="77" t="s">
        <v>16</v>
      </c>
      <c r="O1" s="73" t="s">
        <v>225</v>
      </c>
      <c r="P1" s="73" t="s">
        <v>56</v>
      </c>
      <c r="Q1" s="73" t="s">
        <v>226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227</v>
      </c>
      <c r="X1" s="73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2017-04-21T01:37:51Z</dcterms:modified>
</cp:coreProperties>
</file>