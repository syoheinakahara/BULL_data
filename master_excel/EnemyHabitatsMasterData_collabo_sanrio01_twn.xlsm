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wada/Desktop/BULL_data/master_excel/"/>
    </mc:Choice>
  </mc:AlternateContent>
  <bookViews>
    <workbookView xWindow="660" yWindow="660" windowWidth="28600" windowHeight="1684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9" l="1"/>
  <c r="X2" i="1"/>
  <c r="G24" i="10"/>
  <c r="I24" i="10"/>
  <c r="K24" i="10"/>
  <c r="J24" i="10"/>
  <c r="H24" i="10"/>
  <c r="G23" i="10"/>
  <c r="I23" i="10"/>
  <c r="K23" i="10"/>
  <c r="J23" i="10"/>
  <c r="H23" i="10"/>
  <c r="G22" i="10"/>
  <c r="I22" i="10"/>
  <c r="K22" i="10"/>
  <c r="J22" i="10"/>
  <c r="H22" i="10"/>
  <c r="G21" i="10"/>
  <c r="I21" i="10"/>
  <c r="K21" i="10"/>
  <c r="J21" i="10"/>
  <c r="H21" i="10"/>
  <c r="G20" i="10"/>
  <c r="I20" i="10"/>
  <c r="K20" i="10"/>
  <c r="J20" i="10"/>
  <c r="H20" i="10"/>
  <c r="G19" i="10"/>
  <c r="I19" i="10"/>
  <c r="K19" i="10"/>
  <c r="J19" i="10"/>
  <c r="H19" i="10"/>
  <c r="G18" i="10"/>
  <c r="I18" i="10"/>
  <c r="K18" i="10"/>
  <c r="J18" i="10"/>
  <c r="H18" i="10"/>
  <c r="G17" i="10"/>
  <c r="I17" i="10"/>
  <c r="K17" i="10"/>
  <c r="J17" i="10"/>
  <c r="H17" i="10"/>
  <c r="G16" i="10"/>
  <c r="I16" i="10"/>
  <c r="K16" i="10"/>
  <c r="J16" i="10"/>
  <c r="H16" i="10"/>
  <c r="G15" i="10"/>
  <c r="I15" i="10"/>
  <c r="K15" i="10"/>
  <c r="J15" i="10"/>
  <c r="H15" i="10"/>
  <c r="G14" i="10"/>
  <c r="I14" i="10"/>
  <c r="K14" i="10"/>
  <c r="J14" i="10"/>
  <c r="H14" i="10"/>
  <c r="G13" i="10"/>
  <c r="I13" i="10"/>
  <c r="K13" i="10"/>
  <c r="J13" i="10"/>
  <c r="H13" i="10"/>
  <c r="G12" i="10"/>
  <c r="I12" i="10"/>
  <c r="K12" i="10"/>
  <c r="J12" i="10"/>
  <c r="H12" i="10"/>
  <c r="G11" i="10"/>
  <c r="I11" i="10"/>
  <c r="K11" i="10"/>
  <c r="J11" i="10"/>
  <c r="H11" i="10"/>
  <c r="G10" i="10"/>
  <c r="I10" i="10"/>
  <c r="K10" i="10"/>
  <c r="J10" i="10"/>
  <c r="H10" i="10"/>
  <c r="G9" i="10"/>
  <c r="I9" i="10"/>
  <c r="K9" i="10"/>
  <c r="J9" i="10"/>
  <c r="H9" i="10"/>
  <c r="G8" i="10"/>
  <c r="I8" i="10"/>
  <c r="K8" i="10"/>
  <c r="J8" i="10"/>
  <c r="H8" i="10"/>
  <c r="G7" i="10"/>
  <c r="I7" i="10"/>
  <c r="K7" i="10"/>
  <c r="J7" i="10"/>
  <c r="H7" i="10"/>
  <c r="G6" i="10"/>
  <c r="I6" i="10"/>
  <c r="K6" i="10"/>
  <c r="J6" i="10"/>
  <c r="H6" i="10"/>
  <c r="G5" i="10"/>
  <c r="I5" i="10"/>
  <c r="K5" i="10"/>
  <c r="J5" i="10"/>
  <c r="H5" i="10"/>
  <c r="G4" i="10"/>
  <c r="I4" i="10"/>
  <c r="K4" i="10"/>
  <c r="J4" i="10"/>
  <c r="H4" i="10"/>
  <c r="G3" i="10"/>
  <c r="I3" i="10"/>
  <c r="K3" i="10"/>
  <c r="J3" i="10"/>
  <c r="H3" i="10"/>
  <c r="I33" i="21"/>
  <c r="J33" i="21"/>
  <c r="I32" i="21"/>
  <c r="J32" i="21"/>
  <c r="I31" i="21"/>
  <c r="J31" i="21"/>
  <c r="I30" i="21"/>
  <c r="J30" i="21"/>
  <c r="I29" i="21"/>
  <c r="J29" i="21"/>
  <c r="I28" i="21"/>
  <c r="J28" i="21"/>
  <c r="I27" i="21"/>
  <c r="J27" i="21"/>
  <c r="I26" i="21"/>
  <c r="J26" i="21"/>
  <c r="I25" i="21"/>
  <c r="J25" i="21"/>
  <c r="I24" i="21"/>
  <c r="J24" i="21"/>
  <c r="I23" i="21"/>
  <c r="J23" i="21"/>
  <c r="I22" i="21"/>
  <c r="J22" i="21"/>
  <c r="I21" i="21"/>
  <c r="J21" i="21"/>
  <c r="I20" i="21"/>
  <c r="J20" i="21"/>
  <c r="I19" i="21"/>
  <c r="J19" i="21"/>
  <c r="I18" i="21"/>
  <c r="J18" i="21"/>
  <c r="I17" i="21"/>
  <c r="J17" i="21"/>
  <c r="I16" i="21"/>
  <c r="J16" i="21"/>
  <c r="I15" i="21"/>
  <c r="J15" i="21"/>
  <c r="I14" i="21"/>
  <c r="J14" i="21"/>
  <c r="I13" i="21"/>
  <c r="J13" i="21"/>
  <c r="I12" i="21"/>
  <c r="J12" i="21"/>
  <c r="I11" i="21"/>
  <c r="J11" i="21"/>
  <c r="I10" i="21"/>
  <c r="J10" i="21"/>
  <c r="I9" i="21"/>
  <c r="J9" i="21"/>
  <c r="I8" i="21"/>
  <c r="J8" i="21"/>
  <c r="I7" i="21"/>
  <c r="J7" i="21"/>
  <c r="I6" i="21"/>
  <c r="J6" i="21"/>
  <c r="I5" i="21"/>
  <c r="J5" i="21"/>
  <c r="I4" i="21"/>
  <c r="J4" i="21"/>
  <c r="I3" i="21"/>
  <c r="J3" i="21"/>
  <c r="U51" i="18"/>
  <c r="T51" i="18"/>
  <c r="U50" i="18"/>
  <c r="T50" i="18"/>
  <c r="U49" i="18"/>
  <c r="T49" i="18"/>
  <c r="U48" i="18"/>
  <c r="T48" i="18"/>
  <c r="U47" i="18"/>
  <c r="T47" i="18"/>
  <c r="U46" i="18"/>
  <c r="T46" i="18"/>
  <c r="U45" i="18"/>
  <c r="T45" i="18"/>
  <c r="U44" i="18"/>
  <c r="T44" i="18"/>
  <c r="U43" i="18"/>
  <c r="T43" i="18"/>
  <c r="U42" i="18"/>
  <c r="T42" i="18"/>
  <c r="U41" i="18"/>
  <c r="T41" i="18"/>
  <c r="U40" i="18"/>
  <c r="T40" i="18"/>
  <c r="U39" i="18"/>
  <c r="T39" i="18"/>
  <c r="U38" i="18"/>
  <c r="T38" i="18"/>
  <c r="U37" i="18"/>
  <c r="T37" i="18"/>
  <c r="U36" i="18"/>
  <c r="T36" i="18"/>
  <c r="U35" i="18"/>
  <c r="T35" i="18"/>
  <c r="U34" i="18"/>
  <c r="T34" i="18"/>
  <c r="U33" i="18"/>
  <c r="T33" i="18"/>
  <c r="U32" i="18"/>
  <c r="T32" i="18"/>
  <c r="U31" i="18"/>
  <c r="T31" i="18"/>
  <c r="U30" i="18"/>
  <c r="T30" i="18"/>
  <c r="U29" i="18"/>
  <c r="T29" i="18"/>
  <c r="U28" i="18"/>
  <c r="T28" i="18"/>
  <c r="U27" i="18"/>
  <c r="T27" i="18"/>
  <c r="U26" i="18"/>
  <c r="T26" i="18"/>
  <c r="U25" i="18"/>
  <c r="T25" i="18"/>
  <c r="U24" i="18"/>
  <c r="T24" i="18"/>
  <c r="U23" i="18"/>
  <c r="T23" i="18"/>
  <c r="U22" i="18"/>
  <c r="T22" i="18"/>
  <c r="U21" i="18"/>
  <c r="T21" i="18"/>
  <c r="U20" i="18"/>
  <c r="T20" i="18"/>
  <c r="U19" i="18"/>
  <c r="T19" i="18"/>
  <c r="U18" i="18"/>
  <c r="T18" i="18"/>
  <c r="U17" i="18"/>
  <c r="T17" i="18"/>
  <c r="U16" i="18"/>
  <c r="T16" i="18"/>
  <c r="U15" i="18"/>
  <c r="T15" i="18"/>
  <c r="U14" i="18"/>
  <c r="T14" i="18"/>
  <c r="U13" i="18"/>
  <c r="T13" i="18"/>
  <c r="U12" i="18"/>
  <c r="T12" i="18"/>
  <c r="U11" i="18"/>
  <c r="T11" i="18"/>
  <c r="U10" i="18"/>
  <c r="T10" i="18"/>
  <c r="U9" i="18"/>
  <c r="T9" i="18"/>
  <c r="U8" i="18"/>
  <c r="T8" i="18"/>
  <c r="U7" i="18"/>
  <c r="T7" i="18"/>
  <c r="U6" i="18"/>
  <c r="T6" i="18"/>
  <c r="U5" i="18"/>
  <c r="T5" i="18"/>
  <c r="U4" i="18"/>
  <c r="T4" i="18"/>
  <c r="U3" i="18"/>
  <c r="T3" i="18"/>
  <c r="U2" i="18"/>
  <c r="T2" i="18"/>
  <c r="C51" i="18"/>
  <c r="D51" i="18"/>
  <c r="C50" i="18"/>
  <c r="D50" i="18"/>
  <c r="C49" i="18"/>
  <c r="D49" i="18"/>
  <c r="C48" i="18"/>
  <c r="D48" i="18"/>
  <c r="C47" i="18"/>
  <c r="D47" i="18"/>
  <c r="C46" i="18"/>
  <c r="D46" i="18"/>
  <c r="C45" i="18"/>
  <c r="D45" i="18"/>
  <c r="C44" i="18"/>
  <c r="D44" i="18"/>
  <c r="C43" i="18"/>
  <c r="D43" i="18"/>
  <c r="C42" i="18"/>
  <c r="D42" i="18"/>
  <c r="C41" i="18"/>
  <c r="D41" i="18"/>
  <c r="C40" i="18"/>
  <c r="D40" i="18"/>
  <c r="C39" i="18"/>
  <c r="D39" i="18"/>
  <c r="C38" i="18"/>
  <c r="D38" i="18"/>
  <c r="C37" i="18"/>
  <c r="D37" i="18"/>
  <c r="C36" i="18"/>
  <c r="D36" i="18"/>
  <c r="C35" i="18"/>
  <c r="D35" i="18"/>
  <c r="C34" i="18"/>
  <c r="D34" i="18"/>
  <c r="C33" i="18"/>
  <c r="D33" i="18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L3" i="10"/>
  <c r="O57" i="9"/>
  <c r="N57" i="9"/>
  <c r="M57" i="9"/>
  <c r="L57" i="9"/>
  <c r="K57" i="9"/>
  <c r="J57" i="9"/>
  <c r="I57" i="9"/>
  <c r="H57" i="9"/>
  <c r="G57" i="9"/>
  <c r="O56" i="9"/>
  <c r="N56" i="9"/>
  <c r="M56" i="9"/>
  <c r="L56" i="9"/>
  <c r="K56" i="9"/>
  <c r="J56" i="9"/>
  <c r="I56" i="9"/>
  <c r="H56" i="9"/>
  <c r="G56" i="9"/>
  <c r="O55" i="9"/>
  <c r="N55" i="9"/>
  <c r="M55" i="9"/>
  <c r="L55" i="9"/>
  <c r="K55" i="9"/>
  <c r="J55" i="9"/>
  <c r="I55" i="9"/>
  <c r="H55" i="9"/>
  <c r="G55" i="9"/>
  <c r="O54" i="9"/>
  <c r="N54" i="9"/>
  <c r="M54" i="9"/>
  <c r="L54" i="9"/>
  <c r="K54" i="9"/>
  <c r="J54" i="9"/>
  <c r="I54" i="9"/>
  <c r="H54" i="9"/>
  <c r="G54" i="9"/>
  <c r="O53" i="9"/>
  <c r="N53" i="9"/>
  <c r="M53" i="9"/>
  <c r="L53" i="9"/>
  <c r="K53" i="9"/>
  <c r="J53" i="9"/>
  <c r="I53" i="9"/>
  <c r="H53" i="9"/>
  <c r="G53" i="9"/>
  <c r="O52" i="9"/>
  <c r="N52" i="9"/>
  <c r="M52" i="9"/>
  <c r="L52" i="9"/>
  <c r="K52" i="9"/>
  <c r="J52" i="9"/>
  <c r="I52" i="9"/>
  <c r="H52" i="9"/>
  <c r="G52" i="9"/>
  <c r="O51" i="9"/>
  <c r="N51" i="9"/>
  <c r="M51" i="9"/>
  <c r="L51" i="9"/>
  <c r="K51" i="9"/>
  <c r="J51" i="9"/>
  <c r="I51" i="9"/>
  <c r="H51" i="9"/>
  <c r="G51" i="9"/>
  <c r="O50" i="9"/>
  <c r="N50" i="9"/>
  <c r="M50" i="9"/>
  <c r="L50" i="9"/>
  <c r="K50" i="9"/>
  <c r="J50" i="9"/>
  <c r="I50" i="9"/>
  <c r="H50" i="9"/>
  <c r="G50" i="9"/>
  <c r="O49" i="9"/>
  <c r="N49" i="9"/>
  <c r="M49" i="9"/>
  <c r="L49" i="9"/>
  <c r="K49" i="9"/>
  <c r="J49" i="9"/>
  <c r="I49" i="9"/>
  <c r="H49" i="9"/>
  <c r="G49" i="9"/>
  <c r="O48" i="9"/>
  <c r="N48" i="9"/>
  <c r="M48" i="9"/>
  <c r="L48" i="9"/>
  <c r="K48" i="9"/>
  <c r="J48" i="9"/>
  <c r="I48" i="9"/>
  <c r="H48" i="9"/>
  <c r="G48" i="9"/>
  <c r="O47" i="9"/>
  <c r="N47" i="9"/>
  <c r="M47" i="9"/>
  <c r="L47" i="9"/>
  <c r="K47" i="9"/>
  <c r="J47" i="9"/>
  <c r="I47" i="9"/>
  <c r="H47" i="9"/>
  <c r="G47" i="9"/>
  <c r="O46" i="9"/>
  <c r="N46" i="9"/>
  <c r="M46" i="9"/>
  <c r="L46" i="9"/>
  <c r="K46" i="9"/>
  <c r="J46" i="9"/>
  <c r="I46" i="9"/>
  <c r="H46" i="9"/>
  <c r="G46" i="9"/>
  <c r="O45" i="9"/>
  <c r="N45" i="9"/>
  <c r="M45" i="9"/>
  <c r="L45" i="9"/>
  <c r="K45" i="9"/>
  <c r="J45" i="9"/>
  <c r="I45" i="9"/>
  <c r="H45" i="9"/>
  <c r="G45" i="9"/>
  <c r="O44" i="9"/>
  <c r="N44" i="9"/>
  <c r="M44" i="9"/>
  <c r="L44" i="9"/>
  <c r="K44" i="9"/>
  <c r="J44" i="9"/>
  <c r="I44" i="9"/>
  <c r="H44" i="9"/>
  <c r="G44" i="9"/>
  <c r="O43" i="9"/>
  <c r="N43" i="9"/>
  <c r="M43" i="9"/>
  <c r="L43" i="9"/>
  <c r="K43" i="9"/>
  <c r="J43" i="9"/>
  <c r="I43" i="9"/>
  <c r="H43" i="9"/>
  <c r="G43" i="9"/>
  <c r="O42" i="9"/>
  <c r="N42" i="9"/>
  <c r="M42" i="9"/>
  <c r="L42" i="9"/>
  <c r="K42" i="9"/>
  <c r="J42" i="9"/>
  <c r="I42" i="9"/>
  <c r="H42" i="9"/>
  <c r="G42" i="9"/>
  <c r="O41" i="9"/>
  <c r="N41" i="9"/>
  <c r="M41" i="9"/>
  <c r="L41" i="9"/>
  <c r="K41" i="9"/>
  <c r="J41" i="9"/>
  <c r="I41" i="9"/>
  <c r="H41" i="9"/>
  <c r="G41" i="9"/>
  <c r="O40" i="9"/>
  <c r="N40" i="9"/>
  <c r="M40" i="9"/>
  <c r="L40" i="9"/>
  <c r="K40" i="9"/>
  <c r="J40" i="9"/>
  <c r="I40" i="9"/>
  <c r="H40" i="9"/>
  <c r="G40" i="9"/>
  <c r="O39" i="9"/>
  <c r="N39" i="9"/>
  <c r="M39" i="9"/>
  <c r="L39" i="9"/>
  <c r="K39" i="9"/>
  <c r="J39" i="9"/>
  <c r="I39" i="9"/>
  <c r="H39" i="9"/>
  <c r="G39" i="9"/>
  <c r="O38" i="9"/>
  <c r="N38" i="9"/>
  <c r="M38" i="9"/>
  <c r="L38" i="9"/>
  <c r="K38" i="9"/>
  <c r="J38" i="9"/>
  <c r="I38" i="9"/>
  <c r="H38" i="9"/>
  <c r="G38" i="9"/>
  <c r="O37" i="9"/>
  <c r="N37" i="9"/>
  <c r="M37" i="9"/>
  <c r="L37" i="9"/>
  <c r="K37" i="9"/>
  <c r="J37" i="9"/>
  <c r="I37" i="9"/>
  <c r="H37" i="9"/>
  <c r="G37" i="9"/>
  <c r="O36" i="9"/>
  <c r="N36" i="9"/>
  <c r="M36" i="9"/>
  <c r="L36" i="9"/>
  <c r="K36" i="9"/>
  <c r="J36" i="9"/>
  <c r="I36" i="9"/>
  <c r="H36" i="9"/>
  <c r="G36" i="9"/>
  <c r="O35" i="9"/>
  <c r="N35" i="9"/>
  <c r="M35" i="9"/>
  <c r="L35" i="9"/>
  <c r="K35" i="9"/>
  <c r="J35" i="9"/>
  <c r="I35" i="9"/>
  <c r="H35" i="9"/>
  <c r="G35" i="9"/>
  <c r="O34" i="9"/>
  <c r="N34" i="9"/>
  <c r="M34" i="9"/>
  <c r="L34" i="9"/>
  <c r="K34" i="9"/>
  <c r="J34" i="9"/>
  <c r="I34" i="9"/>
  <c r="H34" i="9"/>
  <c r="G34" i="9"/>
  <c r="O33" i="9"/>
  <c r="N33" i="9"/>
  <c r="M33" i="9"/>
  <c r="L33" i="9"/>
  <c r="K33" i="9"/>
  <c r="J33" i="9"/>
  <c r="I33" i="9"/>
  <c r="H33" i="9"/>
  <c r="G33" i="9"/>
  <c r="O32" i="9"/>
  <c r="N32" i="9"/>
  <c r="M32" i="9"/>
  <c r="L32" i="9"/>
  <c r="K32" i="9"/>
  <c r="J32" i="9"/>
  <c r="I32" i="9"/>
  <c r="H32" i="9"/>
  <c r="G32" i="9"/>
  <c r="O31" i="9"/>
  <c r="N31" i="9"/>
  <c r="M31" i="9"/>
  <c r="L31" i="9"/>
  <c r="K31" i="9"/>
  <c r="J31" i="9"/>
  <c r="I31" i="9"/>
  <c r="H31" i="9"/>
  <c r="G31" i="9"/>
  <c r="O30" i="9"/>
  <c r="N30" i="9"/>
  <c r="M30" i="9"/>
  <c r="L30" i="9"/>
  <c r="K30" i="9"/>
  <c r="J30" i="9"/>
  <c r="I30" i="9"/>
  <c r="H30" i="9"/>
  <c r="G30" i="9"/>
  <c r="O29" i="9"/>
  <c r="N29" i="9"/>
  <c r="M29" i="9"/>
  <c r="L29" i="9"/>
  <c r="K29" i="9"/>
  <c r="J29" i="9"/>
  <c r="I29" i="9"/>
  <c r="H29" i="9"/>
  <c r="G29" i="9"/>
  <c r="O28" i="9"/>
  <c r="N28" i="9"/>
  <c r="M28" i="9"/>
  <c r="L28" i="9"/>
  <c r="K28" i="9"/>
  <c r="J28" i="9"/>
  <c r="I28" i="9"/>
  <c r="H28" i="9"/>
  <c r="G28" i="9"/>
  <c r="O27" i="9"/>
  <c r="N27" i="9"/>
  <c r="M27" i="9"/>
  <c r="L27" i="9"/>
  <c r="K27" i="9"/>
  <c r="J27" i="9"/>
  <c r="I27" i="9"/>
  <c r="H27" i="9"/>
  <c r="G27" i="9"/>
  <c r="O26" i="9"/>
  <c r="N26" i="9"/>
  <c r="M26" i="9"/>
  <c r="L26" i="9"/>
  <c r="K26" i="9"/>
  <c r="J26" i="9"/>
  <c r="I26" i="9"/>
  <c r="H26" i="9"/>
  <c r="G26" i="9"/>
  <c r="O25" i="9"/>
  <c r="N25" i="9"/>
  <c r="M25" i="9"/>
  <c r="L25" i="9"/>
  <c r="K25" i="9"/>
  <c r="J25" i="9"/>
  <c r="I25" i="9"/>
  <c r="H25" i="9"/>
  <c r="G25" i="9"/>
  <c r="O24" i="9"/>
  <c r="N24" i="9"/>
  <c r="M24" i="9"/>
  <c r="L24" i="9"/>
  <c r="K24" i="9"/>
  <c r="J24" i="9"/>
  <c r="I24" i="9"/>
  <c r="H24" i="9"/>
  <c r="G24" i="9"/>
  <c r="O23" i="9"/>
  <c r="N23" i="9"/>
  <c r="M23" i="9"/>
  <c r="L23" i="9"/>
  <c r="K23" i="9"/>
  <c r="J23" i="9"/>
  <c r="I23" i="9"/>
  <c r="H23" i="9"/>
  <c r="G23" i="9"/>
  <c r="O22" i="9"/>
  <c r="N22" i="9"/>
  <c r="M22" i="9"/>
  <c r="L22" i="9"/>
  <c r="K22" i="9"/>
  <c r="J22" i="9"/>
  <c r="I22" i="9"/>
  <c r="H22" i="9"/>
  <c r="G22" i="9"/>
  <c r="O21" i="9"/>
  <c r="N21" i="9"/>
  <c r="M21" i="9"/>
  <c r="L21" i="9"/>
  <c r="K21" i="9"/>
  <c r="J21" i="9"/>
  <c r="I21" i="9"/>
  <c r="H21" i="9"/>
  <c r="G21" i="9"/>
  <c r="O20" i="9"/>
  <c r="N20" i="9"/>
  <c r="M20" i="9"/>
  <c r="L20" i="9"/>
  <c r="K20" i="9"/>
  <c r="J20" i="9"/>
  <c r="I20" i="9"/>
  <c r="H20" i="9"/>
  <c r="G20" i="9"/>
  <c r="O19" i="9"/>
  <c r="N19" i="9"/>
  <c r="M19" i="9"/>
  <c r="L19" i="9"/>
  <c r="K19" i="9"/>
  <c r="J19" i="9"/>
  <c r="I19" i="9"/>
  <c r="H19" i="9"/>
  <c r="G19" i="9"/>
  <c r="O18" i="9"/>
  <c r="N18" i="9"/>
  <c r="M18" i="9"/>
  <c r="L18" i="9"/>
  <c r="K18" i="9"/>
  <c r="J18" i="9"/>
  <c r="I18" i="9"/>
  <c r="H18" i="9"/>
  <c r="G18" i="9"/>
  <c r="O17" i="9"/>
  <c r="N17" i="9"/>
  <c r="M17" i="9"/>
  <c r="L17" i="9"/>
  <c r="K17" i="9"/>
  <c r="J17" i="9"/>
  <c r="I17" i="9"/>
  <c r="H17" i="9"/>
  <c r="G17" i="9"/>
  <c r="O16" i="9"/>
  <c r="N16" i="9"/>
  <c r="M16" i="9"/>
  <c r="L16" i="9"/>
  <c r="K16" i="9"/>
  <c r="J16" i="9"/>
  <c r="I16" i="9"/>
  <c r="H16" i="9"/>
  <c r="G16" i="9"/>
  <c r="O15" i="9"/>
  <c r="N15" i="9"/>
  <c r="M15" i="9"/>
  <c r="L15" i="9"/>
  <c r="K15" i="9"/>
  <c r="J15" i="9"/>
  <c r="I15" i="9"/>
  <c r="H15" i="9"/>
  <c r="G15" i="9"/>
  <c r="O14" i="9"/>
  <c r="N14" i="9"/>
  <c r="M14" i="9"/>
  <c r="L14" i="9"/>
  <c r="K14" i="9"/>
  <c r="J14" i="9"/>
  <c r="I14" i="9"/>
  <c r="H14" i="9"/>
  <c r="G14" i="9"/>
  <c r="O13" i="9"/>
  <c r="N13" i="9"/>
  <c r="M13" i="9"/>
  <c r="L13" i="9"/>
  <c r="K13" i="9"/>
  <c r="J13" i="9"/>
  <c r="I13" i="9"/>
  <c r="H13" i="9"/>
  <c r="G13" i="9"/>
  <c r="O12" i="9"/>
  <c r="N12" i="9"/>
  <c r="M12" i="9"/>
  <c r="L12" i="9"/>
  <c r="K12" i="9"/>
  <c r="J12" i="9"/>
  <c r="I12" i="9"/>
  <c r="H12" i="9"/>
  <c r="G12" i="9"/>
  <c r="O11" i="9"/>
  <c r="N11" i="9"/>
  <c r="M11" i="9"/>
  <c r="L11" i="9"/>
  <c r="K11" i="9"/>
  <c r="J11" i="9"/>
  <c r="I11" i="9"/>
  <c r="H11" i="9"/>
  <c r="G11" i="9"/>
  <c r="O10" i="9"/>
  <c r="N10" i="9"/>
  <c r="M10" i="9"/>
  <c r="L10" i="9"/>
  <c r="K10" i="9"/>
  <c r="J10" i="9"/>
  <c r="I10" i="9"/>
  <c r="H10" i="9"/>
  <c r="G10" i="9"/>
  <c r="O9" i="9"/>
  <c r="N9" i="9"/>
  <c r="M9" i="9"/>
  <c r="L9" i="9"/>
  <c r="K9" i="9"/>
  <c r="J9" i="9"/>
  <c r="I9" i="9"/>
  <c r="H9" i="9"/>
  <c r="G9" i="9"/>
  <c r="O8" i="9"/>
  <c r="N8" i="9"/>
  <c r="M8" i="9"/>
  <c r="L8" i="9"/>
  <c r="K8" i="9"/>
  <c r="J8" i="9"/>
  <c r="I8" i="9"/>
  <c r="H8" i="9"/>
  <c r="G8" i="9"/>
  <c r="O7" i="9"/>
  <c r="N7" i="9"/>
  <c r="M7" i="9"/>
  <c r="L7" i="9"/>
  <c r="K7" i="9"/>
  <c r="J7" i="9"/>
  <c r="I7" i="9"/>
  <c r="H7" i="9"/>
  <c r="G7" i="9"/>
  <c r="O6" i="9"/>
  <c r="N6" i="9"/>
  <c r="M6" i="9"/>
  <c r="L6" i="9"/>
  <c r="K6" i="9"/>
  <c r="J6" i="9"/>
  <c r="I6" i="9"/>
  <c r="H6" i="9"/>
  <c r="G6" i="9"/>
  <c r="O5" i="9"/>
  <c r="N5" i="9"/>
  <c r="M5" i="9"/>
  <c r="L5" i="9"/>
  <c r="K5" i="9"/>
  <c r="J5" i="9"/>
  <c r="I5" i="9"/>
  <c r="H5" i="9"/>
  <c r="G5" i="9"/>
  <c r="O4" i="9"/>
  <c r="N4" i="9"/>
  <c r="M4" i="9"/>
  <c r="L4" i="9"/>
  <c r="K4" i="9"/>
  <c r="J4" i="9"/>
  <c r="I4" i="9"/>
  <c r="H4" i="9"/>
  <c r="G4" i="9"/>
  <c r="O3" i="9"/>
  <c r="N3" i="9"/>
  <c r="M3" i="9"/>
  <c r="L3" i="9"/>
  <c r="K3" i="9"/>
  <c r="J3" i="9"/>
  <c r="I3" i="9"/>
  <c r="H3" i="9"/>
  <c r="G3" i="9"/>
  <c r="E57" i="9"/>
  <c r="D57" i="9"/>
  <c r="E56" i="9"/>
  <c r="D56" i="9"/>
  <c r="E55" i="9"/>
  <c r="D55" i="9"/>
  <c r="E54" i="9"/>
  <c r="D54" i="9"/>
  <c r="E53" i="9"/>
  <c r="D53" i="9"/>
  <c r="E52" i="9"/>
  <c r="D52" i="9"/>
  <c r="E51" i="9"/>
  <c r="D51" i="9"/>
  <c r="E50" i="9"/>
  <c r="D50" i="9"/>
  <c r="E49" i="9"/>
  <c r="D49" i="9"/>
  <c r="E48" i="9"/>
  <c r="D48" i="9"/>
  <c r="E47" i="9"/>
  <c r="D47" i="9"/>
  <c r="E46" i="9"/>
  <c r="D46" i="9"/>
  <c r="E45" i="9"/>
  <c r="D45" i="9"/>
  <c r="E44" i="9"/>
  <c r="D44" i="9"/>
  <c r="E43" i="9"/>
  <c r="D43" i="9"/>
  <c r="E42" i="9"/>
  <c r="D42" i="9"/>
  <c r="E41" i="9"/>
  <c r="D41" i="9"/>
  <c r="E40" i="9"/>
  <c r="D40" i="9"/>
  <c r="E39" i="9"/>
  <c r="D39" i="9"/>
  <c r="E38" i="9"/>
  <c r="D38" i="9"/>
  <c r="E37" i="9"/>
  <c r="D37" i="9"/>
  <c r="E36" i="9"/>
  <c r="D36" i="9"/>
  <c r="E35" i="9"/>
  <c r="D35" i="9"/>
  <c r="E34" i="9"/>
  <c r="D34" i="9"/>
  <c r="E33" i="9"/>
  <c r="D33" i="9"/>
  <c r="E32" i="9"/>
  <c r="D32" i="9"/>
  <c r="E31" i="9"/>
  <c r="D31" i="9"/>
  <c r="E30" i="9"/>
  <c r="D30" i="9"/>
  <c r="E29" i="9"/>
  <c r="D29" i="9"/>
  <c r="E28" i="9"/>
  <c r="D28" i="9"/>
  <c r="E27" i="9"/>
  <c r="D27" i="9"/>
  <c r="E26" i="9"/>
  <c r="D26" i="9"/>
  <c r="E25" i="9"/>
  <c r="D25" i="9"/>
  <c r="E24" i="9"/>
  <c r="D24" i="9"/>
  <c r="E23" i="9"/>
  <c r="D23" i="9"/>
  <c r="E22" i="9"/>
  <c r="D22" i="9"/>
  <c r="E21" i="9"/>
  <c r="D21" i="9"/>
  <c r="E20" i="9"/>
  <c r="D20" i="9"/>
  <c r="E19" i="9"/>
  <c r="D19" i="9"/>
  <c r="E18" i="9"/>
  <c r="D18" i="9"/>
  <c r="E17" i="9"/>
  <c r="D17" i="9"/>
  <c r="E16" i="9"/>
  <c r="D16" i="9"/>
  <c r="E15" i="9"/>
  <c r="D15" i="9"/>
  <c r="E14" i="9"/>
  <c r="D14" i="9"/>
  <c r="E13" i="9"/>
  <c r="D13" i="9"/>
  <c r="E12" i="9"/>
  <c r="D12" i="9"/>
  <c r="E11" i="9"/>
  <c r="D11" i="9"/>
  <c r="E10" i="9"/>
  <c r="D10" i="9"/>
  <c r="E9" i="9"/>
  <c r="D9" i="9"/>
  <c r="E8" i="9"/>
  <c r="D8" i="9"/>
  <c r="E7" i="9"/>
  <c r="D7" i="9"/>
  <c r="E6" i="9"/>
  <c r="D6" i="9"/>
  <c r="E5" i="9"/>
  <c r="D5" i="9"/>
  <c r="E4" i="9"/>
  <c r="D4" i="9"/>
  <c r="E3" i="9"/>
  <c r="D3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A5" i="7"/>
  <c r="Z5" i="7"/>
  <c r="Y5" i="7"/>
  <c r="AA4" i="7"/>
  <c r="Z4" i="7"/>
  <c r="Y4" i="7"/>
  <c r="AA3" i="7"/>
  <c r="Z3" i="7"/>
  <c r="Y3" i="7"/>
  <c r="W5" i="7"/>
  <c r="W4" i="7"/>
  <c r="W3" i="7"/>
  <c r="U5" i="7"/>
  <c r="U4" i="7"/>
  <c r="U3" i="7"/>
  <c r="R5" i="7"/>
  <c r="Q5" i="7"/>
  <c r="P5" i="7"/>
  <c r="O5" i="7"/>
  <c r="N5" i="7"/>
  <c r="R4" i="7"/>
  <c r="Q4" i="7"/>
  <c r="P4" i="7"/>
  <c r="O4" i="7"/>
  <c r="N4" i="7"/>
  <c r="R3" i="7"/>
  <c r="Q3" i="7"/>
  <c r="P3" i="7"/>
  <c r="O3" i="7"/>
  <c r="N3" i="7"/>
  <c r="H5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G17" i="2"/>
  <c r="A17" i="2"/>
  <c r="J5" i="7"/>
  <c r="I5" i="7"/>
  <c r="H4" i="7"/>
  <c r="J4" i="7"/>
  <c r="I4" i="7"/>
  <c r="H3" i="7"/>
  <c r="J3" i="7"/>
  <c r="I3" i="7"/>
  <c r="D5" i="7"/>
  <c r="F5" i="7"/>
  <c r="E5" i="7"/>
  <c r="D4" i="7"/>
  <c r="F4" i="7"/>
  <c r="E4" i="7"/>
  <c r="D3" i="7"/>
  <c r="F3" i="7"/>
  <c r="E3" i="7"/>
  <c r="A5" i="7"/>
  <c r="A4" i="7"/>
  <c r="A3" i="7"/>
  <c r="AD37" i="1"/>
  <c r="AF37" i="1"/>
  <c r="AI37" i="1"/>
  <c r="AD36" i="1"/>
  <c r="AF36" i="1"/>
  <c r="AI36" i="1"/>
  <c r="AD35" i="1"/>
  <c r="AF35" i="1"/>
  <c r="AI35" i="1"/>
  <c r="AD34" i="1"/>
  <c r="AF34" i="1"/>
  <c r="AI34" i="1"/>
  <c r="AD33" i="1"/>
  <c r="AF33" i="1"/>
  <c r="AI33" i="1"/>
  <c r="AD32" i="1"/>
  <c r="AF32" i="1"/>
  <c r="AI32" i="1"/>
  <c r="AD31" i="1"/>
  <c r="AF31" i="1"/>
  <c r="AI31" i="1"/>
  <c r="AD30" i="1"/>
  <c r="AF30" i="1"/>
  <c r="AI30" i="1"/>
  <c r="AD29" i="1"/>
  <c r="AF29" i="1"/>
  <c r="AI29" i="1"/>
  <c r="AD28" i="1"/>
  <c r="AF28" i="1"/>
  <c r="AI28" i="1"/>
  <c r="AD27" i="1"/>
  <c r="AF27" i="1"/>
  <c r="AI27" i="1"/>
  <c r="AD26" i="1"/>
  <c r="AF26" i="1"/>
  <c r="AI26" i="1"/>
  <c r="AD25" i="1"/>
  <c r="AF25" i="1"/>
  <c r="AI25" i="1"/>
  <c r="AD24" i="1"/>
  <c r="AF24" i="1"/>
  <c r="AI24" i="1"/>
  <c r="AD23" i="1"/>
  <c r="AF23" i="1"/>
  <c r="AI23" i="1"/>
  <c r="AD22" i="1"/>
  <c r="AF22" i="1"/>
  <c r="AI22" i="1"/>
  <c r="AD21" i="1"/>
  <c r="AF21" i="1"/>
  <c r="AI21" i="1"/>
  <c r="AD20" i="1"/>
  <c r="AF20" i="1"/>
  <c r="AI20" i="1"/>
  <c r="AD19" i="1"/>
  <c r="AF19" i="1"/>
  <c r="AI19" i="1"/>
  <c r="AD18" i="1"/>
  <c r="AF18" i="1"/>
  <c r="AI18" i="1"/>
  <c r="AD17" i="1"/>
  <c r="AF17" i="1"/>
  <c r="AI17" i="1"/>
  <c r="AD16" i="1"/>
  <c r="AF16" i="1"/>
  <c r="AI16" i="1"/>
  <c r="AD15" i="1"/>
  <c r="AF15" i="1"/>
  <c r="AI15" i="1"/>
  <c r="AD14" i="1"/>
  <c r="AF14" i="1"/>
  <c r="AI14" i="1"/>
  <c r="AD13" i="1"/>
  <c r="AF13" i="1"/>
  <c r="AI13" i="1"/>
  <c r="AD12" i="1"/>
  <c r="AF12" i="1"/>
  <c r="AI12" i="1"/>
  <c r="AD11" i="1"/>
  <c r="AF11" i="1"/>
  <c r="AI11" i="1"/>
  <c r="AD10" i="1"/>
  <c r="AF10" i="1"/>
  <c r="AI10" i="1"/>
  <c r="AD9" i="1"/>
  <c r="AF9" i="1"/>
  <c r="AI9" i="1"/>
  <c r="AD8" i="1"/>
  <c r="AF8" i="1"/>
  <c r="AI8" i="1"/>
  <c r="AD7" i="1"/>
  <c r="AF7" i="1"/>
  <c r="AI7" i="1"/>
  <c r="AD6" i="1"/>
  <c r="AF6" i="1"/>
  <c r="AI6" i="1"/>
  <c r="AD5" i="1"/>
  <c r="AF5" i="1"/>
  <c r="AI5" i="1"/>
  <c r="AD4" i="1"/>
  <c r="AF4" i="1"/>
  <c r="AI4" i="1"/>
  <c r="AG37" i="1"/>
  <c r="AE37" i="1"/>
  <c r="AC37" i="1"/>
  <c r="AG36" i="1"/>
  <c r="AE36" i="1"/>
  <c r="AC36" i="1"/>
  <c r="AG35" i="1"/>
  <c r="AE35" i="1"/>
  <c r="AC35" i="1"/>
  <c r="AG34" i="1"/>
  <c r="AE34" i="1"/>
  <c r="AC34" i="1"/>
  <c r="AG33" i="1"/>
  <c r="AE33" i="1"/>
  <c r="AC33" i="1"/>
  <c r="AG32" i="1"/>
  <c r="AE32" i="1"/>
  <c r="AC32" i="1"/>
  <c r="AG31" i="1"/>
  <c r="AE31" i="1"/>
  <c r="AC31" i="1"/>
  <c r="AG30" i="1"/>
  <c r="AE30" i="1"/>
  <c r="AC30" i="1"/>
  <c r="AG29" i="1"/>
  <c r="AE29" i="1"/>
  <c r="AC29" i="1"/>
  <c r="AG28" i="1"/>
  <c r="AE28" i="1"/>
  <c r="AC28" i="1"/>
  <c r="AG27" i="1"/>
  <c r="AE27" i="1"/>
  <c r="AC27" i="1"/>
  <c r="AG26" i="1"/>
  <c r="AE26" i="1"/>
  <c r="AC26" i="1"/>
  <c r="AG25" i="1"/>
  <c r="AE25" i="1"/>
  <c r="AC25" i="1"/>
  <c r="AG24" i="1"/>
  <c r="AE24" i="1"/>
  <c r="AC24" i="1"/>
  <c r="AG23" i="1"/>
  <c r="AE23" i="1"/>
  <c r="AC23" i="1"/>
  <c r="AG22" i="1"/>
  <c r="AE22" i="1"/>
  <c r="AC22" i="1"/>
  <c r="AG21" i="1"/>
  <c r="AE21" i="1"/>
  <c r="AC21" i="1"/>
  <c r="AG20" i="1"/>
  <c r="AE20" i="1"/>
  <c r="AC20" i="1"/>
  <c r="AG19" i="1"/>
  <c r="AE19" i="1"/>
  <c r="AC19" i="1"/>
  <c r="AG18" i="1"/>
  <c r="AE18" i="1"/>
  <c r="AC18" i="1"/>
  <c r="AG17" i="1"/>
  <c r="AE17" i="1"/>
  <c r="AC17" i="1"/>
  <c r="AG16" i="1"/>
  <c r="AE16" i="1"/>
  <c r="AC16" i="1"/>
  <c r="AG15" i="1"/>
  <c r="AE15" i="1"/>
  <c r="AC15" i="1"/>
  <c r="AG14" i="1"/>
  <c r="AE14" i="1"/>
  <c r="AC14" i="1"/>
  <c r="AG13" i="1"/>
  <c r="AE13" i="1"/>
  <c r="AC13" i="1"/>
  <c r="AG12" i="1"/>
  <c r="AE12" i="1"/>
  <c r="AC12" i="1"/>
  <c r="AG11" i="1"/>
  <c r="AE11" i="1"/>
  <c r="AC11" i="1"/>
  <c r="AG10" i="1"/>
  <c r="AE10" i="1"/>
  <c r="AC10" i="1"/>
  <c r="AG9" i="1"/>
  <c r="AE9" i="1"/>
  <c r="AC9" i="1"/>
  <c r="AG8" i="1"/>
  <c r="AE8" i="1"/>
  <c r="AC8" i="1"/>
  <c r="AG7" i="1"/>
  <c r="AE7" i="1"/>
  <c r="AC7" i="1"/>
  <c r="AG6" i="1"/>
  <c r="AE6" i="1"/>
  <c r="AC6" i="1"/>
  <c r="AG5" i="1"/>
  <c r="AE5" i="1"/>
  <c r="AC5" i="1"/>
  <c r="AG4" i="1"/>
  <c r="AE4" i="1"/>
  <c r="AC4" i="1"/>
  <c r="AD3" i="1"/>
  <c r="AG3" i="1"/>
  <c r="AF3" i="1"/>
  <c r="AE3" i="1"/>
  <c r="AC3" i="1"/>
  <c r="X37" i="1"/>
  <c r="X36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X9" i="1"/>
  <c r="X8" i="1"/>
  <c r="X7" i="1"/>
  <c r="X6" i="1"/>
  <c r="X5" i="1"/>
  <c r="X4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H2" i="1"/>
  <c r="H3" i="1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E17" i="2"/>
  <c r="D17" i="2"/>
  <c r="E16" i="2"/>
  <c r="D16" i="2"/>
  <c r="E15" i="2"/>
  <c r="D15" i="2"/>
  <c r="E14" i="2"/>
  <c r="D14" i="2"/>
  <c r="E13" i="2"/>
  <c r="D13" i="2"/>
  <c r="E12" i="2"/>
  <c r="D12" i="2"/>
  <c r="E11" i="2"/>
  <c r="D11" i="2"/>
  <c r="E10" i="2"/>
  <c r="D10" i="2"/>
  <c r="E9" i="2"/>
  <c r="D9" i="2"/>
  <c r="E8" i="2"/>
  <c r="D8" i="2"/>
  <c r="E7" i="2"/>
  <c r="D7" i="2"/>
  <c r="E6" i="2"/>
  <c r="D6" i="2"/>
  <c r="E5" i="2"/>
  <c r="D5" i="2"/>
  <c r="E4" i="2"/>
  <c r="D4" i="2"/>
  <c r="E3" i="2"/>
  <c r="D3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W2" i="7"/>
  <c r="U2" i="7"/>
  <c r="V2" i="1"/>
  <c r="T2" i="1"/>
  <c r="N3" i="22"/>
  <c r="G3" i="22"/>
  <c r="F3" i="22"/>
  <c r="D3" i="22"/>
  <c r="C3" i="22"/>
  <c r="A3" i="22"/>
  <c r="C13" i="16"/>
  <c r="E13" i="16"/>
  <c r="N2" i="22"/>
  <c r="G2" i="22"/>
  <c r="F2" i="22"/>
  <c r="D2" i="22"/>
  <c r="C2" i="22"/>
  <c r="A2" i="22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C12" i="16"/>
  <c r="L2" i="19"/>
  <c r="I2" i="21"/>
  <c r="J2" i="21"/>
  <c r="G2" i="21"/>
  <c r="F2" i="21"/>
  <c r="D2" i="21"/>
  <c r="C2" i="21"/>
  <c r="E12" i="16"/>
  <c r="C10" i="16"/>
  <c r="C11" i="16"/>
  <c r="E11" i="16"/>
  <c r="B2" i="19"/>
  <c r="G2" i="19"/>
  <c r="F2" i="19"/>
  <c r="D2" i="19"/>
  <c r="C2" i="19"/>
  <c r="E10" i="16"/>
  <c r="C2" i="18"/>
  <c r="D2" i="18"/>
  <c r="J2" i="11"/>
  <c r="O2" i="9"/>
  <c r="N2" i="9"/>
  <c r="M2" i="9"/>
  <c r="L2" i="9"/>
  <c r="K2" i="9"/>
  <c r="J2" i="9"/>
  <c r="I2" i="9"/>
  <c r="H2" i="9"/>
  <c r="G2" i="9"/>
  <c r="D2" i="9"/>
  <c r="AA2" i="7"/>
  <c r="C4" i="16"/>
  <c r="C5" i="16"/>
  <c r="C6" i="16"/>
  <c r="C7" i="16"/>
  <c r="C8" i="16"/>
  <c r="C9" i="16"/>
  <c r="C3" i="16"/>
  <c r="E9" i="16"/>
  <c r="Z2" i="7"/>
  <c r="Y2" i="7"/>
  <c r="R2" i="7"/>
  <c r="Q2" i="7"/>
  <c r="P2" i="7"/>
  <c r="O2" i="7"/>
  <c r="N2" i="7"/>
  <c r="AD2" i="1"/>
  <c r="AG2" i="1"/>
  <c r="AF2" i="1"/>
  <c r="AE2" i="1"/>
  <c r="AC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<sst xmlns="http://schemas.openxmlformats.org/spreadsheetml/2006/main" count="1612" uniqueCount="444">
  <si>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</si>
  <si>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</si>
  <si>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</si>
  <si>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</si>
  <si>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</si>
  <si>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</si>
  <si>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</si>
  <si>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</si>
  <si>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</si>
  <si>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</si>
  <si>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</si>
  <si>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</si>
  <si>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</si>
  <si>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</si>
  <si>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</si>
  <si>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</si>
  <si>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</si>
  <si>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</si>
  <si>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</si>
  <si>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</si>
  <si>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</si>
  <si>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</si>
  <si>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</si>
  <si>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</si>
  <si>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</si>
  <si>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</si>
  <si>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</si>
  <si>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</si>
  <si>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</si>
  <si>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</si>
  <si>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</si>
  <si>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</si>
  <si>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</si>
  <si>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</si>
  <si>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</si>
  <si>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</si>
  <si>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</si>
  <si>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</si>
  <si>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</si>
  <si>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</si>
  <si>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</si>
  <si>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</si>
  <si>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</si>
  <si>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</si>
  <si>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</si>
  <si>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</si>
  <si>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</si>
  <si>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</si>
  <si>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</si>
  <si>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</si>
  <si>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</si>
  <si>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</si>
  <si>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</si>
  <si>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</si>
  <si>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</si>
  <si>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</si>
  <si>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</si>
  <si>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</si>
  <si>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</si>
  <si>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</si>
  <si>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</si>
  <si>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</si>
  <si>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</si>
  <si>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</si>
  <si>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</si>
  <si>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</si>
  <si>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</si>
  <si>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</si>
  <si>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</si>
  <si>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</si>
  <si>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</si>
  <si>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</si>
  <si>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</si>
  <si>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</si>
  <si>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</si>
  <si>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</si>
  <si>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</si>
  <si>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</si>
  <si>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</si>
  <si>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</si>
  <si>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</si>
  <si>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</si>
  <si>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</si>
  <si>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</si>
  <si>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</si>
  <si>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</si>
  <si>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</si>
  <si>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</si>
  <si>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</si>
  <si>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</si>
  <si>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</si>
  <si>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</si>
  <si>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</si>
  <si>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</si>
  <si>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</si>
  <si>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</si>
  <si>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</si>
  <si>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</si>
  <si>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</si>
  <si>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</si>
  <si>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</si>
  <si>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</si>
  <si>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</si>
  <si>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</si>
  <si>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</si>
  <si>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</si>
  <si>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</si>
  <si>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</si>
  <si>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</si>
  <si>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</si>
  <si>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</si>
  <si>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</si>
  <si>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</si>
  <si>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</si>
  <si>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</si>
  <si>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</si>
  <si>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</si>
  <si>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</si>
  <si>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</si>
  <si>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</si>
  <si>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</si>
  <si>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</si>
  <si>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</si>
  <si>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</si>
  <si>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</si>
  <si>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</si>
  <si>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</si>
  <si>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</si>
  <si>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</si>
  <si>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</si>
  <si>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</si>
  <si>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</si>
  <si>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</si>
  <si>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</si>
  <si>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</si>
  <si>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</si>
  <si>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</si>
  <si>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</si>
  <si>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</si>
  <si>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</si>
  <si>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</si>
  <si>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</si>
  <si>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</si>
  <si>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</si>
  <si>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</si>
  <si>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</si>
  <si>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</si>
  <si>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</si>
  <si>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</si>
  <si>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</si>
  <si>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</si>
  <si>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</si>
  <si>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</si>
  <si>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</si>
  <si>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</si>
  <si>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</si>
  <si>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</si>
  <si>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</si>
  <si>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</si>
  <si>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</si>
  <si>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</si>
  <si>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</si>
  <si>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</si>
  <si>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</si>
  <si>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</si>
  <si>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</si>
  <si>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</si>
  <si>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</si>
  <si>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</si>
  <si>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</si>
  <si>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</si>
  <si>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</si>
  <si>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</si>
  <si>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</si>
  <si>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</si>
  <si>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</si>
  <si>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</si>
  <si>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</si>
  <si>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</si>
  <si>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</si>
  <si>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</si>
  <si>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</si>
  <si>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</si>
  <si>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</si>
  <si>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</si>
  <si>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</si>
  <si>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</si>
  <si>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</si>
  <si>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</si>
  <si>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</si>
  <si>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</si>
  <si>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</si>
  <si>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</si>
  <si>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</si>
  <si>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</si>
  <si>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</si>
  <si>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</si>
  <si>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</si>
  <si>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</si>
  <si>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</si>
  <si>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</si>
  <si>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</si>
  <si>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</si>
  <si>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</si>
  <si>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</si>
  <si>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</si>
  <si>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</si>
  <si>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</si>
  <si>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</si>
  <si>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</si>
  <si>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</si>
  <si>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</si>
  <si>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初級</t>
    <rPh sb="0" eb="2">
      <t>ショキュウ</t>
    </rPh>
    <phoneticPr fontId="5"/>
  </si>
  <si>
    <t>中級</t>
    <rPh sb="0" eb="2">
      <t>チュウキュウ</t>
    </rPh>
    <phoneticPr fontId="5"/>
  </si>
  <si>
    <t>上級</t>
    <rPh sb="0" eb="2">
      <t>ジョウキュウ</t>
    </rPh>
    <phoneticPr fontId="5"/>
  </si>
  <si>
    <t>超級</t>
    <rPh sb="0" eb="2">
      <t>チョウキュウ</t>
    </rPh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</si>
  <si>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</si>
  <si>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</si>
  <si>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</si>
  <si>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</si>
  <si>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</si>
  <si>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</si>
  <si>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</si>
  <si>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</si>
  <si>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</si>
  <si>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</si>
  <si>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</si>
  <si>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</si>
  <si>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</si>
  <si>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</si>
  <si>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</si>
  <si>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</si>
  <si>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</si>
  <si>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</si>
  <si>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</si>
  <si>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</si>
  <si>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</si>
  <si>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</si>
  <si>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</si>
  <si>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</si>
  <si>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</si>
  <si>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</si>
  <si>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</si>
  <si>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</si>
  <si>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</si>
  <si>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</si>
  <si>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</si>
  <si>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</si>
  <si>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</si>
  <si>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</si>
  <si>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</si>
  <si>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</si>
  <si>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</si>
  <si>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</si>
  <si>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</si>
  <si>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</si>
  <si>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</si>
  <si>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</si>
  <si>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</si>
  <si>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null</t>
    <phoneticPr fontId="5"/>
  </si>
  <si>
    <t>フロア1＿イブとトモダチ</t>
    <phoneticPr fontId="5"/>
  </si>
  <si>
    <t>フロア１＿電子妖精ティンク</t>
    <rPh sb="5" eb="7">
      <t>デンシ</t>
    </rPh>
    <rPh sb="7" eb="9">
      <t>yousei</t>
    </rPh>
    <phoneticPr fontId="5"/>
  </si>
  <si>
    <t>フロア２＿ニムダ開幕セリフ＿コラボユニットなし</t>
    <rPh sb="8" eb="10">
      <t>カイマクセリフ</t>
    </rPh>
    <phoneticPr fontId="5"/>
  </si>
  <si>
    <t>フロア２＿ニムダ開幕セリフ＿コラボアザゼルR5</t>
    <rPh sb="8" eb="10">
      <t>カイマクセリフ</t>
    </rPh>
    <phoneticPr fontId="5"/>
  </si>
  <si>
    <t>フロア２＿ニムダ開幕セリフ＿コラボアザゼルR6</t>
    <rPh sb="8" eb="10">
      <t>カイマクセリフ</t>
    </rPh>
    <phoneticPr fontId="5"/>
  </si>
  <si>
    <t>フロア２＿ニムダ開幕セリフ＿コラボニムダR4</t>
    <rPh sb="8" eb="10">
      <t>カイマクセリフ</t>
    </rPh>
    <phoneticPr fontId="5"/>
  </si>
  <si>
    <t>フロア２＿ニムダ開幕セリフ＿コラボニムダR5</t>
    <rPh sb="8" eb="10">
      <t>カイマクセリフ</t>
    </rPh>
    <phoneticPr fontId="5"/>
  </si>
  <si>
    <t>フロア２＿ニムダ開幕セリフ＿コラボキティR4</t>
    <rPh sb="8" eb="10">
      <t>カイマクセリフ</t>
    </rPh>
    <phoneticPr fontId="5"/>
  </si>
  <si>
    <t>フロア２＿ニムダ開幕セリフ＿コラボキティR5</t>
    <rPh sb="8" eb="10">
      <t>カイマクセリフ</t>
    </rPh>
    <phoneticPr fontId="5"/>
  </si>
  <si>
    <t>フロア２＿ニムダ開幕セリフ＿コラボKIRIMIR4</t>
    <rPh sb="8" eb="10">
      <t>カイマクセリフ</t>
    </rPh>
    <phoneticPr fontId="5"/>
  </si>
  <si>
    <t>フロア２＿ニムダ開幕セリフ＿コラボKIRIMIR5</t>
    <rPh sb="8" eb="10">
      <t>カイマクセリフ</t>
    </rPh>
    <phoneticPr fontId="5"/>
  </si>
  <si>
    <t>フロア２＿ニムダ開幕セリフ＿コラボDRTHR5</t>
    <rPh sb="8" eb="10">
      <t>カイマクセリフ</t>
    </rPh>
    <phoneticPr fontId="5"/>
  </si>
  <si>
    <t>フロア２＿ニムダ開幕セリフ＿コラボDRTHR6</t>
    <rPh sb="8" eb="10">
      <t>カイマクセリフ</t>
    </rPh>
    <phoneticPr fontId="5"/>
  </si>
  <si>
    <t>フロア２＿ニムダ開幕セリフ＿コラボマイメロR4</t>
    <rPh sb="8" eb="10">
      <t>カイマクセリフ</t>
    </rPh>
    <phoneticPr fontId="5"/>
  </si>
  <si>
    <t>フロア２＿ニムダ開幕セリフ＿コラボマイメロR5</t>
    <rPh sb="8" eb="10">
      <t>カイマクセリフ</t>
    </rPh>
    <phoneticPr fontId="5"/>
  </si>
  <si>
    <t>フロア２＿ニムダ開幕セリフ＿コラボニーベルゲンR4</t>
    <rPh sb="8" eb="10">
      <t>カイマクセリフ</t>
    </rPh>
    <phoneticPr fontId="5"/>
  </si>
  <si>
    <t>フロア２＿ニムダ開幕セリフ＿コラボニーベルゲンR5</t>
    <rPh sb="8" eb="10">
      <t>カイマクセリフ</t>
    </rPh>
    <phoneticPr fontId="5"/>
  </si>
  <si>
    <t>フロア２＿ニムダ開幕セリフ＿コラボカカシR4</t>
    <rPh sb="8" eb="10">
      <t>カイマクセリフ</t>
    </rPh>
    <phoneticPr fontId="5"/>
  </si>
  <si>
    <t>フロア２＿ニムダ開幕セリフ＿コラボカカシR5</t>
    <rPh sb="8" eb="10">
      <t>カイマクセリフ</t>
    </rPh>
    <phoneticPr fontId="5"/>
  </si>
  <si>
    <t>フロア２＿ニムダ開幕セリフ＿コラボけろっぴR3</t>
    <rPh sb="8" eb="10">
      <t>カイマクセリフ</t>
    </rPh>
    <phoneticPr fontId="5"/>
  </si>
  <si>
    <t>フロア２＿ニムダ開幕セリフ＿コラボけろっぴR4</t>
    <rPh sb="8" eb="10">
      <t>カイマクセリフ</t>
    </rPh>
    <phoneticPr fontId="5"/>
  </si>
  <si>
    <t>フロア２＿ニムダ開幕セリフ＿コラボモルドレッドR5</t>
    <rPh sb="8" eb="10">
      <t>カイマクセリフ</t>
    </rPh>
    <phoneticPr fontId="5"/>
  </si>
  <si>
    <t>フロア２＿ニムダ開幕セリフ＿コラボモルドレッドR6</t>
    <rPh sb="8" eb="10">
      <t>カイマクセリフ</t>
    </rPh>
    <phoneticPr fontId="5"/>
  </si>
  <si>
    <t>フロア２＿ニムダ開幕セリフ＿コラボクロミR3</t>
    <rPh sb="8" eb="10">
      <t>カイマクセリフ</t>
    </rPh>
    <phoneticPr fontId="5"/>
  </si>
  <si>
    <t>フロア２＿ニムダ開幕セリフ＿コラボクロミR4</t>
    <rPh sb="8" eb="10">
      <t>カイマクセリフ</t>
    </rPh>
    <phoneticPr fontId="5"/>
  </si>
  <si>
    <t>フロア２＿ニムダ開幕セリフ＿コラボばつ丸R3</t>
    <rPh sb="8" eb="10">
      <t>カイマクセリフ</t>
    </rPh>
    <rPh sb="19" eb="20">
      <t>マル</t>
    </rPh>
    <phoneticPr fontId="5"/>
  </si>
  <si>
    <t>フロア２＿ニムダ開幕セリフ＿コラボばつ丸R4</t>
    <rPh sb="8" eb="10">
      <t>カイマクセリフ</t>
    </rPh>
    <rPh sb="19" eb="20">
      <t>マル</t>
    </rPh>
    <phoneticPr fontId="5"/>
  </si>
  <si>
    <t>フロア２＿ニムダ開幕セリフ＿コラボシナモロールR4</t>
    <rPh sb="8" eb="10">
      <t>カイマクセリフ</t>
    </rPh>
    <phoneticPr fontId="5"/>
  </si>
  <si>
    <t>フロア２＿ニムダ開幕セリフ＿コラボシナモロールR5</t>
    <rPh sb="8" eb="10">
      <t>カイマクセリフ</t>
    </rPh>
    <phoneticPr fontId="5"/>
  </si>
  <si>
    <t>フロア２＿ニムダ開幕セリフ＿コラボポムポムプリンR3</t>
    <rPh sb="8" eb="10">
      <t>カイマクセリフ</t>
    </rPh>
    <phoneticPr fontId="5"/>
  </si>
  <si>
    <t>フロア２＿ニムダ開幕セリフ＿コラボポムポムプリンR4</t>
    <rPh sb="8" eb="10">
      <t>カイマクセリフ</t>
    </rPh>
    <phoneticPr fontId="5"/>
  </si>
  <si>
    <t>フロア２＿ニムダ</t>
    <phoneticPr fontId="5"/>
  </si>
  <si>
    <t>フロア２＿ニムダ＿撃破時</t>
    <rPh sb="9" eb="12">
      <t>ゲキハジ</t>
    </rPh>
    <phoneticPr fontId="5"/>
  </si>
  <si>
    <t>フロア２＿スフィンクス＿開幕</t>
    <rPh sb="12" eb="14">
      <t>カイマク</t>
    </rPh>
    <phoneticPr fontId="5"/>
  </si>
  <si>
    <t>フロア２＿スフィンクス</t>
    <phoneticPr fontId="5"/>
  </si>
  <si>
    <t>フロア３＿トニー</t>
    <phoneticPr fontId="5"/>
  </si>
  <si>
    <t>フロア３＿ヒロ</t>
    <phoneticPr fontId="5"/>
  </si>
  <si>
    <t>フロア３＿マミコ＿初級＿開幕</t>
    <rPh sb="9" eb="11">
      <t>ショキュウ</t>
    </rPh>
    <rPh sb="12" eb="14">
      <t>カイマク</t>
    </rPh>
    <phoneticPr fontId="5"/>
  </si>
  <si>
    <t>フロア３＿マミコ＿開幕</t>
    <rPh sb="9" eb="11">
      <t>カイマク</t>
    </rPh>
    <phoneticPr fontId="5"/>
  </si>
  <si>
    <t>フロア３＿マミコ＿中級以上＿開幕</t>
    <rPh sb="9" eb="11">
      <t>チュウキュウ</t>
    </rPh>
    <rPh sb="11" eb="13">
      <t>イジョウ</t>
    </rPh>
    <rPh sb="14" eb="16">
      <t>カイマク</t>
    </rPh>
    <phoneticPr fontId="5"/>
  </si>
  <si>
    <t>フロア３＿マミコ＿中級以上</t>
    <rPh sb="9" eb="11">
      <t>チュウキュウ</t>
    </rPh>
    <rPh sb="11" eb="13">
      <t>イジョウ</t>
    </rPh>
    <phoneticPr fontId="5"/>
  </si>
  <si>
    <t>フロア４＿ニムダ＿開幕</t>
    <rPh sb="9" eb="11">
      <t>カイマク</t>
    </rPh>
    <phoneticPr fontId="5"/>
  </si>
  <si>
    <t>フロア４＿ニムダ</t>
    <phoneticPr fontId="5"/>
  </si>
  <si>
    <t>フロア４＿ニムダ＿２G目＿中級以下</t>
    <rPh sb="11" eb="12">
      <t>メ</t>
    </rPh>
    <rPh sb="13" eb="15">
      <t>チュウキュウ</t>
    </rPh>
    <rPh sb="15" eb="17">
      <t>イカ</t>
    </rPh>
    <phoneticPr fontId="5"/>
  </si>
  <si>
    <t>フロア４＿ニムダ＿２G目＿上級以上</t>
    <rPh sb="11" eb="12">
      <t>メ</t>
    </rPh>
    <rPh sb="13" eb="17">
      <t>ジョウキュウイジョウ</t>
    </rPh>
    <phoneticPr fontId="5"/>
  </si>
  <si>
    <t>Lb_wada</t>
    <phoneticPr fontId="5"/>
  </si>
  <si>
    <t>[effect:hungup, target:unit_all, turn:1, rate:0.3, animation:hungup01]</t>
    <phoneticPr fontId="5"/>
  </si>
  <si>
    <t>[effect:freq_turn, target:myself, turn:3, val:1, animation:enemy_freq_turn]</t>
    <phoneticPr fontId="5"/>
  </si>
  <si>
    <t>[effect:nothing]</t>
    <phoneticPr fontId="5"/>
  </si>
  <si>
    <t xml:space="preserve">[effect:heal, target:enemy_all, val:0.2, animation:enemy_heal]    </t>
    <phoneticPr fontId="5"/>
  </si>
  <si>
    <t>[effect:enemy_message, val1:3, val2:3, dead_type:escape]</t>
    <phoneticPr fontId="5"/>
  </si>
  <si>
    <t xml:space="preserve">[effect:enhance_enemy, target:enemy_all, turn:2, status:defense, val:1000, calc:add, animation:enemy_enhance_defense]    </t>
    <phoneticPr fontId="5"/>
  </si>
  <si>
    <t xml:space="preserve">[effect:spread, val:0.3]    </t>
    <phoneticPr fontId="5"/>
  </si>
  <si>
    <t xml:space="preserve">[effect:rush, count:2, val:0.4]    </t>
    <phoneticPr fontId="5"/>
  </si>
  <si>
    <t xml:space="preserve">[effect:critical, val:0.8]    </t>
    <phoneticPr fontId="5"/>
  </si>
  <si>
    <t>[effect:enhance_enemy, target:enemy_all, turn:2, status:attack, val:0.8, calc:mul, animation:enemy_enhance_attack]</t>
    <phoneticPr fontId="5"/>
  </si>
  <si>
    <t xml:space="preserve">[effect:panel_freeze, target:block_heart, count:3]    </t>
    <phoneticPr fontId="5"/>
  </si>
  <si>
    <t xml:space="preserve">[effect:panel_freeze, target:block_heart, count:30]    </t>
    <phoneticPr fontId="5"/>
  </si>
  <si>
    <t xml:space="preserve">[effect:force_change_block, new_block:block_heart, target:block_green, count:0, val:0, animation:change_block]    </t>
    <phoneticPr fontId="5"/>
  </si>
  <si>
    <t xml:space="preserve">[effect:break_attack, val:0.04, lowest_val:1000, count:-1, block:block_heart, target:unit_all]    </t>
    <phoneticPr fontId="5"/>
  </si>
  <si>
    <t>[effect:force_change_block, new_block:block_yellow, target:block_heart, count:0, val:0, animation:change_block]</t>
    <phoneticPr fontId="5"/>
  </si>
  <si>
    <t>[effect:force_change_block, new_block:time_bomb, target:block_all, ignore:crack_bomb, ignore02:time_bomb, count:4, val:0.2, min_time_count:3, max_time_count:5, animation:change_block]</t>
    <phoneticPr fontId="5"/>
  </si>
  <si>
    <t xml:space="preserve">[effect:rush, count:7, val:0.2]    </t>
    <phoneticPr fontId="5"/>
  </si>
  <si>
    <t xml:space="preserve">[effect:heal, target:enemy_all, val:0.5, animation:enemy_heal]    </t>
    <phoneticPr fontId="5"/>
  </si>
  <si>
    <t>トモダチ見つかるかなぁ</t>
  </si>
  <si>
    <t>フレンドサーチ</t>
    <phoneticPr fontId="5"/>
  </si>
  <si>
    <t>ぬいぐるみさんと遊びたーい</t>
  </si>
  <si>
    <t>わぁ！ぬいぐるみさん！</t>
    <phoneticPr fontId="5"/>
  </si>
  <si>
    <t>いっぱい遊ぼうね！</t>
    <rPh sb="4" eb="5">
      <t>アソボウネ</t>
    </rPh>
    <phoneticPr fontId="5"/>
  </si>
  <si>
    <t>あっちにもキティちゃん？</t>
    <phoneticPr fontId="5"/>
  </si>
  <si>
    <t>みんなだいすきだよっ☆</t>
  </si>
  <si>
    <t>ふぁいと！ふぁいと！</t>
  </si>
  <si>
    <t>ダブルフリップ</t>
    <phoneticPr fontId="5"/>
  </si>
  <si>
    <t>閃光の翼</t>
    <rPh sb="0" eb="2">
      <t>senkou</t>
    </rPh>
    <rPh sb="3" eb="4">
      <t>ツバサ</t>
    </rPh>
    <phoneticPr fontId="5"/>
  </si>
  <si>
    <t>ファンシーリボン</t>
    <phoneticPr fontId="5"/>
  </si>
  <si>
    <t>ファンシーハンマー</t>
    <phoneticPr fontId="5"/>
  </si>
  <si>
    <t>ファンシーハンマー改</t>
    <phoneticPr fontId="5"/>
  </si>
  <si>
    <t>じゃーん！かわいいでしょ！</t>
  </si>
  <si>
    <t>やっちゃうぞー！</t>
  </si>
  <si>
    <t>えへへーキティちゃんだよ！</t>
  </si>
  <si>
    <t>ひとりじめしちゃうもーん！</t>
  </si>
  <si>
    <t>みんなー！おいでー！</t>
  </si>
  <si>
    <t>えいえーい！</t>
  </si>
  <si>
    <t>ぬいぐるみあたっーく！</t>
  </si>
  <si>
    <t>キティちゃん大好き！</t>
  </si>
  <si>
    <t>まだ帰らないもん！</t>
  </si>
  <si>
    <t>ふわぁー…眠くなってきちゃった</t>
    <rPh sb="5" eb="6">
      <t>ネムクナッチャッタ</t>
    </rPh>
    <phoneticPr fontId="5"/>
  </si>
  <si>
    <t>一定確率で1ターンスキルが使えない！</t>
    <rPh sb="0" eb="4">
      <t>イッテイカクリツ</t>
    </rPh>
    <rPh sb="13" eb="14">
      <t>ツカエナイ</t>
    </rPh>
    <phoneticPr fontId="5"/>
  </si>
  <si>
    <t>3ターン攻撃頻度が1ターンにUP</t>
    <phoneticPr fontId="5"/>
  </si>
  <si>
    <t>おねだりしている</t>
  </si>
  <si>
    <t>目を輝かせている</t>
    <rPh sb="0" eb="1">
      <t>メヲカガヤカセテイル</t>
    </rPh>
    <phoneticPr fontId="5"/>
  </si>
  <si>
    <t>HP回復</t>
    <rPh sb="2" eb="4">
      <t>カイフク</t>
    </rPh>
    <phoneticPr fontId="5"/>
  </si>
  <si>
    <t>みてくるからまっててね！</t>
    <phoneticPr fontId="5"/>
  </si>
  <si>
    <t>2ターン防御力UP</t>
    <phoneticPr fontId="5"/>
  </si>
  <si>
    <t>全体攻撃</t>
    <phoneticPr fontId="5"/>
  </si>
  <si>
    <t>2回連続攻撃</t>
    <phoneticPr fontId="5"/>
  </si>
  <si>
    <t>クリティカル！</t>
    <phoneticPr fontId="5"/>
  </si>
  <si>
    <t>2ターン攻撃力UP</t>
    <phoneticPr fontId="5"/>
  </si>
  <si>
    <t>ハートパネルを最大3個プロテクト</t>
    <rPh sb="7" eb="9">
      <t>サイダイ</t>
    </rPh>
    <phoneticPr fontId="5"/>
  </si>
  <si>
    <t>ハートパネルを最大30個プロテクト</t>
    <rPh sb="7" eb="9">
      <t>サイダイ</t>
    </rPh>
    <phoneticPr fontId="5"/>
  </si>
  <si>
    <t>緑パネルをハートパネルに変換</t>
    <phoneticPr fontId="5"/>
  </si>
  <si>
    <t>ハートパネル吸収攻撃</t>
    <rPh sb="8" eb="10">
      <t>コウゲキ</t>
    </rPh>
    <phoneticPr fontId="5"/>
  </si>
  <si>
    <t>ハートパネルを黄パネルに変換</t>
    <rPh sb="7" eb="8">
      <t>キ</t>
    </rPh>
    <rPh sb="12" eb="14">
      <t>ヘンカン</t>
    </rPh>
    <phoneticPr fontId="5"/>
  </si>
  <si>
    <t>時限式パネルを4個生成</t>
    <rPh sb="0" eb="3">
      <t>ジゲンシキ</t>
    </rPh>
    <rPh sb="9" eb="11">
      <t>セイセイ</t>
    </rPh>
    <phoneticPr fontId="5"/>
  </si>
  <si>
    <t>7回連続攻撃</t>
    <rPh sb="1" eb="2">
      <t>カイ</t>
    </rPh>
    <rPh sb="2" eb="6">
      <t>レンゾクコウゲキ</t>
    </rPh>
    <phoneticPr fontId="5"/>
  </si>
  <si>
    <t>ぬいぐるみを抱きしめている</t>
  </si>
  <si>
    <t>HP大回復</t>
    <phoneticPr fontId="5"/>
  </si>
  <si>
    <t>また遊んでね！ばいばーい</t>
    <rPh sb="2" eb="3">
      <t>アソンデネ</t>
    </rPh>
    <phoneticPr fontId="5"/>
  </si>
  <si>
    <t>フロア1＿イブとトモダチ＿開幕</t>
    <rPh sb="13" eb="15">
      <t>カイマク</t>
    </rPh>
    <phoneticPr fontId="5"/>
  </si>
  <si>
    <t>フロア1＿電子妖精ティンク</t>
    <phoneticPr fontId="5"/>
  </si>
  <si>
    <t>フロア2＿ニムダ＿開幕</t>
    <rPh sb="9" eb="11">
      <t>カイマク</t>
    </rPh>
    <phoneticPr fontId="5"/>
  </si>
  <si>
    <t>フロア2＿ニムダ＿開幕＿コラボユニット存在時</t>
    <rPh sb="9" eb="11">
      <t>カイマク</t>
    </rPh>
    <rPh sb="19" eb="21">
      <t>ソンザイ</t>
    </rPh>
    <rPh sb="21" eb="22">
      <t>ジ</t>
    </rPh>
    <phoneticPr fontId="5"/>
  </si>
  <si>
    <t>フロア2＿ニムダ</t>
    <phoneticPr fontId="5"/>
  </si>
  <si>
    <t>フロア2＿ニムダ＿撃破時</t>
    <rPh sb="9" eb="12">
      <t>ゲキハジ</t>
    </rPh>
    <phoneticPr fontId="5"/>
  </si>
  <si>
    <t>フロア2＿スフィンクス＿開幕</t>
    <rPh sb="12" eb="14">
      <t>カイマク</t>
    </rPh>
    <phoneticPr fontId="5"/>
  </si>
  <si>
    <t>フロア2＿スフィンクス</t>
    <phoneticPr fontId="5"/>
  </si>
  <si>
    <t>フロア3＿トニー</t>
    <phoneticPr fontId="5"/>
  </si>
  <si>
    <t>フロア3＿ヒロ</t>
    <phoneticPr fontId="5"/>
  </si>
  <si>
    <t>フロア3＿マミコ＿開幕</t>
    <rPh sb="9" eb="11">
      <t>カイマク</t>
    </rPh>
    <phoneticPr fontId="5"/>
  </si>
  <si>
    <t>フロア3＿マミコ＿初級</t>
    <rPh sb="9" eb="11">
      <t>ショキュウ</t>
    </rPh>
    <phoneticPr fontId="5"/>
  </si>
  <si>
    <t>フロア3＿マミコ＿中級以上</t>
    <rPh sb="9" eb="11">
      <t>チュウキュウ</t>
    </rPh>
    <rPh sb="11" eb="13">
      <t>イジョウ</t>
    </rPh>
    <phoneticPr fontId="5"/>
  </si>
  <si>
    <t>フロア4＿ニムダ＿1ゲージ目＿開幕</t>
    <rPh sb="13" eb="14">
      <t>メ</t>
    </rPh>
    <rPh sb="15" eb="17">
      <t>カイマク</t>
    </rPh>
    <phoneticPr fontId="5"/>
  </si>
  <si>
    <t>フロア4＿ニムダ＿1ゲージ目</t>
    <rPh sb="13" eb="14">
      <t>メ</t>
    </rPh>
    <phoneticPr fontId="5"/>
  </si>
  <si>
    <t>フロア4＿ニムダ＿2ゲージ目＿開幕</t>
    <rPh sb="13" eb="14">
      <t>メ</t>
    </rPh>
    <rPh sb="15" eb="17">
      <t>カイマク</t>
    </rPh>
    <phoneticPr fontId="5"/>
  </si>
  <si>
    <t>フロア4＿ニムダ＿2ゲージ目</t>
    <rPh sb="13" eb="14">
      <t>メ</t>
    </rPh>
    <phoneticPr fontId="5"/>
  </si>
  <si>
    <t>フロア4＿ニムダ＿2ゲージ目＿初級＆中級</t>
    <rPh sb="13" eb="14">
      <t>メ</t>
    </rPh>
    <rPh sb="15" eb="17">
      <t>ショキュウ</t>
    </rPh>
    <rPh sb="18" eb="20">
      <t>チュウキュウ</t>
    </rPh>
    <phoneticPr fontId="5"/>
  </si>
  <si>
    <t>フロア4＿ニムダ＿2ゲージ目＿撃破時</t>
    <rPh sb="13" eb="14">
      <t>メ</t>
    </rPh>
    <rPh sb="15" eb="18">
      <t>ゲキハジ</t>
    </rPh>
    <phoneticPr fontId="5"/>
  </si>
  <si>
    <t>null</t>
    <phoneticPr fontId="5"/>
  </si>
  <si>
    <t>null</t>
    <phoneticPr fontId="5"/>
  </si>
  <si>
    <t>「トモダチ見つかるかなぁ」</t>
  </si>
  <si>
    <t>フロア1＿電子妖精ティンク</t>
  </si>
  <si>
    <t>3ターン攻撃頻度が1ターンにUP</t>
  </si>
  <si>
    <t>「ぬいぐるみさんと遊びたーい」</t>
  </si>
  <si>
    <t>[おねだりしている]</t>
  </si>
  <si>
    <t>「わぁー！ぬいぐるみさんだー！」</t>
  </si>
  <si>
    <t>[目を輝かせている]</t>
    <rPh sb="1" eb="2">
      <t>メヲカガヤカセテイル</t>
    </rPh>
    <phoneticPr fontId="5"/>
  </si>
  <si>
    <t>フロア2＿ニムダ</t>
  </si>
  <si>
    <t>「キティちゃんの帽子が欲しいなー」</t>
  </si>
  <si>
    <t>「探してくるからまっててね！」</t>
    <rPh sb="1" eb="2">
      <t>サガシテクルネ！</t>
    </rPh>
    <phoneticPr fontId="5"/>
  </si>
  <si>
    <t>2ターン防御力UP</t>
  </si>
  <si>
    <t>フロア2＿スフィンクス</t>
  </si>
  <si>
    <t>全体攻撃</t>
  </si>
  <si>
    <t>フロア3＿トニー</t>
  </si>
  <si>
    <t>2回連続攻撃</t>
  </si>
  <si>
    <t>フロア3＿ヒロ</t>
  </si>
  <si>
    <t>攻撃力×1.3倍の攻撃</t>
  </si>
  <si>
    <t>2ターン攻撃力UP</t>
  </si>
  <si>
    <t>「じゃーん！かわいいでしょ！」</t>
  </si>
  <si>
    <t>緑パネルをハートパネルに変換</t>
  </si>
  <si>
    <t>「やっちゃうぞー！」</t>
  </si>
  <si>
    <t>「えへへーキティちゃんだよ！」</t>
  </si>
  <si>
    <t>「ひとりじめしちゃうもん！」</t>
  </si>
  <si>
    <t>「みんなー！おいでー！」</t>
  </si>
  <si>
    <t>「えいえーい！」</t>
  </si>
  <si>
    <t>「ぬいぐるみあたっーく！」</t>
  </si>
  <si>
    <t>「キティちゃん大好き！」</t>
  </si>
  <si>
    <t>[ぬいぐるみを抱きしめている]</t>
  </si>
  <si>
    <t>「まだ帰らないもん！」</t>
  </si>
  <si>
    <t>HP大回復</t>
  </si>
  <si>
    <t>「ふわぁー…眠くなってきちゃった」</t>
    <rPh sb="6" eb="7">
      <t>ネムクナッチャッタ</t>
    </rPh>
    <phoneticPr fontId="5"/>
  </si>
  <si>
    <t>「また遊んでね！ばいばーい」</t>
    <rPh sb="3" eb="4">
      <t>アソンデネ</t>
    </rPh>
    <phoneticPr fontId="5"/>
  </si>
  <si>
    <t>link</t>
    <phoneticPr fontId="5"/>
  </si>
  <si>
    <t>null</t>
    <phoneticPr fontId="5"/>
  </si>
  <si>
    <t>2970-01-01 09:00:00</t>
    <phoneticPr fontId="5"/>
  </si>
  <si>
    <t>確率</t>
    <rPh sb="0" eb="2">
      <t>カクリツ</t>
    </rPh>
    <phoneticPr fontId="5"/>
  </si>
  <si>
    <t>出現バグボーナス</t>
    <rPh sb="0" eb="2">
      <t>シュツゲｎ</t>
    </rPh>
    <phoneticPr fontId="5"/>
  </si>
  <si>
    <t>集団恩愛性ニムダL</t>
    <phoneticPr fontId="5"/>
  </si>
  <si>
    <t>覚醒について</t>
    <rPh sb="0" eb="2">
      <t>カクセイニツイテ</t>
    </rPh>
    <phoneticPr fontId="5"/>
  </si>
  <si>
    <t>ハローキティのリボン</t>
  </si>
  <si>
    <t>ママの作ったアップルパイ</t>
  </si>
  <si>
    <t>電子妖精ティンクはHPが低下すると
行動頻度上昇スキルを使用します
攻撃を集中して一気に倒しましょう</t>
    <rPh sb="12" eb="14">
      <t>テイカ</t>
    </rPh>
    <rPh sb="18" eb="22">
      <t>コウドウヒンド</t>
    </rPh>
    <rPh sb="22" eb="24">
      <t>ジョウショウ</t>
    </rPh>
    <rPh sb="28" eb="30">
      <t>シヨウ</t>
    </rPh>
    <rPh sb="34" eb="36">
      <t>コウゲキヲ</t>
    </rPh>
    <rPh sb="37" eb="39">
      <t>シュウチュウ</t>
    </rPh>
    <rPh sb="41" eb="43">
      <t>イッキニ</t>
    </rPh>
    <rPh sb="44" eb="45">
      <t>タオシテシマイマショウ</t>
    </rPh>
    <phoneticPr fontId="5"/>
  </si>
  <si>
    <t>スフィンクスは時々全体攻撃をしてきます
HPの残量はいつも確認しておき
早めの回復を心がけましょう</t>
    <rPh sb="7" eb="8">
      <t>トキドキ</t>
    </rPh>
    <rPh sb="9" eb="13">
      <t>ゼンタイコウゲキ</t>
    </rPh>
    <rPh sb="23" eb="25">
      <t>ザンリョウ</t>
    </rPh>
    <rPh sb="29" eb="31">
      <t>カクニン</t>
    </rPh>
    <rPh sb="36" eb="37">
      <t>ハヤメノ</t>
    </rPh>
    <rPh sb="39" eb="41">
      <t>カイフク</t>
    </rPh>
    <rPh sb="42" eb="43">
      <t>ココロガケマショウ</t>
    </rPh>
    <phoneticPr fontId="5"/>
  </si>
  <si>
    <t>トニーとヒロは毎ターン行動しますので
ターゲット指定して先に倒しましょう</t>
    <rPh sb="7" eb="8">
      <t>マイ</t>
    </rPh>
    <rPh sb="11" eb="13">
      <t>コウドウ</t>
    </rPh>
    <rPh sb="24" eb="26">
      <t>シテイ</t>
    </rPh>
    <rPh sb="28" eb="29">
      <t>サキニ</t>
    </rPh>
    <rPh sb="30" eb="31">
      <t>タオシマショウ</t>
    </rPh>
    <phoneticPr fontId="5"/>
  </si>
  <si>
    <t>恩愛性ニムダはハートパネルの変換や
ハートパネル吸収攻撃をしてきますので
回復手段を確保しましょう</t>
    <rPh sb="14" eb="16">
      <t>ヘンカン</t>
    </rPh>
    <rPh sb="24" eb="28">
      <t>キュウシュウコウゲキ</t>
    </rPh>
    <rPh sb="37" eb="41">
      <t>カイフクシュダン</t>
    </rPh>
    <rPh sb="42" eb="44">
      <t>カクホ</t>
    </rPh>
    <phoneticPr fontId="5"/>
  </si>
  <si>
    <t>集団恩愛性ニムダLのぬいぐるみあたっーく!
はぬいぐるみたちを顔に押し付けてくる
非常に恐るべき攻撃です</t>
    <phoneticPr fontId="5"/>
  </si>
  <si>
    <t>覚醒素材ユニットにバグ値が指定されている
場合は バグ値が不足すると覚醒できません</t>
    <phoneticPr fontId="5"/>
  </si>
  <si>
    <t>「ハローキティのリボン」は
コラボクエストクリア時のバグボーナスに
一定確率でドロップします</t>
    <phoneticPr fontId="5"/>
  </si>
  <si>
    <t>「ママの作ったアップルパイ」は
コラボクエストクリア時のバグボーナスに
一定確率でドロップします</t>
    <phoneticPr fontId="5"/>
  </si>
  <si>
    <t>覚醒素材ユニットにバグ値が指定されている
場合は バグ値が不足すると覚醒できません</t>
    <phoneticPr fontId="5"/>
  </si>
  <si>
    <t>NULL</t>
    <phoneticPr fontId="5"/>
  </si>
  <si>
    <t>「ハローキティのリボン」は
コラボクエストクリア時のバグボーナスに
一定確率でドロップします</t>
    <phoneticPr fontId="5"/>
  </si>
  <si>
    <t>「ママの作ったアップルパイ」は
コラボクエストクリア時のバグボーナスに
一定確率でドロップします</t>
    <phoneticPr fontId="5"/>
  </si>
  <si>
    <t>集団恩愛性ニムダLのぬいぐるみあたっーく!
はぬいぐるみたちを顔に押し付けてくる
非常に恐るべき攻撃です</t>
    <phoneticPr fontId="5"/>
  </si>
  <si>
    <t>old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</si>
</sst>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[Red]\(0\)"/>
    <numFmt numFmtId="177" formatCode="0.0"/>
    <numFmt numFmtId="178" formatCode="0.0%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</fills>
  <borders count="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57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vertical="center"/>
    </xf>
    <xf numFmtId="177" fontId="8" fillId="0" borderId="4" xfId="0" applyNumberFormat="1" applyFont="1" applyFill="1" applyBorder="1" applyAlignment="1">
      <alignment vertical="center"/>
    </xf>
    <xf numFmtId="177" fontId="6" fillId="0" borderId="4" xfId="0" applyNumberFormat="1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6" xfId="0" applyFont="1" applyFill="1" applyBorder="1" applyAlignment="1">
      <alignment vertical="center"/>
    </xf>
    <xf numFmtId="0" fontId="4" fillId="32" borderId="6" xfId="0" applyFont="1" applyFill="1" applyBorder="1" applyAlignment="1">
      <alignment vertical="center"/>
    </xf>
    <xf numFmtId="0" fontId="4" fillId="33" borderId="6" xfId="0" applyFont="1" applyFill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56" fontId="16" fillId="0" borderId="7" xfId="0" applyNumberFormat="1" applyFont="1" applyFill="1" applyBorder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2" borderId="2" xfId="0" applyFont="1" applyFill="1" applyBorder="1" applyAlignment="1">
      <alignment vertical="center"/>
    </xf>
    <xf numFmtId="0" fontId="16" fillId="33" borderId="23" xfId="0" applyFont="1" applyFill="1" applyBorder="1" applyAlignment="1">
      <alignment vertical="center"/>
    </xf>
    <xf numFmtId="0" fontId="16" fillId="33" borderId="24" xfId="0" applyFont="1" applyFill="1" applyBorder="1" applyAlignment="1">
      <alignment vertical="center"/>
    </xf>
    <xf numFmtId="0" fontId="16" fillId="32" borderId="24" xfId="0" applyFont="1" applyFill="1" applyBorder="1" applyAlignment="1">
      <alignment vertical="center"/>
    </xf>
    <xf numFmtId="0" fontId="16" fillId="32" borderId="25" xfId="0" applyFont="1" applyFill="1" applyBorder="1" applyAlignment="1">
      <alignment vertical="center"/>
    </xf>
    <xf numFmtId="0" fontId="16" fillId="34" borderId="23" xfId="0" applyFont="1" applyFill="1" applyBorder="1" applyAlignment="1">
      <alignment vertical="center"/>
    </xf>
    <xf numFmtId="0" fontId="16" fillId="35" borderId="24" xfId="0" applyFont="1" applyFill="1" applyBorder="1" applyAlignment="1">
      <alignment vertical="center"/>
    </xf>
    <xf numFmtId="0" fontId="16" fillId="36" borderId="24" xfId="0" applyFont="1" applyFill="1" applyBorder="1" applyAlignment="1">
      <alignment vertical="center"/>
    </xf>
    <xf numFmtId="0" fontId="16" fillId="36" borderId="25" xfId="0" applyFont="1" applyFill="1" applyBorder="1" applyAlignment="1">
      <alignment vertical="center"/>
    </xf>
    <xf numFmtId="0" fontId="16" fillId="37" borderId="23" xfId="0" applyFont="1" applyFill="1" applyBorder="1" applyAlignment="1">
      <alignment vertical="center"/>
    </xf>
    <xf numFmtId="0" fontId="16" fillId="37" borderId="24" xfId="0" applyFont="1" applyFill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0" fontId="16" fillId="0" borderId="26" xfId="0" applyFont="1" applyFill="1" applyBorder="1" applyAlignment="1">
      <alignment vertical="center"/>
    </xf>
    <xf numFmtId="0" fontId="16" fillId="0" borderId="27" xfId="0" applyFont="1" applyFill="1" applyBorder="1" applyAlignment="1">
      <alignment vertical="center"/>
    </xf>
    <xf numFmtId="0" fontId="16" fillId="0" borderId="28" xfId="0" applyFont="1" applyBorder="1" applyAlignment="1">
      <alignment vertical="center"/>
    </xf>
    <xf numFmtId="0" fontId="16" fillId="0" borderId="29" xfId="0" applyFont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6" fillId="0" borderId="30" xfId="0" applyFont="1" applyBorder="1" applyAlignment="1">
      <alignment vertical="center"/>
    </xf>
    <xf numFmtId="0" fontId="16" fillId="0" borderId="31" xfId="0" applyFont="1" applyBorder="1" applyAlignment="1">
      <alignment vertical="center"/>
    </xf>
    <xf numFmtId="0" fontId="16" fillId="0" borderId="32" xfId="0" applyFont="1" applyBorder="1" applyAlignment="1">
      <alignment vertical="center"/>
    </xf>
    <xf numFmtId="0" fontId="11" fillId="0" borderId="7" xfId="0" applyFont="1" applyBorder="1" applyAlignment="1">
      <alignment vertical="center"/>
    </xf>
    <xf numFmtId="0" fontId="11" fillId="0" borderId="2" xfId="0" applyFont="1" applyBorder="1" applyAlignment="1">
      <alignment vertical="center"/>
    </xf>
    <xf numFmtId="0" fontId="11" fillId="0" borderId="23" xfId="0" applyFont="1" applyBorder="1" applyAlignment="1">
      <alignment vertical="center"/>
    </xf>
    <xf numFmtId="0" fontId="11" fillId="0" borderId="24" xfId="0" applyFont="1" applyBorder="1" applyAlignment="1">
      <alignment vertical="center"/>
    </xf>
    <xf numFmtId="0" fontId="11" fillId="0" borderId="25" xfId="0" applyFont="1" applyBorder="1" applyAlignment="1">
      <alignment vertical="center"/>
    </xf>
    <xf numFmtId="0" fontId="27" fillId="0" borderId="2" xfId="0" applyFont="1" applyFill="1" applyBorder="1"/>
    <xf numFmtId="0" fontId="27" fillId="0" borderId="26" xfId="0" applyFont="1" applyFill="1" applyBorder="1"/>
    <xf numFmtId="0" fontId="27" fillId="0" borderId="27" xfId="0" applyFont="1" applyFill="1" applyBorder="1"/>
    <xf numFmtId="0" fontId="27" fillId="38" borderId="7" xfId="0" applyFont="1" applyFill="1" applyBorder="1"/>
    <xf numFmtId="0" fontId="27" fillId="0" borderId="8" xfId="0" applyFont="1" applyFill="1" applyBorder="1"/>
    <xf numFmtId="49" fontId="0" fillId="0" borderId="8" xfId="0" applyNumberFormat="1" applyFill="1" applyBorder="1"/>
    <xf numFmtId="49" fontId="0" fillId="0" borderId="33" xfId="0" applyNumberFormat="1" applyFill="1" applyBorder="1"/>
    <xf numFmtId="0" fontId="27" fillId="0" borderId="34" xfId="0" applyFont="1" applyFill="1" applyBorder="1"/>
    <xf numFmtId="49" fontId="0" fillId="0" borderId="35" xfId="0" applyNumberFormat="1" applyFill="1" applyBorder="1"/>
    <xf numFmtId="49" fontId="0" fillId="0" borderId="34" xfId="0" applyNumberFormat="1" applyFill="1" applyBorder="1"/>
    <xf numFmtId="178" fontId="16" fillId="6" borderId="2" xfId="614" applyNumberFormat="1" applyFont="1" applyFill="1" applyBorder="1" applyAlignment="1">
      <alignment horizontal="left"/>
    </xf>
    <xf numFmtId="0" fontId="16" fillId="6" borderId="36" xfId="614" applyFont="1" applyFill="1" applyBorder="1" applyAlignment="1">
      <alignment horizontal="left"/>
    </xf>
    <xf numFmtId="178" fontId="0" fillId="0" borderId="37" xfId="0" applyNumberFormat="1" applyBorder="1"/>
    <xf numFmtId="178" fontId="0" fillId="0" borderId="38" xfId="0" applyNumberFormat="1" applyBorder="1"/>
    <xf numFmtId="178" fontId="0" fillId="0" borderId="39" xfId="0" applyNumberFormat="1" applyBorder="1"/>
    <xf numFmtId="38" fontId="16" fillId="0" borderId="7" xfId="628" applyFont="1" applyFill="1" applyBorder="1" applyAlignment="1">
      <alignment wrapText="1"/>
    </xf>
    <xf numFmtId="38" fontId="16" fillId="14" borderId="7" xfId="628" applyFont="1" applyFill="1" applyBorder="1" applyAlignment="1">
      <alignment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11207</v>
          </cell>
        </row>
        <row r="67">
          <cell r="A67">
            <v>11208</v>
          </cell>
        </row>
        <row r="68">
          <cell r="A68">
            <v>11209</v>
          </cell>
        </row>
        <row r="69">
          <cell r="A69">
            <v>11210</v>
          </cell>
        </row>
        <row r="70">
          <cell r="A70">
            <v>11211</v>
          </cell>
        </row>
        <row r="71">
          <cell r="A71">
            <v>11212</v>
          </cell>
        </row>
        <row r="72">
          <cell r="A72">
            <v>11213</v>
          </cell>
        </row>
        <row r="73">
          <cell r="A73">
            <v>11214</v>
          </cell>
        </row>
        <row r="74">
          <cell r="A74">
            <v>11215</v>
          </cell>
        </row>
        <row r="75">
          <cell r="A75">
            <v>11216</v>
          </cell>
        </row>
        <row r="76">
          <cell r="A76">
            <v>11217</v>
          </cell>
        </row>
        <row r="77">
          <cell r="A77">
            <v>11218</v>
          </cell>
        </row>
        <row r="78">
          <cell r="A78">
            <v>11219</v>
          </cell>
        </row>
        <row r="79">
          <cell r="A79">
            <v>11220</v>
          </cell>
        </row>
        <row r="80">
          <cell r="A80">
            <v>11221</v>
          </cell>
        </row>
        <row r="81">
          <cell r="A81">
            <v>11224</v>
          </cell>
        </row>
        <row r="82">
          <cell r="A82">
            <v>11225</v>
          </cell>
        </row>
        <row r="83">
          <cell r="A83">
            <v>11226</v>
          </cell>
        </row>
        <row r="84">
          <cell r="A84">
            <v>11227</v>
          </cell>
        </row>
        <row r="85">
          <cell r="A85">
            <v>12001</v>
          </cell>
        </row>
        <row r="86">
          <cell r="A86">
            <v>12002</v>
          </cell>
        </row>
        <row r="87">
          <cell r="A87">
            <v>12003</v>
          </cell>
        </row>
        <row r="88">
          <cell r="A88">
            <v>12004</v>
          </cell>
        </row>
        <row r="89">
          <cell r="A89">
            <v>13001</v>
          </cell>
        </row>
        <row r="90">
          <cell r="A90">
            <v>14001</v>
          </cell>
        </row>
        <row r="91">
          <cell r="A91">
            <v>14002</v>
          </cell>
        </row>
        <row r="92">
          <cell r="A92">
            <v>14003</v>
          </cell>
        </row>
        <row r="93">
          <cell r="A93">
            <v>14004</v>
          </cell>
        </row>
        <row r="94">
          <cell r="A94">
            <v>14005</v>
          </cell>
        </row>
        <row r="95">
          <cell r="A95">
            <v>14006</v>
          </cell>
        </row>
        <row r="96">
          <cell r="A96">
            <v>15027</v>
          </cell>
        </row>
        <row r="97">
          <cell r="A97">
            <v>15028</v>
          </cell>
        </row>
        <row r="98">
          <cell r="A98">
            <v>15029</v>
          </cell>
        </row>
        <row r="99">
          <cell r="A99">
            <v>15030</v>
          </cell>
        </row>
        <row r="100">
          <cell r="A100">
            <v>15031</v>
          </cell>
        </row>
        <row r="101">
          <cell r="A101">
            <v>20001</v>
          </cell>
        </row>
        <row r="102">
          <cell r="A102">
            <v>20002</v>
          </cell>
        </row>
        <row r="103">
          <cell r="A103">
            <v>20003</v>
          </cell>
        </row>
        <row r="104">
          <cell r="A104">
            <v>20004</v>
          </cell>
        </row>
        <row r="105">
          <cell r="A105">
            <v>20005</v>
          </cell>
        </row>
        <row r="106">
          <cell r="A106">
            <v>20006</v>
          </cell>
        </row>
        <row r="107">
          <cell r="A107">
            <v>20007</v>
          </cell>
        </row>
        <row r="108">
          <cell r="A108">
            <v>20008</v>
          </cell>
        </row>
        <row r="109">
          <cell r="A109">
            <v>20009</v>
          </cell>
        </row>
        <row r="110">
          <cell r="A110">
            <v>20010</v>
          </cell>
        </row>
        <row r="111">
          <cell r="A111">
            <v>20011</v>
          </cell>
        </row>
        <row r="112">
          <cell r="A112">
            <v>20012</v>
          </cell>
        </row>
        <row r="113">
          <cell r="A113">
            <v>20013</v>
          </cell>
        </row>
        <row r="114">
          <cell r="A114">
            <v>20014</v>
          </cell>
        </row>
        <row r="115">
          <cell r="A115">
            <v>20015</v>
          </cell>
        </row>
        <row r="116">
          <cell r="A116">
            <v>20016</v>
          </cell>
        </row>
        <row r="117">
          <cell r="A117">
            <v>20017</v>
          </cell>
        </row>
        <row r="118">
          <cell r="A118">
            <v>20018</v>
          </cell>
        </row>
        <row r="119">
          <cell r="A119">
            <v>20019</v>
          </cell>
        </row>
        <row r="120">
          <cell r="A120">
            <v>20020</v>
          </cell>
        </row>
        <row r="121">
          <cell r="A121">
            <v>30001</v>
          </cell>
        </row>
        <row r="122">
          <cell r="A122">
            <v>30002</v>
          </cell>
        </row>
        <row r="123">
          <cell r="A123">
            <v>30003</v>
          </cell>
        </row>
        <row r="124">
          <cell r="A124">
            <v>30004</v>
          </cell>
        </row>
        <row r="125">
          <cell r="A125">
            <v>30005</v>
          </cell>
        </row>
        <row r="126">
          <cell r="A126">
            <v>30006</v>
          </cell>
        </row>
        <row r="127">
          <cell r="A127">
            <v>30007</v>
          </cell>
        </row>
        <row r="128">
          <cell r="A128">
            <v>30008</v>
          </cell>
        </row>
        <row r="129">
          <cell r="A129">
            <v>30009</v>
          </cell>
        </row>
        <row r="130">
          <cell r="A130">
            <v>30010</v>
          </cell>
        </row>
        <row r="131">
          <cell r="A131">
            <v>30011</v>
          </cell>
        </row>
        <row r="132">
          <cell r="A132">
            <v>30012</v>
          </cell>
        </row>
        <row r="133">
          <cell r="A133">
            <v>30013</v>
          </cell>
        </row>
        <row r="134">
          <cell r="A134">
            <v>30014</v>
          </cell>
        </row>
        <row r="135">
          <cell r="A135">
            <v>30015</v>
          </cell>
        </row>
        <row r="136">
          <cell r="A136">
            <v>30016</v>
          </cell>
        </row>
        <row r="137">
          <cell r="A137">
            <v>30017</v>
          </cell>
        </row>
        <row r="138">
          <cell r="A138">
            <v>30018</v>
          </cell>
        </row>
        <row r="139">
          <cell r="A139">
            <v>30019</v>
          </cell>
        </row>
        <row r="140">
          <cell r="A140">
            <v>30020</v>
          </cell>
        </row>
        <row r="141">
          <cell r="A141">
            <v>30021</v>
          </cell>
        </row>
        <row r="142">
          <cell r="A142">
            <v>30022</v>
          </cell>
        </row>
        <row r="143">
          <cell r="A143">
            <v>30023</v>
          </cell>
        </row>
        <row r="144">
          <cell r="A144">
            <v>30024</v>
          </cell>
        </row>
        <row r="145">
          <cell r="A145">
            <v>30025</v>
          </cell>
        </row>
        <row r="146">
          <cell r="A146">
            <v>30026</v>
          </cell>
        </row>
        <row r="147">
          <cell r="A147">
            <v>30027</v>
          </cell>
        </row>
        <row r="148">
          <cell r="A148">
            <v>30028</v>
          </cell>
        </row>
        <row r="149">
          <cell r="A149">
            <v>30029</v>
          </cell>
        </row>
        <row r="150">
          <cell r="A150">
            <v>30030</v>
          </cell>
        </row>
        <row r="151">
          <cell r="A151">
            <v>30031</v>
          </cell>
        </row>
        <row r="152">
          <cell r="A152">
            <v>30032</v>
          </cell>
        </row>
        <row r="153">
          <cell r="A153">
            <v>30033</v>
          </cell>
        </row>
        <row r="154">
          <cell r="A154">
            <v>30034</v>
          </cell>
        </row>
        <row r="155">
          <cell r="A155">
            <v>30035</v>
          </cell>
        </row>
        <row r="156">
          <cell r="A156">
            <v>30036</v>
          </cell>
        </row>
        <row r="157">
          <cell r="A157">
            <v>30037</v>
          </cell>
        </row>
        <row r="158">
          <cell r="A158">
            <v>30038</v>
          </cell>
        </row>
        <row r="159">
          <cell r="A159">
            <v>30039</v>
          </cell>
        </row>
        <row r="160">
          <cell r="A160">
            <v>30040</v>
          </cell>
        </row>
        <row r="161">
          <cell r="A161">
            <v>39001</v>
          </cell>
        </row>
        <row r="162">
          <cell r="A162">
            <v>39002</v>
          </cell>
        </row>
        <row r="163">
          <cell r="A163">
            <v>39003</v>
          </cell>
        </row>
        <row r="164">
          <cell r="A164">
            <v>39004</v>
          </cell>
        </row>
        <row r="165">
          <cell r="A165">
            <v>39005</v>
          </cell>
        </row>
        <row r="166">
          <cell r="A166">
            <v>39006</v>
          </cell>
        </row>
        <row r="167">
          <cell r="A167">
            <v>39007</v>
          </cell>
        </row>
        <row r="168">
          <cell r="A168">
            <v>40001</v>
          </cell>
        </row>
        <row r="169">
          <cell r="A169">
            <v>40002</v>
          </cell>
        </row>
        <row r="170">
          <cell r="A170">
            <v>40003</v>
          </cell>
        </row>
        <row r="171">
          <cell r="A171">
            <v>40004</v>
          </cell>
        </row>
        <row r="172">
          <cell r="A172">
            <v>40005</v>
          </cell>
        </row>
        <row r="173">
          <cell r="A173">
            <v>40006</v>
          </cell>
        </row>
        <row r="174">
          <cell r="A174">
            <v>40007</v>
          </cell>
        </row>
        <row r="175">
          <cell r="A175">
            <v>40008</v>
          </cell>
        </row>
        <row r="176">
          <cell r="A176">
            <v>40009</v>
          </cell>
        </row>
        <row r="177">
          <cell r="A177">
            <v>40010</v>
          </cell>
        </row>
        <row r="178">
          <cell r="A178">
            <v>40011</v>
          </cell>
        </row>
        <row r="179">
          <cell r="A179">
            <v>40012</v>
          </cell>
        </row>
        <row r="180">
          <cell r="A180">
            <v>40013</v>
          </cell>
        </row>
        <row r="181">
          <cell r="A181">
            <v>40014</v>
          </cell>
        </row>
        <row r="182">
          <cell r="A182">
            <v>40015</v>
          </cell>
        </row>
        <row r="183">
          <cell r="A183">
            <v>40016</v>
          </cell>
        </row>
        <row r="184">
          <cell r="A184">
            <v>40017</v>
          </cell>
        </row>
        <row r="185">
          <cell r="A185">
            <v>40018</v>
          </cell>
        </row>
        <row r="186">
          <cell r="A186">
            <v>40019</v>
          </cell>
        </row>
        <row r="187">
          <cell r="A187">
            <v>40021</v>
          </cell>
        </row>
        <row r="188">
          <cell r="A188">
            <v>40022</v>
          </cell>
        </row>
        <row r="189">
          <cell r="A189">
            <v>40023</v>
          </cell>
        </row>
        <row r="190">
          <cell r="A190">
            <v>40024</v>
          </cell>
        </row>
        <row r="191">
          <cell r="A191">
            <v>48001</v>
          </cell>
        </row>
        <row r="192">
          <cell r="A192">
            <v>48002</v>
          </cell>
        </row>
        <row r="193">
          <cell r="A193">
            <v>48003</v>
          </cell>
        </row>
        <row r="194">
          <cell r="A194">
            <v>48004</v>
          </cell>
        </row>
        <row r="195">
          <cell r="A195">
            <v>41001</v>
          </cell>
        </row>
        <row r="196">
          <cell r="A196">
            <v>41002</v>
          </cell>
        </row>
        <row r="197">
          <cell r="A197">
            <v>41003</v>
          </cell>
        </row>
        <row r="198">
          <cell r="A198">
            <v>41004</v>
          </cell>
        </row>
        <row r="199">
          <cell r="A199">
            <v>41005</v>
          </cell>
        </row>
        <row r="200">
          <cell r="A200">
            <v>41006</v>
          </cell>
        </row>
        <row r="201">
          <cell r="A201">
            <v>41007</v>
          </cell>
        </row>
        <row r="202">
          <cell r="A202">
            <v>41008</v>
          </cell>
        </row>
        <row r="203">
          <cell r="A203">
            <v>41009</v>
          </cell>
        </row>
        <row r="204">
          <cell r="A204">
            <v>41010</v>
          </cell>
        </row>
        <row r="205">
          <cell r="A205">
            <v>41011</v>
          </cell>
        </row>
        <row r="206">
          <cell r="A206">
            <v>41012</v>
          </cell>
        </row>
        <row r="207">
          <cell r="A207">
            <v>41013</v>
          </cell>
        </row>
        <row r="208">
          <cell r="A208">
            <v>41014</v>
          </cell>
        </row>
        <row r="209">
          <cell r="A209">
            <v>41015</v>
          </cell>
        </row>
        <row r="210">
          <cell r="A210">
            <v>47001</v>
          </cell>
        </row>
        <row r="211">
          <cell r="A211">
            <v>47002</v>
          </cell>
        </row>
        <row r="212">
          <cell r="A212">
            <v>49001</v>
          </cell>
        </row>
        <row r="213">
          <cell r="A213">
            <v>49002</v>
          </cell>
        </row>
        <row r="214">
          <cell r="A214">
            <v>49003</v>
          </cell>
        </row>
        <row r="215">
          <cell r="A215">
            <v>49004</v>
          </cell>
        </row>
        <row r="216">
          <cell r="A216">
            <v>49005</v>
          </cell>
        </row>
        <row r="217">
          <cell r="A217">
            <v>49006</v>
          </cell>
        </row>
        <row r="218">
          <cell r="A218">
            <v>49007</v>
          </cell>
        </row>
        <row r="219">
          <cell r="A219">
            <v>50001</v>
          </cell>
        </row>
        <row r="220">
          <cell r="A220">
            <v>50002</v>
          </cell>
        </row>
        <row r="221">
          <cell r="A221">
            <v>50003</v>
          </cell>
        </row>
        <row r="222">
          <cell r="A222">
            <v>50004</v>
          </cell>
        </row>
        <row r="223">
          <cell r="A223">
            <v>50005</v>
          </cell>
        </row>
        <row r="224">
          <cell r="A224">
            <v>50006</v>
          </cell>
        </row>
        <row r="225">
          <cell r="A225">
            <v>50007</v>
          </cell>
        </row>
        <row r="226">
          <cell r="A226">
            <v>51001</v>
          </cell>
        </row>
        <row r="227">
          <cell r="A227">
            <v>51002</v>
          </cell>
        </row>
        <row r="228">
          <cell r="A228">
            <v>60001</v>
          </cell>
        </row>
        <row r="229">
          <cell r="A229">
            <v>60002</v>
          </cell>
        </row>
        <row r="230">
          <cell r="A230">
            <v>60003</v>
          </cell>
        </row>
        <row r="231">
          <cell r="A231">
            <v>60004</v>
          </cell>
        </row>
        <row r="232">
          <cell r="A232">
            <v>60005</v>
          </cell>
        </row>
        <row r="233">
          <cell r="A233">
            <v>60006</v>
          </cell>
        </row>
        <row r="234">
          <cell r="A234">
            <v>60007</v>
          </cell>
        </row>
        <row r="235">
          <cell r="A235">
            <v>60010</v>
          </cell>
        </row>
        <row r="236">
          <cell r="A236">
            <v>60011</v>
          </cell>
        </row>
        <row r="237">
          <cell r="A237">
            <v>61011</v>
          </cell>
        </row>
        <row r="238">
          <cell r="A238">
            <v>60012</v>
          </cell>
        </row>
        <row r="239">
          <cell r="A239">
            <v>60013</v>
          </cell>
        </row>
        <row r="240">
          <cell r="A240">
            <v>60014</v>
          </cell>
        </row>
        <row r="241">
          <cell r="A241">
            <v>65533</v>
          </cell>
        </row>
        <row r="242">
          <cell r="A242">
            <v>65534</v>
          </cell>
        </row>
        <row r="243">
          <cell r="A243">
            <v>65535</v>
          </cell>
        </row>
        <row r="244">
          <cell r="A244">
            <v>60021</v>
          </cell>
        </row>
        <row r="245">
          <cell r="A245">
            <v>60022</v>
          </cell>
        </row>
        <row r="246">
          <cell r="A246">
            <v>60023</v>
          </cell>
        </row>
        <row r="247">
          <cell r="A247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11017_1</v>
          </cell>
        </row>
        <row r="265">
          <cell r="A265" t="str">
            <v>11207_1</v>
          </cell>
        </row>
        <row r="266">
          <cell r="A266" t="str">
            <v>11207_2</v>
          </cell>
        </row>
        <row r="267">
          <cell r="A267" t="str">
            <v>11208_1</v>
          </cell>
        </row>
        <row r="268">
          <cell r="A268" t="str">
            <v>11208_2</v>
          </cell>
        </row>
        <row r="269">
          <cell r="A269" t="str">
            <v>11209_1</v>
          </cell>
        </row>
        <row r="270">
          <cell r="A270" t="str">
            <v>11209_2</v>
          </cell>
        </row>
        <row r="271">
          <cell r="A271" t="str">
            <v>11212_1</v>
          </cell>
        </row>
        <row r="272">
          <cell r="A272" t="str">
            <v>11213_1</v>
          </cell>
        </row>
        <row r="273">
          <cell r="A273" t="str">
            <v>11214_1</v>
          </cell>
        </row>
        <row r="274">
          <cell r="A274" t="str">
            <v>11214_2</v>
          </cell>
        </row>
        <row r="275">
          <cell r="A275" t="str">
            <v>11214_3</v>
          </cell>
        </row>
        <row r="276">
          <cell r="A276" t="str">
            <v>11215_1</v>
          </cell>
        </row>
        <row r="277">
          <cell r="A277" t="str">
            <v>11216_1</v>
          </cell>
        </row>
        <row r="278">
          <cell r="A278" t="str">
            <v>11217_1</v>
          </cell>
        </row>
        <row r="279">
          <cell r="A279" t="str">
            <v>11218_1</v>
          </cell>
        </row>
        <row r="280">
          <cell r="A280" t="str">
            <v>11219_1</v>
          </cell>
        </row>
        <row r="281">
          <cell r="A281" t="str">
            <v>11220_1</v>
          </cell>
        </row>
        <row r="282">
          <cell r="A282" t="str">
            <v>11221_1</v>
          </cell>
        </row>
        <row r="283">
          <cell r="A283" t="str">
            <v>11224_1</v>
          </cell>
        </row>
        <row r="284">
          <cell r="A284" t="str">
            <v>11225_1</v>
          </cell>
        </row>
        <row r="285">
          <cell r="A285" t="str">
            <v>11226_1</v>
          </cell>
        </row>
        <row r="286">
          <cell r="A286" t="str">
            <v>11226_2</v>
          </cell>
        </row>
        <row r="287">
          <cell r="A287" t="str">
            <v>11226_3</v>
          </cell>
        </row>
        <row r="288">
          <cell r="A288" t="str">
            <v>11226_4</v>
          </cell>
        </row>
        <row r="289">
          <cell r="A289" t="str">
            <v>11226_5</v>
          </cell>
        </row>
        <row r="290">
          <cell r="A290" t="str">
            <v>11226_6</v>
          </cell>
        </row>
        <row r="291">
          <cell r="A291" t="str">
            <v>11226_7</v>
          </cell>
        </row>
        <row r="292">
          <cell r="A292" t="str">
            <v>11226_8</v>
          </cell>
        </row>
        <row r="293">
          <cell r="A293" t="str">
            <v>11227_1</v>
          </cell>
        </row>
        <row r="294">
          <cell r="A294" t="str">
            <v>12001_1</v>
          </cell>
        </row>
        <row r="295">
          <cell r="A295" t="str">
            <v>12001_2</v>
          </cell>
        </row>
        <row r="296">
          <cell r="A296" t="str">
            <v>12001_3</v>
          </cell>
        </row>
        <row r="297">
          <cell r="A297" t="str">
            <v>12002_1</v>
          </cell>
        </row>
        <row r="298">
          <cell r="A298" t="str">
            <v>12002_2</v>
          </cell>
        </row>
        <row r="299">
          <cell r="A299" t="str">
            <v>12003_1</v>
          </cell>
        </row>
        <row r="300">
          <cell r="A300" t="str">
            <v>12003_2</v>
          </cell>
        </row>
        <row r="301">
          <cell r="A301" t="str">
            <v>12003_3</v>
          </cell>
        </row>
        <row r="302">
          <cell r="A302" t="str">
            <v>12003_4</v>
          </cell>
        </row>
        <row r="303">
          <cell r="A303" t="str">
            <v>12004_1</v>
          </cell>
        </row>
        <row r="304">
          <cell r="A304" t="str">
            <v>13001_1</v>
          </cell>
        </row>
        <row r="305">
          <cell r="A305" t="str">
            <v>13001_2</v>
          </cell>
        </row>
        <row r="306">
          <cell r="A306" t="str">
            <v>13001_3</v>
          </cell>
        </row>
        <row r="307">
          <cell r="A307" t="str">
            <v>13001_4</v>
          </cell>
        </row>
        <row r="308">
          <cell r="A308" t="str">
            <v>13001_5</v>
          </cell>
        </row>
        <row r="309">
          <cell r="A309" t="str">
            <v>13001_6</v>
          </cell>
        </row>
        <row r="310">
          <cell r="A310" t="str">
            <v>13001_7</v>
          </cell>
        </row>
        <row r="311">
          <cell r="A311" t="str">
            <v>13001_8</v>
          </cell>
        </row>
        <row r="312">
          <cell r="A312" t="str">
            <v>13001_9</v>
          </cell>
        </row>
        <row r="313">
          <cell r="A313" t="str">
            <v>13001_10</v>
          </cell>
        </row>
        <row r="314">
          <cell r="A314" t="str">
            <v>13001_11</v>
          </cell>
        </row>
        <row r="315">
          <cell r="A315" t="str">
            <v>13001_12</v>
          </cell>
        </row>
        <row r="316">
          <cell r="A316" t="str">
            <v>13001_13</v>
          </cell>
        </row>
        <row r="317">
          <cell r="A317" t="str">
            <v>13001_14</v>
          </cell>
        </row>
        <row r="318">
          <cell r="A318" t="str">
            <v>13001_15</v>
          </cell>
        </row>
        <row r="319">
          <cell r="A319" t="str">
            <v>13001_16</v>
          </cell>
        </row>
        <row r="320">
          <cell r="A320" t="str">
            <v>13001_17</v>
          </cell>
        </row>
        <row r="321">
          <cell r="A321" t="str">
            <v>13001_18</v>
          </cell>
        </row>
        <row r="322">
          <cell r="A322" t="str">
            <v>13001_19</v>
          </cell>
        </row>
        <row r="323">
          <cell r="A323" t="str">
            <v>13001_20</v>
          </cell>
        </row>
        <row r="324">
          <cell r="A324" t="str">
            <v>13001_21</v>
          </cell>
        </row>
        <row r="325">
          <cell r="A325" t="str">
            <v>13001_22</v>
          </cell>
        </row>
        <row r="326">
          <cell r="A326" t="str">
            <v>13001_23</v>
          </cell>
        </row>
        <row r="327">
          <cell r="A327" t="str">
            <v>13001_24</v>
          </cell>
        </row>
        <row r="328">
          <cell r="A328" t="str">
            <v>13001_25</v>
          </cell>
        </row>
        <row r="329">
          <cell r="A329" t="str">
            <v>14001_1</v>
          </cell>
        </row>
        <row r="330">
          <cell r="A330" t="str">
            <v>14001_2</v>
          </cell>
        </row>
        <row r="331">
          <cell r="A331" t="str">
            <v>14001_3</v>
          </cell>
        </row>
        <row r="332">
          <cell r="A332" t="str">
            <v>14001_4</v>
          </cell>
        </row>
        <row r="333">
          <cell r="A333" t="str">
            <v>14001_5</v>
          </cell>
        </row>
        <row r="334">
          <cell r="A334" t="str">
            <v>14001_6</v>
          </cell>
        </row>
        <row r="335">
          <cell r="A335" t="str">
            <v>14001_7</v>
          </cell>
        </row>
        <row r="336">
          <cell r="A336" t="str">
            <v>14001_8</v>
          </cell>
        </row>
        <row r="337">
          <cell r="A337" t="str">
            <v>14002_1</v>
          </cell>
        </row>
        <row r="338">
          <cell r="A338" t="str">
            <v>14002_2</v>
          </cell>
        </row>
        <row r="339">
          <cell r="A339" t="str">
            <v>14003_1</v>
          </cell>
        </row>
        <row r="340">
          <cell r="A340" t="str">
            <v>14003_2</v>
          </cell>
        </row>
        <row r="341">
          <cell r="A341" t="str">
            <v>14003_3</v>
          </cell>
        </row>
        <row r="342">
          <cell r="A342" t="str">
            <v>14003_4</v>
          </cell>
        </row>
        <row r="343">
          <cell r="A343" t="str">
            <v>14004_1</v>
          </cell>
        </row>
        <row r="344">
          <cell r="A344" t="str">
            <v>14004_2</v>
          </cell>
        </row>
        <row r="345">
          <cell r="A345" t="str">
            <v>14004_3</v>
          </cell>
        </row>
        <row r="346">
          <cell r="A346" t="str">
            <v>14004_4</v>
          </cell>
        </row>
        <row r="347">
          <cell r="A347" t="str">
            <v>14005_1</v>
          </cell>
        </row>
        <row r="348">
          <cell r="A348" t="str">
            <v>14006_1</v>
          </cell>
        </row>
        <row r="349">
          <cell r="A349" t="str">
            <v>15027_1</v>
          </cell>
        </row>
        <row r="350">
          <cell r="A350" t="str">
            <v>15027_2</v>
          </cell>
        </row>
        <row r="351">
          <cell r="A351" t="str">
            <v>15027_3</v>
          </cell>
        </row>
        <row r="352">
          <cell r="A352" t="str">
            <v>15027_4</v>
          </cell>
        </row>
        <row r="353">
          <cell r="A353" t="str">
            <v>15028_1</v>
          </cell>
        </row>
        <row r="354">
          <cell r="A354" t="str">
            <v>15028_2</v>
          </cell>
        </row>
        <row r="355">
          <cell r="A355" t="str">
            <v>15028_3</v>
          </cell>
        </row>
        <row r="356">
          <cell r="A356" t="str">
            <v>15028_4</v>
          </cell>
        </row>
        <row r="357">
          <cell r="A357" t="str">
            <v>15029_1</v>
          </cell>
        </row>
        <row r="358">
          <cell r="A358" t="str">
            <v>15029_2</v>
          </cell>
        </row>
        <row r="359">
          <cell r="A359" t="str">
            <v>15029_3</v>
          </cell>
        </row>
        <row r="360">
          <cell r="A360" t="str">
            <v>15029_4</v>
          </cell>
        </row>
        <row r="361">
          <cell r="A361" t="str">
            <v>15030_1</v>
          </cell>
        </row>
        <row r="362">
          <cell r="A362" t="str">
            <v>15030_2</v>
          </cell>
        </row>
        <row r="363">
          <cell r="A363" t="str">
            <v>15030_3</v>
          </cell>
        </row>
        <row r="364">
          <cell r="A364" t="str">
            <v>15030_4</v>
          </cell>
        </row>
        <row r="365">
          <cell r="A365" t="str">
            <v>15031_1</v>
          </cell>
        </row>
        <row r="366">
          <cell r="A366" t="str">
            <v>15031_2</v>
          </cell>
        </row>
        <row r="367">
          <cell r="A367" t="str">
            <v>15031_3</v>
          </cell>
        </row>
        <row r="368">
          <cell r="A368" t="str">
            <v>15031_4</v>
          </cell>
        </row>
        <row r="369">
          <cell r="A369" t="str">
            <v>20001_1</v>
          </cell>
        </row>
        <row r="370">
          <cell r="A370" t="str">
            <v>20001_2</v>
          </cell>
        </row>
        <row r="371">
          <cell r="A371" t="str">
            <v>20001_3</v>
          </cell>
        </row>
        <row r="372">
          <cell r="A372" t="str">
            <v>20002_1</v>
          </cell>
        </row>
        <row r="373">
          <cell r="A373" t="str">
            <v>20002_2</v>
          </cell>
        </row>
        <row r="374">
          <cell r="A374" t="str">
            <v>20002_3</v>
          </cell>
        </row>
        <row r="375">
          <cell r="A375" t="str">
            <v>20003_1</v>
          </cell>
        </row>
        <row r="376">
          <cell r="A376" t="str">
            <v>20003_2</v>
          </cell>
        </row>
        <row r="377">
          <cell r="A377" t="str">
            <v>20003_3</v>
          </cell>
        </row>
        <row r="378">
          <cell r="A378" t="str">
            <v>20004_1</v>
          </cell>
        </row>
        <row r="379">
          <cell r="A379" t="str">
            <v>20004_2</v>
          </cell>
        </row>
        <row r="380">
          <cell r="A380" t="str">
            <v>20004_3</v>
          </cell>
        </row>
        <row r="381">
          <cell r="A381" t="str">
            <v>20005_1</v>
          </cell>
        </row>
        <row r="382">
          <cell r="A382" t="str">
            <v>20005_2</v>
          </cell>
        </row>
        <row r="383">
          <cell r="A383" t="str">
            <v>20005_3</v>
          </cell>
        </row>
        <row r="384">
          <cell r="A384" t="str">
            <v>20006_1</v>
          </cell>
        </row>
        <row r="385">
          <cell r="A385" t="str">
            <v>20006_2</v>
          </cell>
        </row>
        <row r="386">
          <cell r="A386" t="str">
            <v>20006_3</v>
          </cell>
        </row>
        <row r="387">
          <cell r="A387" t="str">
            <v>20007_1</v>
          </cell>
        </row>
        <row r="388">
          <cell r="A388" t="str">
            <v>20007_2</v>
          </cell>
        </row>
        <row r="389">
          <cell r="A389" t="str">
            <v>20007_3</v>
          </cell>
        </row>
        <row r="390">
          <cell r="A390" t="str">
            <v>20008_1</v>
          </cell>
        </row>
        <row r="391">
          <cell r="A391" t="str">
            <v>20008_2</v>
          </cell>
        </row>
        <row r="392">
          <cell r="A392" t="str">
            <v>20008_3</v>
          </cell>
        </row>
        <row r="393">
          <cell r="A393" t="str">
            <v>20009_1</v>
          </cell>
        </row>
        <row r="394">
          <cell r="A394" t="str">
            <v>20009_2</v>
          </cell>
        </row>
        <row r="395">
          <cell r="A395" t="str">
            <v>20009_3</v>
          </cell>
        </row>
        <row r="396">
          <cell r="A396" t="str">
            <v>20010_1</v>
          </cell>
        </row>
        <row r="397">
          <cell r="A397" t="str">
            <v>20010_2</v>
          </cell>
        </row>
        <row r="398">
          <cell r="A398" t="str">
            <v>20010_3</v>
          </cell>
        </row>
        <row r="399">
          <cell r="A399" t="str">
            <v>20011_1</v>
          </cell>
        </row>
        <row r="400">
          <cell r="A400" t="str">
            <v>20011_2</v>
          </cell>
        </row>
        <row r="401">
          <cell r="A401" t="str">
            <v>20011_3</v>
          </cell>
        </row>
        <row r="402">
          <cell r="A402" t="str">
            <v>20012_1</v>
          </cell>
        </row>
        <row r="403">
          <cell r="A403" t="str">
            <v>20012_2</v>
          </cell>
        </row>
        <row r="404">
          <cell r="A404" t="str">
            <v>20012_3</v>
          </cell>
        </row>
        <row r="405">
          <cell r="A405" t="str">
            <v>20013_1</v>
          </cell>
        </row>
        <row r="406">
          <cell r="A406" t="str">
            <v>20013_2</v>
          </cell>
        </row>
        <row r="407">
          <cell r="A407" t="str">
            <v>20013_3</v>
          </cell>
        </row>
        <row r="408">
          <cell r="A408" t="str">
            <v>20014_1</v>
          </cell>
        </row>
        <row r="409">
          <cell r="A409" t="str">
            <v>20014_2</v>
          </cell>
        </row>
        <row r="410">
          <cell r="A410" t="str">
            <v>20014_3</v>
          </cell>
        </row>
        <row r="411">
          <cell r="A411" t="str">
            <v>20015_1</v>
          </cell>
        </row>
        <row r="412">
          <cell r="A412" t="str">
            <v>20015_2</v>
          </cell>
        </row>
        <row r="413">
          <cell r="A413" t="str">
            <v>20015_3</v>
          </cell>
        </row>
        <row r="414">
          <cell r="A414" t="str">
            <v>20016_1</v>
          </cell>
        </row>
        <row r="415">
          <cell r="A415" t="str">
            <v>20016_2</v>
          </cell>
        </row>
        <row r="416">
          <cell r="A416" t="str">
            <v>20016_3</v>
          </cell>
        </row>
        <row r="417">
          <cell r="A417" t="str">
            <v>20017_1</v>
          </cell>
        </row>
        <row r="418">
          <cell r="A418" t="str">
            <v>20017_2</v>
          </cell>
        </row>
        <row r="419">
          <cell r="A419" t="str">
            <v>20017_3</v>
          </cell>
        </row>
        <row r="420">
          <cell r="A420" t="str">
            <v>20018_1</v>
          </cell>
        </row>
        <row r="421">
          <cell r="A421" t="str">
            <v>20018_2</v>
          </cell>
        </row>
        <row r="422">
          <cell r="A422" t="str">
            <v>20018_3</v>
          </cell>
        </row>
        <row r="423">
          <cell r="A423" t="str">
            <v>20019_1</v>
          </cell>
        </row>
        <row r="424">
          <cell r="A424" t="str">
            <v>20019_2</v>
          </cell>
        </row>
        <row r="425">
          <cell r="A425" t="str">
            <v>20019_3</v>
          </cell>
        </row>
        <row r="426">
          <cell r="A426" t="str">
            <v>20020_1</v>
          </cell>
        </row>
        <row r="427">
          <cell r="A427" t="str">
            <v>20020_2</v>
          </cell>
        </row>
        <row r="428">
          <cell r="A428" t="str">
            <v>20020_3</v>
          </cell>
        </row>
        <row r="429">
          <cell r="A429" t="str">
            <v>30001_1</v>
          </cell>
        </row>
        <row r="430">
          <cell r="A430" t="str">
            <v>30001_2</v>
          </cell>
        </row>
        <row r="431">
          <cell r="A431" t="str">
            <v>30001_3</v>
          </cell>
        </row>
        <row r="432">
          <cell r="A432" t="str">
            <v>30002_1</v>
          </cell>
        </row>
        <row r="433">
          <cell r="A433" t="str">
            <v>30002_2</v>
          </cell>
        </row>
        <row r="434">
          <cell r="A434" t="str">
            <v>30002_3</v>
          </cell>
        </row>
        <row r="435">
          <cell r="A435" t="str">
            <v>30003_1</v>
          </cell>
        </row>
        <row r="436">
          <cell r="A436" t="str">
            <v>30003_2</v>
          </cell>
        </row>
        <row r="437">
          <cell r="A437" t="str">
            <v>30003_3</v>
          </cell>
        </row>
        <row r="438">
          <cell r="A438" t="str">
            <v>30004_1</v>
          </cell>
        </row>
        <row r="439">
          <cell r="A439" t="str">
            <v>30004_2</v>
          </cell>
        </row>
        <row r="440">
          <cell r="A440" t="str">
            <v>30004_3</v>
          </cell>
        </row>
        <row r="441">
          <cell r="A441" t="str">
            <v>30005_1</v>
          </cell>
        </row>
        <row r="442">
          <cell r="A442" t="str">
            <v>30005_2</v>
          </cell>
        </row>
        <row r="443">
          <cell r="A443" t="str">
            <v>30005_3</v>
          </cell>
        </row>
        <row r="444">
          <cell r="A444" t="str">
            <v>30006_1</v>
          </cell>
        </row>
        <row r="445">
          <cell r="A445" t="str">
            <v>30006_2</v>
          </cell>
        </row>
        <row r="446">
          <cell r="A446" t="str">
            <v>30006_3</v>
          </cell>
        </row>
        <row r="447">
          <cell r="A447" t="str">
            <v>30007_1</v>
          </cell>
        </row>
        <row r="448">
          <cell r="A448" t="str">
            <v>30007_2</v>
          </cell>
        </row>
        <row r="449">
          <cell r="A449" t="str">
            <v>30007_3</v>
          </cell>
        </row>
        <row r="450">
          <cell r="A450" t="str">
            <v>30008_1</v>
          </cell>
        </row>
        <row r="451">
          <cell r="A451" t="str">
            <v>30008_2</v>
          </cell>
        </row>
        <row r="452">
          <cell r="A452" t="str">
            <v>30008_3</v>
          </cell>
        </row>
        <row r="453">
          <cell r="A453" t="str">
            <v>30009_3</v>
          </cell>
        </row>
        <row r="454">
          <cell r="A454" t="str">
            <v>30009_1</v>
          </cell>
        </row>
        <row r="455">
          <cell r="A455" t="str">
            <v>30009_2</v>
          </cell>
        </row>
        <row r="456">
          <cell r="A456" t="str">
            <v>30010_1</v>
          </cell>
        </row>
        <row r="457">
          <cell r="A457" t="str">
            <v>30010_2</v>
          </cell>
        </row>
        <row r="458">
          <cell r="A458" t="str">
            <v>30010_3</v>
          </cell>
        </row>
        <row r="459">
          <cell r="A459" t="str">
            <v>30011_1</v>
          </cell>
        </row>
        <row r="460">
          <cell r="A460" t="str">
            <v>30011_2</v>
          </cell>
        </row>
        <row r="461">
          <cell r="A461" t="str">
            <v>30011_3</v>
          </cell>
        </row>
        <row r="462">
          <cell r="A462" t="str">
            <v>30012_1</v>
          </cell>
        </row>
        <row r="463">
          <cell r="A463" t="str">
            <v>30012_2</v>
          </cell>
        </row>
        <row r="464">
          <cell r="A464" t="str">
            <v>30012_3</v>
          </cell>
        </row>
        <row r="465">
          <cell r="A465" t="str">
            <v>30013_1</v>
          </cell>
        </row>
        <row r="466">
          <cell r="A466" t="str">
            <v>30013_2</v>
          </cell>
        </row>
        <row r="467">
          <cell r="A467" t="str">
            <v>30014_1</v>
          </cell>
        </row>
        <row r="468">
          <cell r="A468" t="str">
            <v>30014_2</v>
          </cell>
        </row>
        <row r="469">
          <cell r="A469" t="str">
            <v>30015_1</v>
          </cell>
        </row>
        <row r="470">
          <cell r="A470" t="str">
            <v>30015_2</v>
          </cell>
        </row>
        <row r="471">
          <cell r="A471" t="str">
            <v>30016_1</v>
          </cell>
        </row>
        <row r="472">
          <cell r="A472" t="str">
            <v>30016_2</v>
          </cell>
        </row>
        <row r="473">
          <cell r="A473" t="str">
            <v>30017_1</v>
          </cell>
        </row>
        <row r="474">
          <cell r="A474" t="str">
            <v>30017_2</v>
          </cell>
        </row>
        <row r="475">
          <cell r="A475" t="str">
            <v>30018_1</v>
          </cell>
        </row>
        <row r="476">
          <cell r="A476" t="str">
            <v>30018_2</v>
          </cell>
        </row>
        <row r="477">
          <cell r="A477" t="str">
            <v>30019_1</v>
          </cell>
        </row>
        <row r="478">
          <cell r="A478" t="str">
            <v>30019_2</v>
          </cell>
        </row>
        <row r="479">
          <cell r="A479" t="str">
            <v>30020_1</v>
          </cell>
        </row>
        <row r="480">
          <cell r="A480" t="str">
            <v>30020_2</v>
          </cell>
        </row>
        <row r="481">
          <cell r="A481" t="str">
            <v>30021_1</v>
          </cell>
        </row>
        <row r="482">
          <cell r="A482" t="str">
            <v>30021_2</v>
          </cell>
        </row>
        <row r="483">
          <cell r="A483" t="str">
            <v>30021_3</v>
          </cell>
        </row>
        <row r="484">
          <cell r="A484" t="str">
            <v>30022_1</v>
          </cell>
        </row>
        <row r="485">
          <cell r="A485" t="str">
            <v>30022_2</v>
          </cell>
        </row>
        <row r="486">
          <cell r="A486" t="str">
            <v>30023_1</v>
          </cell>
        </row>
        <row r="487">
          <cell r="A487" t="str">
            <v>30023_2</v>
          </cell>
        </row>
        <row r="488">
          <cell r="A488" t="str">
            <v>30023_3</v>
          </cell>
        </row>
        <row r="489">
          <cell r="A489" t="str">
            <v>30024_1</v>
          </cell>
        </row>
        <row r="490">
          <cell r="A490" t="str">
            <v>30024_2</v>
          </cell>
        </row>
        <row r="491">
          <cell r="A491" t="str">
            <v>30024_3</v>
          </cell>
        </row>
        <row r="492">
          <cell r="A492" t="str">
            <v>30025_1</v>
          </cell>
        </row>
        <row r="493">
          <cell r="A493" t="str">
            <v>30025_2</v>
          </cell>
        </row>
        <row r="494">
          <cell r="A494" t="str">
            <v>30025_3</v>
          </cell>
        </row>
        <row r="495">
          <cell r="A495" t="str">
            <v>30026_1</v>
          </cell>
        </row>
        <row r="496">
          <cell r="A496" t="str">
            <v>30026_2</v>
          </cell>
        </row>
        <row r="497">
          <cell r="A497" t="str">
            <v>30026_3</v>
          </cell>
        </row>
        <row r="498">
          <cell r="A498" t="str">
            <v>30027_1</v>
          </cell>
        </row>
        <row r="499">
          <cell r="A499" t="str">
            <v>30027_2</v>
          </cell>
        </row>
        <row r="500">
          <cell r="A500" t="str">
            <v>30027_3</v>
          </cell>
        </row>
        <row r="501">
          <cell r="A501" t="str">
            <v>30028_1</v>
          </cell>
        </row>
        <row r="502">
          <cell r="A502" t="str">
            <v>30028_2</v>
          </cell>
        </row>
        <row r="503">
          <cell r="A503" t="str">
            <v>30028_3</v>
          </cell>
        </row>
        <row r="504">
          <cell r="A504" t="str">
            <v>30029_1</v>
          </cell>
        </row>
        <row r="505">
          <cell r="A505" t="str">
            <v>30029_2</v>
          </cell>
        </row>
        <row r="506">
          <cell r="A506" t="str">
            <v>30029_3</v>
          </cell>
        </row>
        <row r="507">
          <cell r="A507" t="str">
            <v>30030_1</v>
          </cell>
        </row>
        <row r="508">
          <cell r="A508" t="str">
            <v>30030_2</v>
          </cell>
        </row>
        <row r="509">
          <cell r="A509" t="str">
            <v>30030_3</v>
          </cell>
        </row>
        <row r="510">
          <cell r="A510" t="str">
            <v>30031_1</v>
          </cell>
        </row>
        <row r="511">
          <cell r="A511" t="str">
            <v>30031_2</v>
          </cell>
        </row>
        <row r="512">
          <cell r="A512" t="str">
            <v>30031_3</v>
          </cell>
        </row>
        <row r="513">
          <cell r="A513" t="str">
            <v>30032_1</v>
          </cell>
        </row>
        <row r="514">
          <cell r="A514" t="str">
            <v>30032_2</v>
          </cell>
        </row>
        <row r="515">
          <cell r="A515" t="str">
            <v>30032_3</v>
          </cell>
        </row>
        <row r="516">
          <cell r="A516" t="str">
            <v>30033_1</v>
          </cell>
        </row>
        <row r="517">
          <cell r="A517" t="str">
            <v>30033_2</v>
          </cell>
        </row>
        <row r="518">
          <cell r="A518" t="str">
            <v>30033_3</v>
          </cell>
        </row>
        <row r="519">
          <cell r="A519" t="str">
            <v>30034_1</v>
          </cell>
        </row>
        <row r="520">
          <cell r="A520" t="str">
            <v>30034_2</v>
          </cell>
        </row>
        <row r="521">
          <cell r="A521" t="str">
            <v>30034_3</v>
          </cell>
        </row>
        <row r="522">
          <cell r="A522" t="str">
            <v>30035_1</v>
          </cell>
        </row>
        <row r="523">
          <cell r="A523" t="str">
            <v>30035_2</v>
          </cell>
        </row>
        <row r="524">
          <cell r="A524" t="str">
            <v>30035_3</v>
          </cell>
        </row>
        <row r="525">
          <cell r="A525" t="str">
            <v>30036_1</v>
          </cell>
        </row>
        <row r="526">
          <cell r="A526" t="str">
            <v>30036_2</v>
          </cell>
        </row>
        <row r="527">
          <cell r="A527" t="str">
            <v>30036_3</v>
          </cell>
        </row>
        <row r="528">
          <cell r="A528" t="str">
            <v>30037_1</v>
          </cell>
        </row>
        <row r="529">
          <cell r="A529" t="str">
            <v>30037_2</v>
          </cell>
        </row>
        <row r="530">
          <cell r="A530" t="str">
            <v>30037_3</v>
          </cell>
        </row>
        <row r="531">
          <cell r="A531" t="str">
            <v>30038_1</v>
          </cell>
        </row>
        <row r="532">
          <cell r="A532" t="str">
            <v>30038_2</v>
          </cell>
        </row>
        <row r="533">
          <cell r="A533" t="str">
            <v>30038_3</v>
          </cell>
        </row>
        <row r="534">
          <cell r="A534" t="str">
            <v>30039_1</v>
          </cell>
        </row>
        <row r="535">
          <cell r="A535" t="str">
            <v>30039_2</v>
          </cell>
        </row>
        <row r="536">
          <cell r="A536" t="str">
            <v>30039_3</v>
          </cell>
        </row>
        <row r="537">
          <cell r="A537" t="str">
            <v>30040_1</v>
          </cell>
        </row>
        <row r="538">
          <cell r="A538" t="str">
            <v>30040_2</v>
          </cell>
        </row>
        <row r="539">
          <cell r="A539" t="str">
            <v>30040_3</v>
          </cell>
        </row>
        <row r="540">
          <cell r="A540" t="str">
            <v>39001_1</v>
          </cell>
        </row>
        <row r="541">
          <cell r="A541" t="str">
            <v>39001_2</v>
          </cell>
        </row>
        <row r="542">
          <cell r="A542" t="str">
            <v>39001_3</v>
          </cell>
        </row>
        <row r="543">
          <cell r="A543" t="str">
            <v>39001_4</v>
          </cell>
        </row>
        <row r="544">
          <cell r="A544" t="str">
            <v>39001_5</v>
          </cell>
        </row>
        <row r="545">
          <cell r="A545" t="str">
            <v>39002_1</v>
          </cell>
        </row>
        <row r="546">
          <cell r="A546" t="str">
            <v>39002_2</v>
          </cell>
        </row>
        <row r="547">
          <cell r="A547" t="str">
            <v>39002_3</v>
          </cell>
        </row>
        <row r="548">
          <cell r="A548" t="str">
            <v>39002_4</v>
          </cell>
        </row>
        <row r="549">
          <cell r="A549" t="str">
            <v>39003_1</v>
          </cell>
        </row>
        <row r="550">
          <cell r="A550" t="str">
            <v>39003_2</v>
          </cell>
        </row>
        <row r="551">
          <cell r="A551" t="str">
            <v>39003_3</v>
          </cell>
        </row>
        <row r="552">
          <cell r="A552" t="str">
            <v>39003_4</v>
          </cell>
        </row>
        <row r="553">
          <cell r="A553" t="str">
            <v>39004_1</v>
          </cell>
        </row>
        <row r="554">
          <cell r="A554" t="str">
            <v>39004_2</v>
          </cell>
        </row>
        <row r="555">
          <cell r="A555" t="str">
            <v>39004_3</v>
          </cell>
        </row>
        <row r="556">
          <cell r="A556" t="str">
            <v>39004_4</v>
          </cell>
        </row>
        <row r="557">
          <cell r="A557" t="str">
            <v>39005_1</v>
          </cell>
        </row>
        <row r="558">
          <cell r="A558" t="str">
            <v>39005_2</v>
          </cell>
        </row>
        <row r="559">
          <cell r="A559" t="str">
            <v>39005_3</v>
          </cell>
        </row>
        <row r="560">
          <cell r="A560" t="str">
            <v>39005_4</v>
          </cell>
        </row>
        <row r="561">
          <cell r="A561" t="str">
            <v>39005_5</v>
          </cell>
        </row>
        <row r="562">
          <cell r="A562" t="str">
            <v>39006_1</v>
          </cell>
        </row>
        <row r="563">
          <cell r="A563" t="str">
            <v>39006_2</v>
          </cell>
        </row>
        <row r="564">
          <cell r="A564" t="str">
            <v>39006_3</v>
          </cell>
        </row>
        <row r="565">
          <cell r="A565" t="str">
            <v>39006_4</v>
          </cell>
        </row>
        <row r="566">
          <cell r="A566" t="str">
            <v>39007_1</v>
          </cell>
        </row>
        <row r="567">
          <cell r="A567" t="str">
            <v>39007_2</v>
          </cell>
        </row>
        <row r="568">
          <cell r="A568" t="str">
            <v>39007_3</v>
          </cell>
        </row>
        <row r="569">
          <cell r="A569" t="str">
            <v>39007_4</v>
          </cell>
        </row>
        <row r="570">
          <cell r="A570" t="str">
            <v>40001_1</v>
          </cell>
        </row>
        <row r="571">
          <cell r="A571" t="str">
            <v>40002_1</v>
          </cell>
        </row>
        <row r="572">
          <cell r="A572" t="str">
            <v>40002_2</v>
          </cell>
        </row>
        <row r="573">
          <cell r="A573" t="str">
            <v>40002_3</v>
          </cell>
        </row>
        <row r="574">
          <cell r="A574" t="str">
            <v>40003_1</v>
          </cell>
        </row>
        <row r="575">
          <cell r="A575" t="str">
            <v>40004_1</v>
          </cell>
        </row>
        <row r="576">
          <cell r="A576" t="str">
            <v>40005_1</v>
          </cell>
        </row>
        <row r="577">
          <cell r="A577" t="str">
            <v>40006_1</v>
          </cell>
        </row>
        <row r="578">
          <cell r="A578" t="str">
            <v>40007_1</v>
          </cell>
        </row>
        <row r="579">
          <cell r="A579" t="str">
            <v>40008_1</v>
          </cell>
        </row>
        <row r="580">
          <cell r="A580" t="str">
            <v>40009_1</v>
          </cell>
        </row>
        <row r="581">
          <cell r="A581" t="str">
            <v>40010_1</v>
          </cell>
        </row>
        <row r="582">
          <cell r="A582" t="str">
            <v>40011_1</v>
          </cell>
        </row>
        <row r="583">
          <cell r="A583" t="str">
            <v>40012_1</v>
          </cell>
        </row>
        <row r="584">
          <cell r="A584" t="str">
            <v>40013_1</v>
          </cell>
        </row>
        <row r="585">
          <cell r="A585" t="str">
            <v>40014_1</v>
          </cell>
        </row>
        <row r="586">
          <cell r="A586" t="str">
            <v>40015_1</v>
          </cell>
        </row>
        <row r="587">
          <cell r="A587" t="str">
            <v>40016_1</v>
          </cell>
        </row>
        <row r="588">
          <cell r="A588" t="str">
            <v>40016_2</v>
          </cell>
        </row>
        <row r="589">
          <cell r="A589" t="str">
            <v>40017_1</v>
          </cell>
        </row>
        <row r="590">
          <cell r="A590" t="str">
            <v>40017_2</v>
          </cell>
        </row>
        <row r="591">
          <cell r="A591" t="str">
            <v>40017_3</v>
          </cell>
        </row>
        <row r="592">
          <cell r="A592" t="str">
            <v>40018_1</v>
          </cell>
        </row>
        <row r="593">
          <cell r="A593" t="str">
            <v>40018_2</v>
          </cell>
        </row>
        <row r="594">
          <cell r="A594" t="str">
            <v>40018_3</v>
          </cell>
        </row>
        <row r="595">
          <cell r="A595" t="str">
            <v>40019_1</v>
          </cell>
        </row>
        <row r="596">
          <cell r="A596" t="str">
            <v>40019_2</v>
          </cell>
        </row>
        <row r="597">
          <cell r="A597" t="str">
            <v>40019_3</v>
          </cell>
        </row>
        <row r="598">
          <cell r="A598" t="str">
            <v>40021_1</v>
          </cell>
        </row>
        <row r="599">
          <cell r="A599" t="str">
            <v>40021_2</v>
          </cell>
        </row>
        <row r="600">
          <cell r="A600" t="str">
            <v>40022_1</v>
          </cell>
        </row>
        <row r="601">
          <cell r="A601" t="str">
            <v>40022_2</v>
          </cell>
        </row>
        <row r="602">
          <cell r="A602" t="str">
            <v>40023_1</v>
          </cell>
        </row>
        <row r="603">
          <cell r="A603" t="str">
            <v>40023_2</v>
          </cell>
        </row>
        <row r="604">
          <cell r="A604" t="str">
            <v>40024_1</v>
          </cell>
        </row>
        <row r="605">
          <cell r="A605" t="str">
            <v>40024_2</v>
          </cell>
        </row>
        <row r="606">
          <cell r="A606" t="str">
            <v>48001_1</v>
          </cell>
        </row>
        <row r="607">
          <cell r="A607" t="str">
            <v>48002_1</v>
          </cell>
        </row>
        <row r="608">
          <cell r="A608" t="str">
            <v>48002_2</v>
          </cell>
        </row>
        <row r="609">
          <cell r="A609" t="str">
            <v>48002_3</v>
          </cell>
        </row>
        <row r="610">
          <cell r="A610" t="str">
            <v>48003_1</v>
          </cell>
        </row>
        <row r="611">
          <cell r="A611" t="str">
            <v>48003_2</v>
          </cell>
        </row>
        <row r="612">
          <cell r="A612" t="str">
            <v>48003_3</v>
          </cell>
        </row>
        <row r="613">
          <cell r="A613" t="str">
            <v>48004_1</v>
          </cell>
        </row>
        <row r="614">
          <cell r="A614" t="str">
            <v>48004_2</v>
          </cell>
        </row>
        <row r="615">
          <cell r="A615" t="str">
            <v>41001_1</v>
          </cell>
        </row>
        <row r="616">
          <cell r="A616" t="str">
            <v>41001_2</v>
          </cell>
        </row>
        <row r="617">
          <cell r="A617" t="str">
            <v>41001_3</v>
          </cell>
        </row>
        <row r="618">
          <cell r="A618" t="str">
            <v>41002_1</v>
          </cell>
        </row>
        <row r="619">
          <cell r="A619" t="str">
            <v>41002_2</v>
          </cell>
        </row>
        <row r="620">
          <cell r="A620" t="str">
            <v>41002_3</v>
          </cell>
        </row>
        <row r="621">
          <cell r="A621" t="str">
            <v>41003_1</v>
          </cell>
        </row>
        <row r="622">
          <cell r="A622" t="str">
            <v>41003_2</v>
          </cell>
        </row>
        <row r="623">
          <cell r="A623" t="str">
            <v>41003_3</v>
          </cell>
        </row>
        <row r="624">
          <cell r="A624" t="str">
            <v>41004_1</v>
          </cell>
        </row>
        <row r="625">
          <cell r="A625" t="str">
            <v>41004_2</v>
          </cell>
        </row>
        <row r="626">
          <cell r="A626" t="str">
            <v>41004_3</v>
          </cell>
        </row>
        <row r="627">
          <cell r="A627" t="str">
            <v>41005_1</v>
          </cell>
        </row>
        <row r="628">
          <cell r="A628" t="str">
            <v>41005_2</v>
          </cell>
        </row>
        <row r="629">
          <cell r="A629" t="str">
            <v>41005_3</v>
          </cell>
        </row>
        <row r="630">
          <cell r="A630" t="str">
            <v>41006_1</v>
          </cell>
        </row>
        <row r="631">
          <cell r="A631" t="str">
            <v>41006_2</v>
          </cell>
        </row>
        <row r="632">
          <cell r="A632" t="str">
            <v>41006_3</v>
          </cell>
        </row>
        <row r="633">
          <cell r="A633" t="str">
            <v>41007_1</v>
          </cell>
        </row>
        <row r="634">
          <cell r="A634" t="str">
            <v>41007_2</v>
          </cell>
        </row>
        <row r="635">
          <cell r="A635" t="str">
            <v>41007_3</v>
          </cell>
        </row>
        <row r="636">
          <cell r="A636" t="str">
            <v>41008_1</v>
          </cell>
        </row>
        <row r="637">
          <cell r="A637" t="str">
            <v>41008_2</v>
          </cell>
        </row>
        <row r="638">
          <cell r="A638" t="str">
            <v>41008_3</v>
          </cell>
        </row>
        <row r="639">
          <cell r="A639" t="str">
            <v>41009_1</v>
          </cell>
        </row>
        <row r="640">
          <cell r="A640" t="str">
            <v>41009_2</v>
          </cell>
        </row>
        <row r="641">
          <cell r="A641" t="str">
            <v>41009_3</v>
          </cell>
        </row>
        <row r="642">
          <cell r="A642" t="str">
            <v>41010_1</v>
          </cell>
        </row>
        <row r="643">
          <cell r="A643" t="str">
            <v>41010_2</v>
          </cell>
        </row>
        <row r="644">
          <cell r="A644" t="str">
            <v>41010_3</v>
          </cell>
        </row>
        <row r="645">
          <cell r="A645" t="str">
            <v>41011_1</v>
          </cell>
        </row>
        <row r="646">
          <cell r="A646" t="str">
            <v>41011_2</v>
          </cell>
        </row>
        <row r="647">
          <cell r="A647" t="str">
            <v>41012_1</v>
          </cell>
        </row>
        <row r="648">
          <cell r="A648" t="str">
            <v>41012_2</v>
          </cell>
        </row>
        <row r="649">
          <cell r="A649" t="str">
            <v>41013_1</v>
          </cell>
        </row>
        <row r="650">
          <cell r="A650" t="str">
            <v>41013_2</v>
          </cell>
        </row>
        <row r="651">
          <cell r="A651" t="str">
            <v>41014_1</v>
          </cell>
        </row>
        <row r="652">
          <cell r="A652" t="str">
            <v>41014_2</v>
          </cell>
        </row>
        <row r="653">
          <cell r="A653" t="str">
            <v>41015_1</v>
          </cell>
        </row>
        <row r="654">
          <cell r="A654" t="str">
            <v>41015_2</v>
          </cell>
        </row>
        <row r="655">
          <cell r="A655" t="str">
            <v>47001_1</v>
          </cell>
        </row>
        <row r="656">
          <cell r="A656" t="str">
            <v>47001_2</v>
          </cell>
        </row>
        <row r="657">
          <cell r="A657" t="str">
            <v>47002_1</v>
          </cell>
        </row>
        <row r="658">
          <cell r="A658" t="str">
            <v>47002_2</v>
          </cell>
        </row>
        <row r="659">
          <cell r="A659" t="str">
            <v>49001_1</v>
          </cell>
        </row>
        <row r="660">
          <cell r="A660" t="str">
            <v>49002_1</v>
          </cell>
        </row>
        <row r="661">
          <cell r="A661" t="str">
            <v>49002_2</v>
          </cell>
        </row>
        <row r="662">
          <cell r="A662" t="str">
            <v>49003_1</v>
          </cell>
        </row>
        <row r="663">
          <cell r="A663" t="str">
            <v>49003_2</v>
          </cell>
        </row>
        <row r="664">
          <cell r="A664" t="str">
            <v>49004_1</v>
          </cell>
        </row>
        <row r="665">
          <cell r="A665" t="str">
            <v>49004_2</v>
          </cell>
        </row>
        <row r="666">
          <cell r="A666" t="str">
            <v>49004_3</v>
          </cell>
        </row>
        <row r="667">
          <cell r="A667" t="str">
            <v>49005_1</v>
          </cell>
        </row>
        <row r="668">
          <cell r="A668" t="str">
            <v>49006_1</v>
          </cell>
        </row>
        <row r="669">
          <cell r="A669" t="str">
            <v>49006_2</v>
          </cell>
        </row>
        <row r="670">
          <cell r="A670" t="str">
            <v>49007_1</v>
          </cell>
        </row>
        <row r="671">
          <cell r="A671" t="str">
            <v>49007_2</v>
          </cell>
        </row>
        <row r="672">
          <cell r="A672" t="str">
            <v>49007_3</v>
          </cell>
        </row>
        <row r="673">
          <cell r="A673" t="str">
            <v>50001_1</v>
          </cell>
        </row>
        <row r="674">
          <cell r="A674" t="str">
            <v>50002_1</v>
          </cell>
        </row>
        <row r="675">
          <cell r="A675" t="str">
            <v>50003_1</v>
          </cell>
        </row>
        <row r="676">
          <cell r="A676" t="str">
            <v>50004_1</v>
          </cell>
        </row>
        <row r="677">
          <cell r="A677" t="str">
            <v>50005_1</v>
          </cell>
        </row>
        <row r="678">
          <cell r="A678" t="str">
            <v>50006_1</v>
          </cell>
        </row>
        <row r="679">
          <cell r="A679" t="str">
            <v>50007_1</v>
          </cell>
        </row>
        <row r="680">
          <cell r="A680" t="str">
            <v>51001_1</v>
          </cell>
        </row>
        <row r="681">
          <cell r="A681" t="str">
            <v>51002_1</v>
          </cell>
        </row>
        <row r="682">
          <cell r="A682" t="str">
            <v>60001_1</v>
          </cell>
        </row>
        <row r="683">
          <cell r="A683" t="str">
            <v>60002_1</v>
          </cell>
        </row>
        <row r="684">
          <cell r="A684" t="str">
            <v>60002_2</v>
          </cell>
        </row>
        <row r="685">
          <cell r="A685" t="str">
            <v>60003_1</v>
          </cell>
        </row>
        <row r="686">
          <cell r="A686" t="str">
            <v>60003_2</v>
          </cell>
        </row>
        <row r="687">
          <cell r="A687" t="str">
            <v>60003_3</v>
          </cell>
        </row>
        <row r="688">
          <cell r="A688" t="str">
            <v>60004_1</v>
          </cell>
        </row>
        <row r="689">
          <cell r="A689" t="str">
            <v>60005_1</v>
          </cell>
        </row>
        <row r="690">
          <cell r="A690" t="str">
            <v>60006_1</v>
          </cell>
        </row>
        <row r="691">
          <cell r="A691" t="str">
            <v>60006_2</v>
          </cell>
        </row>
        <row r="692">
          <cell r="A692" t="str">
            <v>60006_3</v>
          </cell>
        </row>
        <row r="693">
          <cell r="A693" t="str">
            <v>60007_1</v>
          </cell>
        </row>
        <row r="694">
          <cell r="A694" t="str">
            <v>60007_2</v>
          </cell>
        </row>
        <row r="695">
          <cell r="A695" t="str">
            <v>60007_3</v>
          </cell>
        </row>
        <row r="696">
          <cell r="A696" t="str">
            <v>60010_1</v>
          </cell>
        </row>
        <row r="697">
          <cell r="A697" t="str">
            <v>60011_1</v>
          </cell>
        </row>
        <row r="698">
          <cell r="A698" t="str">
            <v>60011_2</v>
          </cell>
        </row>
        <row r="699">
          <cell r="A699" t="str">
            <v>61011_1</v>
          </cell>
        </row>
        <row r="700">
          <cell r="A700" t="str">
            <v>60012_1</v>
          </cell>
        </row>
        <row r="701">
          <cell r="A701" t="str">
            <v>60013_1</v>
          </cell>
        </row>
        <row r="702">
          <cell r="A702" t="str">
            <v>60013_2</v>
          </cell>
        </row>
        <row r="703">
          <cell r="A703" t="str">
            <v>60013_3</v>
          </cell>
        </row>
        <row r="704">
          <cell r="A704" t="str">
            <v>60014_1</v>
          </cell>
        </row>
        <row r="705">
          <cell r="A705" t="str">
            <v>65533_1</v>
          </cell>
        </row>
        <row r="706">
          <cell r="A706" t="str">
            <v>65533_2</v>
          </cell>
        </row>
        <row r="707">
          <cell r="A707" t="str">
            <v>65534_1</v>
          </cell>
        </row>
        <row r="708">
          <cell r="A708" t="str">
            <v>65535_1</v>
          </cell>
        </row>
        <row r="709">
          <cell r="A709" t="str">
            <v>65535_2</v>
          </cell>
        </row>
        <row r="710">
          <cell r="A710" t="str">
            <v>65535_3</v>
          </cell>
        </row>
        <row r="711">
          <cell r="A711" t="str">
            <v>65535_4</v>
          </cell>
        </row>
        <row r="712">
          <cell r="A712" t="str">
            <v>65535_5</v>
          </cell>
        </row>
        <row r="713">
          <cell r="A713" t="str">
            <v>65535_6</v>
          </cell>
        </row>
        <row r="714">
          <cell r="A714" t="str">
            <v>65535_7</v>
          </cell>
        </row>
        <row r="715">
          <cell r="A715" t="str">
            <v>65535_8</v>
          </cell>
        </row>
        <row r="716">
          <cell r="A716" t="str">
            <v>60021_3</v>
          </cell>
        </row>
        <row r="717">
          <cell r="A717" t="str">
            <v>60022_3</v>
          </cell>
        </row>
        <row r="718">
          <cell r="A718" t="str">
            <v>60023_3</v>
          </cell>
        </row>
        <row r="719">
          <cell r="A719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1079</v>
          </cell>
        </row>
        <row r="1061">
          <cell r="A1061">
            <v>1080</v>
          </cell>
        </row>
        <row r="1062">
          <cell r="A1062">
            <v>1081</v>
          </cell>
        </row>
        <row r="1063">
          <cell r="A1063">
            <v>1082</v>
          </cell>
        </row>
        <row r="1064">
          <cell r="A1064">
            <v>6001</v>
          </cell>
        </row>
        <row r="1065">
          <cell r="A1065">
            <v>6002</v>
          </cell>
        </row>
        <row r="1066">
          <cell r="A1066">
            <v>6003</v>
          </cell>
        </row>
        <row r="1067">
          <cell r="A1067">
            <v>6004</v>
          </cell>
        </row>
        <row r="1068">
          <cell r="A1068">
            <v>6005</v>
          </cell>
        </row>
        <row r="1069">
          <cell r="A1069">
            <v>6006</v>
          </cell>
        </row>
        <row r="1070">
          <cell r="A1070">
            <v>6007</v>
          </cell>
        </row>
        <row r="1071">
          <cell r="A1071">
            <v>6008</v>
          </cell>
        </row>
        <row r="1072">
          <cell r="A1072">
            <v>6009</v>
          </cell>
        </row>
        <row r="1073">
          <cell r="A1073">
            <v>6010</v>
          </cell>
        </row>
        <row r="1074">
          <cell r="A1074">
            <v>6011</v>
          </cell>
        </row>
        <row r="1075">
          <cell r="A1075">
            <v>6012</v>
          </cell>
        </row>
        <row r="1076">
          <cell r="A1076">
            <v>6013</v>
          </cell>
        </row>
        <row r="1077">
          <cell r="A1077">
            <v>6014</v>
          </cell>
        </row>
        <row r="1078">
          <cell r="A1078">
            <v>6015</v>
          </cell>
        </row>
        <row r="1079">
          <cell r="A1079">
            <v>6016</v>
          </cell>
        </row>
        <row r="1080">
          <cell r="A1080">
            <v>6017</v>
          </cell>
        </row>
        <row r="1081">
          <cell r="A1081">
            <v>6018</v>
          </cell>
        </row>
        <row r="1082">
          <cell r="A1082">
            <v>6019</v>
          </cell>
        </row>
        <row r="1083">
          <cell r="A1083">
            <v>6020</v>
          </cell>
        </row>
        <row r="1084">
          <cell r="A1084">
            <v>8001</v>
          </cell>
        </row>
        <row r="1085">
          <cell r="A1085">
            <v>8002</v>
          </cell>
        </row>
        <row r="1086">
          <cell r="A1086">
            <v>8003</v>
          </cell>
        </row>
        <row r="1087">
          <cell r="A1087">
            <v>8004</v>
          </cell>
        </row>
        <row r="1088">
          <cell r="A1088">
            <v>8005</v>
          </cell>
        </row>
        <row r="1089">
          <cell r="A1089">
            <v>8006</v>
          </cell>
        </row>
        <row r="1090">
          <cell r="A1090">
            <v>8007</v>
          </cell>
        </row>
        <row r="1091">
          <cell r="A1091">
            <v>8008</v>
          </cell>
        </row>
        <row r="1092">
          <cell r="A1092">
            <v>8009</v>
          </cell>
        </row>
        <row r="1093">
          <cell r="A1093">
            <v>8010</v>
          </cell>
        </row>
        <row r="1094">
          <cell r="A1094">
            <v>8011</v>
          </cell>
        </row>
        <row r="1095">
          <cell r="A1095">
            <v>8012</v>
          </cell>
        </row>
        <row r="1096">
          <cell r="A1096">
            <v>8013</v>
          </cell>
        </row>
        <row r="1097">
          <cell r="A1097">
            <v>8014</v>
          </cell>
        </row>
        <row r="1098">
          <cell r="A1098">
            <v>8015</v>
          </cell>
        </row>
        <row r="1099">
          <cell r="A1099">
            <v>8016</v>
          </cell>
        </row>
        <row r="1100">
          <cell r="A1100">
            <v>8017</v>
          </cell>
        </row>
        <row r="1101">
          <cell r="A1101">
            <v>8018</v>
          </cell>
        </row>
        <row r="1102">
          <cell r="A1102">
            <v>8019</v>
          </cell>
        </row>
        <row r="1103">
          <cell r="A1103">
            <v>8020</v>
          </cell>
        </row>
        <row r="1104">
          <cell r="A1104">
            <v>8021</v>
          </cell>
        </row>
        <row r="1105">
          <cell r="A1105">
            <v>8022</v>
          </cell>
        </row>
        <row r="1106">
          <cell r="A1106">
            <v>8023</v>
          </cell>
        </row>
        <row r="1107">
          <cell r="A1107">
            <v>8024</v>
          </cell>
        </row>
        <row r="1108">
          <cell r="A1108">
            <v>8025</v>
          </cell>
        </row>
        <row r="1109">
          <cell r="A1109">
            <v>8026</v>
          </cell>
        </row>
        <row r="1110">
          <cell r="A1110">
            <v>8027</v>
          </cell>
        </row>
        <row r="1111">
          <cell r="A1111">
            <v>8028</v>
          </cell>
        </row>
        <row r="1112">
          <cell r="A1112">
            <v>8029</v>
          </cell>
        </row>
        <row r="1113">
          <cell r="A1113">
            <v>8030</v>
          </cell>
        </row>
        <row r="1114">
          <cell r="A1114">
            <v>8031</v>
          </cell>
        </row>
        <row r="1115">
          <cell r="A1115">
            <v>8032</v>
          </cell>
        </row>
        <row r="1116">
          <cell r="A1116">
            <v>8033</v>
          </cell>
        </row>
        <row r="1117">
          <cell r="A1117">
            <v>8034</v>
          </cell>
        </row>
        <row r="1118">
          <cell r="A1118">
            <v>8035</v>
          </cell>
        </row>
        <row r="1119">
          <cell r="A1119">
            <v>8036</v>
          </cell>
        </row>
        <row r="1120">
          <cell r="A1120">
            <v>8037</v>
          </cell>
        </row>
        <row r="1121">
          <cell r="A1121">
            <v>8038</v>
          </cell>
        </row>
        <row r="1122">
          <cell r="A1122">
            <v>8039</v>
          </cell>
        </row>
        <row r="1123">
          <cell r="A1123">
            <v>8040</v>
          </cell>
        </row>
        <row r="1124">
          <cell r="A1124">
            <v>8041</v>
          </cell>
        </row>
        <row r="1125">
          <cell r="A1125">
            <v>8042</v>
          </cell>
        </row>
        <row r="1126">
          <cell r="A1126">
            <v>8043</v>
          </cell>
        </row>
        <row r="1127">
          <cell r="A1127">
            <v>8044</v>
          </cell>
        </row>
        <row r="1128">
          <cell r="A1128">
            <v>8045</v>
          </cell>
        </row>
        <row r="1129">
          <cell r="A1129">
            <v>8046</v>
          </cell>
        </row>
        <row r="1130">
          <cell r="A1130">
            <v>8047</v>
          </cell>
        </row>
        <row r="1131">
          <cell r="A1131">
            <v>8048</v>
          </cell>
        </row>
        <row r="1132">
          <cell r="A1132">
            <v>8049</v>
          </cell>
        </row>
        <row r="1133">
          <cell r="A1133">
            <v>8050</v>
          </cell>
        </row>
        <row r="1134">
          <cell r="A1134">
            <v>8051</v>
          </cell>
        </row>
        <row r="1135">
          <cell r="A1135">
            <v>8052</v>
          </cell>
        </row>
        <row r="1136">
          <cell r="A1136">
            <v>8053</v>
          </cell>
        </row>
        <row r="1137">
          <cell r="A1137">
            <v>8054</v>
          </cell>
        </row>
        <row r="1138">
          <cell r="A1138">
            <v>8055</v>
          </cell>
        </row>
        <row r="1139">
          <cell r="A1139">
            <v>8056</v>
          </cell>
        </row>
        <row r="1140">
          <cell r="A1140">
            <v>8057</v>
          </cell>
        </row>
        <row r="1141">
          <cell r="A1141">
            <v>8058</v>
          </cell>
        </row>
        <row r="1142">
          <cell r="A1142">
            <v>8059</v>
          </cell>
        </row>
        <row r="1143">
          <cell r="A1143">
            <v>8060</v>
          </cell>
        </row>
        <row r="1144">
          <cell r="A1144">
            <v>8061</v>
          </cell>
        </row>
        <row r="1145">
          <cell r="A1145">
            <v>8062</v>
          </cell>
        </row>
        <row r="1146">
          <cell r="A1146">
            <v>8063</v>
          </cell>
        </row>
        <row r="1147">
          <cell r="A1147">
            <v>8064</v>
          </cell>
        </row>
        <row r="1148">
          <cell r="A1148">
            <v>8065</v>
          </cell>
        </row>
        <row r="1149">
          <cell r="A1149">
            <v>8066</v>
          </cell>
        </row>
        <row r="1150">
          <cell r="A1150">
            <v>8067</v>
          </cell>
        </row>
        <row r="1151">
          <cell r="A1151">
            <v>8068</v>
          </cell>
        </row>
        <row r="1152">
          <cell r="A1152">
            <v>8069</v>
          </cell>
        </row>
        <row r="1153">
          <cell r="A1153">
            <v>8070</v>
          </cell>
        </row>
        <row r="1154">
          <cell r="A1154">
            <v>8071</v>
          </cell>
        </row>
        <row r="1155">
          <cell r="A1155">
            <v>8072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</row>
        <row r="896">
          <cell r="A896">
            <v>895</v>
          </cell>
          <cell r="B896" t="str">
            <v>ja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</row>
        <row r="1038">
          <cell r="A1038">
            <v>1037</v>
          </cell>
          <cell r="B1038" t="str">
            <v>ja</v>
          </cell>
          <cell r="C1038" t="str">
            <v>ヘルツ</v>
          </cell>
        </row>
        <row r="1039">
          <cell r="A1039">
            <v>1038</v>
          </cell>
          <cell r="B1039" t="str">
            <v>ja</v>
          </cell>
          <cell r="C1039" t="str">
            <v>ヘルツ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</row>
        <row r="1125">
          <cell r="A1125">
            <v>1124</v>
          </cell>
          <cell r="B1125" t="str">
            <v>ja</v>
          </cell>
          <cell r="C1125" t="str">
            <v>ラグランジュ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</row>
        <row r="1180">
          <cell r="A1180">
            <v>8031</v>
          </cell>
          <cell r="B1180" t="str">
            <v>ja</v>
          </cell>
          <cell r="C1180" t="str">
            <v>閻羅王</v>
          </cell>
        </row>
        <row r="1181">
          <cell r="A1181">
            <v>8032</v>
          </cell>
          <cell r="B1181" t="str">
            <v>ja</v>
          </cell>
          <cell r="C1181" t="str">
            <v>十殿閻羅王</v>
          </cell>
        </row>
        <row r="1182">
          <cell r="A1182">
            <v>8033</v>
          </cell>
          <cell r="B1182" t="str">
            <v>ja</v>
          </cell>
          <cell r="C1182" t="str">
            <v>牛頭馬面</v>
          </cell>
        </row>
        <row r="1183">
          <cell r="A1183">
            <v>8034</v>
          </cell>
          <cell r="B1183" t="str">
            <v>ja</v>
          </cell>
          <cell r="C1183" t="str">
            <v>牛頭馬面</v>
          </cell>
        </row>
        <row r="1184">
          <cell r="A1184">
            <v>8035</v>
          </cell>
          <cell r="B1184" t="str">
            <v>ja</v>
          </cell>
          <cell r="C1184" t="str">
            <v>嫦娥</v>
          </cell>
        </row>
        <row r="1185">
          <cell r="A1185">
            <v>8036</v>
          </cell>
          <cell r="B1185" t="str">
            <v>ja</v>
          </cell>
          <cell r="C1185" t="str">
            <v>嫦娥</v>
          </cell>
        </row>
        <row r="1186">
          <cell r="A1186">
            <v>8037</v>
          </cell>
          <cell r="B1186" t="str">
            <v>ja</v>
          </cell>
          <cell r="C1186" t="str">
            <v>后羿</v>
          </cell>
        </row>
        <row r="1187">
          <cell r="A1187">
            <v>8038</v>
          </cell>
          <cell r="B1187" t="str">
            <v>ja</v>
          </cell>
          <cell r="C1187" t="str">
            <v>后羿</v>
          </cell>
        </row>
        <row r="1188">
          <cell r="A1188">
            <v>8039</v>
          </cell>
          <cell r="B1188" t="str">
            <v>ja</v>
          </cell>
          <cell r="C1188" t="str">
            <v>何仙姑</v>
          </cell>
        </row>
        <row r="1189">
          <cell r="A1189">
            <v>8040</v>
          </cell>
          <cell r="B1189" t="str">
            <v>ja</v>
          </cell>
          <cell r="C1189" t="str">
            <v>何仙姑</v>
          </cell>
        </row>
        <row r="1190">
          <cell r="A1190">
            <v>8041</v>
          </cell>
          <cell r="B1190" t="str">
            <v>ja</v>
          </cell>
          <cell r="C1190" t="str">
            <v>藍采和</v>
          </cell>
        </row>
        <row r="1191">
          <cell r="A1191">
            <v>8042</v>
          </cell>
          <cell r="B1191" t="str">
            <v>ja</v>
          </cell>
          <cell r="C1191" t="str">
            <v>藍采和</v>
          </cell>
        </row>
        <row r="1192">
          <cell r="A1192">
            <v>8043</v>
          </cell>
          <cell r="B1192" t="str">
            <v>ja</v>
          </cell>
          <cell r="C1192" t="str">
            <v>サンリオキャラ大集合+アザゼル</v>
          </cell>
        </row>
        <row r="1193">
          <cell r="A1193">
            <v>8044</v>
          </cell>
          <cell r="B1193" t="str">
            <v>ja</v>
          </cell>
          <cell r="C1193" t="str">
            <v>サンリオキャラ大集合+アザゼル</v>
          </cell>
        </row>
        <row r="1194">
          <cell r="A1194">
            <v>8045</v>
          </cell>
          <cell r="B1194" t="str">
            <v>ja</v>
          </cell>
          <cell r="C1194" t="str">
            <v>ニムダ_サンリオキャラ混じり</v>
          </cell>
        </row>
        <row r="1195">
          <cell r="A1195">
            <v>8046</v>
          </cell>
          <cell r="B1195" t="str">
            <v>ja</v>
          </cell>
          <cell r="C1195" t="str">
            <v>ニムダ_サンリオキャラ混じり</v>
          </cell>
        </row>
        <row r="1196">
          <cell r="A1196">
            <v>8047</v>
          </cell>
          <cell r="B1196" t="str">
            <v>ja</v>
          </cell>
          <cell r="C1196" t="str">
            <v>ハローキティ</v>
          </cell>
        </row>
        <row r="1197">
          <cell r="A1197">
            <v>8048</v>
          </cell>
          <cell r="B1197" t="str">
            <v>ja</v>
          </cell>
          <cell r="C1197" t="str">
            <v>ハローキティ</v>
          </cell>
        </row>
        <row r="1198">
          <cell r="A1198">
            <v>8049</v>
          </cell>
          <cell r="B1198" t="str">
            <v>ja</v>
          </cell>
          <cell r="C1198" t="str">
            <v>KIRIMIちゃん</v>
          </cell>
        </row>
        <row r="1199">
          <cell r="A1199">
            <v>8050</v>
          </cell>
          <cell r="B1199" t="str">
            <v>ja</v>
          </cell>
          <cell r="C1199" t="str">
            <v>KIRIMIちゃん</v>
          </cell>
        </row>
        <row r="1200">
          <cell r="A1200">
            <v>8051</v>
          </cell>
          <cell r="B1200" t="str">
            <v>ja</v>
          </cell>
          <cell r="C1200" t="str">
            <v>ハローキティのリボン</v>
          </cell>
        </row>
        <row r="1201">
          <cell r="A1201">
            <v>8052</v>
          </cell>
          <cell r="B1201" t="str">
            <v>ja</v>
          </cell>
          <cell r="C1201" t="str">
            <v>ママの作ったアップルパイ</v>
          </cell>
        </row>
        <row r="1202">
          <cell r="A1202">
            <v>8053</v>
          </cell>
          <cell r="B1202" t="str">
            <v>ja</v>
          </cell>
          <cell r="C1202" t="str">
            <v>D.R.T.H__キティコスプレ</v>
          </cell>
        </row>
        <row r="1203">
          <cell r="A1203">
            <v>8054</v>
          </cell>
          <cell r="B1203" t="str">
            <v>ja</v>
          </cell>
          <cell r="C1203" t="str">
            <v>D.R.T.H__キティコスプレ</v>
          </cell>
        </row>
        <row r="1204">
          <cell r="A1204">
            <v>8055</v>
          </cell>
          <cell r="B1204" t="str">
            <v>ja</v>
          </cell>
          <cell r="C1204" t="str">
            <v>マイメロディ</v>
          </cell>
        </row>
        <row r="1205">
          <cell r="A1205">
            <v>8056</v>
          </cell>
          <cell r="B1205" t="str">
            <v>ja</v>
          </cell>
          <cell r="C1205" t="str">
            <v>マイメロディ</v>
          </cell>
        </row>
        <row r="1206">
          <cell r="A1206">
            <v>8057</v>
          </cell>
          <cell r="B1206" t="str">
            <v>ja</v>
          </cell>
          <cell r="C1206" t="str">
            <v>ニーベルゲン_シナモロールコスプレ</v>
          </cell>
        </row>
        <row r="1207">
          <cell r="A1207">
            <v>8058</v>
          </cell>
          <cell r="B1207" t="str">
            <v>ja</v>
          </cell>
          <cell r="C1207" t="str">
            <v>ニーベルゲン_シナモロールコスプレ</v>
          </cell>
        </row>
        <row r="1208">
          <cell r="A1208">
            <v>8059</v>
          </cell>
          <cell r="B1208" t="str">
            <v>ja</v>
          </cell>
          <cell r="C1208" t="str">
            <v>カカシ_マイメロディコスプレ</v>
          </cell>
        </row>
        <row r="1209">
          <cell r="A1209">
            <v>8060</v>
          </cell>
          <cell r="B1209" t="str">
            <v>ja</v>
          </cell>
          <cell r="C1209" t="str">
            <v>カカシ_マイメロディコスプレ</v>
          </cell>
        </row>
        <row r="1210">
          <cell r="A1210">
            <v>8061</v>
          </cell>
          <cell r="B1210" t="str">
            <v>ja</v>
          </cell>
          <cell r="C1210" t="str">
            <v>ケロケロけろっぴ</v>
          </cell>
        </row>
        <row r="1211">
          <cell r="A1211">
            <v>8062</v>
          </cell>
          <cell r="B1211" t="str">
            <v>ja</v>
          </cell>
          <cell r="C1211" t="str">
            <v>ケロケロけろっぴ</v>
          </cell>
        </row>
        <row r="1212">
          <cell r="A1212">
            <v>8063</v>
          </cell>
          <cell r="B1212" t="str">
            <v>ja</v>
          </cell>
          <cell r="C1212" t="str">
            <v>モルドレッド_ポムポムプリンコスプレ</v>
          </cell>
        </row>
        <row r="1213">
          <cell r="A1213">
            <v>8064</v>
          </cell>
          <cell r="B1213" t="str">
            <v>ja</v>
          </cell>
          <cell r="C1213" t="str">
            <v>モルドレッド_ポムポムプリンコスプレ</v>
          </cell>
        </row>
        <row r="1214">
          <cell r="A1214">
            <v>8065</v>
          </cell>
          <cell r="B1214" t="str">
            <v>ja</v>
          </cell>
          <cell r="C1214" t="str">
            <v>クロミ</v>
          </cell>
        </row>
        <row r="1215">
          <cell r="A1215">
            <v>8066</v>
          </cell>
          <cell r="B1215" t="str">
            <v>ja</v>
          </cell>
          <cell r="C1215" t="str">
            <v>クロミ</v>
          </cell>
        </row>
        <row r="1216">
          <cell r="A1216">
            <v>8067</v>
          </cell>
          <cell r="B1216" t="str">
            <v>ja</v>
          </cell>
          <cell r="C1216" t="str">
            <v>バッドばつ丸</v>
          </cell>
        </row>
        <row r="1217">
          <cell r="A1217">
            <v>8068</v>
          </cell>
          <cell r="B1217" t="str">
            <v>ja</v>
          </cell>
          <cell r="C1217" t="str">
            <v>バッドばつ丸</v>
          </cell>
        </row>
        <row r="1218">
          <cell r="A1218">
            <v>8069</v>
          </cell>
          <cell r="B1218" t="str">
            <v>ja</v>
          </cell>
          <cell r="C1218" t="str">
            <v>シナモロール</v>
          </cell>
        </row>
        <row r="1219">
          <cell r="A1219">
            <v>8070</v>
          </cell>
          <cell r="B1219" t="str">
            <v>ja</v>
          </cell>
          <cell r="C1219" t="str">
            <v>シナモロール</v>
          </cell>
        </row>
        <row r="1220">
          <cell r="A1220">
            <v>8071</v>
          </cell>
          <cell r="B1220" t="str">
            <v>ja</v>
          </cell>
          <cell r="C1220" t="str">
            <v>ポムポムプリン</v>
          </cell>
        </row>
        <row r="1221">
          <cell r="A1221">
            <v>8072</v>
          </cell>
          <cell r="B1221" t="str">
            <v>ja</v>
          </cell>
          <cell r="C1221" t="str">
            <v>ポムポムプリン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B17" sqref="B17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5" t="s">
        <v>128</v>
      </c>
      <c r="B1" s="50" t="s">
        <v>99</v>
      </c>
      <c r="C1" s="50" t="s">
        <v>100</v>
      </c>
      <c r="D1" s="50" t="s">
        <v>101</v>
      </c>
      <c r="E1" s="50" t="s">
        <v>102</v>
      </c>
      <c r="F1" s="50" t="s">
        <v>103</v>
      </c>
      <c r="G1" s="50" t="s">
        <v>104</v>
      </c>
      <c r="H1" s="50"/>
      <c r="I1" s="50"/>
      <c r="J1" s="50"/>
      <c r="K1" s="50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</row>
    <row r="2" spans="1:30" x14ac:dyDescent="0.15">
      <c r="A2" s="56" t="s">
        <v>443</v>
      </c>
      <c r="B2" s="52" t="s">
        <v>105</v>
      </c>
      <c r="C2" s="58">
        <v>39007</v>
      </c>
      <c r="D2" s="52" t="s">
        <v>106</v>
      </c>
      <c r="E2" s="51" t="str">
        <f>B2&amp;C2&amp;D2</f>
        <v>floors_39007.tmp</v>
      </c>
      <c r="F2" s="52" t="s">
        <v>107</v>
      </c>
      <c r="G2" s="53" t="s">
        <v>0</v>
      </c>
      <c r="H2" s="53" t="s">
        <v>1</v>
      </c>
      <c r="I2" s="53" t="s">
        <v>13</v>
      </c>
      <c r="J2" s="53" t="s">
        <v>14</v>
      </c>
      <c r="K2" s="53" t="s">
        <v>15</v>
      </c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</row>
    <row r="3" spans="1:30" x14ac:dyDescent="0.15">
      <c r="A3" s="56" t="s">
        <v>443</v>
      </c>
      <c r="B3" s="52" t="s">
        <v>108</v>
      </c>
      <c r="C3" s="58">
        <f>C$2</f>
        <v>39007</v>
      </c>
      <c r="D3" s="52" t="s">
        <v>106</v>
      </c>
      <c r="E3" s="51" t="str">
        <f>B3&amp;C3&amp;D3</f>
        <v>enemy_habitats_39007.tmp</v>
      </c>
      <c r="F3" s="52" t="s">
        <v>109</v>
      </c>
      <c r="G3" s="53" t="s">
        <v>0</v>
      </c>
      <c r="H3" s="53" t="s">
        <v>1</v>
      </c>
      <c r="I3" s="53" t="s">
        <v>13</v>
      </c>
      <c r="J3" s="53" t="s">
        <v>2</v>
      </c>
      <c r="K3" s="53" t="s">
        <v>3</v>
      </c>
      <c r="L3" s="53" t="s">
        <v>47</v>
      </c>
      <c r="M3" s="53" t="s">
        <v>49</v>
      </c>
      <c r="N3" s="53" t="s">
        <v>51</v>
      </c>
      <c r="O3" s="53" t="s">
        <v>22</v>
      </c>
      <c r="P3" s="53" t="s">
        <v>5</v>
      </c>
      <c r="Q3" s="53" t="s">
        <v>6</v>
      </c>
      <c r="R3" s="53" t="s">
        <v>7</v>
      </c>
      <c r="S3" s="53" t="s">
        <v>8</v>
      </c>
      <c r="T3" s="53" t="s">
        <v>9</v>
      </c>
      <c r="U3" s="53" t="s">
        <v>10</v>
      </c>
      <c r="V3" s="53" t="s">
        <v>11</v>
      </c>
      <c r="W3" s="53" t="s">
        <v>12</v>
      </c>
      <c r="X3" s="53" t="s">
        <v>37</v>
      </c>
      <c r="Y3" s="53" t="s">
        <v>39</v>
      </c>
      <c r="Z3" s="53" t="s">
        <v>41</v>
      </c>
      <c r="AA3" s="53" t="s">
        <v>43</v>
      </c>
      <c r="AB3" s="53" t="s">
        <v>45</v>
      </c>
      <c r="AC3" s="53" t="s">
        <v>54</v>
      </c>
      <c r="AD3" s="53" t="s">
        <v>176</v>
      </c>
    </row>
    <row r="4" spans="1:30" x14ac:dyDescent="0.15">
      <c r="A4" s="56" t="s">
        <v>443</v>
      </c>
      <c r="B4" s="52" t="s">
        <v>110</v>
      </c>
      <c r="C4" s="58">
        <f t="shared" ref="C4:C13" si="0">C$2</f>
        <v>39007</v>
      </c>
      <c r="D4" s="52" t="s">
        <v>106</v>
      </c>
      <c r="E4" s="51" t="str">
        <f>B4&amp;C4&amp;D4</f>
        <v>enemy_habitat_S_39007.tmp</v>
      </c>
      <c r="F4" s="52" t="s">
        <v>111</v>
      </c>
      <c r="G4" s="53" t="s">
        <v>0</v>
      </c>
      <c r="H4" s="53" t="s">
        <v>1</v>
      </c>
      <c r="I4" s="53" t="s">
        <v>13</v>
      </c>
      <c r="J4" s="53" t="s">
        <v>54</v>
      </c>
      <c r="K4" s="53" t="s">
        <v>55</v>
      </c>
      <c r="L4" s="53" t="s">
        <v>56</v>
      </c>
      <c r="M4" s="53" t="s">
        <v>57</v>
      </c>
      <c r="N4" s="53" t="s">
        <v>58</v>
      </c>
      <c r="O4" s="53" t="s">
        <v>59</v>
      </c>
      <c r="P4" s="53" t="s">
        <v>48</v>
      </c>
      <c r="Q4" s="53" t="s">
        <v>50</v>
      </c>
      <c r="R4" s="53" t="s">
        <v>52</v>
      </c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</row>
    <row r="5" spans="1:30" x14ac:dyDescent="0.15">
      <c r="A5" s="56" t="s">
        <v>443</v>
      </c>
      <c r="B5" s="52" t="s">
        <v>112</v>
      </c>
      <c r="C5" s="58">
        <f t="shared" si="0"/>
        <v>39007</v>
      </c>
      <c r="D5" s="52" t="s">
        <v>106</v>
      </c>
      <c r="E5" s="51" t="str">
        <f>B5&amp;C5&amp;D5</f>
        <v>enemy_skill_sets_39007.tmp</v>
      </c>
      <c r="F5" s="52" t="s">
        <v>113</v>
      </c>
      <c r="G5" s="54" t="s">
        <v>22</v>
      </c>
      <c r="H5" s="54" t="s">
        <v>98</v>
      </c>
      <c r="I5" s="54" t="s">
        <v>93</v>
      </c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</row>
    <row r="6" spans="1:30" x14ac:dyDescent="0.15">
      <c r="A6" s="56" t="s">
        <v>443</v>
      </c>
      <c r="B6" s="52" t="s">
        <v>114</v>
      </c>
      <c r="C6" s="58">
        <f t="shared" si="0"/>
        <v>39007</v>
      </c>
      <c r="D6" s="52" t="s">
        <v>115</v>
      </c>
      <c r="E6" s="51" t="str">
        <f t="shared" ref="E6:E10" si="1">B6&amp;C6&amp;D6</f>
        <v>enemy_skills_tmp_39007.tmp</v>
      </c>
      <c r="F6" s="52" t="s">
        <v>89</v>
      </c>
      <c r="G6" s="53" t="s">
        <v>79</v>
      </c>
      <c r="H6" s="53" t="s">
        <v>80</v>
      </c>
      <c r="I6" s="53" t="s">
        <v>81</v>
      </c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</row>
    <row r="7" spans="1:30" x14ac:dyDescent="0.15">
      <c r="A7" s="56" t="s">
        <v>443</v>
      </c>
      <c r="B7" s="52" t="s">
        <v>116</v>
      </c>
      <c r="C7" s="58">
        <f t="shared" si="0"/>
        <v>39007</v>
      </c>
      <c r="D7" s="52" t="s">
        <v>106</v>
      </c>
      <c r="E7" s="51" t="str">
        <f>B7&amp;C7&amp;D7</f>
        <v>enemy_skills_i18n_39007.tmp</v>
      </c>
      <c r="F7" s="52" t="s">
        <v>117</v>
      </c>
      <c r="G7" s="53" t="s">
        <v>79</v>
      </c>
      <c r="H7" s="53" t="s">
        <v>90</v>
      </c>
      <c r="I7" s="53" t="s">
        <v>91</v>
      </c>
      <c r="J7" s="53" t="s">
        <v>92</v>
      </c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</row>
    <row r="8" spans="1:30" x14ac:dyDescent="0.15">
      <c r="A8" s="56" t="s">
        <v>443</v>
      </c>
      <c r="B8" s="52" t="s">
        <v>118</v>
      </c>
      <c r="C8" s="58">
        <f t="shared" si="0"/>
        <v>39007</v>
      </c>
      <c r="D8" s="52" t="s">
        <v>119</v>
      </c>
      <c r="E8" s="51" t="str">
        <f t="shared" si="1"/>
        <v>enemy_skill_triggers_39007.tmp</v>
      </c>
      <c r="F8" s="52" t="s">
        <v>120</v>
      </c>
      <c r="G8" s="53" t="s">
        <v>93</v>
      </c>
      <c r="H8" s="53" t="s">
        <v>94</v>
      </c>
      <c r="I8" s="53" t="s">
        <v>95</v>
      </c>
      <c r="J8" s="53" t="s">
        <v>96</v>
      </c>
      <c r="K8" s="53" t="s">
        <v>121</v>
      </c>
      <c r="L8" s="53" t="s">
        <v>97</v>
      </c>
      <c r="M8" s="53" t="s">
        <v>122</v>
      </c>
      <c r="N8" s="53" t="s">
        <v>123</v>
      </c>
      <c r="O8" s="53" t="s">
        <v>124</v>
      </c>
      <c r="P8" s="53" t="s">
        <v>67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</row>
    <row r="9" spans="1:30" x14ac:dyDescent="0.15">
      <c r="A9" s="56" t="s">
        <v>443</v>
      </c>
      <c r="B9" s="63" t="s">
        <v>175</v>
      </c>
      <c r="C9" s="58">
        <f t="shared" si="0"/>
        <v>39007</v>
      </c>
      <c r="D9" s="63" t="s">
        <v>169</v>
      </c>
      <c r="E9" s="64" t="str">
        <f t="shared" si="1"/>
        <v>stage_bug_bonuses_39007.tmp</v>
      </c>
      <c r="F9" s="63" t="s">
        <v>170</v>
      </c>
      <c r="G9" s="60" t="s">
        <v>148</v>
      </c>
      <c r="H9" s="60" t="s">
        <v>171</v>
      </c>
      <c r="I9" s="60" t="s">
        <v>172</v>
      </c>
      <c r="J9" s="62" t="s">
        <v>173</v>
      </c>
      <c r="K9" s="60" t="s">
        <v>174</v>
      </c>
      <c r="L9" s="60" t="s">
        <v>154</v>
      </c>
      <c r="M9" s="60" t="s">
        <v>155</v>
      </c>
      <c r="N9" s="60" t="s">
        <v>156</v>
      </c>
      <c r="O9" s="60" t="s">
        <v>157</v>
      </c>
      <c r="P9" s="60" t="s">
        <v>158</v>
      </c>
      <c r="Q9" s="60" t="s">
        <v>159</v>
      </c>
      <c r="R9" s="60" t="s">
        <v>160</v>
      </c>
      <c r="S9" s="60" t="s">
        <v>161</v>
      </c>
      <c r="T9" s="60" t="s">
        <v>162</v>
      </c>
      <c r="U9" s="60" t="s">
        <v>163</v>
      </c>
      <c r="V9" s="60" t="s">
        <v>164</v>
      </c>
      <c r="W9" s="60" t="s">
        <v>165</v>
      </c>
      <c r="X9" s="52"/>
      <c r="Y9" s="52"/>
      <c r="Z9" s="52"/>
      <c r="AA9" s="52"/>
      <c r="AB9" s="52"/>
      <c r="AC9" s="52"/>
      <c r="AD9" s="52"/>
    </row>
    <row r="10" spans="1:30" s="71" customFormat="1" x14ac:dyDescent="0.15">
      <c r="A10" s="56" t="s">
        <v>185</v>
      </c>
      <c r="B10" s="63" t="s">
        <v>200</v>
      </c>
      <c r="C10" s="58">
        <f>C$2</f>
        <v>39007</v>
      </c>
      <c r="D10" s="63" t="s">
        <v>178</v>
      </c>
      <c r="E10" s="64" t="str">
        <f t="shared" si="1"/>
        <v>stage_hints_data_c_39007.tmp</v>
      </c>
      <c r="F10" s="63" t="s">
        <v>208</v>
      </c>
      <c r="G10" s="69" t="s">
        <v>179</v>
      </c>
      <c r="H10" s="69" t="s">
        <v>171</v>
      </c>
      <c r="I10" s="70" t="s">
        <v>180</v>
      </c>
      <c r="J10" s="62" t="s">
        <v>181</v>
      </c>
      <c r="K10" s="62" t="s">
        <v>182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1" customFormat="1" x14ac:dyDescent="0.15">
      <c r="A11" s="56" t="s">
        <v>443</v>
      </c>
      <c r="B11" s="63" t="s">
        <v>201</v>
      </c>
      <c r="C11" s="58">
        <f t="shared" si="0"/>
        <v>39007</v>
      </c>
      <c r="D11" s="63" t="s">
        <v>169</v>
      </c>
      <c r="E11" s="64" t="str">
        <f t="shared" ref="E11:E13" si="2">B11&amp;C11&amp;D11</f>
        <v>stage_hints_data_f_39007.tmp</v>
      </c>
      <c r="F11" s="63" t="s">
        <v>210</v>
      </c>
      <c r="G11" s="69" t="s">
        <v>179</v>
      </c>
      <c r="H11" s="69" t="s">
        <v>171</v>
      </c>
      <c r="I11" s="70" t="s">
        <v>180</v>
      </c>
      <c r="J11" s="62" t="s">
        <v>181</v>
      </c>
      <c r="K11" s="62" t="s">
        <v>182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1" customFormat="1" x14ac:dyDescent="0.15">
      <c r="A12" s="56" t="s">
        <v>443</v>
      </c>
      <c r="B12" s="63" t="s">
        <v>202</v>
      </c>
      <c r="C12" s="58">
        <f t="shared" si="0"/>
        <v>39007</v>
      </c>
      <c r="D12" s="63" t="s">
        <v>169</v>
      </c>
      <c r="E12" s="64" t="str">
        <f t="shared" si="2"/>
        <v>stage_hints_i18n_39007.tmp</v>
      </c>
      <c r="F12" s="63" t="s">
        <v>211</v>
      </c>
      <c r="G12" s="70" t="s">
        <v>203</v>
      </c>
      <c r="H12" s="91" t="s">
        <v>204</v>
      </c>
      <c r="I12" s="69" t="s">
        <v>205</v>
      </c>
      <c r="J12" s="100" t="s">
        <v>206</v>
      </c>
      <c r="K12" s="62" t="s">
        <v>207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1" customFormat="1" x14ac:dyDescent="0.15">
      <c r="A13" s="56" t="s">
        <v>185</v>
      </c>
      <c r="B13" s="63" t="s">
        <v>256</v>
      </c>
      <c r="C13" s="58">
        <f t="shared" si="0"/>
        <v>39007</v>
      </c>
      <c r="D13" s="63" t="s">
        <v>237</v>
      </c>
      <c r="E13" s="64" t="str">
        <f t="shared" si="2"/>
        <v>stage_bonuses_39007.tmp</v>
      </c>
      <c r="F13" s="63" t="s">
        <v>236</v>
      </c>
      <c r="G13" s="69" t="s">
        <v>238</v>
      </c>
      <c r="H13" s="69" t="s">
        <v>239</v>
      </c>
      <c r="I13" s="69" t="s">
        <v>240</v>
      </c>
      <c r="J13" s="69" t="s">
        <v>241</v>
      </c>
      <c r="K13" s="69" t="s">
        <v>242</v>
      </c>
      <c r="L13" s="69" t="s">
        <v>243</v>
      </c>
      <c r="M13" s="69" t="s">
        <v>244</v>
      </c>
      <c r="N13" s="69" t="s">
        <v>245</v>
      </c>
      <c r="O13" s="69" t="s">
        <v>246</v>
      </c>
      <c r="P13" s="69" t="s">
        <v>247</v>
      </c>
      <c r="Q13" s="69" t="s">
        <v>248</v>
      </c>
      <c r="R13" s="69" t="s">
        <v>249</v>
      </c>
      <c r="S13" s="69" t="s">
        <v>250</v>
      </c>
      <c r="T13" s="69" t="s">
        <v>251</v>
      </c>
      <c r="U13" s="69" t="s">
        <v>252</v>
      </c>
      <c r="V13" s="69" t="s">
        <v>253</v>
      </c>
      <c r="W13" s="69" t="s">
        <v>254</v>
      </c>
      <c r="X13" s="69" t="s">
        <v>255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7"/>
  <sheetViews>
    <sheetView showGridLines="0" workbookViewId="0">
      <pane ySplit="1" topLeftCell="A2" activePane="bottomLeft" state="frozen"/>
      <selection activeCell="V2" sqref="V2:X34"/>
      <selection pane="bottomLeft" activeCell="J2" sqref="J2"/>
    </sheetView>
  </sheetViews>
  <sheetFormatPr baseColWidth="12" defaultColWidth="13" defaultRowHeight="21" customHeight="1" outlineLevelCol="1" x14ac:dyDescent="0.15"/>
  <cols>
    <col min="1" max="1" width="8.83203125" style="17" bestFit="1" customWidth="1"/>
    <col min="2" max="2" width="5" style="17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7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4" t="s">
        <v>30</v>
      </c>
      <c r="B1" s="14" t="s">
        <v>36</v>
      </c>
      <c r="C1" s="1" t="s">
        <v>0</v>
      </c>
      <c r="D1" s="2" t="s">
        <v>18</v>
      </c>
      <c r="E1" s="13" t="s">
        <v>33</v>
      </c>
      <c r="F1" s="1" t="s">
        <v>1</v>
      </c>
      <c r="G1" s="19" t="s">
        <v>32</v>
      </c>
      <c r="H1" s="13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4" t="e">
        <f>G2&amp;"-"&amp;#REF!</f>
        <v>#REF!</v>
      </c>
      <c r="B2" s="14" t="str">
        <f>IF(COUNTIF(enemy_habitats!$H:$H,A2),"OK","NG")</f>
        <v>NG</v>
      </c>
      <c r="C2" s="7">
        <v>39007</v>
      </c>
      <c r="D2" s="10" t="str">
        <f ca="1">VLOOKUP($C2,OFFSET([2]quests!$A$1,0,0,COUNTA([2]quests!$A:$A),MATCH(D$1,[2]quests!$1:$1,0)-MATCH($C$1,[2]quests!$1:$1,0)+1),MATCH(D$1,[2]quests!$1:$1,0)-MATCH($C$1,[2]quests!$1:$1,0)+1,FALSE)</f>
        <v>ニムダ（台）</v>
      </c>
      <c r="E2" s="16" t="str">
        <f ca="1">VLOOKUP($C2,OFFSET([2]quests!$A$1,0,0,COUNTA([2]quests!$A:$A),MATCH(E$1,[2]quests!$1:$1,0)-MATCH($C$1,[2]quests!$1:$1,0)+1),MATCH(E$1,[2]quests!$1:$1,0)-MATCH($C$1,[2]quests!$1:$1,0)+1,FALSE)</f>
        <v>コラボクエスト</v>
      </c>
      <c r="F2" s="104">
        <v>1</v>
      </c>
      <c r="G2" s="19" t="str">
        <f>C2&amp;"_"&amp;F2</f>
        <v>39007_1</v>
      </c>
      <c r="H2" s="13" t="str">
        <f ca="1">VLOOKUP($G2,OFFSET([2]stages!$A$1,0,0,COUNTA([2]stages!$A:$A),MATCH(H$1,[2]stages!$2:$2,0)-MATCH($G$1,[2]stages!$2:$2,0)+1),MATCH(H$1,[2]stages!$2:$2,0)-MATCH($G$1,[2]stages!$2:$2,0)+1,FALSE)</f>
        <v>【初級】ニムダ（台）</v>
      </c>
      <c r="I2" s="104">
        <v>1</v>
      </c>
      <c r="J2" s="34">
        <v>60</v>
      </c>
      <c r="K2" s="34">
        <v>60</v>
      </c>
    </row>
    <row r="3" spans="1:11" ht="21" customHeight="1" x14ac:dyDescent="0.15">
      <c r="A3" s="14" t="e">
        <f>G3&amp;"-"&amp;#REF!</f>
        <v>#REF!</v>
      </c>
      <c r="B3" s="14" t="str">
        <f>IF(COUNTIF(enemy_habitats!$H:$H,A3),"OK","NG")</f>
        <v>NG</v>
      </c>
      <c r="C3" s="7">
        <v>39007</v>
      </c>
      <c r="D3" s="10" t="str">
        <f ca="1">VLOOKUP($C3,OFFSET([2]quests!$A$1,0,0,COUNTA([2]quests!$A:$A),MATCH(D$1,[2]quests!$1:$1,0)-MATCH($C$1,[2]quests!$1:$1,0)+1),MATCH(D$1,[2]quests!$1:$1,0)-MATCH($C$1,[2]quests!$1:$1,0)+1,FALSE)</f>
        <v>ニムダ（台）</v>
      </c>
      <c r="E3" s="16" t="str">
        <f ca="1">VLOOKUP($C3,OFFSET([2]quests!$A$1,0,0,COUNTA([2]quests!$A:$A),MATCH(E$1,[2]quests!$1:$1,0)-MATCH($C$1,[2]quests!$1:$1,0)+1),MATCH(E$1,[2]quests!$1:$1,0)-MATCH($C$1,[2]quests!$1:$1,0)+1,FALSE)</f>
        <v>コラボクエスト</v>
      </c>
      <c r="F3" s="104">
        <v>1</v>
      </c>
      <c r="G3" s="19" t="str">
        <f t="shared" ref="G3:G17" si="0">C3&amp;"_"&amp;F3</f>
        <v>39007_1</v>
      </c>
      <c r="H3" s="13" t="str">
        <f ca="1">VLOOKUP($G3,OFFSET([2]stages!$A$1,0,0,COUNTA([2]stages!$A:$A),MATCH(H$1,[2]stages!$2:$2,0)-MATCH($G$1,[2]stages!$2:$2,0)+1),MATCH(H$1,[2]stages!$2:$2,0)-MATCH($G$1,[2]stages!$2:$2,0)+1,FALSE)</f>
        <v>【初級】ニムダ（台）</v>
      </c>
      <c r="I3" s="104">
        <v>2</v>
      </c>
      <c r="J3" s="34">
        <v>60</v>
      </c>
      <c r="K3" s="34">
        <v>60</v>
      </c>
    </row>
    <row r="4" spans="1:11" ht="21" customHeight="1" x14ac:dyDescent="0.15">
      <c r="A4" s="14" t="e">
        <f>G4&amp;"-"&amp;#REF!</f>
        <v>#REF!</v>
      </c>
      <c r="B4" s="14" t="str">
        <f>IF(COUNTIF(enemy_habitats!$H:$H,A4),"OK","NG")</f>
        <v>NG</v>
      </c>
      <c r="C4" s="7">
        <v>39007</v>
      </c>
      <c r="D4" s="10" t="str">
        <f ca="1">VLOOKUP($C4,OFFSET([2]quests!$A$1,0,0,COUNTA([2]quests!$A:$A),MATCH(D$1,[2]quests!$1:$1,0)-MATCH($C$1,[2]quests!$1:$1,0)+1),MATCH(D$1,[2]quests!$1:$1,0)-MATCH($C$1,[2]quests!$1:$1,0)+1,FALSE)</f>
        <v>ニムダ（台）</v>
      </c>
      <c r="E4" s="16" t="str">
        <f ca="1">VLOOKUP($C4,OFFSET([2]quests!$A$1,0,0,COUNTA([2]quests!$A:$A),MATCH(E$1,[2]quests!$1:$1,0)-MATCH($C$1,[2]quests!$1:$1,0)+1),MATCH(E$1,[2]quests!$1:$1,0)-MATCH($C$1,[2]quests!$1:$1,0)+1,FALSE)</f>
        <v>コラボクエスト</v>
      </c>
      <c r="F4" s="104">
        <v>1</v>
      </c>
      <c r="G4" s="19" t="str">
        <f t="shared" si="0"/>
        <v>39007_1</v>
      </c>
      <c r="H4" s="13" t="str">
        <f ca="1">VLOOKUP($G4,OFFSET([2]stages!$A$1,0,0,COUNTA([2]stages!$A:$A),MATCH(H$1,[2]stages!$2:$2,0)-MATCH($G$1,[2]stages!$2:$2,0)+1),MATCH(H$1,[2]stages!$2:$2,0)-MATCH($G$1,[2]stages!$2:$2,0)+1,FALSE)</f>
        <v>【初級】ニムダ（台）</v>
      </c>
      <c r="I4" s="104">
        <v>3</v>
      </c>
      <c r="J4" s="34">
        <v>60</v>
      </c>
      <c r="K4" s="34">
        <v>60</v>
      </c>
    </row>
    <row r="5" spans="1:11" ht="21" customHeight="1" x14ac:dyDescent="0.15">
      <c r="A5" s="14" t="e">
        <f>G5&amp;"-"&amp;#REF!</f>
        <v>#REF!</v>
      </c>
      <c r="B5" s="14" t="str">
        <f>IF(COUNTIF(enemy_habitats!$H:$H,A5),"OK","NG")</f>
        <v>NG</v>
      </c>
      <c r="C5" s="7">
        <v>39007</v>
      </c>
      <c r="D5" s="10" t="str">
        <f ca="1">VLOOKUP($C5,OFFSET([2]quests!$A$1,0,0,COUNTA([2]quests!$A:$A),MATCH(D$1,[2]quests!$1:$1,0)-MATCH($C$1,[2]quests!$1:$1,0)+1),MATCH(D$1,[2]quests!$1:$1,0)-MATCH($C$1,[2]quests!$1:$1,0)+1,FALSE)</f>
        <v>ニムダ（台）</v>
      </c>
      <c r="E5" s="16" t="str">
        <f ca="1">VLOOKUP($C5,OFFSET([2]quests!$A$1,0,0,COUNTA([2]quests!$A:$A),MATCH(E$1,[2]quests!$1:$1,0)-MATCH($C$1,[2]quests!$1:$1,0)+1),MATCH(E$1,[2]quests!$1:$1,0)-MATCH($C$1,[2]quests!$1:$1,0)+1,FALSE)</f>
        <v>コラボクエスト</v>
      </c>
      <c r="F5" s="104">
        <v>1</v>
      </c>
      <c r="G5" s="19" t="str">
        <f t="shared" si="0"/>
        <v>39007_1</v>
      </c>
      <c r="H5" s="13" t="str">
        <f ca="1">VLOOKUP($G5,OFFSET([2]stages!$A$1,0,0,COUNTA([2]stages!$A:$A),MATCH(H$1,[2]stages!$2:$2,0)-MATCH($G$1,[2]stages!$2:$2,0)+1),MATCH(H$1,[2]stages!$2:$2,0)-MATCH($G$1,[2]stages!$2:$2,0)+1,FALSE)</f>
        <v>【初級】ニムダ（台）</v>
      </c>
      <c r="I5" s="104">
        <v>4</v>
      </c>
      <c r="J5" s="34">
        <v>60</v>
      </c>
      <c r="K5" s="34">
        <v>60</v>
      </c>
    </row>
    <row r="6" spans="1:11" ht="21" customHeight="1" x14ac:dyDescent="0.15">
      <c r="A6" s="14" t="e">
        <f>G6&amp;"-"&amp;#REF!</f>
        <v>#REF!</v>
      </c>
      <c r="B6" s="14" t="str">
        <f>IF(COUNTIF(enemy_habitats!$H:$H,A6),"OK","NG")</f>
        <v>NG</v>
      </c>
      <c r="C6" s="7">
        <v>39007</v>
      </c>
      <c r="D6" s="10" t="str">
        <f ca="1">VLOOKUP($C6,OFFSET([2]quests!$A$1,0,0,COUNTA([2]quests!$A:$A),MATCH(D$1,[2]quests!$1:$1,0)-MATCH($C$1,[2]quests!$1:$1,0)+1),MATCH(D$1,[2]quests!$1:$1,0)-MATCH($C$1,[2]quests!$1:$1,0)+1,FALSE)</f>
        <v>ニムダ（台）</v>
      </c>
      <c r="E6" s="16" t="str">
        <f ca="1">VLOOKUP($C6,OFFSET([2]quests!$A$1,0,0,COUNTA([2]quests!$A:$A),MATCH(E$1,[2]quests!$1:$1,0)-MATCH($C$1,[2]quests!$1:$1,0)+1),MATCH(E$1,[2]quests!$1:$1,0)-MATCH($C$1,[2]quests!$1:$1,0)+1,FALSE)</f>
        <v>コラボクエスト</v>
      </c>
      <c r="F6" s="104">
        <v>2</v>
      </c>
      <c r="G6" s="19" t="str">
        <f t="shared" si="0"/>
        <v>39007_2</v>
      </c>
      <c r="H6" s="13" t="str">
        <f ca="1">VLOOKUP($G6,OFFSET([2]stages!$A$1,0,0,COUNTA([2]stages!$A:$A),MATCH(H$1,[2]stages!$2:$2,0)-MATCH($G$1,[2]stages!$2:$2,0)+1),MATCH(H$1,[2]stages!$2:$2,0)-MATCH($G$1,[2]stages!$2:$2,0)+1,FALSE)</f>
        <v>【中級】ニムダ（台）</v>
      </c>
      <c r="I6" s="104">
        <v>1</v>
      </c>
      <c r="J6" s="34">
        <v>60</v>
      </c>
      <c r="K6" s="34">
        <v>60</v>
      </c>
    </row>
    <row r="7" spans="1:11" ht="21" customHeight="1" x14ac:dyDescent="0.15">
      <c r="A7" s="14" t="e">
        <f>G7&amp;"-"&amp;#REF!</f>
        <v>#REF!</v>
      </c>
      <c r="B7" s="14" t="str">
        <f>IF(COUNTIF(enemy_habitats!$H:$H,A7),"OK","NG")</f>
        <v>NG</v>
      </c>
      <c r="C7" s="7">
        <v>39007</v>
      </c>
      <c r="D7" s="10" t="str">
        <f ca="1">VLOOKUP($C7,OFFSET([2]quests!$A$1,0,0,COUNTA([2]quests!$A:$A),MATCH(D$1,[2]quests!$1:$1,0)-MATCH($C$1,[2]quests!$1:$1,0)+1),MATCH(D$1,[2]quests!$1:$1,0)-MATCH($C$1,[2]quests!$1:$1,0)+1,FALSE)</f>
        <v>ニムダ（台）</v>
      </c>
      <c r="E7" s="16" t="str">
        <f ca="1">VLOOKUP($C7,OFFSET([2]quests!$A$1,0,0,COUNTA([2]quests!$A:$A),MATCH(E$1,[2]quests!$1:$1,0)-MATCH($C$1,[2]quests!$1:$1,0)+1),MATCH(E$1,[2]quests!$1:$1,0)-MATCH($C$1,[2]quests!$1:$1,0)+1,FALSE)</f>
        <v>コラボクエスト</v>
      </c>
      <c r="F7" s="104">
        <v>2</v>
      </c>
      <c r="G7" s="19" t="str">
        <f t="shared" si="0"/>
        <v>39007_2</v>
      </c>
      <c r="H7" s="13" t="str">
        <f ca="1">VLOOKUP($G7,OFFSET([2]stages!$A$1,0,0,COUNTA([2]stages!$A:$A),MATCH(H$1,[2]stages!$2:$2,0)-MATCH($G$1,[2]stages!$2:$2,0)+1),MATCH(H$1,[2]stages!$2:$2,0)-MATCH($G$1,[2]stages!$2:$2,0)+1,FALSE)</f>
        <v>【中級】ニムダ（台）</v>
      </c>
      <c r="I7" s="104">
        <v>2</v>
      </c>
      <c r="J7" s="34">
        <v>60</v>
      </c>
      <c r="K7" s="34">
        <v>60</v>
      </c>
    </row>
    <row r="8" spans="1:11" ht="21" customHeight="1" x14ac:dyDescent="0.15">
      <c r="A8" s="14" t="e">
        <f>G8&amp;"-"&amp;#REF!</f>
        <v>#REF!</v>
      </c>
      <c r="B8" s="14" t="str">
        <f>IF(COUNTIF(enemy_habitats!$H:$H,A8),"OK","NG")</f>
        <v>NG</v>
      </c>
      <c r="C8" s="7">
        <v>39007</v>
      </c>
      <c r="D8" s="10" t="str">
        <f ca="1">VLOOKUP($C8,OFFSET([2]quests!$A$1,0,0,COUNTA([2]quests!$A:$A),MATCH(D$1,[2]quests!$1:$1,0)-MATCH($C$1,[2]quests!$1:$1,0)+1),MATCH(D$1,[2]quests!$1:$1,0)-MATCH($C$1,[2]quests!$1:$1,0)+1,FALSE)</f>
        <v>ニムダ（台）</v>
      </c>
      <c r="E8" s="16" t="str">
        <f ca="1">VLOOKUP($C8,OFFSET([2]quests!$A$1,0,0,COUNTA([2]quests!$A:$A),MATCH(E$1,[2]quests!$1:$1,0)-MATCH($C$1,[2]quests!$1:$1,0)+1),MATCH(E$1,[2]quests!$1:$1,0)-MATCH($C$1,[2]quests!$1:$1,0)+1,FALSE)</f>
        <v>コラボクエスト</v>
      </c>
      <c r="F8" s="104">
        <v>2</v>
      </c>
      <c r="G8" s="19" t="str">
        <f t="shared" si="0"/>
        <v>39007_2</v>
      </c>
      <c r="H8" s="13" t="str">
        <f ca="1">VLOOKUP($G8,OFFSET([2]stages!$A$1,0,0,COUNTA([2]stages!$A:$A),MATCH(H$1,[2]stages!$2:$2,0)-MATCH($G$1,[2]stages!$2:$2,0)+1),MATCH(H$1,[2]stages!$2:$2,0)-MATCH($G$1,[2]stages!$2:$2,0)+1,FALSE)</f>
        <v>【中級】ニムダ（台）</v>
      </c>
      <c r="I8" s="104">
        <v>3</v>
      </c>
      <c r="J8" s="34">
        <v>60</v>
      </c>
      <c r="K8" s="34">
        <v>60</v>
      </c>
    </row>
    <row r="9" spans="1:11" ht="21" customHeight="1" x14ac:dyDescent="0.15">
      <c r="A9" s="14" t="e">
        <f>G9&amp;"-"&amp;#REF!</f>
        <v>#REF!</v>
      </c>
      <c r="B9" s="14" t="str">
        <f>IF(COUNTIF(enemy_habitats!$H:$H,A9),"OK","NG")</f>
        <v>NG</v>
      </c>
      <c r="C9" s="7">
        <v>39007</v>
      </c>
      <c r="D9" s="10" t="str">
        <f ca="1">VLOOKUP($C9,OFFSET([2]quests!$A$1,0,0,COUNTA([2]quests!$A:$A),MATCH(D$1,[2]quests!$1:$1,0)-MATCH($C$1,[2]quests!$1:$1,0)+1),MATCH(D$1,[2]quests!$1:$1,0)-MATCH($C$1,[2]quests!$1:$1,0)+1,FALSE)</f>
        <v>ニムダ（台）</v>
      </c>
      <c r="E9" s="16" t="str">
        <f ca="1">VLOOKUP($C9,OFFSET([2]quests!$A$1,0,0,COUNTA([2]quests!$A:$A),MATCH(E$1,[2]quests!$1:$1,0)-MATCH($C$1,[2]quests!$1:$1,0)+1),MATCH(E$1,[2]quests!$1:$1,0)-MATCH($C$1,[2]quests!$1:$1,0)+1,FALSE)</f>
        <v>コラボクエスト</v>
      </c>
      <c r="F9" s="104">
        <v>2</v>
      </c>
      <c r="G9" s="19" t="str">
        <f t="shared" si="0"/>
        <v>39007_2</v>
      </c>
      <c r="H9" s="13" t="str">
        <f ca="1">VLOOKUP($G9,OFFSET([2]stages!$A$1,0,0,COUNTA([2]stages!$A:$A),MATCH(H$1,[2]stages!$2:$2,0)-MATCH($G$1,[2]stages!$2:$2,0)+1),MATCH(H$1,[2]stages!$2:$2,0)-MATCH($G$1,[2]stages!$2:$2,0)+1,FALSE)</f>
        <v>【中級】ニムダ（台）</v>
      </c>
      <c r="I9" s="104">
        <v>4</v>
      </c>
      <c r="J9" s="34">
        <v>60</v>
      </c>
      <c r="K9" s="34">
        <v>60</v>
      </c>
    </row>
    <row r="10" spans="1:11" ht="21" customHeight="1" x14ac:dyDescent="0.15">
      <c r="A10" s="14" t="e">
        <f>G10&amp;"-"&amp;#REF!</f>
        <v>#REF!</v>
      </c>
      <c r="B10" s="14" t="str">
        <f>IF(COUNTIF(enemy_habitats!$H:$H,A10),"OK","NG")</f>
        <v>NG</v>
      </c>
      <c r="C10" s="7">
        <v>39007</v>
      </c>
      <c r="D10" s="10" t="str">
        <f ca="1">VLOOKUP($C10,OFFSET([2]quests!$A$1,0,0,COUNTA([2]quests!$A:$A),MATCH(D$1,[2]quests!$1:$1,0)-MATCH($C$1,[2]quests!$1:$1,0)+1),MATCH(D$1,[2]quests!$1:$1,0)-MATCH($C$1,[2]quests!$1:$1,0)+1,FALSE)</f>
        <v>ニムダ（台）</v>
      </c>
      <c r="E10" s="16" t="str">
        <f ca="1">VLOOKUP($C10,OFFSET([2]quests!$A$1,0,0,COUNTA([2]quests!$A:$A),MATCH(E$1,[2]quests!$1:$1,0)-MATCH($C$1,[2]quests!$1:$1,0)+1),MATCH(E$1,[2]quests!$1:$1,0)-MATCH($C$1,[2]quests!$1:$1,0)+1,FALSE)</f>
        <v>コラボクエスト</v>
      </c>
      <c r="F10" s="104">
        <v>3</v>
      </c>
      <c r="G10" s="19" t="str">
        <f t="shared" si="0"/>
        <v>39007_3</v>
      </c>
      <c r="H10" s="13" t="str">
        <f ca="1">VLOOKUP($G10,OFFSET([2]stages!$A$1,0,0,COUNTA([2]stages!$A:$A),MATCH(H$1,[2]stages!$2:$2,0)-MATCH($G$1,[2]stages!$2:$2,0)+1),MATCH(H$1,[2]stages!$2:$2,0)-MATCH($G$1,[2]stages!$2:$2,0)+1,FALSE)</f>
        <v>【上級】ニムダ（台）</v>
      </c>
      <c r="I10" s="104">
        <v>1</v>
      </c>
      <c r="J10" s="34">
        <v>60</v>
      </c>
      <c r="K10" s="34">
        <v>60</v>
      </c>
    </row>
    <row r="11" spans="1:11" ht="21" customHeight="1" x14ac:dyDescent="0.15">
      <c r="A11" s="14" t="e">
        <f>G11&amp;"-"&amp;#REF!</f>
        <v>#REF!</v>
      </c>
      <c r="B11" s="14" t="str">
        <f>IF(COUNTIF(enemy_habitats!$H:$H,A11),"OK","NG")</f>
        <v>NG</v>
      </c>
      <c r="C11" s="7">
        <v>39007</v>
      </c>
      <c r="D11" s="10" t="str">
        <f ca="1">VLOOKUP($C11,OFFSET([2]quests!$A$1,0,0,COUNTA([2]quests!$A:$A),MATCH(D$1,[2]quests!$1:$1,0)-MATCH($C$1,[2]quests!$1:$1,0)+1),MATCH(D$1,[2]quests!$1:$1,0)-MATCH($C$1,[2]quests!$1:$1,0)+1,FALSE)</f>
        <v>ニムダ（台）</v>
      </c>
      <c r="E11" s="16" t="str">
        <f ca="1">VLOOKUP($C11,OFFSET([2]quests!$A$1,0,0,COUNTA([2]quests!$A:$A),MATCH(E$1,[2]quests!$1:$1,0)-MATCH($C$1,[2]quests!$1:$1,0)+1),MATCH(E$1,[2]quests!$1:$1,0)-MATCH($C$1,[2]quests!$1:$1,0)+1,FALSE)</f>
        <v>コラボクエスト</v>
      </c>
      <c r="F11" s="104">
        <v>3</v>
      </c>
      <c r="G11" s="19" t="str">
        <f t="shared" si="0"/>
        <v>39007_3</v>
      </c>
      <c r="H11" s="13" t="str">
        <f ca="1">VLOOKUP($G11,OFFSET([2]stages!$A$1,0,0,COUNTA([2]stages!$A:$A),MATCH(H$1,[2]stages!$2:$2,0)-MATCH($G$1,[2]stages!$2:$2,0)+1),MATCH(H$1,[2]stages!$2:$2,0)-MATCH($G$1,[2]stages!$2:$2,0)+1,FALSE)</f>
        <v>【上級】ニムダ（台）</v>
      </c>
      <c r="I11" s="104">
        <v>2</v>
      </c>
      <c r="J11" s="34">
        <v>60</v>
      </c>
      <c r="K11" s="34">
        <v>60</v>
      </c>
    </row>
    <row r="12" spans="1:11" ht="21" customHeight="1" x14ac:dyDescent="0.15">
      <c r="A12" s="14" t="e">
        <f>G12&amp;"-"&amp;#REF!</f>
        <v>#REF!</v>
      </c>
      <c r="B12" s="14" t="str">
        <f>IF(COUNTIF(enemy_habitats!$H:$H,A12),"OK","NG")</f>
        <v>NG</v>
      </c>
      <c r="C12" s="7">
        <v>39007</v>
      </c>
      <c r="D12" s="10" t="str">
        <f ca="1">VLOOKUP($C12,OFFSET([2]quests!$A$1,0,0,COUNTA([2]quests!$A:$A),MATCH(D$1,[2]quests!$1:$1,0)-MATCH($C$1,[2]quests!$1:$1,0)+1),MATCH(D$1,[2]quests!$1:$1,0)-MATCH($C$1,[2]quests!$1:$1,0)+1,FALSE)</f>
        <v>ニムダ（台）</v>
      </c>
      <c r="E12" s="16" t="str">
        <f ca="1">VLOOKUP($C12,OFFSET([2]quests!$A$1,0,0,COUNTA([2]quests!$A:$A),MATCH(E$1,[2]quests!$1:$1,0)-MATCH($C$1,[2]quests!$1:$1,0)+1),MATCH(E$1,[2]quests!$1:$1,0)-MATCH($C$1,[2]quests!$1:$1,0)+1,FALSE)</f>
        <v>コラボクエスト</v>
      </c>
      <c r="F12" s="104">
        <v>3</v>
      </c>
      <c r="G12" s="19" t="str">
        <f t="shared" si="0"/>
        <v>39007_3</v>
      </c>
      <c r="H12" s="13" t="str">
        <f ca="1">VLOOKUP($G12,OFFSET([2]stages!$A$1,0,0,COUNTA([2]stages!$A:$A),MATCH(H$1,[2]stages!$2:$2,0)-MATCH($G$1,[2]stages!$2:$2,0)+1),MATCH(H$1,[2]stages!$2:$2,0)-MATCH($G$1,[2]stages!$2:$2,0)+1,FALSE)</f>
        <v>【上級】ニムダ（台）</v>
      </c>
      <c r="I12" s="104">
        <v>3</v>
      </c>
      <c r="J12" s="34">
        <v>60</v>
      </c>
      <c r="K12" s="34">
        <v>60</v>
      </c>
    </row>
    <row r="13" spans="1:11" ht="21" customHeight="1" x14ac:dyDescent="0.15">
      <c r="A13" s="14" t="e">
        <f>G13&amp;"-"&amp;#REF!</f>
        <v>#REF!</v>
      </c>
      <c r="B13" s="14" t="str">
        <f>IF(COUNTIF(enemy_habitats!$H:$H,A13),"OK","NG")</f>
        <v>NG</v>
      </c>
      <c r="C13" s="7">
        <v>39007</v>
      </c>
      <c r="D13" s="10" t="str">
        <f ca="1">VLOOKUP($C13,OFFSET([2]quests!$A$1,0,0,COUNTA([2]quests!$A:$A),MATCH(D$1,[2]quests!$1:$1,0)-MATCH($C$1,[2]quests!$1:$1,0)+1),MATCH(D$1,[2]quests!$1:$1,0)-MATCH($C$1,[2]quests!$1:$1,0)+1,FALSE)</f>
        <v>ニムダ（台）</v>
      </c>
      <c r="E13" s="16" t="str">
        <f ca="1">VLOOKUP($C13,OFFSET([2]quests!$A$1,0,0,COUNTA([2]quests!$A:$A),MATCH(E$1,[2]quests!$1:$1,0)-MATCH($C$1,[2]quests!$1:$1,0)+1),MATCH(E$1,[2]quests!$1:$1,0)-MATCH($C$1,[2]quests!$1:$1,0)+1,FALSE)</f>
        <v>コラボクエスト</v>
      </c>
      <c r="F13" s="104">
        <v>3</v>
      </c>
      <c r="G13" s="19" t="str">
        <f t="shared" si="0"/>
        <v>39007_3</v>
      </c>
      <c r="H13" s="13" t="str">
        <f ca="1">VLOOKUP($G13,OFFSET([2]stages!$A$1,0,0,COUNTA([2]stages!$A:$A),MATCH(H$1,[2]stages!$2:$2,0)-MATCH($G$1,[2]stages!$2:$2,0)+1),MATCH(H$1,[2]stages!$2:$2,0)-MATCH($G$1,[2]stages!$2:$2,0)+1,FALSE)</f>
        <v>【上級】ニムダ（台）</v>
      </c>
      <c r="I13" s="104">
        <v>4</v>
      </c>
      <c r="J13" s="34">
        <v>60</v>
      </c>
      <c r="K13" s="34">
        <v>60</v>
      </c>
    </row>
    <row r="14" spans="1:11" ht="21" customHeight="1" x14ac:dyDescent="0.15">
      <c r="A14" s="14" t="e">
        <f>G14&amp;"-"&amp;#REF!</f>
        <v>#REF!</v>
      </c>
      <c r="B14" s="14" t="str">
        <f>IF(COUNTIF(enemy_habitats!$H:$H,A14),"OK","NG")</f>
        <v>NG</v>
      </c>
      <c r="C14" s="7">
        <v>39007</v>
      </c>
      <c r="D14" s="10" t="str">
        <f ca="1">VLOOKUP($C14,OFFSET([2]quests!$A$1,0,0,COUNTA([2]quests!$A:$A),MATCH(D$1,[2]quests!$1:$1,0)-MATCH($C$1,[2]quests!$1:$1,0)+1),MATCH(D$1,[2]quests!$1:$1,0)-MATCH($C$1,[2]quests!$1:$1,0)+1,FALSE)</f>
        <v>ニムダ（台）</v>
      </c>
      <c r="E14" s="16" t="str">
        <f ca="1">VLOOKUP($C14,OFFSET([2]quests!$A$1,0,0,COUNTA([2]quests!$A:$A),MATCH(E$1,[2]quests!$1:$1,0)-MATCH($C$1,[2]quests!$1:$1,0)+1),MATCH(E$1,[2]quests!$1:$1,0)-MATCH($C$1,[2]quests!$1:$1,0)+1,FALSE)</f>
        <v>コラボクエスト</v>
      </c>
      <c r="F14" s="104">
        <v>4</v>
      </c>
      <c r="G14" s="19" t="str">
        <f t="shared" si="0"/>
        <v>39007_4</v>
      </c>
      <c r="H14" s="13" t="str">
        <f ca="1">VLOOKUP($G14,OFFSET([2]stages!$A$1,0,0,COUNTA([2]stages!$A:$A),MATCH(H$1,[2]stages!$2:$2,0)-MATCH($G$1,[2]stages!$2:$2,0)+1),MATCH(H$1,[2]stages!$2:$2,0)-MATCH($G$1,[2]stages!$2:$2,0)+1,FALSE)</f>
        <v>【超級】ニムダ（台）</v>
      </c>
      <c r="I14" s="104">
        <v>1</v>
      </c>
      <c r="J14" s="34">
        <v>60</v>
      </c>
      <c r="K14" s="34">
        <v>60</v>
      </c>
    </row>
    <row r="15" spans="1:11" ht="21" customHeight="1" x14ac:dyDescent="0.15">
      <c r="A15" s="14" t="e">
        <f>G15&amp;"-"&amp;#REF!</f>
        <v>#REF!</v>
      </c>
      <c r="B15" s="14" t="str">
        <f>IF(COUNTIF(enemy_habitats!$H:$H,A15),"OK","NG")</f>
        <v>NG</v>
      </c>
      <c r="C15" s="7">
        <v>39007</v>
      </c>
      <c r="D15" s="10" t="str">
        <f ca="1">VLOOKUP($C15,OFFSET([2]quests!$A$1,0,0,COUNTA([2]quests!$A:$A),MATCH(D$1,[2]quests!$1:$1,0)-MATCH($C$1,[2]quests!$1:$1,0)+1),MATCH(D$1,[2]quests!$1:$1,0)-MATCH($C$1,[2]quests!$1:$1,0)+1,FALSE)</f>
        <v>ニムダ（台）</v>
      </c>
      <c r="E15" s="16" t="str">
        <f ca="1">VLOOKUP($C15,OFFSET([2]quests!$A$1,0,0,COUNTA([2]quests!$A:$A),MATCH(E$1,[2]quests!$1:$1,0)-MATCH($C$1,[2]quests!$1:$1,0)+1),MATCH(E$1,[2]quests!$1:$1,0)-MATCH($C$1,[2]quests!$1:$1,0)+1,FALSE)</f>
        <v>コラボクエスト</v>
      </c>
      <c r="F15" s="104">
        <v>4</v>
      </c>
      <c r="G15" s="19" t="str">
        <f t="shared" si="0"/>
        <v>39007_4</v>
      </c>
      <c r="H15" s="13" t="str">
        <f ca="1">VLOOKUP($G15,OFFSET([2]stages!$A$1,0,0,COUNTA([2]stages!$A:$A),MATCH(H$1,[2]stages!$2:$2,0)-MATCH($G$1,[2]stages!$2:$2,0)+1),MATCH(H$1,[2]stages!$2:$2,0)-MATCH($G$1,[2]stages!$2:$2,0)+1,FALSE)</f>
        <v>【超級】ニムダ（台）</v>
      </c>
      <c r="I15" s="104">
        <v>2</v>
      </c>
      <c r="J15" s="34">
        <v>60</v>
      </c>
      <c r="K15" s="34">
        <v>60</v>
      </c>
    </row>
    <row r="16" spans="1:11" ht="21" customHeight="1" x14ac:dyDescent="0.15">
      <c r="A16" s="14" t="e">
        <f>G16&amp;"-"&amp;#REF!</f>
        <v>#REF!</v>
      </c>
      <c r="B16" s="14" t="str">
        <f>IF(COUNTIF(enemy_habitats!$H:$H,A16),"OK","NG")</f>
        <v>NG</v>
      </c>
      <c r="C16" s="7">
        <v>39007</v>
      </c>
      <c r="D16" s="10" t="str">
        <f ca="1">VLOOKUP($C16,OFFSET([2]quests!$A$1,0,0,COUNTA([2]quests!$A:$A),MATCH(D$1,[2]quests!$1:$1,0)-MATCH($C$1,[2]quests!$1:$1,0)+1),MATCH(D$1,[2]quests!$1:$1,0)-MATCH($C$1,[2]quests!$1:$1,0)+1,FALSE)</f>
        <v>ニムダ（台）</v>
      </c>
      <c r="E16" s="16" t="str">
        <f ca="1">VLOOKUP($C16,OFFSET([2]quests!$A$1,0,0,COUNTA([2]quests!$A:$A),MATCH(E$1,[2]quests!$1:$1,0)-MATCH($C$1,[2]quests!$1:$1,0)+1),MATCH(E$1,[2]quests!$1:$1,0)-MATCH($C$1,[2]quests!$1:$1,0)+1,FALSE)</f>
        <v>コラボクエスト</v>
      </c>
      <c r="F16" s="104">
        <v>4</v>
      </c>
      <c r="G16" s="19" t="str">
        <f t="shared" si="0"/>
        <v>39007_4</v>
      </c>
      <c r="H16" s="13" t="str">
        <f ca="1">VLOOKUP($G16,OFFSET([2]stages!$A$1,0,0,COUNTA([2]stages!$A:$A),MATCH(H$1,[2]stages!$2:$2,0)-MATCH($G$1,[2]stages!$2:$2,0)+1),MATCH(H$1,[2]stages!$2:$2,0)-MATCH($G$1,[2]stages!$2:$2,0)+1,FALSE)</f>
        <v>【超級】ニムダ（台）</v>
      </c>
      <c r="I16" s="104">
        <v>3</v>
      </c>
      <c r="J16" s="34">
        <v>60</v>
      </c>
      <c r="K16" s="34">
        <v>60</v>
      </c>
    </row>
    <row r="17" spans="1:11" ht="21" customHeight="1" x14ac:dyDescent="0.15">
      <c r="A17" s="14" t="e">
        <f>G17&amp;"-"&amp;#REF!</f>
        <v>#REF!</v>
      </c>
      <c r="B17" s="14" t="str">
        <f>IF(COUNTIF(enemy_habitats!$H:$H,A17),"OK","NG")</f>
        <v>NG</v>
      </c>
      <c r="C17" s="7">
        <v>39007</v>
      </c>
      <c r="D17" s="10" t="str">
        <f ca="1">VLOOKUP($C17,OFFSET([2]quests!$A$1,0,0,COUNTA([2]quests!$A:$A),MATCH(D$1,[2]quests!$1:$1,0)-MATCH($C$1,[2]quests!$1:$1,0)+1),MATCH(D$1,[2]quests!$1:$1,0)-MATCH($C$1,[2]quests!$1:$1,0)+1,FALSE)</f>
        <v>ニムダ（台）</v>
      </c>
      <c r="E17" s="16" t="str">
        <f ca="1">VLOOKUP($C17,OFFSET([2]quests!$A$1,0,0,COUNTA([2]quests!$A:$A),MATCH(E$1,[2]quests!$1:$1,0)-MATCH($C$1,[2]quests!$1:$1,0)+1),MATCH(E$1,[2]quests!$1:$1,0)-MATCH($C$1,[2]quests!$1:$1,0)+1,FALSE)</f>
        <v>コラボクエスト</v>
      </c>
      <c r="F17" s="104">
        <v>4</v>
      </c>
      <c r="G17" s="19" t="str">
        <f t="shared" si="0"/>
        <v>39007_4</v>
      </c>
      <c r="H17" s="13" t="str">
        <f ca="1">VLOOKUP($G17,OFFSET([2]stages!$A$1,0,0,COUNTA([2]stages!$A:$A),MATCH(H$1,[2]stages!$2:$2,0)-MATCH($G$1,[2]stages!$2:$2,0)+1),MATCH(H$1,[2]stages!$2:$2,0)-MATCH($G$1,[2]stages!$2:$2,0)+1,FALSE)</f>
        <v>【超級】ニムダ（台）</v>
      </c>
      <c r="I17" s="104">
        <v>4</v>
      </c>
      <c r="J17" s="34">
        <v>60</v>
      </c>
      <c r="K17" s="34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37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A3" sqref="A3"/>
    </sheetView>
  </sheetViews>
  <sheetFormatPr baseColWidth="12" defaultColWidth="13" defaultRowHeight="21" customHeight="1" outlineLevelCol="1" x14ac:dyDescent="0.15"/>
  <cols>
    <col min="1" max="1" width="15.83203125" style="17" bestFit="1" customWidth="1"/>
    <col min="2" max="2" width="10.83203125" style="3" bestFit="1" customWidth="1"/>
    <col min="3" max="3" width="10.6640625" style="3" bestFit="1" customWidth="1" collapsed="1"/>
    <col min="4" max="4" width="13" style="12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8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3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9.5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20.6640625" style="11" bestFit="1" customWidth="1" outlineLevel="1"/>
    <col min="32" max="32" width="8" style="12" bestFit="1" customWidth="1" outlineLevel="1"/>
    <col min="33" max="33" width="12" style="12" bestFit="1" customWidth="1" outlineLevel="1"/>
    <col min="34" max="34" width="15" style="9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1" customFormat="1" ht="21" customHeight="1" x14ac:dyDescent="0.15">
      <c r="A1" s="23" t="s">
        <v>29</v>
      </c>
      <c r="B1" s="24" t="s">
        <v>0</v>
      </c>
      <c r="C1" s="24" t="s">
        <v>1</v>
      </c>
      <c r="D1" s="25" t="s">
        <v>28</v>
      </c>
      <c r="E1" s="26" t="s">
        <v>20</v>
      </c>
      <c r="F1" s="26" t="s">
        <v>20</v>
      </c>
      <c r="G1" s="24" t="s">
        <v>19</v>
      </c>
      <c r="H1" s="25" t="s">
        <v>35</v>
      </c>
      <c r="I1" s="25" t="s">
        <v>14</v>
      </c>
      <c r="J1" s="25" t="s">
        <v>15</v>
      </c>
      <c r="K1" s="32" t="s">
        <v>54</v>
      </c>
      <c r="L1" s="33" t="s">
        <v>2</v>
      </c>
      <c r="M1" s="27" t="s">
        <v>21</v>
      </c>
      <c r="N1" s="25" t="s">
        <v>24</v>
      </c>
      <c r="O1" s="25" t="s">
        <v>23</v>
      </c>
      <c r="P1" s="28" t="s">
        <v>26</v>
      </c>
      <c r="Q1" s="26" t="s">
        <v>25</v>
      </c>
      <c r="R1" s="24" t="s">
        <v>3</v>
      </c>
      <c r="S1" s="22" t="s">
        <v>48</v>
      </c>
      <c r="T1" s="101" t="s">
        <v>257</v>
      </c>
      <c r="U1" s="22" t="s">
        <v>50</v>
      </c>
      <c r="V1" s="101" t="s">
        <v>258</v>
      </c>
      <c r="W1" s="22" t="s">
        <v>52</v>
      </c>
      <c r="X1" s="25" t="s">
        <v>31</v>
      </c>
      <c r="Y1" s="24" t="s">
        <v>4</v>
      </c>
      <c r="Z1" s="24" t="s">
        <v>5</v>
      </c>
      <c r="AA1" s="24" t="s">
        <v>6</v>
      </c>
      <c r="AB1" s="24" t="s">
        <v>7</v>
      </c>
      <c r="AC1" s="24" t="s">
        <v>8</v>
      </c>
      <c r="AD1" s="29" t="s">
        <v>9</v>
      </c>
      <c r="AE1" s="30" t="s">
        <v>16</v>
      </c>
      <c r="AF1" s="30" t="s">
        <v>17</v>
      </c>
      <c r="AG1" s="30" t="s">
        <v>27</v>
      </c>
      <c r="AH1" s="29" t="s">
        <v>10</v>
      </c>
      <c r="AI1" s="24" t="s">
        <v>11</v>
      </c>
      <c r="AJ1" s="24" t="s">
        <v>12</v>
      </c>
      <c r="AK1" s="24" t="s">
        <v>38</v>
      </c>
      <c r="AL1" s="24" t="s">
        <v>40</v>
      </c>
      <c r="AM1" s="24" t="s">
        <v>42</v>
      </c>
      <c r="AN1" s="24" t="s">
        <v>44</v>
      </c>
      <c r="AO1" s="24" t="s">
        <v>46</v>
      </c>
      <c r="AP1" s="32" t="s">
        <v>177</v>
      </c>
    </row>
    <row r="2" spans="1:42" ht="21" customHeight="1" x14ac:dyDescent="0.15">
      <c r="A2" s="14" t="str">
        <f ca="1">B2&amp;"_"&amp;C2&amp;"-"&amp;G2&amp;"/"&amp;L2&amp;"&lt;lv"&amp;R2&amp;"&gt;s"&amp;AC2</f>
        <v>39007_1-1/164&lt;lv10&gt;s3</v>
      </c>
      <c r="B2" s="18">
        <v>39007</v>
      </c>
      <c r="C2" s="104">
        <v>1</v>
      </c>
      <c r="D2" s="2" t="str">
        <f>B2&amp;"_"&amp;C2</f>
        <v>39007_1</v>
      </c>
      <c r="E2" s="4" t="str">
        <f ca="1">VLOOKUP($B2,OFFSET([2]quests!$A$1,0,0,COUNTA([2]quests!$A:$A),MATCH(E$1,[2]quests!$1:$1,0)-MATCH($B$1,[2]quests!$1:$1,0)+1),MATCH(E$1,[2]quests!$1:$1,0)-MATCH($B$1,[2]quests!$1:$1,0)+1,FALSE)</f>
        <v>ニムダ（台）</v>
      </c>
      <c r="F2" s="4" t="str">
        <f ca="1">VLOOKUP($D2,OFFSET([2]stages!$A$1,0,0,COUNTA([2]stages!$A:$A),MATCH(F$1,[2]stages!$2:$2,0)-MATCH($D$1,[2]stages!$2:$2,0)+1),MATCH(F$1,[2]stages!$2:$2,0)-MATCH($D$1,[2]stages!$2:$2,0)+1,FALSE)</f>
        <v>【初級】ニムダ（台）</v>
      </c>
      <c r="G2" s="104">
        <v>1</v>
      </c>
      <c r="H2" s="13" t="str">
        <f>B2&amp;"_"&amp;C2&amp;"-"&amp;G2</f>
        <v>39007_1-1</v>
      </c>
      <c r="I2" s="4" t="e">
        <f ca="1">VLOOKUP($H2,OFFSET(floors!$A$1,0,0,COUNTA(floors!$A:$A),MATCH(I$1,floors!$1:$1,0)-MATCH($H$1,floors!$1:$1,0)+1),MATCH(I$1,floors!$1:$1,0)-MATCH($H$1,floors!$1:$1,0)+1,FALSE)</f>
        <v>#N/A</v>
      </c>
      <c r="J2" s="4" t="e">
        <f ca="1">VLOOKUP($H2,OFFSET(floors!$A$1,0,0,COUNTA(floors!$A:$A),MATCH(J$1,floors!$1:$1,0)-MATCH($H$1,floors!$1:$1,0)+1),MATCH(J$1,floors!$1:$1,0)-MATCH($H$1,floors!$1:$1,0)+1,FALSE)</f>
        <v>#N/A</v>
      </c>
      <c r="K2" s="34" t="s">
        <v>259</v>
      </c>
      <c r="L2" s="104">
        <v>164</v>
      </c>
      <c r="M2" s="15" t="str">
        <f ca="1">VLOOKUP($L2,OFFSET([3]enemies!$A$1,0,0,COUNTA([3]enemies!$A:$A),MATCH(M$1,[3]enemies!$1:$1,0)-MATCH($L$1,[3]enemies!$1:$1,0)+1),MATCH(M$1,[3]enemies!$1:$1,0)-MATCH($L$1,[3]enemies!$1:$1,0)+1,FALSE)</f>
        <v>イブとトモダチ</v>
      </c>
      <c r="N2" s="15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5" t="str">
        <f ca="1">VLOOKUP($L2,OFFSET([4]characters!$A$1,0,0,COUNTA([4]characters!$A:$A),MATCH(O$1,[4]characters!$1:$1,0)-MATCH($L$1,[4]characters!$1:$1,0)+1),MATCH(O$1,[4]characters!$1:$1,0)-MATCH($L$1,[4]characters!$1:$1,0)+1,FALSE)</f>
        <v>PremiumW</v>
      </c>
      <c r="P2" s="15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5">
        <f ca="1">VLOOKUP($L2,OFFSET([3]enemies!$A$1,0,0,COUNTA([3]enemies!$A:$A),MATCH(Q$1,[3]enemies!$1:$1,0)-MATCH($L$1,[3]enemies!$1:$1,0)+1),MATCH(Q$1,[3]enemies!$1:$1,0)-MATCH($L$1,[3]enemies!$1:$1,0)+1,FALSE)</f>
        <v>20</v>
      </c>
      <c r="R2" s="105">
        <v>10</v>
      </c>
      <c r="S2" s="106">
        <v>1</v>
      </c>
      <c r="T2" s="10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15732</v>
      </c>
      <c r="U2" s="107">
        <v>1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745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一定確率で1ターンスキルが使えない！</v>
      </c>
      <c r="Y2" s="57">
        <v>39007001</v>
      </c>
      <c r="Z2" s="6">
        <v>1</v>
      </c>
      <c r="AA2" s="6">
        <v>100</v>
      </c>
      <c r="AB2" s="6">
        <v>1</v>
      </c>
      <c r="AC2" s="15">
        <f ca="1">VLOOKUP($L2,OFFSET([3]enemies!$A$1,0,0,COUNTA([3]enemies!$A:$A),MATCH(AC$1,[3]enemies!$1:$1,0)-MATCH($L$1,[3]enemies!$1:$1,0)+1),MATCH(AC$1,[3]enemies!$1:$1,0)-MATCH($L$1,[3]enemies!$1:$1,0)+1,FALSE)</f>
        <v>3</v>
      </c>
      <c r="AD2" s="20">
        <f>L2</f>
        <v>164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イブとトモダチ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3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2" s="108">
        <v>1</v>
      </c>
      <c r="AI2" s="20">
        <f ca="1">AF2</f>
        <v>3</v>
      </c>
      <c r="AJ2" s="109">
        <v>0</v>
      </c>
      <c r="AK2" s="108">
        <v>0</v>
      </c>
      <c r="AL2" s="108">
        <v>0</v>
      </c>
      <c r="AM2" s="108">
        <v>0</v>
      </c>
      <c r="AN2" s="108">
        <v>0</v>
      </c>
      <c r="AO2" s="108">
        <v>1</v>
      </c>
      <c r="AP2" s="65">
        <v>1</v>
      </c>
    </row>
    <row r="3" spans="1:42" ht="21" customHeight="1" x14ac:dyDescent="0.15">
      <c r="A3" s="14" t="str">
        <f ca="1">B3&amp;"_"&amp;C3&amp;"-"&amp;G3&amp;"/"&amp;L3&amp;"&lt;lv"&amp;R3&amp;"&gt;s"&amp;AC3</f>
        <v>39007_1-1/20&lt;lv10&gt;s3</v>
      </c>
      <c r="B3" s="18">
        <v>39007</v>
      </c>
      <c r="C3" s="104">
        <v>1</v>
      </c>
      <c r="D3" s="2" t="str">
        <f>B3&amp;"_"&amp;C3</f>
        <v>39007_1</v>
      </c>
      <c r="E3" s="4" t="str">
        <f ca="1">VLOOKUP($B3,OFFSET([2]quests!$A$1,0,0,COUNTA([2]quests!$A:$A),MATCH(E$1,[2]quests!$1:$1,0)-MATCH($B$1,[2]quests!$1:$1,0)+1),MATCH(E$1,[2]quests!$1:$1,0)-MATCH($B$1,[2]quests!$1:$1,0)+1,FALSE)</f>
        <v>ニムダ（台）</v>
      </c>
      <c r="F3" s="4" t="str">
        <f ca="1">VLOOKUP($D3,OFFSET([2]stages!$A$1,0,0,COUNTA([2]stages!$A:$A),MATCH(F$1,[2]stages!$2:$2,0)-MATCH($D$1,[2]stages!$2:$2,0)+1),MATCH(F$1,[2]stages!$2:$2,0)-MATCH($D$1,[2]stages!$2:$2,0)+1,FALSE)</f>
        <v>【初級】ニムダ（台）</v>
      </c>
      <c r="G3" s="104">
        <v>1</v>
      </c>
      <c r="H3" s="13" t="str">
        <f>B3&amp;"_"&amp;C3&amp;"-"&amp;G3</f>
        <v>39007_1-1</v>
      </c>
      <c r="I3" s="4" t="e">
        <f ca="1">VLOOKUP($H3,OFFSET(floors!$A$1,0,0,COUNTA(floors!$A:$A),MATCH(I$1,floors!$1:$1,0)-MATCH($H$1,floors!$1:$1,0)+1),MATCH(I$1,floors!$1:$1,0)-MATCH($H$1,floors!$1:$1,0)+1,FALSE)</f>
        <v>#N/A</v>
      </c>
      <c r="J3" s="4" t="e">
        <f ca="1">VLOOKUP($H3,OFFSET(floors!$A$1,0,0,COUNTA(floors!$A:$A),MATCH(J$1,floors!$1:$1,0)-MATCH($H$1,floors!$1:$1,0)+1),MATCH(J$1,floors!$1:$1,0)-MATCH($H$1,floors!$1:$1,0)+1,FALSE)</f>
        <v>#N/A</v>
      </c>
      <c r="K3" s="34" t="s">
        <v>53</v>
      </c>
      <c r="L3" s="104">
        <v>20</v>
      </c>
      <c r="M3" s="15" t="str">
        <f ca="1">VLOOKUP($L3,OFFSET([3]enemies!$A$1,0,0,COUNTA([3]enemies!$A:$A),MATCH(M$1,[3]enemies!$1:$1,0)-MATCH($L$1,[3]enemies!$1:$1,0)+1),MATCH(M$1,[3]enemies!$1:$1,0)-MATCH($L$1,[3]enemies!$1:$1,0)+1,FALSE)</f>
        <v>電子妖精 ティンク</v>
      </c>
      <c r="N3" s="15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5" t="str">
        <f ca="1">VLOOKUP($L3,OFFSET([4]characters!$A$1,0,0,COUNTA([4]characters!$A:$A),MATCH(O$1,[4]characters!$1:$1,0)-MATCH($L$1,[4]characters!$1:$1,0)+1),MATCH(O$1,[4]characters!$1:$1,0)-MATCH($L$1,[4]characters!$1:$1,0)+1,FALSE)</f>
        <v>Drop1W</v>
      </c>
      <c r="P3" s="15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5">
        <f ca="1">VLOOKUP($L3,OFFSET([3]enemies!$A$1,0,0,COUNTA([3]enemies!$A:$A),MATCH(Q$1,[3]enemies!$1:$1,0)-MATCH($L$1,[3]enemies!$1:$1,0)+1),MATCH(Q$1,[3]enemies!$1:$1,0)-MATCH($L$1,[3]enemies!$1:$1,0)+1,FALSE)</f>
        <v>15</v>
      </c>
      <c r="R3" s="105">
        <v>10</v>
      </c>
      <c r="S3" s="106">
        <v>1</v>
      </c>
      <c r="T3" s="10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2119</v>
      </c>
      <c r="U3" s="107">
        <v>1</v>
      </c>
      <c r="V3" s="10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690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3ターン攻撃頻度が1ターンにUP</v>
      </c>
      <c r="Y3" s="57">
        <v>39007002</v>
      </c>
      <c r="Z3" s="6">
        <v>2</v>
      </c>
      <c r="AA3" s="6">
        <v>100</v>
      </c>
      <c r="AB3" s="6">
        <v>2</v>
      </c>
      <c r="AC3" s="15">
        <f ca="1">VLOOKUP($L3,OFFSET([3]enemies!$A$1,0,0,COUNTA([3]enemies!$A:$A),MATCH(AC$1,[3]enemies!$1:$1,0)-MATCH($L$1,[3]enemies!$1:$1,0)+1),MATCH(AC$1,[3]enemies!$1:$1,0)-MATCH($L$1,[3]enemies!$1:$1,0)+1,FALSE)</f>
        <v>3</v>
      </c>
      <c r="AD3" s="20">
        <f t="shared" ref="AD3:AD37" si="0">L3</f>
        <v>20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電子妖精 ティンク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Drop1W</v>
      </c>
      <c r="AH3" s="108">
        <v>1</v>
      </c>
      <c r="AI3" s="20">
        <f ca="1">AF3</f>
        <v>2</v>
      </c>
      <c r="AJ3" s="109">
        <v>20</v>
      </c>
      <c r="AK3" s="108">
        <v>0</v>
      </c>
      <c r="AL3" s="108">
        <v>0</v>
      </c>
      <c r="AM3" s="108">
        <v>0</v>
      </c>
      <c r="AN3" s="108">
        <v>0</v>
      </c>
      <c r="AO3" s="108">
        <v>1</v>
      </c>
      <c r="AP3" s="65">
        <v>1</v>
      </c>
    </row>
    <row r="4" spans="1:42" ht="21" customHeight="1" x14ac:dyDescent="0.15">
      <c r="A4" s="14" t="str">
        <f t="shared" ref="A4:A37" ca="1" si="1">B4&amp;"_"&amp;C4&amp;"-"&amp;G4&amp;"/"&amp;L4&amp;"&lt;lv"&amp;R4&amp;"&gt;s"&amp;AC4</f>
        <v>39007_1-2/83&lt;lv10&gt;s2</v>
      </c>
      <c r="B4" s="18">
        <v>39007</v>
      </c>
      <c r="C4" s="104">
        <v>1</v>
      </c>
      <c r="G4" s="104">
        <v>2</v>
      </c>
      <c r="K4" s="34" t="s">
        <v>53</v>
      </c>
      <c r="L4" s="104">
        <v>83</v>
      </c>
      <c r="R4" s="105">
        <v>10</v>
      </c>
      <c r="S4" s="106">
        <v>1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9918</v>
      </c>
      <c r="U4" s="107">
        <v>1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848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おねだりしている</v>
      </c>
      <c r="Y4" s="57">
        <v>39007003</v>
      </c>
      <c r="Z4" s="6">
        <v>1</v>
      </c>
      <c r="AA4" s="6">
        <v>100</v>
      </c>
      <c r="AB4" s="6">
        <v>1</v>
      </c>
      <c r="AC4" s="15">
        <f ca="1">VLOOKUP($L4,OFFSET([3]enemies!$A$1,0,0,COUNTA([3]enemies!$A:$A),MATCH(AC$1,[3]enemies!$1:$1,0)-MATCH($L$1,[3]enemies!$1:$1,0)+1),MATCH(AC$1,[3]enemies!$1:$1,0)-MATCH($L$1,[3]enemies!$1:$1,0)+1,FALSE)</f>
        <v>2</v>
      </c>
      <c r="AD4" s="20">
        <f t="shared" si="0"/>
        <v>83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拡散性ニムダ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4" s="108">
        <v>1</v>
      </c>
      <c r="AI4" s="20">
        <f t="shared" ref="AI4:AI37" ca="1" si="2">AF4</f>
        <v>3</v>
      </c>
      <c r="AJ4" s="109">
        <v>0</v>
      </c>
      <c r="AK4" s="108">
        <v>0</v>
      </c>
      <c r="AL4" s="108">
        <v>0</v>
      </c>
      <c r="AM4" s="108">
        <v>0</v>
      </c>
      <c r="AN4" s="108">
        <v>0</v>
      </c>
      <c r="AO4" s="108">
        <v>1</v>
      </c>
      <c r="AP4" s="65">
        <v>1</v>
      </c>
    </row>
    <row r="5" spans="1:42" ht="21" customHeight="1" x14ac:dyDescent="0.15">
      <c r="A5" s="14" t="str">
        <f t="shared" ca="1" si="1"/>
        <v>39007_1-2/387&lt;lv10&gt;s3</v>
      </c>
      <c r="B5" s="18">
        <v>39007</v>
      </c>
      <c r="C5" s="104">
        <v>1</v>
      </c>
      <c r="G5" s="104">
        <v>2</v>
      </c>
      <c r="K5" s="34" t="s">
        <v>53</v>
      </c>
      <c r="L5" s="104">
        <v>387</v>
      </c>
      <c r="R5" s="105">
        <v>10</v>
      </c>
      <c r="S5" s="106">
        <v>1</v>
      </c>
      <c r="T5" s="10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10819</v>
      </c>
      <c r="U5" s="107">
        <v>1</v>
      </c>
      <c r="V5" s="10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972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2ターン防御力UP</v>
      </c>
      <c r="Y5" s="57">
        <v>39007004</v>
      </c>
      <c r="Z5" s="6">
        <v>1</v>
      </c>
      <c r="AA5" s="6">
        <v>100</v>
      </c>
      <c r="AB5" s="6">
        <v>2</v>
      </c>
      <c r="AC5" s="15">
        <f ca="1">VLOOKUP($L5,OFFSET([3]enemies!$A$1,0,0,COUNTA([3]enemies!$A:$A),MATCH(AC$1,[3]enemies!$1:$1,0)-MATCH($L$1,[3]enemies!$1:$1,0)+1),MATCH(AC$1,[3]enemies!$1:$1,0)-MATCH($L$1,[3]enemies!$1:$1,0)+1,FALSE)</f>
        <v>3</v>
      </c>
      <c r="AD5" s="20">
        <f t="shared" si="0"/>
        <v>387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スフィンクス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3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5" s="108">
        <v>1</v>
      </c>
      <c r="AI5" s="20">
        <f t="shared" ca="1" si="2"/>
        <v>3</v>
      </c>
      <c r="AJ5" s="109">
        <v>0</v>
      </c>
      <c r="AK5" s="108">
        <v>0</v>
      </c>
      <c r="AL5" s="108">
        <v>0</v>
      </c>
      <c r="AM5" s="108">
        <v>0</v>
      </c>
      <c r="AN5" s="108">
        <v>0</v>
      </c>
      <c r="AO5" s="108">
        <v>1</v>
      </c>
      <c r="AP5" s="65">
        <v>1</v>
      </c>
    </row>
    <row r="6" spans="1:42" ht="21" customHeight="1" x14ac:dyDescent="0.15">
      <c r="A6" s="14" t="str">
        <f t="shared" ca="1" si="1"/>
        <v>39007_1-3/63&lt;lv10&gt;s2</v>
      </c>
      <c r="B6" s="18">
        <v>39007</v>
      </c>
      <c r="C6" s="104">
        <v>1</v>
      </c>
      <c r="G6" s="104">
        <v>3</v>
      </c>
      <c r="K6" s="34" t="s">
        <v>53</v>
      </c>
      <c r="L6" s="104">
        <v>63</v>
      </c>
      <c r="R6" s="105">
        <v>10</v>
      </c>
      <c r="S6" s="106">
        <v>1</v>
      </c>
      <c r="T6" s="102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2029</v>
      </c>
      <c r="U6" s="107">
        <v>0.9</v>
      </c>
      <c r="V6" s="102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621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2回連続攻撃</v>
      </c>
      <c r="Y6" s="57">
        <v>39007005</v>
      </c>
      <c r="Z6" s="6">
        <v>1</v>
      </c>
      <c r="AA6" s="6">
        <v>100</v>
      </c>
      <c r="AB6" s="6">
        <v>2</v>
      </c>
      <c r="AC6" s="15">
        <f ca="1">VLOOKUP($L6,OFFSET([3]enemies!$A$1,0,0,COUNTA([3]enemies!$A:$A),MATCH(AC$1,[3]enemies!$1:$1,0)-MATCH($L$1,[3]enemies!$1:$1,0)+1),MATCH(AC$1,[3]enemies!$1:$1,0)-MATCH($L$1,[3]enemies!$1:$1,0)+1,FALSE)</f>
        <v>2</v>
      </c>
      <c r="AD6" s="20">
        <f t="shared" si="0"/>
        <v>63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トニー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2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Drop1N</v>
      </c>
      <c r="AH6" s="108">
        <v>1</v>
      </c>
      <c r="AI6" s="20">
        <f t="shared" ca="1" si="2"/>
        <v>2</v>
      </c>
      <c r="AJ6" s="109">
        <v>0</v>
      </c>
      <c r="AK6" s="108">
        <v>0</v>
      </c>
      <c r="AL6" s="108">
        <v>0</v>
      </c>
      <c r="AM6" s="108">
        <v>0</v>
      </c>
      <c r="AN6" s="108">
        <v>0</v>
      </c>
      <c r="AO6" s="108">
        <v>1</v>
      </c>
      <c r="AP6" s="65">
        <v>1</v>
      </c>
    </row>
    <row r="7" spans="1:42" ht="21" customHeight="1" x14ac:dyDescent="0.15">
      <c r="A7" s="14" t="str">
        <f t="shared" ca="1" si="1"/>
        <v>39007_1-3/56&lt;lv11&gt;s4</v>
      </c>
      <c r="B7" s="18">
        <v>39007</v>
      </c>
      <c r="C7" s="104">
        <v>1</v>
      </c>
      <c r="G7" s="104">
        <v>3</v>
      </c>
      <c r="K7" s="34" t="s">
        <v>53</v>
      </c>
      <c r="L7" s="104">
        <v>56</v>
      </c>
      <c r="R7" s="105">
        <v>11</v>
      </c>
      <c r="S7" s="106">
        <v>1</v>
      </c>
      <c r="T7" s="10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7600</v>
      </c>
      <c r="U7" s="107">
        <v>1</v>
      </c>
      <c r="V7" s="10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1260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2ターン攻撃力UP</v>
      </c>
      <c r="Y7" s="57">
        <v>39007007</v>
      </c>
      <c r="Z7" s="6">
        <v>0</v>
      </c>
      <c r="AA7" s="6">
        <v>100</v>
      </c>
      <c r="AB7" s="6">
        <v>1</v>
      </c>
      <c r="AC7" s="15">
        <f ca="1">VLOOKUP($L7,OFFSET([3]enemies!$A$1,0,0,COUNTA([3]enemies!$A:$A),MATCH(AC$1,[3]enemies!$1:$1,0)-MATCH($L$1,[3]enemies!$1:$1,0)+1),MATCH(AC$1,[3]enemies!$1:$1,0)-MATCH($L$1,[3]enemies!$1:$1,0)+1,FALSE)</f>
        <v>4</v>
      </c>
      <c r="AD7" s="20">
        <f t="shared" si="0"/>
        <v>56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黄槌のレジスタンス マミコ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3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Drop1N</v>
      </c>
      <c r="AH7" s="108">
        <v>1</v>
      </c>
      <c r="AI7" s="20">
        <f t="shared" ca="1" si="2"/>
        <v>3</v>
      </c>
      <c r="AJ7" s="110">
        <v>10</v>
      </c>
      <c r="AK7" s="108">
        <v>0</v>
      </c>
      <c r="AL7" s="108">
        <v>0</v>
      </c>
      <c r="AM7" s="108">
        <v>0</v>
      </c>
      <c r="AN7" s="108">
        <v>0</v>
      </c>
      <c r="AO7" s="108">
        <v>1</v>
      </c>
      <c r="AP7" s="65">
        <v>1</v>
      </c>
    </row>
    <row r="8" spans="1:42" ht="21" customHeight="1" x14ac:dyDescent="0.15">
      <c r="A8" s="14" t="str">
        <f t="shared" ca="1" si="1"/>
        <v>39007_1-3/56&lt;lv10&gt;s4</v>
      </c>
      <c r="B8" s="18">
        <v>39007</v>
      </c>
      <c r="C8" s="104">
        <v>1</v>
      </c>
      <c r="G8" s="104">
        <v>3</v>
      </c>
      <c r="K8" s="34" t="s">
        <v>53</v>
      </c>
      <c r="L8" s="104">
        <v>56</v>
      </c>
      <c r="R8" s="105">
        <v>10</v>
      </c>
      <c r="S8" s="106">
        <v>1</v>
      </c>
      <c r="T8" s="102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6992</v>
      </c>
      <c r="U8" s="107">
        <v>1</v>
      </c>
      <c r="V8" s="102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1159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2ターン攻撃力UP</v>
      </c>
      <c r="Y8" s="57">
        <v>39007007</v>
      </c>
      <c r="Z8" s="6">
        <v>0</v>
      </c>
      <c r="AA8" s="6">
        <v>100</v>
      </c>
      <c r="AB8" s="6">
        <v>1</v>
      </c>
      <c r="AC8" s="15">
        <f ca="1">VLOOKUP($L8,OFFSET([3]enemies!$A$1,0,0,COUNTA([3]enemies!$A:$A),MATCH(AC$1,[3]enemies!$1:$1,0)-MATCH($L$1,[3]enemies!$1:$1,0)+1),MATCH(AC$1,[3]enemies!$1:$1,0)-MATCH($L$1,[3]enemies!$1:$1,0)+1,FALSE)</f>
        <v>4</v>
      </c>
      <c r="AD8" s="20">
        <f t="shared" si="0"/>
        <v>56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黄槌のレジスタンス マミコ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3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Drop1N</v>
      </c>
      <c r="AH8" s="108">
        <v>1</v>
      </c>
      <c r="AI8" s="20">
        <f t="shared" ca="1" si="2"/>
        <v>3</v>
      </c>
      <c r="AJ8" s="110">
        <v>10</v>
      </c>
      <c r="AK8" s="108">
        <v>0</v>
      </c>
      <c r="AL8" s="108">
        <v>0</v>
      </c>
      <c r="AM8" s="108">
        <v>0</v>
      </c>
      <c r="AN8" s="108">
        <v>0</v>
      </c>
      <c r="AO8" s="108">
        <v>1</v>
      </c>
      <c r="AP8" s="65">
        <v>1</v>
      </c>
    </row>
    <row r="9" spans="1:42" ht="21" customHeight="1" x14ac:dyDescent="0.15">
      <c r="A9" s="14" t="str">
        <f t="shared" ca="1" si="1"/>
        <v>39007_1-3/47&lt;lv10&gt;s1</v>
      </c>
      <c r="B9" s="18">
        <v>39007</v>
      </c>
      <c r="C9" s="104">
        <v>1</v>
      </c>
      <c r="G9" s="104">
        <v>3</v>
      </c>
      <c r="K9" s="34" t="s">
        <v>53</v>
      </c>
      <c r="L9" s="104">
        <v>47</v>
      </c>
      <c r="R9" s="105">
        <v>10</v>
      </c>
      <c r="S9" s="106">
        <v>1</v>
      </c>
      <c r="T9" s="102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2254</v>
      </c>
      <c r="U9" s="107">
        <v>0.9</v>
      </c>
      <c r="V9" s="102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918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9" s="57">
        <v>39007006</v>
      </c>
      <c r="Z9" s="6">
        <v>1</v>
      </c>
      <c r="AA9" s="6">
        <v>100</v>
      </c>
      <c r="AB9" s="6">
        <v>0</v>
      </c>
      <c r="AC9" s="15">
        <f ca="1">VLOOKUP($L9,OFFSET([3]enemies!$A$1,0,0,COUNTA([3]enemies!$A:$A),MATCH(AC$1,[3]enemies!$1:$1,0)-MATCH($L$1,[3]enemies!$1:$1,0)+1),MATCH(AC$1,[3]enemies!$1:$1,0)-MATCH($L$1,[3]enemies!$1:$1,0)+1,FALSE)</f>
        <v>1</v>
      </c>
      <c r="AD9" s="20">
        <f t="shared" si="0"/>
        <v>47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ヒロ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2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Drop1N</v>
      </c>
      <c r="AH9" s="108">
        <v>1</v>
      </c>
      <c r="AI9" s="20">
        <f t="shared" ca="1" si="2"/>
        <v>2</v>
      </c>
      <c r="AJ9" s="109">
        <v>0</v>
      </c>
      <c r="AK9" s="108">
        <v>0</v>
      </c>
      <c r="AL9" s="108">
        <v>0</v>
      </c>
      <c r="AM9" s="108">
        <v>0</v>
      </c>
      <c r="AN9" s="108">
        <v>0</v>
      </c>
      <c r="AO9" s="108">
        <v>1</v>
      </c>
      <c r="AP9" s="65">
        <v>1</v>
      </c>
    </row>
    <row r="10" spans="1:42" ht="21" customHeight="1" x14ac:dyDescent="0.15">
      <c r="A10" s="14" t="str">
        <f t="shared" ca="1" si="1"/>
        <v>39007_1-4/8045&lt;lv10&gt;s3</v>
      </c>
      <c r="B10" s="18">
        <v>39007</v>
      </c>
      <c r="C10" s="104">
        <v>1</v>
      </c>
      <c r="G10" s="104">
        <v>4</v>
      </c>
      <c r="K10" s="34">
        <v>1</v>
      </c>
      <c r="L10" s="104">
        <v>8045</v>
      </c>
      <c r="R10" s="105">
        <v>10</v>
      </c>
      <c r="S10" s="106">
        <v>1</v>
      </c>
      <c r="T10" s="102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0</v>
      </c>
      <c r="U10" s="107">
        <v>1</v>
      </c>
      <c r="V10" s="102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0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緑パネルをハートパネルに変換</v>
      </c>
      <c r="Y10" s="57">
        <v>39007009</v>
      </c>
      <c r="Z10" s="6">
        <v>1</v>
      </c>
      <c r="AA10" s="6">
        <v>100</v>
      </c>
      <c r="AB10" s="6">
        <v>1</v>
      </c>
      <c r="AC10" s="15">
        <f ca="1">VLOOKUP($L10,OFFSET([3]enemies!$A$1,0,0,COUNTA([3]enemies!$A:$A),MATCH(AC$1,[3]enemies!$1:$1,0)-MATCH($L$1,[3]enemies!$1:$1,0)+1),MATCH(AC$1,[3]enemies!$1:$1,0)-MATCH($L$1,[3]enemies!$1:$1,0)+1,FALSE)</f>
        <v>3</v>
      </c>
      <c r="AD10" s="20">
        <f t="shared" si="0"/>
        <v>8045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ニムダ_サンリオキャラ混じり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Drop2N</v>
      </c>
      <c r="AH10" s="108">
        <v>1</v>
      </c>
      <c r="AI10" s="20">
        <f t="shared" ca="1" si="2"/>
        <v>4</v>
      </c>
      <c r="AJ10" s="111">
        <v>10</v>
      </c>
      <c r="AK10" s="108">
        <v>0</v>
      </c>
      <c r="AL10" s="108">
        <v>0</v>
      </c>
      <c r="AM10" s="108">
        <v>0</v>
      </c>
      <c r="AN10" s="108">
        <v>0</v>
      </c>
      <c r="AO10" s="108">
        <v>1</v>
      </c>
      <c r="AP10" s="65">
        <v>1</v>
      </c>
    </row>
    <row r="11" spans="1:42" ht="21" customHeight="1" x14ac:dyDescent="0.15">
      <c r="A11" s="14" t="str">
        <f t="shared" ca="1" si="1"/>
        <v>39007_2-1/164&lt;lv20&gt;s3</v>
      </c>
      <c r="B11" s="18">
        <v>39007</v>
      </c>
      <c r="C11" s="104">
        <v>2</v>
      </c>
      <c r="G11" s="104">
        <v>1</v>
      </c>
      <c r="K11" s="34" t="s">
        <v>53</v>
      </c>
      <c r="L11" s="104">
        <v>164</v>
      </c>
      <c r="R11" s="105">
        <v>20</v>
      </c>
      <c r="S11" s="106">
        <v>1</v>
      </c>
      <c r="T11" s="102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29412</v>
      </c>
      <c r="U11" s="107">
        <v>1</v>
      </c>
      <c r="V11" s="102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1393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一定確率で1ターンスキルが使えない！</v>
      </c>
      <c r="Y11" s="57">
        <v>39007001</v>
      </c>
      <c r="Z11" s="6">
        <v>1</v>
      </c>
      <c r="AA11" s="6">
        <v>100</v>
      </c>
      <c r="AB11" s="6">
        <v>1</v>
      </c>
      <c r="AC11" s="15">
        <f ca="1">VLOOKUP($L11,OFFSET([3]enemies!$A$1,0,0,COUNTA([3]enemies!$A:$A),MATCH(AC$1,[3]enemies!$1:$1,0)-MATCH($L$1,[3]enemies!$1:$1,0)+1),MATCH(AC$1,[3]enemies!$1:$1,0)-MATCH($L$1,[3]enemies!$1:$1,0)+1,FALSE)</f>
        <v>3</v>
      </c>
      <c r="AD11" s="20">
        <f t="shared" si="0"/>
        <v>164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イブとトモダチ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3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1" s="108">
        <v>1</v>
      </c>
      <c r="AI11" s="20">
        <f t="shared" ca="1" si="2"/>
        <v>3</v>
      </c>
      <c r="AJ11" s="109">
        <v>0</v>
      </c>
      <c r="AK11" s="108">
        <v>0</v>
      </c>
      <c r="AL11" s="108">
        <v>0</v>
      </c>
      <c r="AM11" s="108">
        <v>0</v>
      </c>
      <c r="AN11" s="108">
        <v>0</v>
      </c>
      <c r="AO11" s="108">
        <v>1</v>
      </c>
      <c r="AP11" s="65">
        <v>1</v>
      </c>
    </row>
    <row r="12" spans="1:42" ht="21" customHeight="1" x14ac:dyDescent="0.15">
      <c r="A12" s="14" t="str">
        <f t="shared" ca="1" si="1"/>
        <v>39007_2-1/20&lt;lv20&gt;s3</v>
      </c>
      <c r="B12" s="18">
        <v>39007</v>
      </c>
      <c r="C12" s="104">
        <v>2</v>
      </c>
      <c r="G12" s="104">
        <v>1</v>
      </c>
      <c r="K12" s="34" t="s">
        <v>53</v>
      </c>
      <c r="L12" s="104">
        <v>20</v>
      </c>
      <c r="R12" s="105">
        <v>20</v>
      </c>
      <c r="S12" s="106">
        <v>1</v>
      </c>
      <c r="T12" s="102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3961</v>
      </c>
      <c r="U12" s="107">
        <v>1</v>
      </c>
      <c r="V12" s="102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1290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3ターン攻撃頻度が1ターンにUP</v>
      </c>
      <c r="Y12" s="57">
        <v>39007002</v>
      </c>
      <c r="Z12" s="6">
        <v>2</v>
      </c>
      <c r="AA12" s="6">
        <v>100</v>
      </c>
      <c r="AB12" s="6">
        <v>2</v>
      </c>
      <c r="AC12" s="15">
        <f ca="1">VLOOKUP($L12,OFFSET([3]enemies!$A$1,0,0,COUNTA([3]enemies!$A:$A),MATCH(AC$1,[3]enemies!$1:$1,0)-MATCH($L$1,[3]enemies!$1:$1,0)+1),MATCH(AC$1,[3]enemies!$1:$1,0)-MATCH($L$1,[3]enemies!$1:$1,0)+1,FALSE)</f>
        <v>3</v>
      </c>
      <c r="AD12" s="20">
        <f t="shared" si="0"/>
        <v>20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電子妖精 ティンク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2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Drop1W</v>
      </c>
      <c r="AH12" s="108">
        <v>1</v>
      </c>
      <c r="AI12" s="20">
        <f t="shared" ca="1" si="2"/>
        <v>2</v>
      </c>
      <c r="AJ12" s="109">
        <v>20</v>
      </c>
      <c r="AK12" s="108">
        <v>0</v>
      </c>
      <c r="AL12" s="108">
        <v>0</v>
      </c>
      <c r="AM12" s="108">
        <v>0</v>
      </c>
      <c r="AN12" s="108">
        <v>0</v>
      </c>
      <c r="AO12" s="108">
        <v>1</v>
      </c>
      <c r="AP12" s="65">
        <v>1</v>
      </c>
    </row>
    <row r="13" spans="1:42" ht="21" customHeight="1" x14ac:dyDescent="0.15">
      <c r="A13" s="14" t="str">
        <f t="shared" ca="1" si="1"/>
        <v>39007_2-2/83&lt;lv20&gt;s2</v>
      </c>
      <c r="B13" s="18">
        <v>39007</v>
      </c>
      <c r="C13" s="104">
        <v>2</v>
      </c>
      <c r="G13" s="104">
        <v>2</v>
      </c>
      <c r="K13" s="34" t="s">
        <v>53</v>
      </c>
      <c r="L13" s="104">
        <v>83</v>
      </c>
      <c r="R13" s="105">
        <v>20</v>
      </c>
      <c r="S13" s="106">
        <v>1</v>
      </c>
      <c r="T13" s="102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18542</v>
      </c>
      <c r="U13" s="107">
        <v>1</v>
      </c>
      <c r="V13" s="102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1585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おねだりしている</v>
      </c>
      <c r="Y13" s="57">
        <v>39007003</v>
      </c>
      <c r="Z13" s="6">
        <v>1</v>
      </c>
      <c r="AA13" s="6">
        <v>100</v>
      </c>
      <c r="AB13" s="6">
        <v>1</v>
      </c>
      <c r="AC13" s="15">
        <f ca="1">VLOOKUP($L13,OFFSET([3]enemies!$A$1,0,0,COUNTA([3]enemies!$A:$A),MATCH(AC$1,[3]enemies!$1:$1,0)-MATCH($L$1,[3]enemies!$1:$1,0)+1),MATCH(AC$1,[3]enemies!$1:$1,0)-MATCH($L$1,[3]enemies!$1:$1,0)+1,FALSE)</f>
        <v>2</v>
      </c>
      <c r="AD13" s="20">
        <f t="shared" si="0"/>
        <v>83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拡散性ニムダ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3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13" s="108">
        <v>1</v>
      </c>
      <c r="AI13" s="20">
        <f t="shared" ca="1" si="2"/>
        <v>3</v>
      </c>
      <c r="AJ13" s="109">
        <v>0</v>
      </c>
      <c r="AK13" s="108">
        <v>0</v>
      </c>
      <c r="AL13" s="108">
        <v>0</v>
      </c>
      <c r="AM13" s="108">
        <v>0</v>
      </c>
      <c r="AN13" s="108">
        <v>0</v>
      </c>
      <c r="AO13" s="108">
        <v>1</v>
      </c>
      <c r="AP13" s="65">
        <v>1</v>
      </c>
    </row>
    <row r="14" spans="1:42" ht="21" customHeight="1" x14ac:dyDescent="0.15">
      <c r="A14" s="14" t="str">
        <f t="shared" ca="1" si="1"/>
        <v>39007_2-2/387&lt;lv20&gt;s3</v>
      </c>
      <c r="B14" s="18">
        <v>39007</v>
      </c>
      <c r="C14" s="104">
        <v>2</v>
      </c>
      <c r="G14" s="104">
        <v>2</v>
      </c>
      <c r="K14" s="34" t="s">
        <v>53</v>
      </c>
      <c r="L14" s="104">
        <v>387</v>
      </c>
      <c r="R14" s="105">
        <v>20</v>
      </c>
      <c r="S14" s="106">
        <v>1</v>
      </c>
      <c r="T14" s="102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20227</v>
      </c>
      <c r="U14" s="107">
        <v>1</v>
      </c>
      <c r="V14" s="102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1817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2ターン防御力UP</v>
      </c>
      <c r="Y14" s="57">
        <v>39007004</v>
      </c>
      <c r="Z14" s="6">
        <v>1</v>
      </c>
      <c r="AA14" s="6">
        <v>100</v>
      </c>
      <c r="AB14" s="6">
        <v>2</v>
      </c>
      <c r="AC14" s="15">
        <f ca="1">VLOOKUP($L14,OFFSET([3]enemies!$A$1,0,0,COUNTA([3]enemies!$A:$A),MATCH(AC$1,[3]enemies!$1:$1,0)-MATCH($L$1,[3]enemies!$1:$1,0)+1),MATCH(AC$1,[3]enemies!$1:$1,0)-MATCH($L$1,[3]enemies!$1:$1,0)+1,FALSE)</f>
        <v>3</v>
      </c>
      <c r="AD14" s="20">
        <f t="shared" si="0"/>
        <v>387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スフィンクス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3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4" s="108">
        <v>1</v>
      </c>
      <c r="AI14" s="20">
        <f t="shared" ca="1" si="2"/>
        <v>3</v>
      </c>
      <c r="AJ14" s="109">
        <v>0</v>
      </c>
      <c r="AK14" s="108">
        <v>0</v>
      </c>
      <c r="AL14" s="108">
        <v>0</v>
      </c>
      <c r="AM14" s="108">
        <v>0</v>
      </c>
      <c r="AN14" s="108">
        <v>0</v>
      </c>
      <c r="AO14" s="108">
        <v>1</v>
      </c>
      <c r="AP14" s="65">
        <v>1</v>
      </c>
    </row>
    <row r="15" spans="1:42" ht="21" customHeight="1" x14ac:dyDescent="0.15">
      <c r="A15" s="14" t="str">
        <f t="shared" ca="1" si="1"/>
        <v>39007_2-3/63&lt;lv20&gt;s2</v>
      </c>
      <c r="B15" s="18">
        <v>39007</v>
      </c>
      <c r="C15" s="104">
        <v>2</v>
      </c>
      <c r="G15" s="104">
        <v>3</v>
      </c>
      <c r="K15" s="34" t="s">
        <v>53</v>
      </c>
      <c r="L15" s="104">
        <v>63</v>
      </c>
      <c r="R15" s="105">
        <v>20</v>
      </c>
      <c r="S15" s="106">
        <v>1</v>
      </c>
      <c r="T15" s="102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3793</v>
      </c>
      <c r="U15" s="107">
        <v>0.9</v>
      </c>
      <c r="V15" s="102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1161</v>
      </c>
      <c r="W15" s="5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2回連続攻撃</v>
      </c>
      <c r="Y15" s="57">
        <v>39007005</v>
      </c>
      <c r="Z15" s="6">
        <v>1</v>
      </c>
      <c r="AA15" s="6">
        <v>100</v>
      </c>
      <c r="AB15" s="6">
        <v>2</v>
      </c>
      <c r="AC15" s="15">
        <f ca="1">VLOOKUP($L15,OFFSET([3]enemies!$A$1,0,0,COUNTA([3]enemies!$A:$A),MATCH(AC$1,[3]enemies!$1:$1,0)-MATCH($L$1,[3]enemies!$1:$1,0)+1),MATCH(AC$1,[3]enemies!$1:$1,0)-MATCH($L$1,[3]enemies!$1:$1,0)+1,FALSE)</f>
        <v>2</v>
      </c>
      <c r="AD15" s="20">
        <f t="shared" si="0"/>
        <v>63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トニー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2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Drop1N</v>
      </c>
      <c r="AH15" s="108">
        <v>1</v>
      </c>
      <c r="AI15" s="20">
        <f t="shared" ca="1" si="2"/>
        <v>2</v>
      </c>
      <c r="AJ15" s="109">
        <v>0</v>
      </c>
      <c r="AK15" s="108">
        <v>0</v>
      </c>
      <c r="AL15" s="108">
        <v>0</v>
      </c>
      <c r="AM15" s="108">
        <v>0</v>
      </c>
      <c r="AN15" s="108">
        <v>0</v>
      </c>
      <c r="AO15" s="108">
        <v>1</v>
      </c>
      <c r="AP15" s="65">
        <v>1</v>
      </c>
    </row>
    <row r="16" spans="1:42" ht="21" customHeight="1" x14ac:dyDescent="0.15">
      <c r="A16" s="14" t="str">
        <f t="shared" ca="1" si="1"/>
        <v>39007_2-3/56&lt;lv21&gt;s4</v>
      </c>
      <c r="B16" s="18">
        <v>39007</v>
      </c>
      <c r="C16" s="104">
        <v>2</v>
      </c>
      <c r="G16" s="104">
        <v>3</v>
      </c>
      <c r="K16" s="34" t="s">
        <v>53</v>
      </c>
      <c r="L16" s="104">
        <v>56</v>
      </c>
      <c r="R16" s="105">
        <v>21</v>
      </c>
      <c r="S16" s="106">
        <v>1</v>
      </c>
      <c r="T16" s="102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13680</v>
      </c>
      <c r="U16" s="107">
        <v>1</v>
      </c>
      <c r="V16" s="102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2268</v>
      </c>
      <c r="W16" s="5">
        <v>0</v>
      </c>
      <c r="X16" s="4" t="str">
        <f ca="1">VLOOKUP($Y16,OFFSET(enemy_skill_sets!$B$1,0,0,COUNTA(enemy_skill_sets!$B:$B),MATCH(M$1,enemy_skill_sets!$1:$1,0)-MATCH($Y$1,enemy_skill_sets!$1:$1,0)+2),MATCH(M$1,enemy_skill_sets!$1:$1,0)-MATCH($Y$1,enemy_skill_sets!$1:$1,0)+2,FALSE)</f>
        <v>2ターン攻撃力UP</v>
      </c>
      <c r="Y16" s="57">
        <v>39007008</v>
      </c>
      <c r="Z16" s="6">
        <v>0</v>
      </c>
      <c r="AA16" s="6">
        <v>100</v>
      </c>
      <c r="AB16" s="6">
        <v>1</v>
      </c>
      <c r="AC16" s="15">
        <f ca="1">VLOOKUP($L16,OFFSET([3]enemies!$A$1,0,0,COUNTA([3]enemies!$A:$A),MATCH(AC$1,[3]enemies!$1:$1,0)-MATCH($L$1,[3]enemies!$1:$1,0)+1),MATCH(AC$1,[3]enemies!$1:$1,0)-MATCH($L$1,[3]enemies!$1:$1,0)+1,FALSE)</f>
        <v>4</v>
      </c>
      <c r="AD16" s="20">
        <f t="shared" si="0"/>
        <v>56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黄槌のレジスタンス マミコ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3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Drop1N</v>
      </c>
      <c r="AH16" s="108">
        <v>1</v>
      </c>
      <c r="AI16" s="20">
        <f t="shared" ca="1" si="2"/>
        <v>3</v>
      </c>
      <c r="AJ16" s="110">
        <v>20</v>
      </c>
      <c r="AK16" s="108">
        <v>0</v>
      </c>
      <c r="AL16" s="108">
        <v>0</v>
      </c>
      <c r="AM16" s="108">
        <v>0</v>
      </c>
      <c r="AN16" s="108">
        <v>0</v>
      </c>
      <c r="AO16" s="108">
        <v>1</v>
      </c>
      <c r="AP16" s="65">
        <v>1</v>
      </c>
    </row>
    <row r="17" spans="1:42" ht="21" customHeight="1" x14ac:dyDescent="0.15">
      <c r="A17" s="14" t="str">
        <f t="shared" ca="1" si="1"/>
        <v>39007_2-3/56&lt;lv20&gt;s4</v>
      </c>
      <c r="B17" s="18">
        <v>39007</v>
      </c>
      <c r="C17" s="104">
        <v>2</v>
      </c>
      <c r="G17" s="104">
        <v>3</v>
      </c>
      <c r="K17" s="34" t="s">
        <v>53</v>
      </c>
      <c r="L17" s="104">
        <v>56</v>
      </c>
      <c r="R17" s="105">
        <v>20</v>
      </c>
      <c r="S17" s="106">
        <v>1</v>
      </c>
      <c r="T17" s="102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13072</v>
      </c>
      <c r="U17" s="107">
        <v>1</v>
      </c>
      <c r="V17" s="102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2167</v>
      </c>
      <c r="W17" s="5">
        <v>0</v>
      </c>
      <c r="X17" s="4" t="str">
        <f ca="1">VLOOKUP($Y17,OFFSET(enemy_skill_sets!$B$1,0,0,COUNTA(enemy_skill_sets!$B:$B),MATCH(M$1,enemy_skill_sets!$1:$1,0)-MATCH($Y$1,enemy_skill_sets!$1:$1,0)+2),MATCH(M$1,enemy_skill_sets!$1:$1,0)-MATCH($Y$1,enemy_skill_sets!$1:$1,0)+2,FALSE)</f>
        <v>2ターン攻撃力UP</v>
      </c>
      <c r="Y17" s="57">
        <v>39007008</v>
      </c>
      <c r="Z17" s="6">
        <v>0</v>
      </c>
      <c r="AA17" s="6">
        <v>100</v>
      </c>
      <c r="AB17" s="6">
        <v>1</v>
      </c>
      <c r="AC17" s="15">
        <f ca="1">VLOOKUP($L17,OFFSET([3]enemies!$A$1,0,0,COUNTA([3]enemies!$A:$A),MATCH(AC$1,[3]enemies!$1:$1,0)-MATCH($L$1,[3]enemies!$1:$1,0)+1),MATCH(AC$1,[3]enemies!$1:$1,0)-MATCH($L$1,[3]enemies!$1:$1,0)+1,FALSE)</f>
        <v>4</v>
      </c>
      <c r="AD17" s="20">
        <f t="shared" si="0"/>
        <v>56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黄槌のレジスタンス マミコ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3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Drop1N</v>
      </c>
      <c r="AH17" s="108">
        <v>1</v>
      </c>
      <c r="AI17" s="20">
        <f t="shared" ca="1" si="2"/>
        <v>3</v>
      </c>
      <c r="AJ17" s="110">
        <v>20</v>
      </c>
      <c r="AK17" s="108">
        <v>0</v>
      </c>
      <c r="AL17" s="108">
        <v>0</v>
      </c>
      <c r="AM17" s="108">
        <v>0</v>
      </c>
      <c r="AN17" s="108">
        <v>0</v>
      </c>
      <c r="AO17" s="108">
        <v>1</v>
      </c>
      <c r="AP17" s="65">
        <v>1</v>
      </c>
    </row>
    <row r="18" spans="1:42" ht="21" customHeight="1" x14ac:dyDescent="0.15">
      <c r="A18" s="14" t="str">
        <f t="shared" ca="1" si="1"/>
        <v>39007_2-3/47&lt;lv20&gt;s1</v>
      </c>
      <c r="B18" s="18">
        <v>39007</v>
      </c>
      <c r="C18" s="104">
        <v>2</v>
      </c>
      <c r="G18" s="104">
        <v>3</v>
      </c>
      <c r="K18" s="34" t="s">
        <v>53</v>
      </c>
      <c r="L18" s="104">
        <v>47</v>
      </c>
      <c r="R18" s="105">
        <v>20</v>
      </c>
      <c r="S18" s="106">
        <v>1</v>
      </c>
      <c r="T18" s="102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4214</v>
      </c>
      <c r="U18" s="107">
        <v>0.9</v>
      </c>
      <c r="V18" s="102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1715.4</v>
      </c>
      <c r="W18" s="5">
        <v>0</v>
      </c>
      <c r="X18" s="4" t="str">
        <f ca="1">VLOOKUP($Y18,OFFSET(enemy_skill_sets!$B$1,0,0,COUNTA(enemy_skill_sets!$B:$B),MATCH(M$1,enemy_skill_sets!$1:$1,0)-MATCH($Y$1,enemy_skill_sets!$1:$1,0)+2),MATCH(M$1,enemy_skill_sets!$1:$1,0)-MATCH($Y$1,enemy_skill_sets!$1:$1,0)+2,FALSE)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18" s="57">
        <v>39007006</v>
      </c>
      <c r="Z18" s="6">
        <v>1</v>
      </c>
      <c r="AA18" s="6">
        <v>100</v>
      </c>
      <c r="AB18" s="6">
        <v>0</v>
      </c>
      <c r="AC18" s="15">
        <f ca="1">VLOOKUP($L18,OFFSET([3]enemies!$A$1,0,0,COUNTA([3]enemies!$A:$A),MATCH(AC$1,[3]enemies!$1:$1,0)-MATCH($L$1,[3]enemies!$1:$1,0)+1),MATCH(AC$1,[3]enemies!$1:$1,0)-MATCH($L$1,[3]enemies!$1:$1,0)+1,FALSE)</f>
        <v>1</v>
      </c>
      <c r="AD18" s="20">
        <f t="shared" si="0"/>
        <v>47</v>
      </c>
      <c r="AE18" s="4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ヒロ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2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Drop1N</v>
      </c>
      <c r="AH18" s="108">
        <v>1</v>
      </c>
      <c r="AI18" s="20">
        <f t="shared" ca="1" si="2"/>
        <v>2</v>
      </c>
      <c r="AJ18" s="109">
        <v>0</v>
      </c>
      <c r="AK18" s="108">
        <v>0</v>
      </c>
      <c r="AL18" s="108">
        <v>0</v>
      </c>
      <c r="AM18" s="108">
        <v>0</v>
      </c>
      <c r="AN18" s="108">
        <v>0</v>
      </c>
      <c r="AO18" s="108">
        <v>1</v>
      </c>
      <c r="AP18" s="65">
        <v>1</v>
      </c>
    </row>
    <row r="19" spans="1:42" ht="21" customHeight="1" x14ac:dyDescent="0.15">
      <c r="A19" s="14" t="str">
        <f t="shared" ca="1" si="1"/>
        <v>39007_2-4/8045&lt;lv20&gt;s3</v>
      </c>
      <c r="B19" s="18">
        <v>39007</v>
      </c>
      <c r="C19" s="104">
        <v>2</v>
      </c>
      <c r="G19" s="104">
        <v>4</v>
      </c>
      <c r="K19" s="34">
        <v>2</v>
      </c>
      <c r="L19" s="104">
        <v>8045</v>
      </c>
      <c r="R19" s="105">
        <v>20</v>
      </c>
      <c r="S19" s="106">
        <v>1</v>
      </c>
      <c r="T19" s="102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0</v>
      </c>
      <c r="U19" s="107">
        <v>1</v>
      </c>
      <c r="V19" s="102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0</v>
      </c>
      <c r="W19" s="5">
        <v>0</v>
      </c>
      <c r="X19" s="4" t="str">
        <f ca="1">VLOOKUP($Y19,OFFSET(enemy_skill_sets!$B$1,0,0,COUNTA(enemy_skill_sets!$B:$B),MATCH(M$1,enemy_skill_sets!$1:$1,0)-MATCH($Y$1,enemy_skill_sets!$1:$1,0)+2),MATCH(M$1,enemy_skill_sets!$1:$1,0)-MATCH($Y$1,enemy_skill_sets!$1:$1,0)+2,FALSE)</f>
        <v>緑パネルをハートパネルに変換</v>
      </c>
      <c r="Y19" s="57">
        <v>39007009</v>
      </c>
      <c r="Z19" s="6">
        <v>1</v>
      </c>
      <c r="AA19" s="6">
        <v>100</v>
      </c>
      <c r="AB19" s="6">
        <v>1</v>
      </c>
      <c r="AC19" s="15">
        <f ca="1">VLOOKUP($L19,OFFSET([3]enemies!$A$1,0,0,COUNTA([3]enemies!$A:$A),MATCH(AC$1,[3]enemies!$1:$1,0)-MATCH($L$1,[3]enemies!$1:$1,0)+1),MATCH(AC$1,[3]enemies!$1:$1,0)-MATCH($L$1,[3]enemies!$1:$1,0)+1,FALSE)</f>
        <v>3</v>
      </c>
      <c r="AD19" s="20">
        <f t="shared" si="0"/>
        <v>8045</v>
      </c>
      <c r="AE19" s="4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ニムダ_サンリオキャラ混じり</v>
      </c>
      <c r="AF19" s="4">
        <f ca="1">VLOOKUP($AD19,OFFSET([4]characters!$A$1,0,0,COUNTA([4]characters!$A:$A),MATCH(AF$1,[4]characters!$1:$1,0)-MATCH("character_id",[4]characters!$1:$1,0)+1),MATCH(AF$1,[4]characters!$1:$1,0)-MATCH("character_id",[4]characters!$1:$1,0)+1,FALSE)</f>
        <v>4</v>
      </c>
      <c r="AG19" s="4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Drop2N</v>
      </c>
      <c r="AH19" s="108">
        <v>1</v>
      </c>
      <c r="AI19" s="20">
        <f t="shared" ca="1" si="2"/>
        <v>4</v>
      </c>
      <c r="AJ19" s="111">
        <v>20</v>
      </c>
      <c r="AK19" s="108">
        <v>0</v>
      </c>
      <c r="AL19" s="108">
        <v>0</v>
      </c>
      <c r="AM19" s="108">
        <v>0</v>
      </c>
      <c r="AN19" s="108">
        <v>0</v>
      </c>
      <c r="AO19" s="108">
        <v>1</v>
      </c>
      <c r="AP19" s="65">
        <v>1</v>
      </c>
    </row>
    <row r="20" spans="1:42" ht="21" customHeight="1" x14ac:dyDescent="0.15">
      <c r="A20" s="14" t="str">
        <f t="shared" ca="1" si="1"/>
        <v>39007_3-1/164&lt;lv30&gt;s3</v>
      </c>
      <c r="B20" s="18">
        <v>39007</v>
      </c>
      <c r="C20" s="104">
        <v>3</v>
      </c>
      <c r="G20" s="104">
        <v>1</v>
      </c>
      <c r="K20" s="34" t="s">
        <v>53</v>
      </c>
      <c r="L20" s="104">
        <v>164</v>
      </c>
      <c r="R20" s="105">
        <v>30</v>
      </c>
      <c r="S20" s="106">
        <v>1</v>
      </c>
      <c r="T20" s="102">
        <f ca="1">ROUND(VLOOKUP(R20,[3]enemy_base_stats!$A:$F,2,FALSE) *INDIRECT("[EnemyMasterData.xlsm]enemies!Y"&amp;(L20+1))*  INDIRECT("[EnemyMasterData.xlsm]enemies!J"&amp;(L20+1))* INDIRECT("[EnemyMasterData.xlsm]enemies!O"&amp;(L20+1))* INDIRECT("[EnemyMasterData.xlsm]enemies!E"&amp;(L20+1))* INDIRECT("[EnemyMasterData.xlsm]enemies!S"&amp;(L20+1))* INDIRECT("[EnemyMasterData.xlsm]enemies!AD"&amp;(L20+1))*[4]ステータス!$B$2,0)*S20</f>
        <v>43091</v>
      </c>
      <c r="U20" s="107">
        <v>1</v>
      </c>
      <c r="V20" s="102">
        <f ca="1">ROUND(VLOOKUP(R20,[3]enemy_base_stats!$A:$F,3,FALSE) *INDIRECT("[EnemyMasterData.xlsm]enemies!Z"&amp;(L20+1))*  INDIRECT("[EnemyMasterData.xlsm]enemies!K"&amp;(L20+1))* INDIRECT("[EnemyMasterData.xlsm]enemies!P"&amp;(L20+1))* INDIRECT("[EnemyMasterData.xlsm]enemies!F"&amp;(L20+1))* INDIRECT("[EnemyMasterData.xlsm]enemies!T"&amp;(L20+1))* INDIRECT("[EnemyMasterData.xlsm]enemies!AE"&amp;(L20+1))*[4]ステータス!$C$2,0)*U20</f>
        <v>2041</v>
      </c>
      <c r="W20" s="5">
        <v>0</v>
      </c>
      <c r="X20" s="4" t="str">
        <f ca="1">VLOOKUP($Y20,OFFSET(enemy_skill_sets!$B$1,0,0,COUNTA(enemy_skill_sets!$B:$B),MATCH(M$1,enemy_skill_sets!$1:$1,0)-MATCH($Y$1,enemy_skill_sets!$1:$1,0)+2),MATCH(M$1,enemy_skill_sets!$1:$1,0)-MATCH($Y$1,enemy_skill_sets!$1:$1,0)+2,FALSE)</f>
        <v>一定確率で1ターンスキルが使えない！</v>
      </c>
      <c r="Y20" s="57">
        <v>39007001</v>
      </c>
      <c r="Z20" s="6">
        <v>1</v>
      </c>
      <c r="AA20" s="6">
        <v>100</v>
      </c>
      <c r="AB20" s="6">
        <v>1</v>
      </c>
      <c r="AC20" s="15">
        <f ca="1">VLOOKUP($L20,OFFSET([3]enemies!$A$1,0,0,COUNTA([3]enemies!$A:$A),MATCH(AC$1,[3]enemies!$1:$1,0)-MATCH($L$1,[3]enemies!$1:$1,0)+1),MATCH(AC$1,[3]enemies!$1:$1,0)-MATCH($L$1,[3]enemies!$1:$1,0)+1,FALSE)</f>
        <v>3</v>
      </c>
      <c r="AD20" s="20">
        <f t="shared" si="0"/>
        <v>164</v>
      </c>
      <c r="AE20" s="4" t="str">
        <f ca="1">VLOOKUP($AD20,OFFSET([4]characters!$A$1,0,0,COUNTA([4]characters!$A:$A),MATCH(AE$1,[4]characters!$1:$1,0)-MATCH("character_id",[4]characters!$1:$1,0)+1),MATCH(AE$1,[4]characters!$1:$1,0)-MATCH("character_id",[4]characters!$1:$1,0)+1,FALSE)</f>
        <v>イブとトモダチ</v>
      </c>
      <c r="AF20" s="4">
        <f ca="1">VLOOKUP($AD20,OFFSET([4]characters!$A$1,0,0,COUNTA([4]characters!$A:$A),MATCH(AF$1,[4]characters!$1:$1,0)-MATCH("character_id",[4]characters!$1:$1,0)+1),MATCH(AF$1,[4]characters!$1:$1,0)-MATCH("character_id",[4]characters!$1:$1,0)+1,FALSE)</f>
        <v>3</v>
      </c>
      <c r="AG20" s="4" t="str">
        <f ca="1">VLOOKUP($AD20,OFFSET([4]characters!$A$1,0,0,COUNTA([4]characters!$A:$A),MATCH(AG$1,[4]characters!$1:$1,0)-MATCH("character_id",[4]characters!$1:$1,0)+1),MATCH(AG$1,[4]characters!$1:$1,0)-MATCH("character_id",[4]characters!$1:$1,0)+1,FALSE)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20" s="108">
        <v>1</v>
      </c>
      <c r="AI20" s="20">
        <f t="shared" ca="1" si="2"/>
        <v>3</v>
      </c>
      <c r="AJ20" s="109">
        <v>0</v>
      </c>
      <c r="AK20" s="108">
        <v>0</v>
      </c>
      <c r="AL20" s="108">
        <v>0</v>
      </c>
      <c r="AM20" s="108">
        <v>0</v>
      </c>
      <c r="AN20" s="108">
        <v>0</v>
      </c>
      <c r="AO20" s="108">
        <v>1</v>
      </c>
      <c r="AP20" s="65">
        <v>1</v>
      </c>
    </row>
    <row r="21" spans="1:42" ht="21" customHeight="1" x14ac:dyDescent="0.15">
      <c r="A21" s="14" t="str">
        <f t="shared" ca="1" si="1"/>
        <v>39007_3-1/20&lt;lv30&gt;s3</v>
      </c>
      <c r="B21" s="18">
        <v>39007</v>
      </c>
      <c r="C21" s="104">
        <v>3</v>
      </c>
      <c r="G21" s="104">
        <v>1</v>
      </c>
      <c r="K21" s="34" t="s">
        <v>53</v>
      </c>
      <c r="L21" s="104">
        <v>20</v>
      </c>
      <c r="R21" s="105">
        <v>30</v>
      </c>
      <c r="S21" s="106">
        <v>1</v>
      </c>
      <c r="T21" s="102">
        <f ca="1">ROUND(VLOOKUP(R21,[3]enemy_base_stats!$A:$F,2,FALSE) *INDIRECT("[EnemyMasterData.xlsm]enemies!Y"&amp;(L21+1))*  INDIRECT("[EnemyMasterData.xlsm]enemies!J"&amp;(L21+1))* INDIRECT("[EnemyMasterData.xlsm]enemies!O"&amp;(L21+1))* INDIRECT("[EnemyMasterData.xlsm]enemies!E"&amp;(L21+1))* INDIRECT("[EnemyMasterData.xlsm]enemies!S"&amp;(L21+1))* INDIRECT("[EnemyMasterData.xlsm]enemies!AD"&amp;(L21+1))*[4]ステータス!$B$2,0)*S21</f>
        <v>5804</v>
      </c>
      <c r="U21" s="107">
        <v>1</v>
      </c>
      <c r="V21" s="102">
        <f ca="1">ROUND(VLOOKUP(R21,[3]enemy_base_stats!$A:$F,3,FALSE) *INDIRECT("[EnemyMasterData.xlsm]enemies!Z"&amp;(L21+1))*  INDIRECT("[EnemyMasterData.xlsm]enemies!K"&amp;(L21+1))* INDIRECT("[EnemyMasterData.xlsm]enemies!P"&amp;(L21+1))* INDIRECT("[EnemyMasterData.xlsm]enemies!F"&amp;(L21+1))* INDIRECT("[EnemyMasterData.xlsm]enemies!T"&amp;(L21+1))* INDIRECT("[EnemyMasterData.xlsm]enemies!AE"&amp;(L21+1))*[4]ステータス!$C$2,0)*U21</f>
        <v>1890</v>
      </c>
      <c r="W21" s="5">
        <v>0</v>
      </c>
      <c r="X21" s="4" t="str">
        <f ca="1">VLOOKUP($Y21,OFFSET(enemy_skill_sets!$B$1,0,0,COUNTA(enemy_skill_sets!$B:$B),MATCH(M$1,enemy_skill_sets!$1:$1,0)-MATCH($Y$1,enemy_skill_sets!$1:$1,0)+2),MATCH(M$1,enemy_skill_sets!$1:$1,0)-MATCH($Y$1,enemy_skill_sets!$1:$1,0)+2,FALSE)</f>
        <v>3ターン攻撃頻度が1ターンにUP</v>
      </c>
      <c r="Y21" s="57">
        <v>39007002</v>
      </c>
      <c r="Z21" s="6">
        <v>2</v>
      </c>
      <c r="AA21" s="6">
        <v>100</v>
      </c>
      <c r="AB21" s="6">
        <v>2</v>
      </c>
      <c r="AC21" s="15">
        <f ca="1">VLOOKUP($L21,OFFSET([3]enemies!$A$1,0,0,COUNTA([3]enemies!$A:$A),MATCH(AC$1,[3]enemies!$1:$1,0)-MATCH($L$1,[3]enemies!$1:$1,0)+1),MATCH(AC$1,[3]enemies!$1:$1,0)-MATCH($L$1,[3]enemies!$1:$1,0)+1,FALSE)</f>
        <v>3</v>
      </c>
      <c r="AD21" s="20">
        <f t="shared" si="0"/>
        <v>20</v>
      </c>
      <c r="AE21" s="4" t="str">
        <f ca="1">VLOOKUP($AD21,OFFSET([4]characters!$A$1,0,0,COUNTA([4]characters!$A:$A),MATCH(AE$1,[4]characters!$1:$1,0)-MATCH("character_id",[4]characters!$1:$1,0)+1),MATCH(AE$1,[4]characters!$1:$1,0)-MATCH("character_id",[4]characters!$1:$1,0)+1,FALSE)</f>
        <v>電子妖精 ティンク</v>
      </c>
      <c r="AF21" s="4">
        <f ca="1">VLOOKUP($AD21,OFFSET([4]characters!$A$1,0,0,COUNTA([4]characters!$A:$A),MATCH(AF$1,[4]characters!$1:$1,0)-MATCH("character_id",[4]characters!$1:$1,0)+1),MATCH(AF$1,[4]characters!$1:$1,0)-MATCH("character_id",[4]characters!$1:$1,0)+1,FALSE)</f>
        <v>2</v>
      </c>
      <c r="AG21" s="4" t="str">
        <f ca="1">VLOOKUP($AD21,OFFSET([4]characters!$A$1,0,0,COUNTA([4]characters!$A:$A),MATCH(AG$1,[4]characters!$1:$1,0)-MATCH("character_id",[4]characters!$1:$1,0)+1),MATCH(AG$1,[4]characters!$1:$1,0)-MATCH("character_id",[4]characters!$1:$1,0)+1,FALSE)</f>
        <v>Drop1W</v>
      </c>
      <c r="AH21" s="108">
        <v>1</v>
      </c>
      <c r="AI21" s="20">
        <f t="shared" ca="1" si="2"/>
        <v>2</v>
      </c>
      <c r="AJ21" s="109">
        <v>20</v>
      </c>
      <c r="AK21" s="108">
        <v>0</v>
      </c>
      <c r="AL21" s="108">
        <v>0</v>
      </c>
      <c r="AM21" s="108">
        <v>0</v>
      </c>
      <c r="AN21" s="108">
        <v>0</v>
      </c>
      <c r="AO21" s="108">
        <v>1</v>
      </c>
      <c r="AP21" s="65">
        <v>1</v>
      </c>
    </row>
    <row r="22" spans="1:42" ht="21" customHeight="1" x14ac:dyDescent="0.15">
      <c r="A22" s="14" t="str">
        <f t="shared" ca="1" si="1"/>
        <v>39007_3-2/83&lt;lv30&gt;s2</v>
      </c>
      <c r="B22" s="18">
        <v>39007</v>
      </c>
      <c r="C22" s="104">
        <v>3</v>
      </c>
      <c r="G22" s="104">
        <v>2</v>
      </c>
      <c r="K22" s="34" t="s">
        <v>53</v>
      </c>
      <c r="L22" s="104">
        <v>83</v>
      </c>
      <c r="R22" s="105">
        <v>30</v>
      </c>
      <c r="S22" s="106">
        <v>1</v>
      </c>
      <c r="T22" s="102">
        <f ca="1">ROUND(VLOOKUP(R22,[3]enemy_base_stats!$A:$F,2,FALSE) *INDIRECT("[EnemyMasterData.xlsm]enemies!Y"&amp;(L22+1))*  INDIRECT("[EnemyMasterData.xlsm]enemies!J"&amp;(L22+1))* INDIRECT("[EnemyMasterData.xlsm]enemies!O"&amp;(L22+1))* INDIRECT("[EnemyMasterData.xlsm]enemies!E"&amp;(L22+1))* INDIRECT("[EnemyMasterData.xlsm]enemies!S"&amp;(L22+1))* INDIRECT("[EnemyMasterData.xlsm]enemies!AD"&amp;(L22+1))*[4]ステータス!$B$2,0)*S22</f>
        <v>27166</v>
      </c>
      <c r="U22" s="107">
        <v>1</v>
      </c>
      <c r="V22" s="102">
        <f ca="1">ROUND(VLOOKUP(R22,[3]enemy_base_stats!$A:$F,3,FALSE) *INDIRECT("[EnemyMasterData.xlsm]enemies!Z"&amp;(L22+1))*  INDIRECT("[EnemyMasterData.xlsm]enemies!K"&amp;(L22+1))* INDIRECT("[EnemyMasterData.xlsm]enemies!P"&amp;(L22+1))* INDIRECT("[EnemyMasterData.xlsm]enemies!F"&amp;(L22+1))* INDIRECT("[EnemyMasterData.xlsm]enemies!T"&amp;(L22+1))* INDIRECT("[EnemyMasterData.xlsm]enemies!AE"&amp;(L22+1))*[4]ステータス!$C$2,0)*U22</f>
        <v>2323</v>
      </c>
      <c r="W22" s="5">
        <v>0</v>
      </c>
      <c r="X22" s="4" t="str">
        <f ca="1">VLOOKUP($Y22,OFFSET(enemy_skill_sets!$B$1,0,0,COUNTA(enemy_skill_sets!$B:$B),MATCH(M$1,enemy_skill_sets!$1:$1,0)-MATCH($Y$1,enemy_skill_sets!$1:$1,0)+2),MATCH(M$1,enemy_skill_sets!$1:$1,0)-MATCH($Y$1,enemy_skill_sets!$1:$1,0)+2,FALSE)</f>
        <v>おねだりしている</v>
      </c>
      <c r="Y22" s="57">
        <v>39007003</v>
      </c>
      <c r="Z22" s="6">
        <v>1</v>
      </c>
      <c r="AA22" s="6">
        <v>100</v>
      </c>
      <c r="AB22" s="6">
        <v>1</v>
      </c>
      <c r="AC22" s="15">
        <f ca="1">VLOOKUP($L22,OFFSET([3]enemies!$A$1,0,0,COUNTA([3]enemies!$A:$A),MATCH(AC$1,[3]enemies!$1:$1,0)-MATCH($L$1,[3]enemies!$1:$1,0)+1),MATCH(AC$1,[3]enemies!$1:$1,0)-MATCH($L$1,[3]enemies!$1:$1,0)+1,FALSE)</f>
        <v>2</v>
      </c>
      <c r="AD22" s="20">
        <f t="shared" si="0"/>
        <v>83</v>
      </c>
      <c r="AE22" s="4" t="str">
        <f ca="1">VLOOKUP($AD22,OFFSET([4]characters!$A$1,0,0,COUNTA([4]characters!$A:$A),MATCH(AE$1,[4]characters!$1:$1,0)-MATCH("character_id",[4]characters!$1:$1,0)+1),MATCH(AE$1,[4]characters!$1:$1,0)-MATCH("character_id",[4]characters!$1:$1,0)+1,FALSE)</f>
        <v>拡散性ニムダ</v>
      </c>
      <c r="AF22" s="4">
        <f ca="1">VLOOKUP($AD22,OFFSET([4]characters!$A$1,0,0,COUNTA([4]characters!$A:$A),MATCH(AF$1,[4]characters!$1:$1,0)-MATCH("character_id",[4]characters!$1:$1,0)+1),MATCH(AF$1,[4]characters!$1:$1,0)-MATCH("character_id",[4]characters!$1:$1,0)+1,FALSE)</f>
        <v>3</v>
      </c>
      <c r="AG22" s="4" t="str">
        <f ca="1">VLOOKUP($AD22,OFFSET([4]characters!$A$1,0,0,COUNTA([4]characters!$A:$A),MATCH(AG$1,[4]characters!$1:$1,0)-MATCH("character_id",[4]characters!$1:$1,0)+1),MATCH(AG$1,[4]characters!$1:$1,0)-MATCH("character_id",[4]characters!$1:$1,0)+1,FALSE)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22" s="108">
        <v>1</v>
      </c>
      <c r="AI22" s="20">
        <f t="shared" ca="1" si="2"/>
        <v>3</v>
      </c>
      <c r="AJ22" s="109">
        <v>0</v>
      </c>
      <c r="AK22" s="108">
        <v>0</v>
      </c>
      <c r="AL22" s="108">
        <v>0</v>
      </c>
      <c r="AM22" s="108">
        <v>0</v>
      </c>
      <c r="AN22" s="108">
        <v>0</v>
      </c>
      <c r="AO22" s="108">
        <v>1</v>
      </c>
      <c r="AP22" s="65">
        <v>1</v>
      </c>
    </row>
    <row r="23" spans="1:42" ht="21" customHeight="1" x14ac:dyDescent="0.15">
      <c r="A23" s="14" t="str">
        <f t="shared" ca="1" si="1"/>
        <v>39007_3-2/387&lt;lv30&gt;s3</v>
      </c>
      <c r="B23" s="18">
        <v>39007</v>
      </c>
      <c r="C23" s="104">
        <v>3</v>
      </c>
      <c r="G23" s="104">
        <v>2</v>
      </c>
      <c r="K23" s="34" t="s">
        <v>53</v>
      </c>
      <c r="L23" s="104">
        <v>387</v>
      </c>
      <c r="R23" s="105">
        <v>30</v>
      </c>
      <c r="S23" s="106">
        <v>1</v>
      </c>
      <c r="T23" s="102">
        <f ca="1">ROUND(VLOOKUP(R23,[3]enemy_base_stats!$A:$F,2,FALSE) *INDIRECT("[EnemyMasterData.xlsm]enemies!Y"&amp;(L23+1))*  INDIRECT("[EnemyMasterData.xlsm]enemies!J"&amp;(L23+1))* INDIRECT("[EnemyMasterData.xlsm]enemies!O"&amp;(L23+1))* INDIRECT("[EnemyMasterData.xlsm]enemies!E"&amp;(L23+1))* INDIRECT("[EnemyMasterData.xlsm]enemies!S"&amp;(L23+1))* INDIRECT("[EnemyMasterData.xlsm]enemies!AD"&amp;(L23+1))*[4]ステータス!$B$2,0)*S23</f>
        <v>29635</v>
      </c>
      <c r="U23" s="107">
        <v>1</v>
      </c>
      <c r="V23" s="102">
        <f ca="1">ROUND(VLOOKUP(R23,[3]enemy_base_stats!$A:$F,3,FALSE) *INDIRECT("[EnemyMasterData.xlsm]enemies!Z"&amp;(L23+1))*  INDIRECT("[EnemyMasterData.xlsm]enemies!K"&amp;(L23+1))* INDIRECT("[EnemyMasterData.xlsm]enemies!P"&amp;(L23+1))* INDIRECT("[EnemyMasterData.xlsm]enemies!F"&amp;(L23+1))* INDIRECT("[EnemyMasterData.xlsm]enemies!T"&amp;(L23+1))* INDIRECT("[EnemyMasterData.xlsm]enemies!AE"&amp;(L23+1))*[4]ステータス!$C$2,0)*U23</f>
        <v>2661</v>
      </c>
      <c r="W23" s="5">
        <v>0</v>
      </c>
      <c r="X23" s="4" t="str">
        <f ca="1">VLOOKUP($Y23,OFFSET(enemy_skill_sets!$B$1,0,0,COUNTA(enemy_skill_sets!$B:$B),MATCH(M$1,enemy_skill_sets!$1:$1,0)-MATCH($Y$1,enemy_skill_sets!$1:$1,0)+2),MATCH(M$1,enemy_skill_sets!$1:$1,0)-MATCH($Y$1,enemy_skill_sets!$1:$1,0)+2,FALSE)</f>
        <v>2ターン防御力UP</v>
      </c>
      <c r="Y23" s="57">
        <v>39007004</v>
      </c>
      <c r="Z23" s="6">
        <v>1</v>
      </c>
      <c r="AA23" s="6">
        <v>100</v>
      </c>
      <c r="AB23" s="6">
        <v>2</v>
      </c>
      <c r="AC23" s="15">
        <f ca="1">VLOOKUP($L23,OFFSET([3]enemies!$A$1,0,0,COUNTA([3]enemies!$A:$A),MATCH(AC$1,[3]enemies!$1:$1,0)-MATCH($L$1,[3]enemies!$1:$1,0)+1),MATCH(AC$1,[3]enemies!$1:$1,0)-MATCH($L$1,[3]enemies!$1:$1,0)+1,FALSE)</f>
        <v>3</v>
      </c>
      <c r="AD23" s="20">
        <f t="shared" si="0"/>
        <v>387</v>
      </c>
      <c r="AE23" s="4" t="str">
        <f ca="1">VLOOKUP($AD23,OFFSET([4]characters!$A$1,0,0,COUNTA([4]characters!$A:$A),MATCH(AE$1,[4]characters!$1:$1,0)-MATCH("character_id",[4]characters!$1:$1,0)+1),MATCH(AE$1,[4]characters!$1:$1,0)-MATCH("character_id",[4]characters!$1:$1,0)+1,FALSE)</f>
        <v>スフィンクス</v>
      </c>
      <c r="AF23" s="4">
        <f ca="1">VLOOKUP($AD23,OFFSET([4]characters!$A$1,0,0,COUNTA([4]characters!$A:$A),MATCH(AF$1,[4]characters!$1:$1,0)-MATCH("character_id",[4]characters!$1:$1,0)+1),MATCH(AF$1,[4]characters!$1:$1,0)-MATCH("character_id",[4]characters!$1:$1,0)+1,FALSE)</f>
        <v>3</v>
      </c>
      <c r="AG23" s="4" t="str">
        <f ca="1">VLOOKUP($AD23,OFFSET([4]characters!$A$1,0,0,COUNTA([4]characters!$A:$A),MATCH(AG$1,[4]characters!$1:$1,0)-MATCH("character_id",[4]characters!$1:$1,0)+1),MATCH(AG$1,[4]characters!$1:$1,0)-MATCH("character_id",[4]characters!$1:$1,0)+1,FALSE)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23" s="108">
        <v>1</v>
      </c>
      <c r="AI23" s="20">
        <f t="shared" ca="1" si="2"/>
        <v>3</v>
      </c>
      <c r="AJ23" s="109">
        <v>0</v>
      </c>
      <c r="AK23" s="108">
        <v>0</v>
      </c>
      <c r="AL23" s="108">
        <v>0</v>
      </c>
      <c r="AM23" s="108">
        <v>0</v>
      </c>
      <c r="AN23" s="108">
        <v>0</v>
      </c>
      <c r="AO23" s="108">
        <v>1</v>
      </c>
      <c r="AP23" s="65">
        <v>1</v>
      </c>
    </row>
    <row r="24" spans="1:42" ht="21" customHeight="1" x14ac:dyDescent="0.15">
      <c r="A24" s="14" t="str">
        <f t="shared" ca="1" si="1"/>
        <v>39007_3-3/63&lt;lv30&gt;s2</v>
      </c>
      <c r="B24" s="18">
        <v>39007</v>
      </c>
      <c r="C24" s="104">
        <v>3</v>
      </c>
      <c r="G24" s="104">
        <v>3</v>
      </c>
      <c r="K24" s="34" t="s">
        <v>53</v>
      </c>
      <c r="L24" s="104">
        <v>63</v>
      </c>
      <c r="R24" s="105">
        <v>30</v>
      </c>
      <c r="S24" s="106">
        <v>1</v>
      </c>
      <c r="T24" s="102">
        <f ca="1">ROUND(VLOOKUP(R24,[3]enemy_base_stats!$A:$F,2,FALSE) *INDIRECT("[EnemyMasterData.xlsm]enemies!Y"&amp;(L24+1))*  INDIRECT("[EnemyMasterData.xlsm]enemies!J"&amp;(L24+1))* INDIRECT("[EnemyMasterData.xlsm]enemies!O"&amp;(L24+1))* INDIRECT("[EnemyMasterData.xlsm]enemies!E"&amp;(L24+1))* INDIRECT("[EnemyMasterData.xlsm]enemies!S"&amp;(L24+1))* INDIRECT("[EnemyMasterData.xlsm]enemies!AD"&amp;(L24+1))*[4]ステータス!$B$2,0)*S24</f>
        <v>5557</v>
      </c>
      <c r="U24" s="107">
        <v>0.9</v>
      </c>
      <c r="V24" s="102">
        <f ca="1">ROUND(VLOOKUP(R24,[3]enemy_base_stats!$A:$F,3,FALSE) *INDIRECT("[EnemyMasterData.xlsm]enemies!Z"&amp;(L24+1))*  INDIRECT("[EnemyMasterData.xlsm]enemies!K"&amp;(L24+1))* INDIRECT("[EnemyMasterData.xlsm]enemies!P"&amp;(L24+1))* INDIRECT("[EnemyMasterData.xlsm]enemies!F"&amp;(L24+1))* INDIRECT("[EnemyMasterData.xlsm]enemies!T"&amp;(L24+1))* INDIRECT("[EnemyMasterData.xlsm]enemies!AE"&amp;(L24+1))*[4]ステータス!$C$2,0)*U24</f>
        <v>1701</v>
      </c>
      <c r="W24" s="5">
        <v>0</v>
      </c>
      <c r="X24" s="4" t="str">
        <f ca="1">VLOOKUP($Y24,OFFSET(enemy_skill_sets!$B$1,0,0,COUNTA(enemy_skill_sets!$B:$B),MATCH(M$1,enemy_skill_sets!$1:$1,0)-MATCH($Y$1,enemy_skill_sets!$1:$1,0)+2),MATCH(M$1,enemy_skill_sets!$1:$1,0)-MATCH($Y$1,enemy_skill_sets!$1:$1,0)+2,FALSE)</f>
        <v>2回連続攻撃</v>
      </c>
      <c r="Y24" s="57">
        <v>39007005</v>
      </c>
      <c r="Z24" s="6">
        <v>1</v>
      </c>
      <c r="AA24" s="6">
        <v>100</v>
      </c>
      <c r="AB24" s="6">
        <v>2</v>
      </c>
      <c r="AC24" s="15">
        <f ca="1">VLOOKUP($L24,OFFSET([3]enemies!$A$1,0,0,COUNTA([3]enemies!$A:$A),MATCH(AC$1,[3]enemies!$1:$1,0)-MATCH($L$1,[3]enemies!$1:$1,0)+1),MATCH(AC$1,[3]enemies!$1:$1,0)-MATCH($L$1,[3]enemies!$1:$1,0)+1,FALSE)</f>
        <v>2</v>
      </c>
      <c r="AD24" s="20">
        <f t="shared" si="0"/>
        <v>63</v>
      </c>
      <c r="AE24" s="4" t="str">
        <f ca="1">VLOOKUP($AD24,OFFSET([4]characters!$A$1,0,0,COUNTA([4]characters!$A:$A),MATCH(AE$1,[4]characters!$1:$1,0)-MATCH("character_id",[4]characters!$1:$1,0)+1),MATCH(AE$1,[4]characters!$1:$1,0)-MATCH("character_id",[4]characters!$1:$1,0)+1,FALSE)</f>
        <v>トニー</v>
      </c>
      <c r="AF24" s="4">
        <f ca="1">VLOOKUP($AD24,OFFSET([4]characters!$A$1,0,0,COUNTA([4]characters!$A:$A),MATCH(AF$1,[4]characters!$1:$1,0)-MATCH("character_id",[4]characters!$1:$1,0)+1),MATCH(AF$1,[4]characters!$1:$1,0)-MATCH("character_id",[4]characters!$1:$1,0)+1,FALSE)</f>
        <v>2</v>
      </c>
      <c r="AG24" s="4" t="str">
        <f ca="1">VLOOKUP($AD24,OFFSET([4]characters!$A$1,0,0,COUNTA([4]characters!$A:$A),MATCH(AG$1,[4]characters!$1:$1,0)-MATCH("character_id",[4]characters!$1:$1,0)+1),MATCH(AG$1,[4]characters!$1:$1,0)-MATCH("character_id",[4]characters!$1:$1,0)+1,FALSE)</f>
        <v>Drop1N</v>
      </c>
      <c r="AH24" s="108">
        <v>1</v>
      </c>
      <c r="AI24" s="20">
        <f t="shared" ca="1" si="2"/>
        <v>2</v>
      </c>
      <c r="AJ24" s="109">
        <v>0</v>
      </c>
      <c r="AK24" s="108">
        <v>0</v>
      </c>
      <c r="AL24" s="108">
        <v>0</v>
      </c>
      <c r="AM24" s="108">
        <v>0</v>
      </c>
      <c r="AN24" s="108">
        <v>0</v>
      </c>
      <c r="AO24" s="108">
        <v>1</v>
      </c>
      <c r="AP24" s="65">
        <v>1</v>
      </c>
    </row>
    <row r="25" spans="1:42" ht="21" customHeight="1" x14ac:dyDescent="0.15">
      <c r="A25" s="14" t="str">
        <f t="shared" ca="1" si="1"/>
        <v>39007_3-3/56&lt;lv31&gt;s4</v>
      </c>
      <c r="B25" s="18">
        <v>39007</v>
      </c>
      <c r="C25" s="104">
        <v>3</v>
      </c>
      <c r="G25" s="104">
        <v>3</v>
      </c>
      <c r="K25" s="34" t="s">
        <v>53</v>
      </c>
      <c r="L25" s="104">
        <v>56</v>
      </c>
      <c r="R25" s="105">
        <v>31</v>
      </c>
      <c r="S25" s="106">
        <v>1</v>
      </c>
      <c r="T25" s="102">
        <f ca="1">ROUND(VLOOKUP(R25,[3]enemy_base_stats!$A:$F,2,FALSE) *INDIRECT("[EnemyMasterData.xlsm]enemies!Y"&amp;(L25+1))*  INDIRECT("[EnemyMasterData.xlsm]enemies!J"&amp;(L25+1))* INDIRECT("[EnemyMasterData.xlsm]enemies!O"&amp;(L25+1))* INDIRECT("[EnemyMasterData.xlsm]enemies!E"&amp;(L25+1))* INDIRECT("[EnemyMasterData.xlsm]enemies!S"&amp;(L25+1))* INDIRECT("[EnemyMasterData.xlsm]enemies!AD"&amp;(L25+1))*[4]ステータス!$B$2,0)*S25</f>
        <v>19760</v>
      </c>
      <c r="U25" s="107">
        <v>1</v>
      </c>
      <c r="V25" s="102">
        <f ca="1">ROUND(VLOOKUP(R25,[3]enemy_base_stats!$A:$F,3,FALSE) *INDIRECT("[EnemyMasterData.xlsm]enemies!Z"&amp;(L25+1))*  INDIRECT("[EnemyMasterData.xlsm]enemies!K"&amp;(L25+1))* INDIRECT("[EnemyMasterData.xlsm]enemies!P"&amp;(L25+1))* INDIRECT("[EnemyMasterData.xlsm]enemies!F"&amp;(L25+1))* INDIRECT("[EnemyMasterData.xlsm]enemies!T"&amp;(L25+1))* INDIRECT("[EnemyMasterData.xlsm]enemies!AE"&amp;(L25+1))*[4]ステータス!$C$2,0)*U25</f>
        <v>3276</v>
      </c>
      <c r="W25" s="5">
        <v>0</v>
      </c>
      <c r="X25" s="4" t="str">
        <f ca="1">VLOOKUP($Y25,OFFSET(enemy_skill_sets!$B$1,0,0,COUNTA(enemy_skill_sets!$B:$B),MATCH(M$1,enemy_skill_sets!$1:$1,0)-MATCH($Y$1,enemy_skill_sets!$1:$1,0)+2),MATCH(M$1,enemy_skill_sets!$1:$1,0)-MATCH($Y$1,enemy_skill_sets!$1:$1,0)+2,FALSE)</f>
        <v>2ターン攻撃力UP</v>
      </c>
      <c r="Y25" s="57">
        <v>39007008</v>
      </c>
      <c r="Z25" s="6">
        <v>0</v>
      </c>
      <c r="AA25" s="6">
        <v>100</v>
      </c>
      <c r="AB25" s="6">
        <v>1</v>
      </c>
      <c r="AC25" s="15">
        <f ca="1">VLOOKUP($L25,OFFSET([3]enemies!$A$1,0,0,COUNTA([3]enemies!$A:$A),MATCH(AC$1,[3]enemies!$1:$1,0)-MATCH($L$1,[3]enemies!$1:$1,0)+1),MATCH(AC$1,[3]enemies!$1:$1,0)-MATCH($L$1,[3]enemies!$1:$1,0)+1,FALSE)</f>
        <v>4</v>
      </c>
      <c r="AD25" s="20">
        <f t="shared" si="0"/>
        <v>56</v>
      </c>
      <c r="AE25" s="4" t="str">
        <f ca="1">VLOOKUP($AD25,OFFSET([4]characters!$A$1,0,0,COUNTA([4]characters!$A:$A),MATCH(AE$1,[4]characters!$1:$1,0)-MATCH("character_id",[4]characters!$1:$1,0)+1),MATCH(AE$1,[4]characters!$1:$1,0)-MATCH("character_id",[4]characters!$1:$1,0)+1,FALSE)</f>
        <v>黄槌のレジスタンス マミコ</v>
      </c>
      <c r="AF25" s="4">
        <f ca="1">VLOOKUP($AD25,OFFSET([4]characters!$A$1,0,0,COUNTA([4]characters!$A:$A),MATCH(AF$1,[4]characters!$1:$1,0)-MATCH("character_id",[4]characters!$1:$1,0)+1),MATCH(AF$1,[4]characters!$1:$1,0)-MATCH("character_id",[4]characters!$1:$1,0)+1,FALSE)</f>
        <v>3</v>
      </c>
      <c r="AG25" s="4" t="str">
        <f ca="1">VLOOKUP($AD25,OFFSET([4]characters!$A$1,0,0,COUNTA([4]characters!$A:$A),MATCH(AG$1,[4]characters!$1:$1,0)-MATCH("character_id",[4]characters!$1:$1,0)+1),MATCH(AG$1,[4]characters!$1:$1,0)-MATCH("character_id",[4]characters!$1:$1,0)+1,FALSE)</f>
        <v>Drop1N</v>
      </c>
      <c r="AH25" s="108">
        <v>1</v>
      </c>
      <c r="AI25" s="20">
        <f t="shared" ca="1" si="2"/>
        <v>3</v>
      </c>
      <c r="AJ25" s="110">
        <v>40</v>
      </c>
      <c r="AK25" s="108">
        <v>0</v>
      </c>
      <c r="AL25" s="108">
        <v>0</v>
      </c>
      <c r="AM25" s="108">
        <v>0</v>
      </c>
      <c r="AN25" s="108">
        <v>0</v>
      </c>
      <c r="AO25" s="108">
        <v>1</v>
      </c>
      <c r="AP25" s="65">
        <v>1</v>
      </c>
    </row>
    <row r="26" spans="1:42" ht="21" customHeight="1" x14ac:dyDescent="0.15">
      <c r="A26" s="14" t="str">
        <f t="shared" ca="1" si="1"/>
        <v>39007_3-3/56&lt;lv30&gt;s4</v>
      </c>
      <c r="B26" s="18">
        <v>39007</v>
      </c>
      <c r="C26" s="104">
        <v>3</v>
      </c>
      <c r="G26" s="104">
        <v>3</v>
      </c>
      <c r="K26" s="34" t="s">
        <v>53</v>
      </c>
      <c r="L26" s="104">
        <v>56</v>
      </c>
      <c r="R26" s="105">
        <v>30</v>
      </c>
      <c r="S26" s="106">
        <v>1</v>
      </c>
      <c r="T26" s="102">
        <f ca="1">ROUND(VLOOKUP(R26,[3]enemy_base_stats!$A:$F,2,FALSE) *INDIRECT("[EnemyMasterData.xlsm]enemies!Y"&amp;(L26+1))*  INDIRECT("[EnemyMasterData.xlsm]enemies!J"&amp;(L26+1))* INDIRECT("[EnemyMasterData.xlsm]enemies!O"&amp;(L26+1))* INDIRECT("[EnemyMasterData.xlsm]enemies!E"&amp;(L26+1))* INDIRECT("[EnemyMasterData.xlsm]enemies!S"&amp;(L26+1))* INDIRECT("[EnemyMasterData.xlsm]enemies!AD"&amp;(L26+1))*[4]ステータス!$B$2,0)*S26</f>
        <v>19152</v>
      </c>
      <c r="U26" s="107">
        <v>1</v>
      </c>
      <c r="V26" s="102">
        <f ca="1">ROUND(VLOOKUP(R26,[3]enemy_base_stats!$A:$F,3,FALSE) *INDIRECT("[EnemyMasterData.xlsm]enemies!Z"&amp;(L26+1))*  INDIRECT("[EnemyMasterData.xlsm]enemies!K"&amp;(L26+1))* INDIRECT("[EnemyMasterData.xlsm]enemies!P"&amp;(L26+1))* INDIRECT("[EnemyMasterData.xlsm]enemies!F"&amp;(L26+1))* INDIRECT("[EnemyMasterData.xlsm]enemies!T"&amp;(L26+1))* INDIRECT("[EnemyMasterData.xlsm]enemies!AE"&amp;(L26+1))*[4]ステータス!$C$2,0)*U26</f>
        <v>3175</v>
      </c>
      <c r="W26" s="5">
        <v>0</v>
      </c>
      <c r="X26" s="4" t="str">
        <f ca="1">VLOOKUP($Y26,OFFSET(enemy_skill_sets!$B$1,0,0,COUNTA(enemy_skill_sets!$B:$B),MATCH(M$1,enemy_skill_sets!$1:$1,0)-MATCH($Y$1,enemy_skill_sets!$1:$1,0)+2),MATCH(M$1,enemy_skill_sets!$1:$1,0)-MATCH($Y$1,enemy_skill_sets!$1:$1,0)+2,FALSE)</f>
        <v>2ターン攻撃力UP</v>
      </c>
      <c r="Y26" s="57">
        <v>39007008</v>
      </c>
      <c r="Z26" s="6">
        <v>0</v>
      </c>
      <c r="AA26" s="6">
        <v>100</v>
      </c>
      <c r="AB26" s="6">
        <v>1</v>
      </c>
      <c r="AC26" s="15">
        <f ca="1">VLOOKUP($L26,OFFSET([3]enemies!$A$1,0,0,COUNTA([3]enemies!$A:$A),MATCH(AC$1,[3]enemies!$1:$1,0)-MATCH($L$1,[3]enemies!$1:$1,0)+1),MATCH(AC$1,[3]enemies!$1:$1,0)-MATCH($L$1,[3]enemies!$1:$1,0)+1,FALSE)</f>
        <v>4</v>
      </c>
      <c r="AD26" s="20">
        <f t="shared" si="0"/>
        <v>56</v>
      </c>
      <c r="AE26" s="4" t="str">
        <f ca="1">VLOOKUP($AD26,OFFSET([4]characters!$A$1,0,0,COUNTA([4]characters!$A:$A),MATCH(AE$1,[4]characters!$1:$1,0)-MATCH("character_id",[4]characters!$1:$1,0)+1),MATCH(AE$1,[4]characters!$1:$1,0)-MATCH("character_id",[4]characters!$1:$1,0)+1,FALSE)</f>
        <v>黄槌のレジスタンス マミコ</v>
      </c>
      <c r="AF26" s="4">
        <f ca="1">VLOOKUP($AD26,OFFSET([4]characters!$A$1,0,0,COUNTA([4]characters!$A:$A),MATCH(AF$1,[4]characters!$1:$1,0)-MATCH("character_id",[4]characters!$1:$1,0)+1),MATCH(AF$1,[4]characters!$1:$1,0)-MATCH("character_id",[4]characters!$1:$1,0)+1,FALSE)</f>
        <v>3</v>
      </c>
      <c r="AG26" s="4" t="str">
        <f ca="1">VLOOKUP($AD26,OFFSET([4]characters!$A$1,0,0,COUNTA([4]characters!$A:$A),MATCH(AG$1,[4]characters!$1:$1,0)-MATCH("character_id",[4]characters!$1:$1,0)+1),MATCH(AG$1,[4]characters!$1:$1,0)-MATCH("character_id",[4]characters!$1:$1,0)+1,FALSE)</f>
        <v>Drop1N</v>
      </c>
      <c r="AH26" s="108">
        <v>1</v>
      </c>
      <c r="AI26" s="20">
        <f t="shared" ca="1" si="2"/>
        <v>3</v>
      </c>
      <c r="AJ26" s="110">
        <v>40</v>
      </c>
      <c r="AK26" s="108">
        <v>0</v>
      </c>
      <c r="AL26" s="108">
        <v>0</v>
      </c>
      <c r="AM26" s="108">
        <v>0</v>
      </c>
      <c r="AN26" s="108">
        <v>0</v>
      </c>
      <c r="AO26" s="108">
        <v>1</v>
      </c>
      <c r="AP26" s="65">
        <v>1</v>
      </c>
    </row>
    <row r="27" spans="1:42" ht="21" customHeight="1" x14ac:dyDescent="0.15">
      <c r="A27" s="14" t="str">
        <f t="shared" ca="1" si="1"/>
        <v>39007_3-3/47&lt;lv30&gt;s1</v>
      </c>
      <c r="B27" s="18">
        <v>39007</v>
      </c>
      <c r="C27" s="104">
        <v>3</v>
      </c>
      <c r="G27" s="104">
        <v>3</v>
      </c>
      <c r="K27" s="34" t="s">
        <v>53</v>
      </c>
      <c r="L27" s="104">
        <v>47</v>
      </c>
      <c r="R27" s="105">
        <v>30</v>
      </c>
      <c r="S27" s="106">
        <v>1</v>
      </c>
      <c r="T27" s="102">
        <f ca="1">ROUND(VLOOKUP(R27,[3]enemy_base_stats!$A:$F,2,FALSE) *INDIRECT("[EnemyMasterData.xlsm]enemies!Y"&amp;(L27+1))*  INDIRECT("[EnemyMasterData.xlsm]enemies!J"&amp;(L27+1))* INDIRECT("[EnemyMasterData.xlsm]enemies!O"&amp;(L27+1))* INDIRECT("[EnemyMasterData.xlsm]enemies!E"&amp;(L27+1))* INDIRECT("[EnemyMasterData.xlsm]enemies!S"&amp;(L27+1))* INDIRECT("[EnemyMasterData.xlsm]enemies!AD"&amp;(L27+1))*[4]ステータス!$B$2,0)*S27</f>
        <v>6174</v>
      </c>
      <c r="U27" s="107">
        <v>0.9</v>
      </c>
      <c r="V27" s="102">
        <f ca="1">ROUND(VLOOKUP(R27,[3]enemy_base_stats!$A:$F,3,FALSE) *INDIRECT("[EnemyMasterData.xlsm]enemies!Z"&amp;(L27+1))*  INDIRECT("[EnemyMasterData.xlsm]enemies!K"&amp;(L27+1))* INDIRECT("[EnemyMasterData.xlsm]enemies!P"&amp;(L27+1))* INDIRECT("[EnemyMasterData.xlsm]enemies!F"&amp;(L27+1))* INDIRECT("[EnemyMasterData.xlsm]enemies!T"&amp;(L27+1))* INDIRECT("[EnemyMasterData.xlsm]enemies!AE"&amp;(L27+1))*[4]ステータス!$C$2,0)*U27</f>
        <v>2513.7000000000003</v>
      </c>
      <c r="W27" s="5">
        <v>0</v>
      </c>
      <c r="X27" s="4" t="str">
        <f ca="1">VLOOKUP($Y27,OFFSET(enemy_skill_sets!$B$1,0,0,COUNTA(enemy_skill_sets!$B:$B),MATCH(M$1,enemy_skill_sets!$1:$1,0)-MATCH($Y$1,enemy_skill_sets!$1:$1,0)+2),MATCH(M$1,enemy_skill_sets!$1:$1,0)-MATCH($Y$1,enemy_skill_sets!$1:$1,0)+2,FALSE)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27" s="57">
        <v>39007006</v>
      </c>
      <c r="Z27" s="6">
        <v>1</v>
      </c>
      <c r="AA27" s="6">
        <v>100</v>
      </c>
      <c r="AB27" s="6">
        <v>0</v>
      </c>
      <c r="AC27" s="15">
        <f ca="1">VLOOKUP($L27,OFFSET([3]enemies!$A$1,0,0,COUNTA([3]enemies!$A:$A),MATCH(AC$1,[3]enemies!$1:$1,0)-MATCH($L$1,[3]enemies!$1:$1,0)+1),MATCH(AC$1,[3]enemies!$1:$1,0)-MATCH($L$1,[3]enemies!$1:$1,0)+1,FALSE)</f>
        <v>1</v>
      </c>
      <c r="AD27" s="20">
        <f t="shared" si="0"/>
        <v>47</v>
      </c>
      <c r="AE27" s="4" t="str">
        <f ca="1">VLOOKUP($AD27,OFFSET([4]characters!$A$1,0,0,COUNTA([4]characters!$A:$A),MATCH(AE$1,[4]characters!$1:$1,0)-MATCH("character_id",[4]characters!$1:$1,0)+1),MATCH(AE$1,[4]characters!$1:$1,0)-MATCH("character_id",[4]characters!$1:$1,0)+1,FALSE)</f>
        <v>ヒロ</v>
      </c>
      <c r="AF27" s="4">
        <f ca="1">VLOOKUP($AD27,OFFSET([4]characters!$A$1,0,0,COUNTA([4]characters!$A:$A),MATCH(AF$1,[4]characters!$1:$1,0)-MATCH("character_id",[4]characters!$1:$1,0)+1),MATCH(AF$1,[4]characters!$1:$1,0)-MATCH("character_id",[4]characters!$1:$1,0)+1,FALSE)</f>
        <v>2</v>
      </c>
      <c r="AG27" s="4" t="str">
        <f ca="1">VLOOKUP($AD27,OFFSET([4]characters!$A$1,0,0,COUNTA([4]characters!$A:$A),MATCH(AG$1,[4]characters!$1:$1,0)-MATCH("character_id",[4]characters!$1:$1,0)+1),MATCH(AG$1,[4]characters!$1:$1,0)-MATCH("character_id",[4]characters!$1:$1,0)+1,FALSE)</f>
        <v>Drop1N</v>
      </c>
      <c r="AH27" s="108">
        <v>1</v>
      </c>
      <c r="AI27" s="20">
        <f t="shared" ca="1" si="2"/>
        <v>2</v>
      </c>
      <c r="AJ27" s="109">
        <v>0</v>
      </c>
      <c r="AK27" s="108">
        <v>0</v>
      </c>
      <c r="AL27" s="108">
        <v>0</v>
      </c>
      <c r="AM27" s="108">
        <v>0</v>
      </c>
      <c r="AN27" s="108">
        <v>0</v>
      </c>
      <c r="AO27" s="108">
        <v>1</v>
      </c>
      <c r="AP27" s="65">
        <v>1</v>
      </c>
    </row>
    <row r="28" spans="1:42" ht="21" customHeight="1" x14ac:dyDescent="0.15">
      <c r="A28" s="14" t="str">
        <f t="shared" ca="1" si="1"/>
        <v>39007_3-4/8045&lt;lv30&gt;s3</v>
      </c>
      <c r="B28" s="18">
        <v>39007</v>
      </c>
      <c r="C28" s="104">
        <v>3</v>
      </c>
      <c r="G28" s="104">
        <v>4</v>
      </c>
      <c r="K28" s="34">
        <v>3</v>
      </c>
      <c r="L28" s="104">
        <v>8045</v>
      </c>
      <c r="R28" s="105">
        <v>30</v>
      </c>
      <c r="S28" s="106">
        <v>1</v>
      </c>
      <c r="T28" s="102">
        <f ca="1">ROUND(VLOOKUP(R28,[3]enemy_base_stats!$A:$F,2,FALSE) *INDIRECT("[EnemyMasterData.xlsm]enemies!Y"&amp;(L28+1))*  INDIRECT("[EnemyMasterData.xlsm]enemies!J"&amp;(L28+1))* INDIRECT("[EnemyMasterData.xlsm]enemies!O"&amp;(L28+1))* INDIRECT("[EnemyMasterData.xlsm]enemies!E"&amp;(L28+1))* INDIRECT("[EnemyMasterData.xlsm]enemies!S"&amp;(L28+1))* INDIRECT("[EnemyMasterData.xlsm]enemies!AD"&amp;(L28+1))*[4]ステータス!$B$2,0)*S28</f>
        <v>0</v>
      </c>
      <c r="U28" s="107">
        <v>1</v>
      </c>
      <c r="V28" s="102">
        <f ca="1">ROUND(VLOOKUP(R28,[3]enemy_base_stats!$A:$F,3,FALSE) *INDIRECT("[EnemyMasterData.xlsm]enemies!Z"&amp;(L28+1))*  INDIRECT("[EnemyMasterData.xlsm]enemies!K"&amp;(L28+1))* INDIRECT("[EnemyMasterData.xlsm]enemies!P"&amp;(L28+1))* INDIRECT("[EnemyMasterData.xlsm]enemies!F"&amp;(L28+1))* INDIRECT("[EnemyMasterData.xlsm]enemies!T"&amp;(L28+1))* INDIRECT("[EnemyMasterData.xlsm]enemies!AE"&amp;(L28+1))*[4]ステータス!$C$2,0)*U28</f>
        <v>0</v>
      </c>
      <c r="W28" s="5">
        <v>0</v>
      </c>
      <c r="X28" s="4" t="str">
        <f ca="1">VLOOKUP($Y28,OFFSET(enemy_skill_sets!$B$1,0,0,COUNTA(enemy_skill_sets!$B:$B),MATCH(M$1,enemy_skill_sets!$1:$1,0)-MATCH($Y$1,enemy_skill_sets!$1:$1,0)+2),MATCH(M$1,enemy_skill_sets!$1:$1,0)-MATCH($Y$1,enemy_skill_sets!$1:$1,0)+2,FALSE)</f>
        <v>緑パネルをハートパネルに変換</v>
      </c>
      <c r="Y28" s="57">
        <v>39007009</v>
      </c>
      <c r="Z28" s="6">
        <v>1</v>
      </c>
      <c r="AA28" s="6">
        <v>100</v>
      </c>
      <c r="AB28" s="6">
        <v>1</v>
      </c>
      <c r="AC28" s="15">
        <f ca="1">VLOOKUP($L28,OFFSET([3]enemies!$A$1,0,0,COUNTA([3]enemies!$A:$A),MATCH(AC$1,[3]enemies!$1:$1,0)-MATCH($L$1,[3]enemies!$1:$1,0)+1),MATCH(AC$1,[3]enemies!$1:$1,0)-MATCH($L$1,[3]enemies!$1:$1,0)+1,FALSE)</f>
        <v>3</v>
      </c>
      <c r="AD28" s="20">
        <f t="shared" si="0"/>
        <v>8045</v>
      </c>
      <c r="AE28" s="4" t="str">
        <f ca="1">VLOOKUP($AD28,OFFSET([4]characters!$A$1,0,0,COUNTA([4]characters!$A:$A),MATCH(AE$1,[4]characters!$1:$1,0)-MATCH("character_id",[4]characters!$1:$1,0)+1),MATCH(AE$1,[4]characters!$1:$1,0)-MATCH("character_id",[4]characters!$1:$1,0)+1,FALSE)</f>
        <v>ニムダ_サンリオキャラ混じり</v>
      </c>
      <c r="AF28" s="4">
        <f ca="1">VLOOKUP($AD28,OFFSET([4]characters!$A$1,0,0,COUNTA([4]characters!$A:$A),MATCH(AF$1,[4]characters!$1:$1,0)-MATCH("character_id",[4]characters!$1:$1,0)+1),MATCH(AF$1,[4]characters!$1:$1,0)-MATCH("character_id",[4]characters!$1:$1,0)+1,FALSE)</f>
        <v>4</v>
      </c>
      <c r="AG28" s="4" t="str">
        <f ca="1">VLOOKUP($AD28,OFFSET([4]characters!$A$1,0,0,COUNTA([4]characters!$A:$A),MATCH(AG$1,[4]characters!$1:$1,0)-MATCH("character_id",[4]characters!$1:$1,0)+1),MATCH(AG$1,[4]characters!$1:$1,0)-MATCH("character_id",[4]characters!$1:$1,0)+1,FALSE)</f>
        <v>Drop2N</v>
      </c>
      <c r="AH28" s="108">
        <v>1</v>
      </c>
      <c r="AI28" s="20">
        <f t="shared" ca="1" si="2"/>
        <v>4</v>
      </c>
      <c r="AJ28" s="111">
        <v>40</v>
      </c>
      <c r="AK28" s="108">
        <v>0</v>
      </c>
      <c r="AL28" s="108">
        <v>0</v>
      </c>
      <c r="AM28" s="108">
        <v>0</v>
      </c>
      <c r="AN28" s="108">
        <v>0</v>
      </c>
      <c r="AO28" s="108">
        <v>1</v>
      </c>
      <c r="AP28" s="65">
        <v>1</v>
      </c>
    </row>
    <row r="29" spans="1:42" ht="21" customHeight="1" x14ac:dyDescent="0.15">
      <c r="A29" s="14" t="str">
        <f t="shared" ca="1" si="1"/>
        <v>39007_4-1/164&lt;lv40&gt;s3</v>
      </c>
      <c r="B29" s="18">
        <v>39007</v>
      </c>
      <c r="C29" s="104">
        <v>4</v>
      </c>
      <c r="G29" s="104">
        <v>1</v>
      </c>
      <c r="K29" s="34" t="s">
        <v>53</v>
      </c>
      <c r="L29" s="104">
        <v>164</v>
      </c>
      <c r="R29" s="105">
        <v>40</v>
      </c>
      <c r="S29" s="106">
        <v>1</v>
      </c>
      <c r="T29" s="102">
        <f ca="1">ROUND(VLOOKUP(R29,[3]enemy_base_stats!$A:$F,2,FALSE) *INDIRECT("[EnemyMasterData.xlsm]enemies!Y"&amp;(L29+1))*  INDIRECT("[EnemyMasterData.xlsm]enemies!J"&amp;(L29+1))* INDIRECT("[EnemyMasterData.xlsm]enemies!O"&amp;(L29+1))* INDIRECT("[EnemyMasterData.xlsm]enemies!E"&amp;(L29+1))* INDIRECT("[EnemyMasterData.xlsm]enemies!S"&amp;(L29+1))* INDIRECT("[EnemyMasterData.xlsm]enemies!AD"&amp;(L29+1))*[4]ステータス!$B$2,0)*S29</f>
        <v>56771</v>
      </c>
      <c r="U29" s="107">
        <v>1</v>
      </c>
      <c r="V29" s="102">
        <f ca="1">ROUND(VLOOKUP(R29,[3]enemy_base_stats!$A:$F,3,FALSE) *INDIRECT("[EnemyMasterData.xlsm]enemies!Z"&amp;(L29+1))*  INDIRECT("[EnemyMasterData.xlsm]enemies!K"&amp;(L29+1))* INDIRECT("[EnemyMasterData.xlsm]enemies!P"&amp;(L29+1))* INDIRECT("[EnemyMasterData.xlsm]enemies!F"&amp;(L29+1))* INDIRECT("[EnemyMasterData.xlsm]enemies!T"&amp;(L29+1))* INDIRECT("[EnemyMasterData.xlsm]enemies!AE"&amp;(L29+1))*[4]ステータス!$C$2,0)*U29</f>
        <v>2689</v>
      </c>
      <c r="W29" s="5">
        <v>0</v>
      </c>
      <c r="X29" s="4" t="str">
        <f ca="1">VLOOKUP($Y29,OFFSET(enemy_skill_sets!$B$1,0,0,COUNTA(enemy_skill_sets!$B:$B),MATCH(M$1,enemy_skill_sets!$1:$1,0)-MATCH($Y$1,enemy_skill_sets!$1:$1,0)+2),MATCH(M$1,enemy_skill_sets!$1:$1,0)-MATCH($Y$1,enemy_skill_sets!$1:$1,0)+2,FALSE)</f>
        <v>一定確率で1ターンスキルが使えない！</v>
      </c>
      <c r="Y29" s="57">
        <v>39007001</v>
      </c>
      <c r="Z29" s="6">
        <v>1</v>
      </c>
      <c r="AA29" s="6">
        <v>100</v>
      </c>
      <c r="AB29" s="6">
        <v>1</v>
      </c>
      <c r="AC29" s="15">
        <f ca="1">VLOOKUP($L29,OFFSET([3]enemies!$A$1,0,0,COUNTA([3]enemies!$A:$A),MATCH(AC$1,[3]enemies!$1:$1,0)-MATCH($L$1,[3]enemies!$1:$1,0)+1),MATCH(AC$1,[3]enemies!$1:$1,0)-MATCH($L$1,[3]enemies!$1:$1,0)+1,FALSE)</f>
        <v>3</v>
      </c>
      <c r="AD29" s="20">
        <f t="shared" si="0"/>
        <v>164</v>
      </c>
      <c r="AE29" s="4" t="str">
        <f ca="1">VLOOKUP($AD29,OFFSET([4]characters!$A$1,0,0,COUNTA([4]characters!$A:$A),MATCH(AE$1,[4]characters!$1:$1,0)-MATCH("character_id",[4]characters!$1:$1,0)+1),MATCH(AE$1,[4]characters!$1:$1,0)-MATCH("character_id",[4]characters!$1:$1,0)+1,FALSE)</f>
        <v>イブとトモダチ</v>
      </c>
      <c r="AF29" s="4">
        <f ca="1">VLOOKUP($AD29,OFFSET([4]characters!$A$1,0,0,COUNTA([4]characters!$A:$A),MATCH(AF$1,[4]characters!$1:$1,0)-MATCH("character_id",[4]characters!$1:$1,0)+1),MATCH(AF$1,[4]characters!$1:$1,0)-MATCH("character_id",[4]characters!$1:$1,0)+1,FALSE)</f>
        <v>3</v>
      </c>
      <c r="AG29" s="4" t="str">
        <f ca="1">VLOOKUP($AD29,OFFSET([4]characters!$A$1,0,0,COUNTA([4]characters!$A:$A),MATCH(AG$1,[4]characters!$1:$1,0)-MATCH("character_id",[4]characters!$1:$1,0)+1),MATCH(AG$1,[4]characters!$1:$1,0)-MATCH("character_id",[4]characters!$1:$1,0)+1,FALSE)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29" s="108">
        <v>1</v>
      </c>
      <c r="AI29" s="20">
        <f t="shared" ca="1" si="2"/>
        <v>3</v>
      </c>
      <c r="AJ29" s="109">
        <v>0</v>
      </c>
      <c r="AK29" s="108">
        <v>0</v>
      </c>
      <c r="AL29" s="108">
        <v>0</v>
      </c>
      <c r="AM29" s="108">
        <v>0</v>
      </c>
      <c r="AN29" s="108">
        <v>0</v>
      </c>
      <c r="AO29" s="108">
        <v>1</v>
      </c>
      <c r="AP29" s="65">
        <v>1</v>
      </c>
    </row>
    <row r="30" spans="1:42" ht="21" customHeight="1" x14ac:dyDescent="0.15">
      <c r="A30" s="14" t="str">
        <f t="shared" ca="1" si="1"/>
        <v>39007_4-1/20&lt;lv40&gt;s3</v>
      </c>
      <c r="B30" s="18">
        <v>39007</v>
      </c>
      <c r="C30" s="104">
        <v>4</v>
      </c>
      <c r="G30" s="104">
        <v>1</v>
      </c>
      <c r="K30" s="34" t="s">
        <v>53</v>
      </c>
      <c r="L30" s="104">
        <v>20</v>
      </c>
      <c r="R30" s="105">
        <v>40</v>
      </c>
      <c r="S30" s="106">
        <v>1</v>
      </c>
      <c r="T30" s="102">
        <f ca="1">ROUND(VLOOKUP(R30,[3]enemy_base_stats!$A:$F,2,FALSE) *INDIRECT("[EnemyMasterData.xlsm]enemies!Y"&amp;(L30+1))*  INDIRECT("[EnemyMasterData.xlsm]enemies!J"&amp;(L30+1))* INDIRECT("[EnemyMasterData.xlsm]enemies!O"&amp;(L30+1))* INDIRECT("[EnemyMasterData.xlsm]enemies!E"&amp;(L30+1))* INDIRECT("[EnemyMasterData.xlsm]enemies!S"&amp;(L30+1))* INDIRECT("[EnemyMasterData.xlsm]enemies!AD"&amp;(L30+1))*[4]ステータス!$B$2,0)*S30</f>
        <v>7646</v>
      </c>
      <c r="U30" s="107">
        <v>1</v>
      </c>
      <c r="V30" s="102">
        <f ca="1">ROUND(VLOOKUP(R30,[3]enemy_base_stats!$A:$F,3,FALSE) *INDIRECT("[EnemyMasterData.xlsm]enemies!Z"&amp;(L30+1))*  INDIRECT("[EnemyMasterData.xlsm]enemies!K"&amp;(L30+1))* INDIRECT("[EnemyMasterData.xlsm]enemies!P"&amp;(L30+1))* INDIRECT("[EnemyMasterData.xlsm]enemies!F"&amp;(L30+1))* INDIRECT("[EnemyMasterData.xlsm]enemies!T"&amp;(L30+1))* INDIRECT("[EnemyMasterData.xlsm]enemies!AE"&amp;(L30+1))*[4]ステータス!$C$2,0)*U30</f>
        <v>2490</v>
      </c>
      <c r="W30" s="5">
        <v>0</v>
      </c>
      <c r="X30" s="4" t="str">
        <f ca="1">VLOOKUP($Y30,OFFSET(enemy_skill_sets!$B$1,0,0,COUNTA(enemy_skill_sets!$B:$B),MATCH(M$1,enemy_skill_sets!$1:$1,0)-MATCH($Y$1,enemy_skill_sets!$1:$1,0)+2),MATCH(M$1,enemy_skill_sets!$1:$1,0)-MATCH($Y$1,enemy_skill_sets!$1:$1,0)+2,FALSE)</f>
        <v>3ターン攻撃頻度が1ターンにUP</v>
      </c>
      <c r="Y30" s="57">
        <v>39007002</v>
      </c>
      <c r="Z30" s="6">
        <v>2</v>
      </c>
      <c r="AA30" s="6">
        <v>100</v>
      </c>
      <c r="AB30" s="6">
        <v>2</v>
      </c>
      <c r="AC30" s="15">
        <f ca="1">VLOOKUP($L30,OFFSET([3]enemies!$A$1,0,0,COUNTA([3]enemies!$A:$A),MATCH(AC$1,[3]enemies!$1:$1,0)-MATCH($L$1,[3]enemies!$1:$1,0)+1),MATCH(AC$1,[3]enemies!$1:$1,0)-MATCH($L$1,[3]enemies!$1:$1,0)+1,FALSE)</f>
        <v>3</v>
      </c>
      <c r="AD30" s="20">
        <f t="shared" si="0"/>
        <v>20</v>
      </c>
      <c r="AE30" s="4" t="str">
        <f ca="1">VLOOKUP($AD30,OFFSET([4]characters!$A$1,0,0,COUNTA([4]characters!$A:$A),MATCH(AE$1,[4]characters!$1:$1,0)-MATCH("character_id",[4]characters!$1:$1,0)+1),MATCH(AE$1,[4]characters!$1:$1,0)-MATCH("character_id",[4]characters!$1:$1,0)+1,FALSE)</f>
        <v>電子妖精 ティンク</v>
      </c>
      <c r="AF30" s="4">
        <f ca="1">VLOOKUP($AD30,OFFSET([4]characters!$A$1,0,0,COUNTA([4]characters!$A:$A),MATCH(AF$1,[4]characters!$1:$1,0)-MATCH("character_id",[4]characters!$1:$1,0)+1),MATCH(AF$1,[4]characters!$1:$1,0)-MATCH("character_id",[4]characters!$1:$1,0)+1,FALSE)</f>
        <v>2</v>
      </c>
      <c r="AG30" s="4" t="str">
        <f ca="1">VLOOKUP($AD30,OFFSET([4]characters!$A$1,0,0,COUNTA([4]characters!$A:$A),MATCH(AG$1,[4]characters!$1:$1,0)-MATCH("character_id",[4]characters!$1:$1,0)+1),MATCH(AG$1,[4]characters!$1:$1,0)-MATCH("character_id",[4]characters!$1:$1,0)+1,FALSE)</f>
        <v>Drop1W</v>
      </c>
      <c r="AH30" s="108">
        <v>1</v>
      </c>
      <c r="AI30" s="20">
        <f t="shared" ca="1" si="2"/>
        <v>2</v>
      </c>
      <c r="AJ30" s="109">
        <v>20</v>
      </c>
      <c r="AK30" s="108">
        <v>0</v>
      </c>
      <c r="AL30" s="108">
        <v>0</v>
      </c>
      <c r="AM30" s="108">
        <v>0</v>
      </c>
      <c r="AN30" s="108">
        <v>0</v>
      </c>
      <c r="AO30" s="108">
        <v>1</v>
      </c>
      <c r="AP30" s="65">
        <v>1</v>
      </c>
    </row>
    <row r="31" spans="1:42" ht="21" customHeight="1" x14ac:dyDescent="0.15">
      <c r="A31" s="14" t="str">
        <f t="shared" ca="1" si="1"/>
        <v>39007_4-2/83&lt;lv40&gt;s2</v>
      </c>
      <c r="B31" s="18">
        <v>39007</v>
      </c>
      <c r="C31" s="104">
        <v>4</v>
      </c>
      <c r="G31" s="104">
        <v>2</v>
      </c>
      <c r="K31" s="34" t="s">
        <v>53</v>
      </c>
      <c r="L31" s="104">
        <v>83</v>
      </c>
      <c r="R31" s="105">
        <v>40</v>
      </c>
      <c r="S31" s="106">
        <v>1</v>
      </c>
      <c r="T31" s="102">
        <f ca="1">ROUND(VLOOKUP(R31,[3]enemy_base_stats!$A:$F,2,FALSE) *INDIRECT("[EnemyMasterData.xlsm]enemies!Y"&amp;(L31+1))*  INDIRECT("[EnemyMasterData.xlsm]enemies!J"&amp;(L31+1))* INDIRECT("[EnemyMasterData.xlsm]enemies!O"&amp;(L31+1))* INDIRECT("[EnemyMasterData.xlsm]enemies!E"&amp;(L31+1))* INDIRECT("[EnemyMasterData.xlsm]enemies!S"&amp;(L31+1))* INDIRECT("[EnemyMasterData.xlsm]enemies!AD"&amp;(L31+1))*[4]ステータス!$B$2,0)*S31</f>
        <v>35790</v>
      </c>
      <c r="U31" s="107">
        <v>1</v>
      </c>
      <c r="V31" s="102">
        <f ca="1">ROUND(VLOOKUP(R31,[3]enemy_base_stats!$A:$F,3,FALSE) *INDIRECT("[EnemyMasterData.xlsm]enemies!Z"&amp;(L31+1))*  INDIRECT("[EnemyMasterData.xlsm]enemies!K"&amp;(L31+1))* INDIRECT("[EnemyMasterData.xlsm]enemies!P"&amp;(L31+1))* INDIRECT("[EnemyMasterData.xlsm]enemies!F"&amp;(L31+1))* INDIRECT("[EnemyMasterData.xlsm]enemies!T"&amp;(L31+1))* INDIRECT("[EnemyMasterData.xlsm]enemies!AE"&amp;(L31+1))*[4]ステータス!$C$2,0)*U31</f>
        <v>3060</v>
      </c>
      <c r="W31" s="5">
        <v>0</v>
      </c>
      <c r="X31" s="4" t="str">
        <f ca="1">VLOOKUP($Y31,OFFSET(enemy_skill_sets!$B$1,0,0,COUNTA(enemy_skill_sets!$B:$B),MATCH(M$1,enemy_skill_sets!$1:$1,0)-MATCH($Y$1,enemy_skill_sets!$1:$1,0)+2),MATCH(M$1,enemy_skill_sets!$1:$1,0)-MATCH($Y$1,enemy_skill_sets!$1:$1,0)+2,FALSE)</f>
        <v>おねだりしている</v>
      </c>
      <c r="Y31" s="57">
        <v>39007003</v>
      </c>
      <c r="Z31" s="6">
        <v>1</v>
      </c>
      <c r="AA31" s="6">
        <v>100</v>
      </c>
      <c r="AB31" s="6">
        <v>1</v>
      </c>
      <c r="AC31" s="15">
        <f ca="1">VLOOKUP($L31,OFFSET([3]enemies!$A$1,0,0,COUNTA([3]enemies!$A:$A),MATCH(AC$1,[3]enemies!$1:$1,0)-MATCH($L$1,[3]enemies!$1:$1,0)+1),MATCH(AC$1,[3]enemies!$1:$1,0)-MATCH($L$1,[3]enemies!$1:$1,0)+1,FALSE)</f>
        <v>2</v>
      </c>
      <c r="AD31" s="20">
        <f t="shared" si="0"/>
        <v>83</v>
      </c>
      <c r="AE31" s="4" t="str">
        <f ca="1">VLOOKUP($AD31,OFFSET([4]characters!$A$1,0,0,COUNTA([4]characters!$A:$A),MATCH(AE$1,[4]characters!$1:$1,0)-MATCH("character_id",[4]characters!$1:$1,0)+1),MATCH(AE$1,[4]characters!$1:$1,0)-MATCH("character_id",[4]characters!$1:$1,0)+1,FALSE)</f>
        <v>拡散性ニムダ</v>
      </c>
      <c r="AF31" s="4">
        <f ca="1">VLOOKUP($AD31,OFFSET([4]characters!$A$1,0,0,COUNTA([4]characters!$A:$A),MATCH(AF$1,[4]characters!$1:$1,0)-MATCH("character_id",[4]characters!$1:$1,0)+1),MATCH(AF$1,[4]characters!$1:$1,0)-MATCH("character_id",[4]characters!$1:$1,0)+1,FALSE)</f>
        <v>3</v>
      </c>
      <c r="AG31" s="4" t="str">
        <f ca="1">VLOOKUP($AD31,OFFSET([4]characters!$A$1,0,0,COUNTA([4]characters!$A:$A),MATCH(AG$1,[4]characters!$1:$1,0)-MATCH("character_id",[4]characters!$1:$1,0)+1),MATCH(AG$1,[4]characters!$1:$1,0)-MATCH("character_id",[4]characters!$1:$1,0)+1,FALSE)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31" s="108">
        <v>1</v>
      </c>
      <c r="AI31" s="20">
        <f t="shared" ca="1" si="2"/>
        <v>3</v>
      </c>
      <c r="AJ31" s="109">
        <v>0</v>
      </c>
      <c r="AK31" s="108">
        <v>0</v>
      </c>
      <c r="AL31" s="108">
        <v>0</v>
      </c>
      <c r="AM31" s="108">
        <v>0</v>
      </c>
      <c r="AN31" s="108">
        <v>0</v>
      </c>
      <c r="AO31" s="108">
        <v>1</v>
      </c>
      <c r="AP31" s="65">
        <v>1</v>
      </c>
    </row>
    <row r="32" spans="1:42" ht="21" customHeight="1" x14ac:dyDescent="0.15">
      <c r="A32" s="14" t="str">
        <f t="shared" ca="1" si="1"/>
        <v>39007_4-2/387&lt;lv40&gt;s3</v>
      </c>
      <c r="B32" s="18">
        <v>39007</v>
      </c>
      <c r="C32" s="104">
        <v>4</v>
      </c>
      <c r="G32" s="104">
        <v>2</v>
      </c>
      <c r="K32" s="34" t="s">
        <v>53</v>
      </c>
      <c r="L32" s="104">
        <v>387</v>
      </c>
      <c r="R32" s="105">
        <v>40</v>
      </c>
      <c r="S32" s="106">
        <v>1</v>
      </c>
      <c r="T32" s="102">
        <f ca="1">ROUND(VLOOKUP(R32,[3]enemy_base_stats!$A:$F,2,FALSE) *INDIRECT("[EnemyMasterData.xlsm]enemies!Y"&amp;(L32+1))*  INDIRECT("[EnemyMasterData.xlsm]enemies!J"&amp;(L32+1))* INDIRECT("[EnemyMasterData.xlsm]enemies!O"&amp;(L32+1))* INDIRECT("[EnemyMasterData.xlsm]enemies!E"&amp;(L32+1))* INDIRECT("[EnemyMasterData.xlsm]enemies!S"&amp;(L32+1))* INDIRECT("[EnemyMasterData.xlsm]enemies!AD"&amp;(L32+1))*[4]ステータス!$B$2,0)*S32</f>
        <v>39043</v>
      </c>
      <c r="U32" s="107">
        <v>1</v>
      </c>
      <c r="V32" s="102">
        <f ca="1">ROUND(VLOOKUP(R32,[3]enemy_base_stats!$A:$F,3,FALSE) *INDIRECT("[EnemyMasterData.xlsm]enemies!Z"&amp;(L32+1))*  INDIRECT("[EnemyMasterData.xlsm]enemies!K"&amp;(L32+1))* INDIRECT("[EnemyMasterData.xlsm]enemies!P"&amp;(L32+1))* INDIRECT("[EnemyMasterData.xlsm]enemies!F"&amp;(L32+1))* INDIRECT("[EnemyMasterData.xlsm]enemies!T"&amp;(L32+1))* INDIRECT("[EnemyMasterData.xlsm]enemies!AE"&amp;(L32+1))*[4]ステータス!$C$2,0)*U32</f>
        <v>3506</v>
      </c>
      <c r="W32" s="5">
        <v>0</v>
      </c>
      <c r="X32" s="4" t="str">
        <f ca="1">VLOOKUP($Y32,OFFSET(enemy_skill_sets!$B$1,0,0,COUNTA(enemy_skill_sets!$B:$B),MATCH(M$1,enemy_skill_sets!$1:$1,0)-MATCH($Y$1,enemy_skill_sets!$1:$1,0)+2),MATCH(M$1,enemy_skill_sets!$1:$1,0)-MATCH($Y$1,enemy_skill_sets!$1:$1,0)+2,FALSE)</f>
        <v>2ターン防御力UP</v>
      </c>
      <c r="Y32" s="57">
        <v>39007004</v>
      </c>
      <c r="Z32" s="6">
        <v>1</v>
      </c>
      <c r="AA32" s="6">
        <v>100</v>
      </c>
      <c r="AB32" s="6">
        <v>2</v>
      </c>
      <c r="AC32" s="15">
        <f ca="1">VLOOKUP($L32,OFFSET([3]enemies!$A$1,0,0,COUNTA([3]enemies!$A:$A),MATCH(AC$1,[3]enemies!$1:$1,0)-MATCH($L$1,[3]enemies!$1:$1,0)+1),MATCH(AC$1,[3]enemies!$1:$1,0)-MATCH($L$1,[3]enemies!$1:$1,0)+1,FALSE)</f>
        <v>3</v>
      </c>
      <c r="AD32" s="20">
        <f t="shared" si="0"/>
        <v>387</v>
      </c>
      <c r="AE32" s="4" t="str">
        <f ca="1">VLOOKUP($AD32,OFFSET([4]characters!$A$1,0,0,COUNTA([4]characters!$A:$A),MATCH(AE$1,[4]characters!$1:$1,0)-MATCH("character_id",[4]characters!$1:$1,0)+1),MATCH(AE$1,[4]characters!$1:$1,0)-MATCH("character_id",[4]characters!$1:$1,0)+1,FALSE)</f>
        <v>スフィンクス</v>
      </c>
      <c r="AF32" s="4">
        <f ca="1">VLOOKUP($AD32,OFFSET([4]characters!$A$1,0,0,COUNTA([4]characters!$A:$A),MATCH(AF$1,[4]characters!$1:$1,0)-MATCH("character_id",[4]characters!$1:$1,0)+1),MATCH(AF$1,[4]characters!$1:$1,0)-MATCH("character_id",[4]characters!$1:$1,0)+1,FALSE)</f>
        <v>3</v>
      </c>
      <c r="AG32" s="4" t="str">
        <f ca="1">VLOOKUP($AD32,OFFSET([4]characters!$A$1,0,0,COUNTA([4]characters!$A:$A),MATCH(AG$1,[4]characters!$1:$1,0)-MATCH("character_id",[4]characters!$1:$1,0)+1),MATCH(AG$1,[4]characters!$1:$1,0)-MATCH("character_id",[4]characters!$1:$1,0)+1,FALSE)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32" s="108">
        <v>1</v>
      </c>
      <c r="AI32" s="20">
        <f t="shared" ca="1" si="2"/>
        <v>3</v>
      </c>
      <c r="AJ32" s="109">
        <v>0</v>
      </c>
      <c r="AK32" s="108">
        <v>0</v>
      </c>
      <c r="AL32" s="108">
        <v>0</v>
      </c>
      <c r="AM32" s="108">
        <v>0</v>
      </c>
      <c r="AN32" s="108">
        <v>0</v>
      </c>
      <c r="AO32" s="108">
        <v>1</v>
      </c>
      <c r="AP32" s="65">
        <v>1</v>
      </c>
    </row>
    <row r="33" spans="1:42" ht="21" customHeight="1" x14ac:dyDescent="0.15">
      <c r="A33" s="14" t="str">
        <f t="shared" ca="1" si="1"/>
        <v>39007_4-3/63&lt;lv40&gt;s2</v>
      </c>
      <c r="B33" s="18">
        <v>39007</v>
      </c>
      <c r="C33" s="104">
        <v>4</v>
      </c>
      <c r="G33" s="104">
        <v>3</v>
      </c>
      <c r="K33" s="34" t="s">
        <v>53</v>
      </c>
      <c r="L33" s="104">
        <v>63</v>
      </c>
      <c r="R33" s="105">
        <v>40</v>
      </c>
      <c r="S33" s="106">
        <v>1</v>
      </c>
      <c r="T33" s="102">
        <f ca="1">ROUND(VLOOKUP(R33,[3]enemy_base_stats!$A:$F,2,FALSE) *INDIRECT("[EnemyMasterData.xlsm]enemies!Y"&amp;(L33+1))*  INDIRECT("[EnemyMasterData.xlsm]enemies!J"&amp;(L33+1))* INDIRECT("[EnemyMasterData.xlsm]enemies!O"&amp;(L33+1))* INDIRECT("[EnemyMasterData.xlsm]enemies!E"&amp;(L33+1))* INDIRECT("[EnemyMasterData.xlsm]enemies!S"&amp;(L33+1))* INDIRECT("[EnemyMasterData.xlsm]enemies!AD"&amp;(L33+1))*[4]ステータス!$B$2,0)*S33</f>
        <v>7321</v>
      </c>
      <c r="U33" s="107">
        <v>0.9</v>
      </c>
      <c r="V33" s="102">
        <f ca="1">ROUND(VLOOKUP(R33,[3]enemy_base_stats!$A:$F,3,FALSE) *INDIRECT("[EnemyMasterData.xlsm]enemies!Z"&amp;(L33+1))*  INDIRECT("[EnemyMasterData.xlsm]enemies!K"&amp;(L33+1))* INDIRECT("[EnemyMasterData.xlsm]enemies!P"&amp;(L33+1))* INDIRECT("[EnemyMasterData.xlsm]enemies!F"&amp;(L33+1))* INDIRECT("[EnemyMasterData.xlsm]enemies!T"&amp;(L33+1))* INDIRECT("[EnemyMasterData.xlsm]enemies!AE"&amp;(L33+1))*[4]ステータス!$C$2,0)*U33</f>
        <v>2241</v>
      </c>
      <c r="W33" s="5">
        <v>0</v>
      </c>
      <c r="X33" s="4" t="str">
        <f ca="1">VLOOKUP($Y33,OFFSET(enemy_skill_sets!$B$1,0,0,COUNTA(enemy_skill_sets!$B:$B),MATCH(M$1,enemy_skill_sets!$1:$1,0)-MATCH($Y$1,enemy_skill_sets!$1:$1,0)+2),MATCH(M$1,enemy_skill_sets!$1:$1,0)-MATCH($Y$1,enemy_skill_sets!$1:$1,0)+2,FALSE)</f>
        <v>2回連続攻撃</v>
      </c>
      <c r="Y33" s="57">
        <v>39007005</v>
      </c>
      <c r="Z33" s="6">
        <v>1</v>
      </c>
      <c r="AA33" s="6">
        <v>100</v>
      </c>
      <c r="AB33" s="6">
        <v>2</v>
      </c>
      <c r="AC33" s="15">
        <f ca="1">VLOOKUP($L33,OFFSET([3]enemies!$A$1,0,0,COUNTA([3]enemies!$A:$A),MATCH(AC$1,[3]enemies!$1:$1,0)-MATCH($L$1,[3]enemies!$1:$1,0)+1),MATCH(AC$1,[3]enemies!$1:$1,0)-MATCH($L$1,[3]enemies!$1:$1,0)+1,FALSE)</f>
        <v>2</v>
      </c>
      <c r="AD33" s="20">
        <f t="shared" si="0"/>
        <v>63</v>
      </c>
      <c r="AE33" s="4" t="str">
        <f ca="1">VLOOKUP($AD33,OFFSET([4]characters!$A$1,0,0,COUNTA([4]characters!$A:$A),MATCH(AE$1,[4]characters!$1:$1,0)-MATCH("character_id",[4]characters!$1:$1,0)+1),MATCH(AE$1,[4]characters!$1:$1,0)-MATCH("character_id",[4]characters!$1:$1,0)+1,FALSE)</f>
        <v>トニー</v>
      </c>
      <c r="AF33" s="4">
        <f ca="1">VLOOKUP($AD33,OFFSET([4]characters!$A$1,0,0,COUNTA([4]characters!$A:$A),MATCH(AF$1,[4]characters!$1:$1,0)-MATCH("character_id",[4]characters!$1:$1,0)+1),MATCH(AF$1,[4]characters!$1:$1,0)-MATCH("character_id",[4]characters!$1:$1,0)+1,FALSE)</f>
        <v>2</v>
      </c>
      <c r="AG33" s="4" t="str">
        <f ca="1">VLOOKUP($AD33,OFFSET([4]characters!$A$1,0,0,COUNTA([4]characters!$A:$A),MATCH(AG$1,[4]characters!$1:$1,0)-MATCH("character_id",[4]characters!$1:$1,0)+1),MATCH(AG$1,[4]characters!$1:$1,0)-MATCH("character_id",[4]characters!$1:$1,0)+1,FALSE)</f>
        <v>Drop1N</v>
      </c>
      <c r="AH33" s="108">
        <v>1</v>
      </c>
      <c r="AI33" s="20">
        <f t="shared" ca="1" si="2"/>
        <v>2</v>
      </c>
      <c r="AJ33" s="109">
        <v>0</v>
      </c>
      <c r="AK33" s="108">
        <v>0</v>
      </c>
      <c r="AL33" s="108">
        <v>0</v>
      </c>
      <c r="AM33" s="108">
        <v>0</v>
      </c>
      <c r="AN33" s="108">
        <v>0</v>
      </c>
      <c r="AO33" s="108">
        <v>1</v>
      </c>
      <c r="AP33" s="65">
        <v>1</v>
      </c>
    </row>
    <row r="34" spans="1:42" ht="21" customHeight="1" x14ac:dyDescent="0.15">
      <c r="A34" s="14" t="str">
        <f t="shared" ca="1" si="1"/>
        <v>39007_4-3/56&lt;lv41&gt;s4</v>
      </c>
      <c r="B34" s="18">
        <v>39007</v>
      </c>
      <c r="C34" s="104">
        <v>4</v>
      </c>
      <c r="G34" s="104">
        <v>3</v>
      </c>
      <c r="K34" s="34" t="s">
        <v>53</v>
      </c>
      <c r="L34" s="104">
        <v>56</v>
      </c>
      <c r="R34" s="105">
        <v>41</v>
      </c>
      <c r="S34" s="106">
        <v>1</v>
      </c>
      <c r="T34" s="102">
        <f ca="1">ROUND(VLOOKUP(R34,[3]enemy_base_stats!$A:$F,2,FALSE) *INDIRECT("[EnemyMasterData.xlsm]enemies!Y"&amp;(L34+1))*  INDIRECT("[EnemyMasterData.xlsm]enemies!J"&amp;(L34+1))* INDIRECT("[EnemyMasterData.xlsm]enemies!O"&amp;(L34+1))* INDIRECT("[EnemyMasterData.xlsm]enemies!E"&amp;(L34+1))* INDIRECT("[EnemyMasterData.xlsm]enemies!S"&amp;(L34+1))* INDIRECT("[EnemyMasterData.xlsm]enemies!AD"&amp;(L34+1))*[4]ステータス!$B$2,0)*S34</f>
        <v>25840</v>
      </c>
      <c r="U34" s="107">
        <v>1</v>
      </c>
      <c r="V34" s="102">
        <f ca="1">ROUND(VLOOKUP(R34,[3]enemy_base_stats!$A:$F,3,FALSE) *INDIRECT("[EnemyMasterData.xlsm]enemies!Z"&amp;(L34+1))*  INDIRECT("[EnemyMasterData.xlsm]enemies!K"&amp;(L34+1))* INDIRECT("[EnemyMasterData.xlsm]enemies!P"&amp;(L34+1))* INDIRECT("[EnemyMasterData.xlsm]enemies!F"&amp;(L34+1))* INDIRECT("[EnemyMasterData.xlsm]enemies!T"&amp;(L34+1))* INDIRECT("[EnemyMasterData.xlsm]enemies!AE"&amp;(L34+1))*[4]ステータス!$C$2,0)*U34</f>
        <v>4284</v>
      </c>
      <c r="W34" s="5">
        <v>0</v>
      </c>
      <c r="X34" s="4" t="str">
        <f ca="1">VLOOKUP($Y34,OFFSET(enemy_skill_sets!$B$1,0,0,COUNTA(enemy_skill_sets!$B:$B),MATCH(M$1,enemy_skill_sets!$1:$1,0)-MATCH($Y$1,enemy_skill_sets!$1:$1,0)+2),MATCH(M$1,enemy_skill_sets!$1:$1,0)-MATCH($Y$1,enemy_skill_sets!$1:$1,0)+2,FALSE)</f>
        <v>2ターン攻撃力UP</v>
      </c>
      <c r="Y34" s="57">
        <v>39007008</v>
      </c>
      <c r="Z34" s="6">
        <v>0</v>
      </c>
      <c r="AA34" s="6">
        <v>100</v>
      </c>
      <c r="AB34" s="6">
        <v>1</v>
      </c>
      <c r="AC34" s="15">
        <f ca="1">VLOOKUP($L34,OFFSET([3]enemies!$A$1,0,0,COUNTA([3]enemies!$A:$A),MATCH(AC$1,[3]enemies!$1:$1,0)-MATCH($L$1,[3]enemies!$1:$1,0)+1),MATCH(AC$1,[3]enemies!$1:$1,0)-MATCH($L$1,[3]enemies!$1:$1,0)+1,FALSE)</f>
        <v>4</v>
      </c>
      <c r="AD34" s="20">
        <f t="shared" si="0"/>
        <v>56</v>
      </c>
      <c r="AE34" s="4" t="str">
        <f ca="1">VLOOKUP($AD34,OFFSET([4]characters!$A$1,0,0,COUNTA([4]characters!$A:$A),MATCH(AE$1,[4]characters!$1:$1,0)-MATCH("character_id",[4]characters!$1:$1,0)+1),MATCH(AE$1,[4]characters!$1:$1,0)-MATCH("character_id",[4]characters!$1:$1,0)+1,FALSE)</f>
        <v>黄槌のレジスタンス マミコ</v>
      </c>
      <c r="AF34" s="4">
        <f ca="1">VLOOKUP($AD34,OFFSET([4]characters!$A$1,0,0,COUNTA([4]characters!$A:$A),MATCH(AF$1,[4]characters!$1:$1,0)-MATCH("character_id",[4]characters!$1:$1,0)+1),MATCH(AF$1,[4]characters!$1:$1,0)-MATCH("character_id",[4]characters!$1:$1,0)+1,FALSE)</f>
        <v>3</v>
      </c>
      <c r="AG34" s="4" t="str">
        <f ca="1">VLOOKUP($AD34,OFFSET([4]characters!$A$1,0,0,COUNTA([4]characters!$A:$A),MATCH(AG$1,[4]characters!$1:$1,0)-MATCH("character_id",[4]characters!$1:$1,0)+1),MATCH(AG$1,[4]characters!$1:$1,0)-MATCH("character_id",[4]characters!$1:$1,0)+1,FALSE)</f>
        <v>Drop1N</v>
      </c>
      <c r="AH34" s="108">
        <v>1</v>
      </c>
      <c r="AI34" s="20">
        <f t="shared" ca="1" si="2"/>
        <v>3</v>
      </c>
      <c r="AJ34" s="110">
        <v>80</v>
      </c>
      <c r="AK34" s="108">
        <v>0</v>
      </c>
      <c r="AL34" s="108">
        <v>0</v>
      </c>
      <c r="AM34" s="108">
        <v>0</v>
      </c>
      <c r="AN34" s="108">
        <v>0</v>
      </c>
      <c r="AO34" s="108">
        <v>1</v>
      </c>
      <c r="AP34" s="65">
        <v>1</v>
      </c>
    </row>
    <row r="35" spans="1:42" ht="21" customHeight="1" x14ac:dyDescent="0.15">
      <c r="A35" s="14" t="str">
        <f t="shared" ca="1" si="1"/>
        <v>39007_4-3/56&lt;lv40&gt;s4</v>
      </c>
      <c r="B35" s="18">
        <v>39007</v>
      </c>
      <c r="C35" s="104">
        <v>4</v>
      </c>
      <c r="G35" s="104">
        <v>3</v>
      </c>
      <c r="K35" s="34" t="s">
        <v>53</v>
      </c>
      <c r="L35" s="104">
        <v>56</v>
      </c>
      <c r="R35" s="105">
        <v>40</v>
      </c>
      <c r="S35" s="106">
        <v>1</v>
      </c>
      <c r="T35" s="102">
        <f ca="1">ROUND(VLOOKUP(R35,[3]enemy_base_stats!$A:$F,2,FALSE) *INDIRECT("[EnemyMasterData.xlsm]enemies!Y"&amp;(L35+1))*  INDIRECT("[EnemyMasterData.xlsm]enemies!J"&amp;(L35+1))* INDIRECT("[EnemyMasterData.xlsm]enemies!O"&amp;(L35+1))* INDIRECT("[EnemyMasterData.xlsm]enemies!E"&amp;(L35+1))* INDIRECT("[EnemyMasterData.xlsm]enemies!S"&amp;(L35+1))* INDIRECT("[EnemyMasterData.xlsm]enemies!AD"&amp;(L35+1))*[4]ステータス!$B$2,0)*S35</f>
        <v>25232</v>
      </c>
      <c r="U35" s="107">
        <v>1</v>
      </c>
      <c r="V35" s="102">
        <f ca="1">ROUND(VLOOKUP(R35,[3]enemy_base_stats!$A:$F,3,FALSE) *INDIRECT("[EnemyMasterData.xlsm]enemies!Z"&amp;(L35+1))*  INDIRECT("[EnemyMasterData.xlsm]enemies!K"&amp;(L35+1))* INDIRECT("[EnemyMasterData.xlsm]enemies!P"&amp;(L35+1))* INDIRECT("[EnemyMasterData.xlsm]enemies!F"&amp;(L35+1))* INDIRECT("[EnemyMasterData.xlsm]enemies!T"&amp;(L35+1))* INDIRECT("[EnemyMasterData.xlsm]enemies!AE"&amp;(L35+1))*[4]ステータス!$C$2,0)*U35</f>
        <v>4183</v>
      </c>
      <c r="W35" s="5">
        <v>0</v>
      </c>
      <c r="X35" s="4" t="str">
        <f ca="1">VLOOKUP($Y35,OFFSET(enemy_skill_sets!$B$1,0,0,COUNTA(enemy_skill_sets!$B:$B),MATCH(M$1,enemy_skill_sets!$1:$1,0)-MATCH($Y$1,enemy_skill_sets!$1:$1,0)+2),MATCH(M$1,enemy_skill_sets!$1:$1,0)-MATCH($Y$1,enemy_skill_sets!$1:$1,0)+2,FALSE)</f>
        <v>2ターン攻撃力UP</v>
      </c>
      <c r="Y35" s="57">
        <v>39007008</v>
      </c>
      <c r="Z35" s="6">
        <v>0</v>
      </c>
      <c r="AA35" s="6">
        <v>100</v>
      </c>
      <c r="AB35" s="6">
        <v>1</v>
      </c>
      <c r="AC35" s="15">
        <f ca="1">VLOOKUP($L35,OFFSET([3]enemies!$A$1,0,0,COUNTA([3]enemies!$A:$A),MATCH(AC$1,[3]enemies!$1:$1,0)-MATCH($L$1,[3]enemies!$1:$1,0)+1),MATCH(AC$1,[3]enemies!$1:$1,0)-MATCH($L$1,[3]enemies!$1:$1,0)+1,FALSE)</f>
        <v>4</v>
      </c>
      <c r="AD35" s="20">
        <f t="shared" si="0"/>
        <v>56</v>
      </c>
      <c r="AE35" s="4" t="str">
        <f ca="1">VLOOKUP($AD35,OFFSET([4]characters!$A$1,0,0,COUNTA([4]characters!$A:$A),MATCH(AE$1,[4]characters!$1:$1,0)-MATCH("character_id",[4]characters!$1:$1,0)+1),MATCH(AE$1,[4]characters!$1:$1,0)-MATCH("character_id",[4]characters!$1:$1,0)+1,FALSE)</f>
        <v>黄槌のレジスタンス マミコ</v>
      </c>
      <c r="AF35" s="4">
        <f ca="1">VLOOKUP($AD35,OFFSET([4]characters!$A$1,0,0,COUNTA([4]characters!$A:$A),MATCH(AF$1,[4]characters!$1:$1,0)-MATCH("character_id",[4]characters!$1:$1,0)+1),MATCH(AF$1,[4]characters!$1:$1,0)-MATCH("character_id",[4]characters!$1:$1,0)+1,FALSE)</f>
        <v>3</v>
      </c>
      <c r="AG35" s="4" t="str">
        <f ca="1">VLOOKUP($AD35,OFFSET([4]characters!$A$1,0,0,COUNTA([4]characters!$A:$A),MATCH(AG$1,[4]characters!$1:$1,0)-MATCH("character_id",[4]characters!$1:$1,0)+1),MATCH(AG$1,[4]characters!$1:$1,0)-MATCH("character_id",[4]characters!$1:$1,0)+1,FALSE)</f>
        <v>Drop1N</v>
      </c>
      <c r="AH35" s="108">
        <v>1</v>
      </c>
      <c r="AI35" s="20">
        <f t="shared" ca="1" si="2"/>
        <v>3</v>
      </c>
      <c r="AJ35" s="110">
        <v>80</v>
      </c>
      <c r="AK35" s="108">
        <v>0</v>
      </c>
      <c r="AL35" s="108">
        <v>0</v>
      </c>
      <c r="AM35" s="108">
        <v>0</v>
      </c>
      <c r="AN35" s="108">
        <v>0</v>
      </c>
      <c r="AO35" s="108">
        <v>1</v>
      </c>
      <c r="AP35" s="65">
        <v>1</v>
      </c>
    </row>
    <row r="36" spans="1:42" ht="21" customHeight="1" x14ac:dyDescent="0.15">
      <c r="A36" s="14" t="str">
        <f t="shared" ca="1" si="1"/>
        <v>39007_4-3/47&lt;lv40&gt;s1</v>
      </c>
      <c r="B36" s="18">
        <v>39007</v>
      </c>
      <c r="C36" s="104">
        <v>4</v>
      </c>
      <c r="G36" s="104">
        <v>3</v>
      </c>
      <c r="K36" s="34" t="s">
        <v>53</v>
      </c>
      <c r="L36" s="104">
        <v>47</v>
      </c>
      <c r="R36" s="105">
        <v>40</v>
      </c>
      <c r="S36" s="106">
        <v>1</v>
      </c>
      <c r="T36" s="102">
        <f ca="1">ROUND(VLOOKUP(R36,[3]enemy_base_stats!$A:$F,2,FALSE) *INDIRECT("[EnemyMasterData.xlsm]enemies!Y"&amp;(L36+1))*  INDIRECT("[EnemyMasterData.xlsm]enemies!J"&amp;(L36+1))* INDIRECT("[EnemyMasterData.xlsm]enemies!O"&amp;(L36+1))* INDIRECT("[EnemyMasterData.xlsm]enemies!E"&amp;(L36+1))* INDIRECT("[EnemyMasterData.xlsm]enemies!S"&amp;(L36+1))* INDIRECT("[EnemyMasterData.xlsm]enemies!AD"&amp;(L36+1))*[4]ステータス!$B$2,0)*S36</f>
        <v>8134</v>
      </c>
      <c r="U36" s="107">
        <v>0.9</v>
      </c>
      <c r="V36" s="102">
        <f ca="1">ROUND(VLOOKUP(R36,[3]enemy_base_stats!$A:$F,3,FALSE) *INDIRECT("[EnemyMasterData.xlsm]enemies!Z"&amp;(L36+1))*  INDIRECT("[EnemyMasterData.xlsm]enemies!K"&amp;(L36+1))* INDIRECT("[EnemyMasterData.xlsm]enemies!P"&amp;(L36+1))* INDIRECT("[EnemyMasterData.xlsm]enemies!F"&amp;(L36+1))* INDIRECT("[EnemyMasterData.xlsm]enemies!T"&amp;(L36+1))* INDIRECT("[EnemyMasterData.xlsm]enemies!AE"&amp;(L36+1))*[4]ステータス!$C$2,0)*U36</f>
        <v>3311.1</v>
      </c>
      <c r="W36" s="5">
        <v>0</v>
      </c>
      <c r="X36" s="4" t="str">
        <f ca="1">VLOOKUP($Y36,OFFSET(enemy_skill_sets!$B$1,0,0,COUNTA(enemy_skill_sets!$B:$B),MATCH(M$1,enemy_skill_sets!$1:$1,0)-MATCH($Y$1,enemy_skill_sets!$1:$1,0)+2),MATCH(M$1,enemy_skill_sets!$1:$1,0)-MATCH($Y$1,enemy_skill_sets!$1:$1,0)+2,FALSE)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36" s="57">
        <v>39007006</v>
      </c>
      <c r="Z36" s="6">
        <v>1</v>
      </c>
      <c r="AA36" s="6">
        <v>100</v>
      </c>
      <c r="AB36" s="6">
        <v>0</v>
      </c>
      <c r="AC36" s="15">
        <f ca="1">VLOOKUP($L36,OFFSET([3]enemies!$A$1,0,0,COUNTA([3]enemies!$A:$A),MATCH(AC$1,[3]enemies!$1:$1,0)-MATCH($L$1,[3]enemies!$1:$1,0)+1),MATCH(AC$1,[3]enemies!$1:$1,0)-MATCH($L$1,[3]enemies!$1:$1,0)+1,FALSE)</f>
        <v>1</v>
      </c>
      <c r="AD36" s="20">
        <f t="shared" si="0"/>
        <v>47</v>
      </c>
      <c r="AE36" s="4" t="str">
        <f ca="1">VLOOKUP($AD36,OFFSET([4]characters!$A$1,0,0,COUNTA([4]characters!$A:$A),MATCH(AE$1,[4]characters!$1:$1,0)-MATCH("character_id",[4]characters!$1:$1,0)+1),MATCH(AE$1,[4]characters!$1:$1,0)-MATCH("character_id",[4]characters!$1:$1,0)+1,FALSE)</f>
        <v>ヒロ</v>
      </c>
      <c r="AF36" s="4">
        <f ca="1">VLOOKUP($AD36,OFFSET([4]characters!$A$1,0,0,COUNTA([4]characters!$A:$A),MATCH(AF$1,[4]characters!$1:$1,0)-MATCH("character_id",[4]characters!$1:$1,0)+1),MATCH(AF$1,[4]characters!$1:$1,0)-MATCH("character_id",[4]characters!$1:$1,0)+1,FALSE)</f>
        <v>2</v>
      </c>
      <c r="AG36" s="4" t="str">
        <f ca="1">VLOOKUP($AD36,OFFSET([4]characters!$A$1,0,0,COUNTA([4]characters!$A:$A),MATCH(AG$1,[4]characters!$1:$1,0)-MATCH("character_id",[4]characters!$1:$1,0)+1),MATCH(AG$1,[4]characters!$1:$1,0)-MATCH("character_id",[4]characters!$1:$1,0)+1,FALSE)</f>
        <v>Drop1N</v>
      </c>
      <c r="AH36" s="108">
        <v>1</v>
      </c>
      <c r="AI36" s="20">
        <f t="shared" ca="1" si="2"/>
        <v>2</v>
      </c>
      <c r="AJ36" s="109">
        <v>0</v>
      </c>
      <c r="AK36" s="108">
        <v>0</v>
      </c>
      <c r="AL36" s="108">
        <v>0</v>
      </c>
      <c r="AM36" s="108">
        <v>0</v>
      </c>
      <c r="AN36" s="108">
        <v>0</v>
      </c>
      <c r="AO36" s="108">
        <v>1</v>
      </c>
      <c r="AP36" s="65">
        <v>1</v>
      </c>
    </row>
    <row r="37" spans="1:42" ht="21" customHeight="1" x14ac:dyDescent="0.15">
      <c r="A37" s="14" t="str">
        <f t="shared" ca="1" si="1"/>
        <v>39007_4-4/8045&lt;lv40&gt;s3</v>
      </c>
      <c r="B37" s="18">
        <v>39007</v>
      </c>
      <c r="C37" s="104">
        <v>4</v>
      </c>
      <c r="G37" s="104">
        <v>4</v>
      </c>
      <c r="K37" s="34">
        <v>4</v>
      </c>
      <c r="L37" s="104">
        <v>8045</v>
      </c>
      <c r="R37" s="105">
        <v>40</v>
      </c>
      <c r="S37" s="106">
        <v>1</v>
      </c>
      <c r="T37" s="102">
        <f ca="1">ROUND(VLOOKUP(R37,[3]enemy_base_stats!$A:$F,2,FALSE) *INDIRECT("[EnemyMasterData.xlsm]enemies!Y"&amp;(L37+1))*  INDIRECT("[EnemyMasterData.xlsm]enemies!J"&amp;(L37+1))* INDIRECT("[EnemyMasterData.xlsm]enemies!O"&amp;(L37+1))* INDIRECT("[EnemyMasterData.xlsm]enemies!E"&amp;(L37+1))* INDIRECT("[EnemyMasterData.xlsm]enemies!S"&amp;(L37+1))* INDIRECT("[EnemyMasterData.xlsm]enemies!AD"&amp;(L37+1))*[4]ステータス!$B$2,0)*S37</f>
        <v>0</v>
      </c>
      <c r="U37" s="107">
        <v>1</v>
      </c>
      <c r="V37" s="102">
        <f ca="1">ROUND(VLOOKUP(R37,[3]enemy_base_stats!$A:$F,3,FALSE) *INDIRECT("[EnemyMasterData.xlsm]enemies!Z"&amp;(L37+1))*  INDIRECT("[EnemyMasterData.xlsm]enemies!K"&amp;(L37+1))* INDIRECT("[EnemyMasterData.xlsm]enemies!P"&amp;(L37+1))* INDIRECT("[EnemyMasterData.xlsm]enemies!F"&amp;(L37+1))* INDIRECT("[EnemyMasterData.xlsm]enemies!T"&amp;(L37+1))* INDIRECT("[EnemyMasterData.xlsm]enemies!AE"&amp;(L37+1))*[4]ステータス!$C$2,0)*U37</f>
        <v>0</v>
      </c>
      <c r="W37" s="5">
        <v>0</v>
      </c>
      <c r="X37" s="4" t="str">
        <f ca="1">VLOOKUP($Y37,OFFSET(enemy_skill_sets!$B$1,0,0,COUNTA(enemy_skill_sets!$B:$B),MATCH(M$1,enemy_skill_sets!$1:$1,0)-MATCH($Y$1,enemy_skill_sets!$1:$1,0)+2),MATCH(M$1,enemy_skill_sets!$1:$1,0)-MATCH($Y$1,enemy_skill_sets!$1:$1,0)+2,FALSE)</f>
        <v>緑パネルをハートパネルに変換</v>
      </c>
      <c r="Y37" s="57">
        <v>39007009</v>
      </c>
      <c r="Z37" s="6">
        <v>1</v>
      </c>
      <c r="AA37" s="6">
        <v>100</v>
      </c>
      <c r="AB37" s="6">
        <v>1</v>
      </c>
      <c r="AC37" s="15">
        <f ca="1">VLOOKUP($L37,OFFSET([3]enemies!$A$1,0,0,COUNTA([3]enemies!$A:$A),MATCH(AC$1,[3]enemies!$1:$1,0)-MATCH($L$1,[3]enemies!$1:$1,0)+1),MATCH(AC$1,[3]enemies!$1:$1,0)-MATCH($L$1,[3]enemies!$1:$1,0)+1,FALSE)</f>
        <v>3</v>
      </c>
      <c r="AD37" s="20">
        <f t="shared" si="0"/>
        <v>8045</v>
      </c>
      <c r="AE37" s="4" t="str">
        <f ca="1">VLOOKUP($AD37,OFFSET([4]characters!$A$1,0,0,COUNTA([4]characters!$A:$A),MATCH(AE$1,[4]characters!$1:$1,0)-MATCH("character_id",[4]characters!$1:$1,0)+1),MATCH(AE$1,[4]characters!$1:$1,0)-MATCH("character_id",[4]characters!$1:$1,0)+1,FALSE)</f>
        <v>ニムダ_サンリオキャラ混じり</v>
      </c>
      <c r="AF37" s="4">
        <f ca="1">VLOOKUP($AD37,OFFSET([4]characters!$A$1,0,0,COUNTA([4]characters!$A:$A),MATCH(AF$1,[4]characters!$1:$1,0)-MATCH("character_id",[4]characters!$1:$1,0)+1),MATCH(AF$1,[4]characters!$1:$1,0)-MATCH("character_id",[4]characters!$1:$1,0)+1,FALSE)</f>
        <v>4</v>
      </c>
      <c r="AG37" s="4" t="str">
        <f ca="1">VLOOKUP($AD37,OFFSET([4]characters!$A$1,0,0,COUNTA([4]characters!$A:$A),MATCH(AG$1,[4]characters!$1:$1,0)-MATCH("character_id",[4]characters!$1:$1,0)+1),MATCH(AG$1,[4]characters!$1:$1,0)-MATCH("character_id",[4]characters!$1:$1,0)+1,FALSE)</f>
        <v>Drop2N</v>
      </c>
      <c r="AH37" s="108">
        <v>1</v>
      </c>
      <c r="AI37" s="20">
        <f t="shared" ca="1" si="2"/>
        <v>4</v>
      </c>
      <c r="AJ37" s="111">
        <v>80</v>
      </c>
      <c r="AK37" s="108">
        <v>0</v>
      </c>
      <c r="AL37" s="108">
        <v>0</v>
      </c>
      <c r="AM37" s="108">
        <v>0</v>
      </c>
      <c r="AN37" s="108">
        <v>0</v>
      </c>
      <c r="AO37" s="108">
        <v>1</v>
      </c>
      <c r="AP37" s="65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I2" sqref="I2"/>
    </sheetView>
  </sheetViews>
  <sheetFormatPr baseColWidth="12" defaultColWidth="13" defaultRowHeight="21" customHeight="1" outlineLevelCol="1" x14ac:dyDescent="0.15"/>
  <cols>
    <col min="1" max="1" width="17" style="17" bestFit="1" customWidth="1"/>
    <col min="2" max="2" width="10.83203125" style="3" bestFit="1" customWidth="1"/>
    <col min="3" max="3" width="10.6640625" style="3" bestFit="1" customWidth="1"/>
    <col min="4" max="4" width="13" style="12" customWidth="1" outlineLevel="1"/>
    <col min="5" max="5" width="11.6640625" style="3" customWidth="1" outlineLevel="1"/>
    <col min="6" max="6" width="16.1640625" style="3" customWidth="1" outlineLevel="1"/>
    <col min="7" max="7" width="10" style="3" bestFit="1" customWidth="1"/>
    <col min="8" max="8" width="12.33203125" style="3" customWidth="1" outlineLevel="1"/>
    <col min="9" max="9" width="14.83203125" style="3" bestFit="1" customWidth="1" outlineLevel="1"/>
    <col min="10" max="10" width="15.33203125" style="3" bestFit="1" customWidth="1" outlineLevel="1"/>
    <col min="11" max="11" width="12.33203125" style="3" customWidth="1"/>
    <col min="12" max="12" width="11" style="3" bestFit="1" customWidth="1"/>
    <col min="13" max="13" width="13.5" style="8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1" customFormat="1" ht="21" customHeight="1" x14ac:dyDescent="0.15">
      <c r="A1" s="23" t="s">
        <v>29</v>
      </c>
      <c r="B1" s="24" t="s">
        <v>0</v>
      </c>
      <c r="C1" s="24" t="s">
        <v>1</v>
      </c>
      <c r="D1" s="25" t="s">
        <v>28</v>
      </c>
      <c r="E1" s="26" t="s">
        <v>16</v>
      </c>
      <c r="F1" s="26" t="s">
        <v>16</v>
      </c>
      <c r="G1" s="24" t="s">
        <v>19</v>
      </c>
      <c r="H1" s="25" t="s">
        <v>30</v>
      </c>
      <c r="I1" s="25" t="s">
        <v>14</v>
      </c>
      <c r="J1" s="25" t="s">
        <v>15</v>
      </c>
      <c r="K1" s="32" t="s">
        <v>54</v>
      </c>
      <c r="L1" s="32" t="s">
        <v>55</v>
      </c>
      <c r="M1" s="33" t="s">
        <v>2</v>
      </c>
      <c r="N1" s="27" t="s">
        <v>16</v>
      </c>
      <c r="O1" s="25" t="s">
        <v>24</v>
      </c>
      <c r="P1" s="25" t="s">
        <v>23</v>
      </c>
      <c r="Q1" s="28" t="s">
        <v>26</v>
      </c>
      <c r="R1" s="26" t="s">
        <v>25</v>
      </c>
      <c r="S1" s="24" t="s">
        <v>3</v>
      </c>
      <c r="T1" s="22" t="s">
        <v>48</v>
      </c>
      <c r="U1" s="101" t="s">
        <v>257</v>
      </c>
      <c r="V1" s="22" t="s">
        <v>50</v>
      </c>
      <c r="W1" s="101" t="s">
        <v>258</v>
      </c>
      <c r="X1" s="22" t="s">
        <v>52</v>
      </c>
      <c r="Y1" s="24" t="s">
        <v>127</v>
      </c>
      <c r="Z1" s="25" t="s">
        <v>126</v>
      </c>
      <c r="AA1" s="24" t="s">
        <v>8</v>
      </c>
    </row>
    <row r="2" spans="1:27" ht="21" customHeight="1" x14ac:dyDescent="0.15">
      <c r="A2" s="14" t="str">
        <f>B2&amp;"_"&amp;C2&amp;"-"&amp;G2&amp;"/"&amp;M2&amp;"&lt;lv"&amp;S2&amp;"&gt;sq"&amp;K2&amp;"st"&amp;L2</f>
        <v>39007_1-4/8046&lt;lv15&gt;sq1st2</v>
      </c>
      <c r="B2" s="18">
        <v>39007</v>
      </c>
      <c r="C2" s="104">
        <v>1</v>
      </c>
      <c r="D2" s="2" t="str">
        <f>B2&amp;"_"&amp;C2</f>
        <v>39007_1</v>
      </c>
      <c r="E2" s="4" t="str">
        <f ca="1">VLOOKUP($B2,OFFSET([2]quests!$A$1,0,0,COUNTA([2]quests!$A:$A),MATCH(E$1,[2]quests!$1:$1,0)-MATCH($B$1,[2]quests!$1:$1,0)+1),MATCH(E$1,[2]quests!$1:$1,0)-MATCH($B$1,[2]quests!$1:$1,0)+1,FALSE)</f>
        <v>ニムダ（台）</v>
      </c>
      <c r="F2" s="4" t="str">
        <f ca="1">VLOOKUP($D2,OFFSET([2]stages!$A$1,0,0,COUNTA([2]stages!$A:$A),MATCH(F$1,[2]stages!$2:$2,0)-MATCH($D$1,[2]stages!$2:$2,0)+1),MATCH(F$1,[2]stages!$2:$2,0)-MATCH($D$1,[2]stages!$2:$2,0)+1,FALSE)</f>
        <v>【初級】ニムダ（台）</v>
      </c>
      <c r="G2" s="104">
        <v>4</v>
      </c>
      <c r="H2" s="13" t="str">
        <f>B2&amp;"_"&amp;C2&amp;"-"&amp;G2</f>
        <v>39007_1-4</v>
      </c>
      <c r="I2" s="4" t="e">
        <f ca="1">VLOOKUP($H2,OFFSET(floors!$A$1,0,0,COUNTA(floors!$A:$A),MATCH(I$1,floors!$1:$1,0)-MATCH($H$1,floors!$1:$1,0)+1),MATCH(I$1,floors!$1:$1,0)-MATCH($H$1,floors!$1:$1,0)+1,FALSE)</f>
        <v>#N/A</v>
      </c>
      <c r="J2" s="4" t="e">
        <f ca="1">VLOOKUP($H2,OFFSET(floors!$A$1,0,0,COUNTA(floors!$A:$A),MATCH(J$1,floors!$1:$1,0)-MATCH($H$1,floors!$1:$1,0)+1),MATCH(J$1,floors!$1:$1,0)-MATCH($H$1,floors!$1:$1,0)+1,FALSE)</f>
        <v>#N/A</v>
      </c>
      <c r="K2" s="34">
        <v>1</v>
      </c>
      <c r="L2" s="34">
        <v>2</v>
      </c>
      <c r="M2" s="112">
        <v>8046</v>
      </c>
      <c r="N2" s="15" t="str">
        <f ca="1">VLOOKUP($M2,OFFSET([3]enemies!$A$1,0,0,COUNTA([3]enemies!$A:$A),MATCH(N$1,[3]enemies!$1:$1,0)-MATCH($M$1,[3]enemies!$1:$1,0)+1),MATCH(N$1,[3]enemies!$1:$1,0)-MATCH($M$1,[3]enemies!$1:$1,0)+1,FALSE)</f>
        <v>ニムダ_サンリオキャラ混じり</v>
      </c>
      <c r="O2" s="15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5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5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5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15</v>
      </c>
      <c r="T2" s="21">
        <v>1</v>
      </c>
      <c r="U2" s="102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0</v>
      </c>
      <c r="V2" s="21">
        <v>1</v>
      </c>
      <c r="W2" s="102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0</v>
      </c>
      <c r="X2" s="5">
        <v>0</v>
      </c>
      <c r="Y2" s="4" t="str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なし</v>
      </c>
      <c r="Z2" s="4">
        <f ca="1">VLOOKUP($M2,OFFSET([3]enemies!$A$1,0,0,COUNTA([3]enemies!$A:$A),MATCH(Z$1,[3]enemies!$1:$1,0)-MATCH($M$1,[3]enemies!$1:$1,0)+1),MATCH(Z$1,[3]enemies!$1:$1,0)-MATCH($M$1,[3]enemies!$1:$1,0)+1,FALSE)</f>
        <v>0</v>
      </c>
      <c r="AA2" s="66">
        <f ca="1">VLOOKUP($M2,OFFSET([3]enemies!$A$1,0,0,COUNTA([3]enemies!$A:$A),MATCH(AA$1,[3]enemies!$1:$1,0)-MATCH($M$1,[3]enemies!$1:$1,0)+1),MATCH(AA$1,[3]enemies!$1:$1,0)-MATCH($M$1,[3]enemies!$1:$1,0)+1,FALSE)</f>
        <v>3</v>
      </c>
    </row>
    <row r="3" spans="1:27" ht="21" customHeight="1" x14ac:dyDescent="0.15">
      <c r="A3" s="14" t="str">
        <f t="shared" ref="A3:A5" si="0">B3&amp;"_"&amp;C3&amp;"-"&amp;G3&amp;"/"&amp;M3&amp;"&lt;lv"&amp;S3&amp;"&gt;sq"&amp;K3&amp;"st"&amp;L3</f>
        <v>39007_2-4/8046&lt;lv25&gt;sq2st2</v>
      </c>
      <c r="B3" s="18">
        <v>39007</v>
      </c>
      <c r="C3" s="104">
        <v>2</v>
      </c>
      <c r="D3" s="2" t="str">
        <f t="shared" ref="D3:D5" si="1">B3&amp;"_"&amp;C3</f>
        <v>39007_2</v>
      </c>
      <c r="E3" s="4" t="str">
        <f ca="1">VLOOKUP($B3,OFFSET([2]quests!$A$1,0,0,COUNTA([2]quests!$A:$A),MATCH(E$1,[2]quests!$1:$1,0)-MATCH($B$1,[2]quests!$1:$1,0)+1),MATCH(E$1,[2]quests!$1:$1,0)-MATCH($B$1,[2]quests!$1:$1,0)+1,FALSE)</f>
        <v>ニムダ（台）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【中級】ニムダ（台）</v>
      </c>
      <c r="G3" s="104">
        <v>4</v>
      </c>
      <c r="H3" s="13" t="str">
        <f t="shared" ref="H3:H5" si="2">B3&amp;"_"&amp;C3&amp;"-"&amp;G3</f>
        <v>39007_2-4</v>
      </c>
      <c r="I3" s="4" t="e">
        <f ca="1">VLOOKUP($H3,OFFSET(floors!$A$1,0,0,COUNTA(floors!$A:$A),MATCH(I$1,floors!$1:$1,0)-MATCH($H$1,floors!$1:$1,0)+1),MATCH(I$1,floors!$1:$1,0)-MATCH($H$1,floors!$1:$1,0)+1,FALSE)</f>
        <v>#N/A</v>
      </c>
      <c r="J3" s="4" t="e">
        <f ca="1">VLOOKUP($H3,OFFSET(floors!$A$1,0,0,COUNTA(floors!$A:$A),MATCH(J$1,floors!$1:$1,0)-MATCH($H$1,floors!$1:$1,0)+1),MATCH(J$1,floors!$1:$1,0)-MATCH($H$1,floors!$1:$1,0)+1,FALSE)</f>
        <v>#N/A</v>
      </c>
      <c r="K3" s="34">
        <v>2</v>
      </c>
      <c r="L3" s="34">
        <v>2</v>
      </c>
      <c r="M3" s="112">
        <v>8046</v>
      </c>
      <c r="N3" s="15" t="str">
        <f ca="1">VLOOKUP($M3,OFFSET([3]enemies!$A$1,0,0,COUNTA([3]enemies!$A:$A),MATCH(N$1,[3]enemies!$1:$1,0)-MATCH($M$1,[3]enemies!$1:$1,0)+1),MATCH(N$1,[3]enemies!$1:$1,0)-MATCH($M$1,[3]enemies!$1:$1,0)+1,FALSE)</f>
        <v>ニムダ_サンリオキャラ混じり</v>
      </c>
      <c r="O3" s="15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5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5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5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25</v>
      </c>
      <c r="T3" s="21">
        <v>1</v>
      </c>
      <c r="U3" s="102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0</v>
      </c>
      <c r="V3" s="21">
        <v>1</v>
      </c>
      <c r="W3" s="102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0</v>
      </c>
      <c r="X3" s="5">
        <v>0</v>
      </c>
      <c r="Y3" s="4" t="str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なし</v>
      </c>
      <c r="Z3" s="4">
        <f ca="1">VLOOKUP($M3,OFFSET([3]enemies!$A$1,0,0,COUNTA([3]enemies!$A:$A),MATCH(Z$1,[3]enemies!$1:$1,0)-MATCH($M$1,[3]enemies!$1:$1,0)+1),MATCH(Z$1,[3]enemies!$1:$1,0)-MATCH($M$1,[3]enemies!$1:$1,0)+1,FALSE)</f>
        <v>0</v>
      </c>
      <c r="AA3" s="66">
        <f ca="1">VLOOKUP($M3,OFFSET([3]enemies!$A$1,0,0,COUNTA([3]enemies!$A:$A),MATCH(AA$1,[3]enemies!$1:$1,0)-MATCH($M$1,[3]enemies!$1:$1,0)+1),MATCH(AA$1,[3]enemies!$1:$1,0)-MATCH($M$1,[3]enemies!$1:$1,0)+1,FALSE)</f>
        <v>3</v>
      </c>
    </row>
    <row r="4" spans="1:27" ht="21" customHeight="1" x14ac:dyDescent="0.15">
      <c r="A4" s="14" t="str">
        <f t="shared" si="0"/>
        <v>39007_3-4/8046&lt;lv35&gt;sq3st2</v>
      </c>
      <c r="B4" s="18">
        <v>39007</v>
      </c>
      <c r="C4" s="104">
        <v>3</v>
      </c>
      <c r="D4" s="2" t="str">
        <f t="shared" si="1"/>
        <v>39007_3</v>
      </c>
      <c r="E4" s="4" t="str">
        <f ca="1">VLOOKUP($B4,OFFSET([2]quests!$A$1,0,0,COUNTA([2]quests!$A:$A),MATCH(E$1,[2]quests!$1:$1,0)-MATCH($B$1,[2]quests!$1:$1,0)+1),MATCH(E$1,[2]quests!$1:$1,0)-MATCH($B$1,[2]quests!$1:$1,0)+1,FALSE)</f>
        <v>ニムダ（台）</v>
      </c>
      <c r="F4" s="4" t="str">
        <f ca="1">VLOOKUP($D4,OFFSET([2]stages!$A$1,0,0,COUNTA([2]stages!$A:$A),MATCH(F$1,[2]stages!$2:$2,0)-MATCH($D$1,[2]stages!$2:$2,0)+1),MATCH(F$1,[2]stages!$2:$2,0)-MATCH($D$1,[2]stages!$2:$2,0)+1,FALSE)</f>
        <v>【上級】ニムダ（台）</v>
      </c>
      <c r="G4" s="104">
        <v>4</v>
      </c>
      <c r="H4" s="13" t="str">
        <f t="shared" si="2"/>
        <v>39007_3-4</v>
      </c>
      <c r="I4" s="4" t="e">
        <f ca="1">VLOOKUP($H4,OFFSET(floors!$A$1,0,0,COUNTA(floors!$A:$A),MATCH(I$1,floors!$1:$1,0)-MATCH($H$1,floors!$1:$1,0)+1),MATCH(I$1,floors!$1:$1,0)-MATCH($H$1,floors!$1:$1,0)+1,FALSE)</f>
        <v>#N/A</v>
      </c>
      <c r="J4" s="4" t="e">
        <f ca="1">VLOOKUP($H4,OFFSET(floors!$A$1,0,0,COUNTA(floors!$A:$A),MATCH(J$1,floors!$1:$1,0)-MATCH($H$1,floors!$1:$1,0)+1),MATCH(J$1,floors!$1:$1,0)-MATCH($H$1,floors!$1:$1,0)+1,FALSE)</f>
        <v>#N/A</v>
      </c>
      <c r="K4" s="34">
        <v>3</v>
      </c>
      <c r="L4" s="34">
        <v>2</v>
      </c>
      <c r="M4" s="112">
        <v>8046</v>
      </c>
      <c r="N4" s="15" t="str">
        <f ca="1">VLOOKUP($M4,OFFSET([3]enemies!$A$1,0,0,COUNTA([3]enemies!$A:$A),MATCH(N$1,[3]enemies!$1:$1,0)-MATCH($M$1,[3]enemies!$1:$1,0)+1),MATCH(N$1,[3]enemies!$1:$1,0)-MATCH($M$1,[3]enemies!$1:$1,0)+1,FALSE)</f>
        <v>ニムダ_サンリオキャラ混じり</v>
      </c>
      <c r="O4" s="15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5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5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5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35</v>
      </c>
      <c r="T4" s="21">
        <v>1</v>
      </c>
      <c r="U4" s="102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0</v>
      </c>
      <c r="V4" s="21">
        <v>1</v>
      </c>
      <c r="W4" s="102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0</v>
      </c>
      <c r="X4" s="5">
        <v>0</v>
      </c>
      <c r="Y4" s="4" t="str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なし</v>
      </c>
      <c r="Z4" s="4">
        <f ca="1">VLOOKUP($M4,OFFSET([3]enemies!$A$1,0,0,COUNTA([3]enemies!$A:$A),MATCH(Z$1,[3]enemies!$1:$1,0)-MATCH($M$1,[3]enemies!$1:$1,0)+1),MATCH(Z$1,[3]enemies!$1:$1,0)-MATCH($M$1,[3]enemies!$1:$1,0)+1,FALSE)</f>
        <v>0</v>
      </c>
      <c r="AA4" s="66">
        <f ca="1">VLOOKUP($M4,OFFSET([3]enemies!$A$1,0,0,COUNTA([3]enemies!$A:$A),MATCH(AA$1,[3]enemies!$1:$1,0)-MATCH($M$1,[3]enemies!$1:$1,0)+1),MATCH(AA$1,[3]enemies!$1:$1,0)-MATCH($M$1,[3]enemies!$1:$1,0)+1,FALSE)</f>
        <v>3</v>
      </c>
    </row>
    <row r="5" spans="1:27" ht="21" customHeight="1" x14ac:dyDescent="0.15">
      <c r="A5" s="14" t="str">
        <f t="shared" si="0"/>
        <v>39007_4-4/8046&lt;lv45&gt;sq4st2</v>
      </c>
      <c r="B5" s="18">
        <v>39007</v>
      </c>
      <c r="C5" s="104">
        <v>4</v>
      </c>
      <c r="D5" s="2" t="str">
        <f t="shared" si="1"/>
        <v>39007_4</v>
      </c>
      <c r="E5" s="4" t="str">
        <f ca="1">VLOOKUP($B5,OFFSET([2]quests!$A$1,0,0,COUNTA([2]quests!$A:$A),MATCH(E$1,[2]quests!$1:$1,0)-MATCH($B$1,[2]quests!$1:$1,0)+1),MATCH(E$1,[2]quests!$1:$1,0)-MATCH($B$1,[2]quests!$1:$1,0)+1,FALSE)</f>
        <v>ニムダ（台）</v>
      </c>
      <c r="F5" s="4" t="str">
        <f ca="1">VLOOKUP($D5,OFFSET([2]stages!$A$1,0,0,COUNTA([2]stages!$A:$A),MATCH(F$1,[2]stages!$2:$2,0)-MATCH($D$1,[2]stages!$2:$2,0)+1),MATCH(F$1,[2]stages!$2:$2,0)-MATCH($D$1,[2]stages!$2:$2,0)+1,FALSE)</f>
        <v>【超級】ニムダ（台）</v>
      </c>
      <c r="G5" s="104">
        <v>4</v>
      </c>
      <c r="H5" s="13" t="str">
        <f t="shared" si="2"/>
        <v>39007_4-4</v>
      </c>
      <c r="I5" s="4" t="e">
        <f ca="1">VLOOKUP($H5,OFFSET(floors!$A$1,0,0,COUNTA(floors!$A:$A),MATCH(I$1,floors!$1:$1,0)-MATCH($H$1,floors!$1:$1,0)+1),MATCH(I$1,floors!$1:$1,0)-MATCH($H$1,floors!$1:$1,0)+1,FALSE)</f>
        <v>#N/A</v>
      </c>
      <c r="J5" s="4" t="e">
        <f ca="1">VLOOKUP($H5,OFFSET(floors!$A$1,0,0,COUNTA(floors!$A:$A),MATCH(J$1,floors!$1:$1,0)-MATCH($H$1,floors!$1:$1,0)+1),MATCH(J$1,floors!$1:$1,0)-MATCH($H$1,floors!$1:$1,0)+1,FALSE)</f>
        <v>#N/A</v>
      </c>
      <c r="K5" s="34">
        <v>4</v>
      </c>
      <c r="L5" s="34">
        <v>2</v>
      </c>
      <c r="M5" s="112">
        <v>8046</v>
      </c>
      <c r="N5" s="15" t="str">
        <f ca="1">VLOOKUP($M5,OFFSET([3]enemies!$A$1,0,0,COUNTA([3]enemies!$A:$A),MATCH(N$1,[3]enemies!$1:$1,0)-MATCH($M$1,[3]enemies!$1:$1,0)+1),MATCH(N$1,[3]enemies!$1:$1,0)-MATCH($M$1,[3]enemies!$1:$1,0)+1,FALSE)</f>
        <v>ニムダ_サンリオキャラ混じり</v>
      </c>
      <c r="O5" s="15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5" t="str">
        <f ca="1">VLOOKUP($M5,OFFSET([4]characters!$A$1,0,0,COUNTA([4]characters!$A:$A),MATCH(P$1,[4]characters!$1:$1,0)-MATCH($M$1,[4]characters!$1:$1,0)+1),MATCH(P$1,[4]characters!$1:$1,0)-MATCH($M$1,[4]characters!$1:$1,0)+1,FALSE)</f>
        <v>Drop2N</v>
      </c>
      <c r="Q5" s="15" t="str">
        <f ca="1">VLOOKUP($M5,OFFSET([3]enemies!$A$1,0,0,COUNTA([3]enemies!$A:$A),MATCH(Q$1,[3]enemies!$1:$1,0)-MATCH($M$1,[3]enemies!$1:$1,0)+1),MATCH(Q$1,[3]enemies!$1:$1,0)-MATCH($M$1,[3]enemies!$1:$1,0)+1,FALSE)</f>
        <v>unknown</v>
      </c>
      <c r="R5" s="15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45</v>
      </c>
      <c r="T5" s="21">
        <v>1</v>
      </c>
      <c r="U5" s="102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0</v>
      </c>
      <c r="V5" s="21">
        <v>1</v>
      </c>
      <c r="W5" s="102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0</v>
      </c>
      <c r="X5" s="5">
        <v>0</v>
      </c>
      <c r="Y5" s="4" t="str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なし</v>
      </c>
      <c r="Z5" s="4">
        <f ca="1">VLOOKUP($M5,OFFSET([3]enemies!$A$1,0,0,COUNTA([3]enemies!$A:$A),MATCH(Z$1,[3]enemies!$1:$1,0)-MATCH($M$1,[3]enemies!$1:$1,0)+1),MATCH(Z$1,[3]enemies!$1:$1,0)-MATCH($M$1,[3]enemies!$1:$1,0)+1,FALSE)</f>
        <v>0</v>
      </c>
      <c r="AA5" s="66">
        <f ca="1">VLOOKUP($M5,OFFSET([3]enemies!$A$1,0,0,COUNTA([3]enemies!$A:$A),MATCH(AA$1,[3]enemies!$1:$1,0)-MATCH($M$1,[3]enemies!$1:$1,0)+1),MATCH(AA$1,[3]enemies!$1:$1,0)-MATCH($M$1,[3]enemies!$1:$1,0)+1,FALSE)</f>
        <v>3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7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C5" sqref="C5"/>
    </sheetView>
  </sheetViews>
  <sheetFormatPr baseColWidth="12" defaultColWidth="12.83203125" defaultRowHeight="21" customHeight="1" outlineLevelCol="1" x14ac:dyDescent="0.15"/>
  <cols>
    <col min="1" max="1" width="11.33203125" style="35" bestFit="1" customWidth="1"/>
    <col min="2" max="2" width="9.5" style="45" bestFit="1" customWidth="1"/>
    <col min="3" max="3" width="9.6640625" style="45" customWidth="1"/>
    <col min="4" max="4" width="18.5" style="45" customWidth="1" outlineLevel="1"/>
    <col min="5" max="5" width="44.1640625" style="45" bestFit="1" customWidth="1" outlineLevel="1"/>
    <col min="6" max="6" width="10.83203125" style="45" bestFit="1" customWidth="1"/>
    <col min="7" max="7" width="8.33203125" style="45" bestFit="1" customWidth="1" outlineLevel="1"/>
    <col min="8" max="9" width="12.83203125" style="45" outlineLevel="1"/>
    <col min="10" max="10" width="17.6640625" style="45" bestFit="1" customWidth="1" outlineLevel="1"/>
    <col min="11" max="15" width="12.83203125" style="45" outlineLevel="1"/>
    <col min="16" max="16" width="8.33203125" style="41" bestFit="1" customWidth="1"/>
    <col min="17" max="17" width="9.6640625" style="41" customWidth="1"/>
    <col min="18" max="18" width="56.5" style="41" bestFit="1" customWidth="1"/>
    <col min="19" max="16384" width="12.83203125" style="41"/>
  </cols>
  <sheetData>
    <row r="1" spans="1:18" ht="21" customHeight="1" x14ac:dyDescent="0.15">
      <c r="A1" s="35" t="s">
        <v>60</v>
      </c>
      <c r="B1" s="36" t="s">
        <v>61</v>
      </c>
      <c r="C1" s="36" t="s">
        <v>62</v>
      </c>
      <c r="D1" s="37" t="s">
        <v>63</v>
      </c>
      <c r="E1" s="37" t="s">
        <v>64</v>
      </c>
      <c r="F1" s="38" t="s">
        <v>65</v>
      </c>
      <c r="G1" s="39" t="s">
        <v>66</v>
      </c>
      <c r="H1" s="39" t="s">
        <v>68</v>
      </c>
      <c r="I1" s="39" t="s">
        <v>69</v>
      </c>
      <c r="J1" s="39" t="s">
        <v>70</v>
      </c>
      <c r="K1" s="40" t="s">
        <v>71</v>
      </c>
      <c r="L1" s="40" t="s">
        <v>72</v>
      </c>
      <c r="M1" s="39" t="s">
        <v>73</v>
      </c>
      <c r="N1" s="39" t="s">
        <v>74</v>
      </c>
      <c r="O1" s="39" t="s">
        <v>75</v>
      </c>
      <c r="P1" s="37" t="s">
        <v>76</v>
      </c>
      <c r="Q1" s="37" t="s">
        <v>77</v>
      </c>
      <c r="R1" s="37" t="s">
        <v>78</v>
      </c>
    </row>
    <row r="2" spans="1:18" ht="21" customHeight="1" x14ac:dyDescent="0.15">
      <c r="A2" s="35" t="str">
        <f t="shared" ref="A2:A57" si="0">B2&amp;"_"&amp;C2</f>
        <v>39007001_39007001</v>
      </c>
      <c r="B2" s="43">
        <v>39007001</v>
      </c>
      <c r="C2" s="43">
        <v>39007001</v>
      </c>
      <c r="D2" s="42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トモダチ見つかるかなぁ</v>
      </c>
      <c r="E2" s="42" t="str">
        <f ca="1">VLOOKUP($C2,OFFSET(enemy_skills!$A$1,0,0,COUNTA(enemy_skills!$A:$A),MATCH(E$1,enemy_skills!$1:$1,0)-MATCH("enemy_skill_id",enemy_skills!$1:$1,0)+1),MATCH(E$1,enemy_skills!$1:$1,0)-MATCH("enemy_skill_id",enemy_skills!$1:$1,0)+1,FALSE)</f>
        <v>一定確率で1ターンスキルが使えない！</v>
      </c>
      <c r="F2" s="43">
        <v>39007001</v>
      </c>
      <c r="G2" s="44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4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4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" s="44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" s="44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4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4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4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4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" s="43" t="s">
        <v>305</v>
      </c>
      <c r="Q2" s="113">
        <v>42597</v>
      </c>
      <c r="R2" s="43" t="s">
        <v>260</v>
      </c>
    </row>
    <row r="3" spans="1:18" ht="21" customHeight="1" x14ac:dyDescent="0.15">
      <c r="A3" s="35" t="str">
        <f t="shared" si="0"/>
        <v>39007002_39007002</v>
      </c>
      <c r="B3" s="43">
        <v>39007002</v>
      </c>
      <c r="C3" s="43">
        <v>39007002</v>
      </c>
      <c r="D3" s="42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フレンドサーチ</v>
      </c>
      <c r="E3" s="42" t="str">
        <f ca="1">VLOOKUP($C3,OFFSET(enemy_skills!$A$1,0,0,COUNTA(enemy_skills!$A:$A),MATCH(E$1,enemy_skills!$1:$1,0)-MATCH("enemy_skill_id",enemy_skills!$1:$1,0)+1),MATCH(E$1,enemy_skills!$1:$1,0)-MATCH("enemy_skill_id",enemy_skills!$1:$1,0)+1,FALSE)</f>
        <v>3ターン攻撃頻度が1ターンにUP</v>
      </c>
      <c r="F3" s="43">
        <v>39007002</v>
      </c>
      <c r="G3" s="44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4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4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4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" s="44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4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4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4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4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3" t="s">
        <v>305</v>
      </c>
      <c r="Q3" s="113">
        <v>42597</v>
      </c>
      <c r="R3" s="43" t="s">
        <v>261</v>
      </c>
    </row>
    <row r="4" spans="1:18" ht="21" customHeight="1" x14ac:dyDescent="0.15">
      <c r="A4" s="35" t="str">
        <f t="shared" si="0"/>
        <v>39007003_39007003</v>
      </c>
      <c r="B4" s="43">
        <v>39007003</v>
      </c>
      <c r="C4" s="43">
        <v>39007003</v>
      </c>
      <c r="D4" s="42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ぬいぐるみさんと遊びたーい</v>
      </c>
      <c r="E4" s="42" t="str">
        <f ca="1">VLOOKUP($C4,OFFSET(enemy_skills!$A$1,0,0,COUNTA(enemy_skills!$A:$A),MATCH(E$1,enemy_skills!$1:$1,0)-MATCH("enemy_skill_id",enemy_skills!$1:$1,0)+1),MATCH(E$1,enemy_skills!$1:$1,0)-MATCH("enemy_skill_id",enemy_skills!$1:$1,0)+1,FALSE)</f>
        <v>おねだりしている</v>
      </c>
      <c r="F4" s="43">
        <v>39007003</v>
      </c>
      <c r="G4" s="44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4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" s="44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4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" s="44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4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4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44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4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3" t="s">
        <v>305</v>
      </c>
      <c r="Q4" s="113">
        <v>42597</v>
      </c>
      <c r="R4" s="43" t="s">
        <v>262</v>
      </c>
    </row>
    <row r="5" spans="1:18" ht="21" customHeight="1" x14ac:dyDescent="0.15">
      <c r="A5" s="35" t="str">
        <f t="shared" si="0"/>
        <v>39007003_39007004</v>
      </c>
      <c r="B5" s="43">
        <v>39007003</v>
      </c>
      <c r="C5" s="43">
        <v>39007004</v>
      </c>
      <c r="D5" s="42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5" s="42" t="str">
        <f ca="1">VLOOKUP($C5,OFFSET(enemy_skills!$A$1,0,0,COUNTA(enemy_skills!$A:$A),MATCH(E$1,enemy_skills!$1:$1,0)-MATCH("enemy_skill_id",enemy_skills!$1:$1,0)+1),MATCH(E$1,enemy_skills!$1:$1,0)-MATCH("enemy_skill_id",enemy_skills!$1:$1,0)+1,FALSE)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5" s="43">
        <v>39007004</v>
      </c>
      <c r="G5" s="44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4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4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4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" s="44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4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4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4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8043</v>
      </c>
      <c r="O5" s="44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3" t="s">
        <v>305</v>
      </c>
      <c r="Q5" s="113">
        <v>42597</v>
      </c>
      <c r="R5" s="43" t="s">
        <v>263</v>
      </c>
    </row>
    <row r="6" spans="1:18" ht="21" customHeight="1" x14ac:dyDescent="0.15">
      <c r="A6" s="35" t="str">
        <f t="shared" si="0"/>
        <v>39007003_39007004</v>
      </c>
      <c r="B6" s="43">
        <v>39007003</v>
      </c>
      <c r="C6" s="43">
        <v>39007004</v>
      </c>
      <c r="D6" s="42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6" s="42" t="str">
        <f ca="1">VLOOKUP($C6,OFFSET(enemy_skills!$A$1,0,0,COUNTA(enemy_skills!$A:$A),MATCH(E$1,enemy_skills!$1:$1,0)-MATCH("enemy_skill_id",enemy_skills!$1:$1,0)+1),MATCH(E$1,enemy_skills!$1:$1,0)-MATCH("enemy_skill_id",enemy_skills!$1:$1,0)+1,FALSE)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6" s="43">
        <v>39007005</v>
      </c>
      <c r="G6" s="44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4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" s="44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4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" s="44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4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4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4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8044</v>
      </c>
      <c r="O6" s="44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3" t="s">
        <v>305</v>
      </c>
      <c r="Q6" s="113">
        <v>42597</v>
      </c>
      <c r="R6" s="43" t="s">
        <v>264</v>
      </c>
    </row>
    <row r="7" spans="1:18" ht="21" customHeight="1" x14ac:dyDescent="0.15">
      <c r="A7" s="35" t="str">
        <f t="shared" si="0"/>
        <v>39007003_39007004</v>
      </c>
      <c r="B7" s="43">
        <v>39007003</v>
      </c>
      <c r="C7" s="43">
        <v>39007004</v>
      </c>
      <c r="D7" s="42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7" s="42" t="str">
        <f ca="1">VLOOKUP($C7,OFFSET(enemy_skills!$A$1,0,0,COUNTA(enemy_skills!$A:$A),MATCH(E$1,enemy_skills!$1:$1,0)-MATCH("enemy_skill_id",enemy_skills!$1:$1,0)+1),MATCH(E$1,enemy_skills!$1:$1,0)-MATCH("enemy_skill_id",enemy_skills!$1:$1,0)+1,FALSE)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7" s="43">
        <v>39007006</v>
      </c>
      <c r="G7" s="44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4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" s="44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4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7" s="44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4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4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4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8045</v>
      </c>
      <c r="O7" s="44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3" t="s">
        <v>305</v>
      </c>
      <c r="Q7" s="113">
        <v>42597</v>
      </c>
      <c r="R7" s="43" t="s">
        <v>265</v>
      </c>
    </row>
    <row r="8" spans="1:18" ht="21" customHeight="1" x14ac:dyDescent="0.15">
      <c r="A8" s="35" t="str">
        <f t="shared" si="0"/>
        <v>39007003_39007004</v>
      </c>
      <c r="B8" s="43">
        <v>39007003</v>
      </c>
      <c r="C8" s="43">
        <v>39007004</v>
      </c>
      <c r="D8" s="42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8" s="42" t="str">
        <f ca="1">VLOOKUP($C8,OFFSET(enemy_skills!$A$1,0,0,COUNTA(enemy_skills!$A:$A),MATCH(E$1,enemy_skills!$1:$1,0)-MATCH("enemy_skill_id",enemy_skills!$1:$1,0)+1),MATCH(E$1,enemy_skills!$1:$1,0)-MATCH("enemy_skill_id",enemy_skills!$1:$1,0)+1,FALSE)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8" s="43">
        <v>39007007</v>
      </c>
      <c r="G8" s="44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4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4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4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8" s="44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4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4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4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8046</v>
      </c>
      <c r="O8" s="44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3" t="s">
        <v>305</v>
      </c>
      <c r="Q8" s="113">
        <v>42597</v>
      </c>
      <c r="R8" s="43" t="s">
        <v>266</v>
      </c>
    </row>
    <row r="9" spans="1:18" ht="21" customHeight="1" x14ac:dyDescent="0.15">
      <c r="A9" s="35" t="str">
        <f t="shared" si="0"/>
        <v>39007003_39007004</v>
      </c>
      <c r="B9" s="43">
        <v>39007003</v>
      </c>
      <c r="C9" s="43">
        <v>39007004</v>
      </c>
      <c r="D9" s="42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9" s="42" t="str">
        <f ca="1">VLOOKUP($C9,OFFSET(enemy_skills!$A$1,0,0,COUNTA(enemy_skills!$A:$A),MATCH(E$1,enemy_skills!$1:$1,0)-MATCH("enemy_skill_id",enemy_skills!$1:$1,0)+1),MATCH(E$1,enemy_skills!$1:$1,0)-MATCH("enemy_skill_id",enemy_skills!$1:$1,0)+1,FALSE)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9" s="43">
        <v>39007008</v>
      </c>
      <c r="G9" s="44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4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" s="44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4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9" s="44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4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4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4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8047</v>
      </c>
      <c r="O9" s="44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3" t="s">
        <v>305</v>
      </c>
      <c r="Q9" s="113">
        <v>42597</v>
      </c>
      <c r="R9" s="43" t="s">
        <v>267</v>
      </c>
    </row>
    <row r="10" spans="1:18" ht="21" customHeight="1" x14ac:dyDescent="0.15">
      <c r="A10" s="35" t="str">
        <f t="shared" si="0"/>
        <v>39007003_39007004</v>
      </c>
      <c r="B10" s="43">
        <v>39007003</v>
      </c>
      <c r="C10" s="43">
        <v>39007004</v>
      </c>
      <c r="D10" s="42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10" s="42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10" s="43">
        <v>39007009</v>
      </c>
      <c r="G10" s="44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4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" s="44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4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0" s="44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4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4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4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8048</v>
      </c>
      <c r="O10" s="44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3" t="s">
        <v>305</v>
      </c>
      <c r="Q10" s="113">
        <v>42597</v>
      </c>
      <c r="R10" s="43" t="s">
        <v>268</v>
      </c>
    </row>
    <row r="11" spans="1:18" ht="21" customHeight="1" x14ac:dyDescent="0.15">
      <c r="A11" s="35" t="str">
        <f t="shared" si="0"/>
        <v>39007003_39007004</v>
      </c>
      <c r="B11" s="43">
        <v>39007003</v>
      </c>
      <c r="C11" s="43">
        <v>39007004</v>
      </c>
      <c r="D11" s="42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11" s="42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11" s="43">
        <v>39007010</v>
      </c>
      <c r="G11" s="44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4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44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4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1" s="44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4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4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4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8049</v>
      </c>
      <c r="O11" s="44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3" t="s">
        <v>305</v>
      </c>
      <c r="Q11" s="113">
        <v>42597</v>
      </c>
      <c r="R11" s="43" t="s">
        <v>269</v>
      </c>
    </row>
    <row r="12" spans="1:18" ht="21" customHeight="1" x14ac:dyDescent="0.15">
      <c r="A12" s="35" t="str">
        <f t="shared" si="0"/>
        <v>39007003_39007004</v>
      </c>
      <c r="B12" s="43">
        <v>39007003</v>
      </c>
      <c r="C12" s="43">
        <v>39007004</v>
      </c>
      <c r="D12" s="42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12" s="42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12" s="43">
        <v>39007011</v>
      </c>
      <c r="G12" s="44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4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" s="44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4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2" s="44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4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4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44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8050</v>
      </c>
      <c r="O12" s="44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3" t="s">
        <v>305</v>
      </c>
      <c r="Q12" s="113">
        <v>42597</v>
      </c>
      <c r="R12" s="43" t="s">
        <v>270</v>
      </c>
    </row>
    <row r="13" spans="1:18" ht="21" customHeight="1" x14ac:dyDescent="0.15">
      <c r="A13" s="35" t="str">
        <f t="shared" si="0"/>
        <v>39007003_39007004</v>
      </c>
      <c r="B13" s="43">
        <v>39007003</v>
      </c>
      <c r="C13" s="43">
        <v>39007004</v>
      </c>
      <c r="D13" s="42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13" s="42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13" s="43">
        <v>39007012</v>
      </c>
      <c r="G13" s="44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4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4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4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3" s="44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4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4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4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8053</v>
      </c>
      <c r="O13" s="44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3" t="s">
        <v>305</v>
      </c>
      <c r="Q13" s="113">
        <v>42597</v>
      </c>
      <c r="R13" s="43" t="s">
        <v>271</v>
      </c>
    </row>
    <row r="14" spans="1:18" ht="21" customHeight="1" x14ac:dyDescent="0.15">
      <c r="A14" s="35" t="str">
        <f t="shared" si="0"/>
        <v>39007003_39007004</v>
      </c>
      <c r="B14" s="43">
        <v>39007003</v>
      </c>
      <c r="C14" s="43">
        <v>39007004</v>
      </c>
      <c r="D14" s="42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14" s="42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14" s="43">
        <v>39007013</v>
      </c>
      <c r="G14" s="44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4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" s="44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4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4" s="44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4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4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44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8054</v>
      </c>
      <c r="O14" s="44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3" t="s">
        <v>305</v>
      </c>
      <c r="Q14" s="113">
        <v>42597</v>
      </c>
      <c r="R14" s="43" t="s">
        <v>272</v>
      </c>
    </row>
    <row r="15" spans="1:18" ht="21" customHeight="1" x14ac:dyDescent="0.15">
      <c r="A15" s="35" t="str">
        <f t="shared" si="0"/>
        <v>39007003_39007004</v>
      </c>
      <c r="B15" s="43">
        <v>39007003</v>
      </c>
      <c r="C15" s="43">
        <v>39007004</v>
      </c>
      <c r="D15" s="42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15" s="42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15" s="43">
        <v>39007014</v>
      </c>
      <c r="G15" s="44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4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5" s="44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4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5" s="44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4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4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4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8055</v>
      </c>
      <c r="O15" s="44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3" t="s">
        <v>305</v>
      </c>
      <c r="Q15" s="113">
        <v>42597</v>
      </c>
      <c r="R15" s="43" t="s">
        <v>273</v>
      </c>
    </row>
    <row r="16" spans="1:18" ht="21" customHeight="1" x14ac:dyDescent="0.15">
      <c r="A16" s="35" t="str">
        <f t="shared" si="0"/>
        <v>39007003_39007004</v>
      </c>
      <c r="B16" s="43">
        <v>39007003</v>
      </c>
      <c r="C16" s="43">
        <v>39007004</v>
      </c>
      <c r="D16" s="42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16" s="42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16" s="43">
        <v>39007015</v>
      </c>
      <c r="G16" s="44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4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6" s="44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4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6" s="44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4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4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4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8056</v>
      </c>
      <c r="O16" s="44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3" t="s">
        <v>305</v>
      </c>
      <c r="Q16" s="113">
        <v>42597</v>
      </c>
      <c r="R16" s="43" t="s">
        <v>274</v>
      </c>
    </row>
    <row r="17" spans="1:18" ht="21" customHeight="1" x14ac:dyDescent="0.15">
      <c r="A17" s="35" t="str">
        <f t="shared" si="0"/>
        <v>39007003_39007004</v>
      </c>
      <c r="B17" s="43">
        <v>39007003</v>
      </c>
      <c r="C17" s="43">
        <v>39007004</v>
      </c>
      <c r="D17" s="42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17" s="42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17" s="43">
        <v>39007016</v>
      </c>
      <c r="G17" s="44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4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44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4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7" s="44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4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4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4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8057</v>
      </c>
      <c r="O17" s="44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3" t="s">
        <v>305</v>
      </c>
      <c r="Q17" s="113">
        <v>42597</v>
      </c>
      <c r="R17" s="43" t="s">
        <v>275</v>
      </c>
    </row>
    <row r="18" spans="1:18" ht="21" customHeight="1" x14ac:dyDescent="0.15">
      <c r="A18" s="35" t="str">
        <f t="shared" si="0"/>
        <v>39007003_39007004</v>
      </c>
      <c r="B18" s="43">
        <v>39007003</v>
      </c>
      <c r="C18" s="43">
        <v>39007004</v>
      </c>
      <c r="D18" s="42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18" s="42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18" s="43">
        <v>39007017</v>
      </c>
      <c r="G18" s="44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4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8" s="44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4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8" s="44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4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4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4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8058</v>
      </c>
      <c r="O18" s="44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3" t="s">
        <v>305</v>
      </c>
      <c r="Q18" s="113">
        <v>42597</v>
      </c>
      <c r="R18" s="43" t="s">
        <v>276</v>
      </c>
    </row>
    <row r="19" spans="1:18" ht="21" customHeight="1" x14ac:dyDescent="0.15">
      <c r="A19" s="35" t="str">
        <f t="shared" si="0"/>
        <v>39007003_39007004</v>
      </c>
      <c r="B19" s="43">
        <v>39007003</v>
      </c>
      <c r="C19" s="43">
        <v>39007004</v>
      </c>
      <c r="D19" s="42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19" s="42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19" s="43">
        <v>39007018</v>
      </c>
      <c r="G19" s="44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4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" s="44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4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9" s="44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4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4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4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8059</v>
      </c>
      <c r="O19" s="44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3" t="s">
        <v>305</v>
      </c>
      <c r="Q19" s="113">
        <v>42597</v>
      </c>
      <c r="R19" s="43" t="s">
        <v>277</v>
      </c>
    </row>
    <row r="20" spans="1:18" ht="21" customHeight="1" x14ac:dyDescent="0.15">
      <c r="A20" s="35" t="str">
        <f t="shared" si="0"/>
        <v>39007003_39007004</v>
      </c>
      <c r="B20" s="43">
        <v>39007003</v>
      </c>
      <c r="C20" s="43">
        <v>39007004</v>
      </c>
      <c r="D20" s="42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20" s="42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20" s="43">
        <v>39007019</v>
      </c>
      <c r="G20" s="44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4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" s="44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4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0" s="44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4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4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44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8060</v>
      </c>
      <c r="O20" s="44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3" t="s">
        <v>305</v>
      </c>
      <c r="Q20" s="113">
        <v>42597</v>
      </c>
      <c r="R20" s="43" t="s">
        <v>278</v>
      </c>
    </row>
    <row r="21" spans="1:18" ht="21" customHeight="1" x14ac:dyDescent="0.15">
      <c r="A21" s="35" t="str">
        <f t="shared" si="0"/>
        <v>39007003_39007004</v>
      </c>
      <c r="B21" s="43">
        <v>39007003</v>
      </c>
      <c r="C21" s="43">
        <v>39007004</v>
      </c>
      <c r="D21" s="42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21" s="42" t="str">
        <f ca="1">VLOOKUP($C21,OFFSET(enemy_skills!$A$1,0,0,COUNTA(enemy_skills!$A:$A),MATCH(E$1,enemy_skills!$1:$1,0)-MATCH("enemy_skill_id",enemy_skills!$1:$1,0)+1),MATCH(E$1,enemy_skills!$1:$1,0)-MATCH("enemy_skill_id",enemy_skills!$1:$1,0)+1,FALSE)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21" s="43">
        <v>39007020</v>
      </c>
      <c r="G21" s="44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4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44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4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1" s="44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4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4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4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8061</v>
      </c>
      <c r="O21" s="44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3" t="s">
        <v>305</v>
      </c>
      <c r="Q21" s="113">
        <v>42597</v>
      </c>
      <c r="R21" s="43" t="s">
        <v>279</v>
      </c>
    </row>
    <row r="22" spans="1:18" ht="21" customHeight="1" x14ac:dyDescent="0.15">
      <c r="A22" s="35" t="str">
        <f t="shared" si="0"/>
        <v>39007003_39007004</v>
      </c>
      <c r="B22" s="43">
        <v>39007003</v>
      </c>
      <c r="C22" s="43">
        <v>39007004</v>
      </c>
      <c r="D22" s="42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22" s="42" t="str">
        <f ca="1">VLOOKUP($C22,OFFSET(enemy_skills!$A$1,0,0,COUNTA(enemy_skills!$A:$A),MATCH(E$1,enemy_skills!$1:$1,0)-MATCH("enemy_skill_id",enemy_skills!$1:$1,0)+1),MATCH(E$1,enemy_skills!$1:$1,0)-MATCH("enemy_skill_id",enemy_skills!$1:$1,0)+1,FALSE)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22" s="43">
        <v>39007021</v>
      </c>
      <c r="G22" s="44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4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" s="44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4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2" s="44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4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4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44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8062</v>
      </c>
      <c r="O22" s="44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3" t="s">
        <v>305</v>
      </c>
      <c r="Q22" s="113">
        <v>42597</v>
      </c>
      <c r="R22" s="43" t="s">
        <v>280</v>
      </c>
    </row>
    <row r="23" spans="1:18" ht="21" customHeight="1" x14ac:dyDescent="0.15">
      <c r="A23" s="35" t="str">
        <f t="shared" si="0"/>
        <v>39007003_39007004</v>
      </c>
      <c r="B23" s="43">
        <v>39007003</v>
      </c>
      <c r="C23" s="43">
        <v>39007004</v>
      </c>
      <c r="D23" s="42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23" s="42" t="str">
        <f ca="1">VLOOKUP($C23,OFFSET(enemy_skills!$A$1,0,0,COUNTA(enemy_skills!$A:$A),MATCH(E$1,enemy_skills!$1:$1,0)-MATCH("enemy_skill_id",enemy_skills!$1:$1,0)+1),MATCH(E$1,enemy_skills!$1:$1,0)-MATCH("enemy_skill_id",enemy_skills!$1:$1,0)+1,FALSE)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23" s="43">
        <v>39007022</v>
      </c>
      <c r="G23" s="44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4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3" s="44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4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3" s="44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4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4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4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8063</v>
      </c>
      <c r="O23" s="44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3" t="s">
        <v>305</v>
      </c>
      <c r="Q23" s="113">
        <v>42597</v>
      </c>
      <c r="R23" s="43" t="s">
        <v>281</v>
      </c>
    </row>
    <row r="24" spans="1:18" ht="21" customHeight="1" x14ac:dyDescent="0.15">
      <c r="A24" s="35" t="str">
        <f t="shared" si="0"/>
        <v>39007003_39007004</v>
      </c>
      <c r="B24" s="43">
        <v>39007003</v>
      </c>
      <c r="C24" s="43">
        <v>39007004</v>
      </c>
      <c r="D24" s="42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24" s="42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24" s="43">
        <v>39007023</v>
      </c>
      <c r="G24" s="44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4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4" s="44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4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4" s="44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4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4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4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8064</v>
      </c>
      <c r="O24" s="44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3" t="s">
        <v>305</v>
      </c>
      <c r="Q24" s="113">
        <v>42597</v>
      </c>
      <c r="R24" s="43" t="s">
        <v>282</v>
      </c>
    </row>
    <row r="25" spans="1:18" ht="21" customHeight="1" x14ac:dyDescent="0.15">
      <c r="A25" s="35" t="str">
        <f t="shared" si="0"/>
        <v>39007003_39007004</v>
      </c>
      <c r="B25" s="43">
        <v>39007003</v>
      </c>
      <c r="C25" s="43">
        <v>39007004</v>
      </c>
      <c r="D25" s="42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25" s="42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25" s="43">
        <v>39007024</v>
      </c>
      <c r="G25" s="44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4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5" s="44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4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5" s="44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4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4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4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8065</v>
      </c>
      <c r="O25" s="44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3" t="s">
        <v>305</v>
      </c>
      <c r="Q25" s="113">
        <v>42597</v>
      </c>
      <c r="R25" s="43" t="s">
        <v>283</v>
      </c>
    </row>
    <row r="26" spans="1:18" ht="21" customHeight="1" x14ac:dyDescent="0.15">
      <c r="A26" s="35" t="str">
        <f t="shared" si="0"/>
        <v>39007003_39007004</v>
      </c>
      <c r="B26" s="43">
        <v>39007003</v>
      </c>
      <c r="C26" s="43">
        <v>39007004</v>
      </c>
      <c r="D26" s="42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26" s="42" t="str">
        <f ca="1">VLOOKUP($C26,OFFSET(enemy_skills!$A$1,0,0,COUNTA(enemy_skills!$A:$A),MATCH(E$1,enemy_skills!$1:$1,0)-MATCH("enemy_skill_id",enemy_skills!$1:$1,0)+1),MATCH(E$1,enemy_skills!$1:$1,0)-MATCH("enemy_skill_id",enemy_skills!$1:$1,0)+1,FALSE)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26" s="43">
        <v>39007025</v>
      </c>
      <c r="G26" s="44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4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6" s="44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4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6" s="44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4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4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4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8066</v>
      </c>
      <c r="O26" s="44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3" t="s">
        <v>305</v>
      </c>
      <c r="Q26" s="113">
        <v>42597</v>
      </c>
      <c r="R26" s="43" t="s">
        <v>284</v>
      </c>
    </row>
    <row r="27" spans="1:18" ht="21" customHeight="1" x14ac:dyDescent="0.15">
      <c r="A27" s="35" t="str">
        <f t="shared" si="0"/>
        <v>39007003_39007004</v>
      </c>
      <c r="B27" s="43">
        <v>39007003</v>
      </c>
      <c r="C27" s="43">
        <v>39007004</v>
      </c>
      <c r="D27" s="42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27" s="42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27" s="43">
        <v>39007026</v>
      </c>
      <c r="G27" s="44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4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7" s="44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4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7" s="44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4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4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" s="44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8067</v>
      </c>
      <c r="O27" s="44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3" t="s">
        <v>305</v>
      </c>
      <c r="Q27" s="113">
        <v>42597</v>
      </c>
      <c r="R27" s="43" t="s">
        <v>285</v>
      </c>
    </row>
    <row r="28" spans="1:18" ht="21" customHeight="1" x14ac:dyDescent="0.15">
      <c r="A28" s="35" t="str">
        <f t="shared" si="0"/>
        <v>39007003_39007004</v>
      </c>
      <c r="B28" s="43">
        <v>39007003</v>
      </c>
      <c r="C28" s="43">
        <v>39007004</v>
      </c>
      <c r="D28" s="42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28" s="42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28" s="43">
        <v>39007027</v>
      </c>
      <c r="G28" s="44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4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8" s="44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4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8" s="44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4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4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4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8068</v>
      </c>
      <c r="O28" s="44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3" t="s">
        <v>305</v>
      </c>
      <c r="Q28" s="113">
        <v>42597</v>
      </c>
      <c r="R28" s="43" t="s">
        <v>286</v>
      </c>
    </row>
    <row r="29" spans="1:18" ht="21" customHeight="1" x14ac:dyDescent="0.15">
      <c r="A29" s="35" t="str">
        <f t="shared" si="0"/>
        <v>39007003_39007004</v>
      </c>
      <c r="B29" s="43">
        <v>39007003</v>
      </c>
      <c r="C29" s="43">
        <v>39007004</v>
      </c>
      <c r="D29" s="42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29" s="42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29" s="43">
        <v>39007028</v>
      </c>
      <c r="G29" s="44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4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" s="44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4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9" s="44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4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4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44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8069</v>
      </c>
      <c r="O29" s="44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3" t="s">
        <v>305</v>
      </c>
      <c r="Q29" s="113">
        <v>42597</v>
      </c>
      <c r="R29" s="43" t="s">
        <v>287</v>
      </c>
    </row>
    <row r="30" spans="1:18" ht="21" customHeight="1" x14ac:dyDescent="0.15">
      <c r="A30" s="35" t="str">
        <f t="shared" si="0"/>
        <v>39007003_39007004</v>
      </c>
      <c r="B30" s="43">
        <v>39007003</v>
      </c>
      <c r="C30" s="43">
        <v>39007004</v>
      </c>
      <c r="D30" s="42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30" s="42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30" s="43">
        <v>39007029</v>
      </c>
      <c r="G30" s="44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4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0" s="44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4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0" s="44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4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4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4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8070</v>
      </c>
      <c r="O30" s="44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3" t="s">
        <v>305</v>
      </c>
      <c r="Q30" s="113">
        <v>42597</v>
      </c>
      <c r="R30" s="43" t="s">
        <v>288</v>
      </c>
    </row>
    <row r="31" spans="1:18" ht="21" customHeight="1" x14ac:dyDescent="0.15">
      <c r="A31" s="35" t="str">
        <f t="shared" si="0"/>
        <v>39007003_39007004</v>
      </c>
      <c r="B31" s="43">
        <v>39007003</v>
      </c>
      <c r="C31" s="43">
        <v>39007004</v>
      </c>
      <c r="D31" s="42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31" s="42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31" s="43">
        <v>39007030</v>
      </c>
      <c r="G31" s="44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4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1" s="44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4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1" s="44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4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4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" s="44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8071</v>
      </c>
      <c r="O31" s="44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3" t="s">
        <v>305</v>
      </c>
      <c r="Q31" s="113">
        <v>42597</v>
      </c>
      <c r="R31" s="43" t="s">
        <v>289</v>
      </c>
    </row>
    <row r="32" spans="1:18" ht="21" customHeight="1" x14ac:dyDescent="0.15">
      <c r="A32" s="35" t="str">
        <f t="shared" si="0"/>
        <v>39007003_39007004</v>
      </c>
      <c r="B32" s="43">
        <v>39007003</v>
      </c>
      <c r="C32" s="43">
        <v>39007004</v>
      </c>
      <c r="D32" s="42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32" s="42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32" s="43">
        <v>39007031</v>
      </c>
      <c r="G32" s="44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4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2" s="44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4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2" s="44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4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4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4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8072</v>
      </c>
      <c r="O32" s="44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3" t="s">
        <v>305</v>
      </c>
      <c r="Q32" s="113">
        <v>42597</v>
      </c>
      <c r="R32" s="43" t="s">
        <v>290</v>
      </c>
    </row>
    <row r="33" spans="1:18" ht="21" customHeight="1" x14ac:dyDescent="0.15">
      <c r="A33" s="35" t="str">
        <f t="shared" si="0"/>
        <v>39007003_39007005</v>
      </c>
      <c r="B33" s="43">
        <v>39007003</v>
      </c>
      <c r="C33" s="43">
        <v>39007005</v>
      </c>
      <c r="D33" s="42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いっぱい遊ぼうね！</v>
      </c>
      <c r="E33" s="42" t="str">
        <f ca="1">VLOOKUP($C33,OFFSET(enemy_skills!$A$1,0,0,COUNTA(enemy_skills!$A:$A),MATCH(E$1,enemy_skills!$1:$1,0)-MATCH("enemy_skill_id",enemy_skills!$1:$1,0)+1),MATCH(E$1,enemy_skills!$1:$1,0)-MATCH("enemy_skill_id",enemy_skills!$1:$1,0)+1,FALSE)</f>
        <v>HP回復</v>
      </c>
      <c r="F33" s="43">
        <v>39007032</v>
      </c>
      <c r="G33" s="44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4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3" s="44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4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3" s="44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4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3" s="44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4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4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3" t="s">
        <v>305</v>
      </c>
      <c r="Q33" s="113">
        <v>42597</v>
      </c>
      <c r="R33" s="43" t="s">
        <v>291</v>
      </c>
    </row>
    <row r="34" spans="1:18" ht="21" customHeight="1" x14ac:dyDescent="0.15">
      <c r="A34" s="35" t="str">
        <f t="shared" si="0"/>
        <v>39007003_39007006</v>
      </c>
      <c r="B34" s="43">
        <v>39007003</v>
      </c>
      <c r="C34" s="43">
        <v>39007006</v>
      </c>
      <c r="D34" s="42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あっちにもキティちゃん？</v>
      </c>
      <c r="E34" s="42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みてくるからまっててね！</v>
      </c>
      <c r="F34" s="43">
        <v>39007033</v>
      </c>
      <c r="G34" s="44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4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4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4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4" s="44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4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4" s="44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4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4" s="44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3" t="s">
        <v>305</v>
      </c>
      <c r="Q34" s="113">
        <v>42597</v>
      </c>
      <c r="R34" s="43" t="s">
        <v>292</v>
      </c>
    </row>
    <row r="35" spans="1:18" ht="21" customHeight="1" x14ac:dyDescent="0.15">
      <c r="A35" s="35" t="str">
        <f t="shared" si="0"/>
        <v>39007004_39007007</v>
      </c>
      <c r="B35" s="43">
        <v>39007004</v>
      </c>
      <c r="C35" s="43">
        <v>39007007</v>
      </c>
      <c r="D35" s="42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みんなだいすきだよっ☆</v>
      </c>
      <c r="E35" s="42" t="str">
        <f ca="1">VLOOKUP($C35,OFFSET(enemy_skills!$A$1,0,0,COUNTA(enemy_skills!$A:$A),MATCH(E$1,enemy_skills!$1:$1,0)-MATCH("enemy_skill_id",enemy_skills!$1:$1,0)+1),MATCH(E$1,enemy_skills!$1:$1,0)-MATCH("enemy_skill_id",enemy_skills!$1:$1,0)+1,FALSE)</f>
        <v>2ターン防御力UP</v>
      </c>
      <c r="F35" s="43">
        <v>39007034</v>
      </c>
      <c r="G35" s="44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4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5" s="44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4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5" s="44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4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4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4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4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3" t="s">
        <v>305</v>
      </c>
      <c r="Q35" s="113">
        <v>42597</v>
      </c>
      <c r="R35" s="43" t="s">
        <v>293</v>
      </c>
    </row>
    <row r="36" spans="1:18" ht="21" customHeight="1" x14ac:dyDescent="0.15">
      <c r="A36" s="35" t="str">
        <f t="shared" si="0"/>
        <v>39007004_39007008</v>
      </c>
      <c r="B36" s="43">
        <v>39007004</v>
      </c>
      <c r="C36" s="43">
        <v>39007008</v>
      </c>
      <c r="D36" s="42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ふぁいと！ふぁいと！</v>
      </c>
      <c r="E36" s="42" t="str">
        <f ca="1">VLOOKUP($C36,OFFSET(enemy_skills!$A$1,0,0,COUNTA(enemy_skills!$A:$A),MATCH(E$1,enemy_skills!$1:$1,0)-MATCH("enemy_skill_id",enemy_skills!$1:$1,0)+1),MATCH(E$1,enemy_skills!$1:$1,0)-MATCH("enemy_skill_id",enemy_skills!$1:$1,0)+1,FALSE)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6" s="43">
        <v>39007035</v>
      </c>
      <c r="G36" s="44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4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6" s="44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6" s="44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6" s="44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4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4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4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4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6" s="43" t="s">
        <v>305</v>
      </c>
      <c r="Q36" s="113">
        <v>42597</v>
      </c>
      <c r="R36" s="43" t="s">
        <v>294</v>
      </c>
    </row>
    <row r="37" spans="1:18" ht="21" customHeight="1" x14ac:dyDescent="0.15">
      <c r="A37" s="35" t="str">
        <f t="shared" si="0"/>
        <v>39007005_39007009</v>
      </c>
      <c r="B37" s="43">
        <v>39007005</v>
      </c>
      <c r="C37" s="43">
        <v>39007009</v>
      </c>
      <c r="D37" s="42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ダブルフリップ</v>
      </c>
      <c r="E37" s="42" t="str">
        <f ca="1">VLOOKUP($C37,OFFSET(enemy_skills!$A$1,0,0,COUNTA(enemy_skills!$A:$A),MATCH(E$1,enemy_skills!$1:$1,0)-MATCH("enemy_skill_id",enemy_skills!$1:$1,0)+1),MATCH(E$1,enemy_skills!$1:$1,0)-MATCH("enemy_skill_id",enemy_skills!$1:$1,0)+1,FALSE)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37" s="43">
        <v>39007036</v>
      </c>
      <c r="G37" s="44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4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7" s="44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7" s="44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7" s="44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4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4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4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4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7" s="43" t="s">
        <v>305</v>
      </c>
      <c r="Q37" s="113">
        <v>42597</v>
      </c>
      <c r="R37" s="43" t="s">
        <v>295</v>
      </c>
    </row>
    <row r="38" spans="1:18" ht="21" customHeight="1" x14ac:dyDescent="0.15">
      <c r="A38" s="35" t="str">
        <f t="shared" si="0"/>
        <v>39007006_39007010</v>
      </c>
      <c r="B38" s="43">
        <v>39007006</v>
      </c>
      <c r="C38" s="43">
        <v>39007010</v>
      </c>
      <c r="D38" s="42" t="str">
        <f ca="1">VLOOKUP($C38,OFFSET(enemy_skills!$A$1,0,0,COUNTA(enemy_skills!$A:$A),MATCH(D$1,enemy_skills!$1:$1,0)-MATCH("enemy_skill_id",enemy_skills!$1:$1,0)+1),MATCH(D$1,enemy_skills!$1:$1,0)-MATCH("enemy_skill_id",enemy_skills!$1:$1,0)+1,FALSE)</f>
        <v>閃光の翼</v>
      </c>
      <c r="E38" s="42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8" s="43">
        <v>39007037</v>
      </c>
      <c r="G38" s="44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4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8" s="44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4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8" s="44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4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4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8" s="44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4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3" t="s">
        <v>305</v>
      </c>
      <c r="Q38" s="113">
        <v>42597</v>
      </c>
      <c r="R38" s="43" t="s">
        <v>296</v>
      </c>
    </row>
    <row r="39" spans="1:18" ht="21" customHeight="1" x14ac:dyDescent="0.15">
      <c r="A39" s="35" t="str">
        <f t="shared" si="0"/>
        <v>39007007_39007011</v>
      </c>
      <c r="B39" s="43">
        <v>39007007</v>
      </c>
      <c r="C39" s="43">
        <v>39007011</v>
      </c>
      <c r="D39" s="42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ファンシーリボン</v>
      </c>
      <c r="E39" s="42" t="str">
        <f ca="1">VLOOKUP($C39,OFFSET(enemy_skills!$A$1,0,0,COUNTA(enemy_skills!$A:$A),MATCH(E$1,enemy_skills!$1:$1,0)-MATCH("enemy_skill_id",enemy_skills!$1:$1,0)+1),MATCH(E$1,enemy_skills!$1:$1,0)-MATCH("enemy_skill_id",enemy_skills!$1:$1,0)+1,FALSE)</f>
        <v>2ターン攻撃力UP</v>
      </c>
      <c r="F39" s="43">
        <v>39007038</v>
      </c>
      <c r="G39" s="44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4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9" s="44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4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9" s="44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4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4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4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4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3" t="s">
        <v>305</v>
      </c>
      <c r="Q39" s="113">
        <v>42597</v>
      </c>
      <c r="R39" s="43" t="s">
        <v>297</v>
      </c>
    </row>
    <row r="40" spans="1:18" ht="21" customHeight="1" x14ac:dyDescent="0.15">
      <c r="A40" s="35" t="str">
        <f t="shared" si="0"/>
        <v>39007007_39007012</v>
      </c>
      <c r="B40" s="43">
        <v>39007007</v>
      </c>
      <c r="C40" s="43">
        <v>39007012</v>
      </c>
      <c r="D40" s="42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ファンシーハンマー</v>
      </c>
      <c r="E40" s="42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ハートパネルを最大3個プロテクト</v>
      </c>
      <c r="F40" s="43">
        <v>39007039</v>
      </c>
      <c r="G40" s="44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4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0" s="44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40" s="44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0" s="44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4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4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4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4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40" s="43" t="s">
        <v>305</v>
      </c>
      <c r="Q40" s="113">
        <v>42597</v>
      </c>
      <c r="R40" s="43" t="s">
        <v>298</v>
      </c>
    </row>
    <row r="41" spans="1:18" ht="21" customHeight="1" x14ac:dyDescent="0.15">
      <c r="A41" s="35" t="str">
        <f t="shared" si="0"/>
        <v>39007008_39007011</v>
      </c>
      <c r="B41" s="43">
        <v>39007008</v>
      </c>
      <c r="C41" s="43">
        <v>39007011</v>
      </c>
      <c r="D41" s="42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ファンシーリボン</v>
      </c>
      <c r="E41" s="42" t="str">
        <f ca="1">VLOOKUP($C41,OFFSET(enemy_skills!$A$1,0,0,COUNTA(enemy_skills!$A:$A),MATCH(E$1,enemy_skills!$1:$1,0)-MATCH("enemy_skill_id",enemy_skills!$1:$1,0)+1),MATCH(E$1,enemy_skills!$1:$1,0)-MATCH("enemy_skill_id",enemy_skills!$1:$1,0)+1,FALSE)</f>
        <v>2ターン攻撃力UP</v>
      </c>
      <c r="F41" s="43">
        <v>39007038</v>
      </c>
      <c r="G41" s="44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4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1" s="44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4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1" s="44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4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4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4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4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3" t="s">
        <v>305</v>
      </c>
      <c r="Q41" s="113">
        <v>42597</v>
      </c>
      <c r="R41" s="43" t="s">
        <v>299</v>
      </c>
    </row>
    <row r="42" spans="1:18" ht="21" customHeight="1" x14ac:dyDescent="0.15">
      <c r="A42" s="35" t="str">
        <f t="shared" si="0"/>
        <v>39007008_39007013</v>
      </c>
      <c r="B42" s="43">
        <v>39007008</v>
      </c>
      <c r="C42" s="43">
        <v>39007013</v>
      </c>
      <c r="D42" s="42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ファンシーハンマー改</v>
      </c>
      <c r="E42" s="42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ハートパネルを最大30個プロテクト</v>
      </c>
      <c r="F42" s="43">
        <v>39007040</v>
      </c>
      <c r="G42" s="44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4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2" s="44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42" s="44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2" s="44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4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4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4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4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42" s="43" t="s">
        <v>305</v>
      </c>
      <c r="Q42" s="113">
        <v>42597</v>
      </c>
      <c r="R42" s="43" t="s">
        <v>300</v>
      </c>
    </row>
    <row r="43" spans="1:18" ht="21" customHeight="1" x14ac:dyDescent="0.15">
      <c r="A43" s="35" t="str">
        <f t="shared" si="0"/>
        <v>39007009_39007014</v>
      </c>
      <c r="B43" s="43">
        <v>39007009</v>
      </c>
      <c r="C43" s="43">
        <v>39007014</v>
      </c>
      <c r="D43" s="42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じゃーん！かわいいでしょ！</v>
      </c>
      <c r="E43" s="42" t="str">
        <f ca="1">VLOOKUP($C43,OFFSET(enemy_skills!$A$1,0,0,COUNTA(enemy_skills!$A:$A),MATCH(E$1,enemy_skills!$1:$1,0)-MATCH("enemy_skill_id",enemy_skills!$1:$1,0)+1),MATCH(E$1,enemy_skills!$1:$1,0)-MATCH("enemy_skill_id",enemy_skills!$1:$1,0)+1,FALSE)</f>
        <v>緑パネルをハートパネルに変換</v>
      </c>
      <c r="F43" s="43">
        <v>39007041</v>
      </c>
      <c r="G43" s="44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4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3" s="44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4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3" s="44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4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4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4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4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3" t="s">
        <v>305</v>
      </c>
      <c r="Q43" s="113">
        <v>42597</v>
      </c>
      <c r="R43" s="43" t="s">
        <v>301</v>
      </c>
    </row>
    <row r="44" spans="1:18" ht="21" customHeight="1" x14ac:dyDescent="0.15">
      <c r="A44" s="35" t="str">
        <f t="shared" si="0"/>
        <v>39007009_39007015</v>
      </c>
      <c r="B44" s="43">
        <v>39007009</v>
      </c>
      <c r="C44" s="43">
        <v>39007015</v>
      </c>
      <c r="D44" s="42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やっちゃうぞー！</v>
      </c>
      <c r="E44" s="42" t="str">
        <f ca="1">VLOOKUP($C44,OFFSET(enemy_skills!$A$1,0,0,COUNTA(enemy_skills!$A:$A),MATCH(E$1,enemy_skills!$1:$1,0)-MATCH("enemy_skill_id",enemy_skills!$1:$1,0)+1),MATCH(E$1,enemy_skills!$1:$1,0)-MATCH("enemy_skill_id",enemy_skills!$1:$1,0)+1,FALSE)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4" s="43">
        <v>39007042</v>
      </c>
      <c r="G44" s="44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4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4" s="44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4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4" s="44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4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4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4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4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3" t="s">
        <v>305</v>
      </c>
      <c r="Q44" s="113">
        <v>42597</v>
      </c>
      <c r="R44" s="43" t="s">
        <v>302</v>
      </c>
    </row>
    <row r="45" spans="1:18" ht="21" customHeight="1" x14ac:dyDescent="0.15">
      <c r="A45" s="35" t="str">
        <f t="shared" si="0"/>
        <v>39007009_39007016</v>
      </c>
      <c r="B45" s="43">
        <v>39007009</v>
      </c>
      <c r="C45" s="43">
        <v>39007016</v>
      </c>
      <c r="D45" s="42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えへへーキティちゃんだよ！</v>
      </c>
      <c r="E45" s="42" t="str">
        <f ca="1">VLOOKUP($C45,OFFSET(enemy_skills!$A$1,0,0,COUNTA(enemy_skills!$A:$A),MATCH(E$1,enemy_skills!$1:$1,0)-MATCH("enemy_skill_id",enemy_skills!$1:$1,0)+1),MATCH(E$1,enemy_skills!$1:$1,0)-MATCH("enemy_skill_id",enemy_skills!$1:$1,0)+1,FALSE)</f>
        <v>緑パネルをハートパネルに変換</v>
      </c>
      <c r="F45" s="43">
        <v>39007043</v>
      </c>
      <c r="G45" s="44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4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5" s="44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5" s="44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5" s="44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4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4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4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5" s="44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5" s="43" t="s">
        <v>305</v>
      </c>
      <c r="Q45" s="113">
        <v>42597</v>
      </c>
      <c r="R45" s="43" t="s">
        <v>302</v>
      </c>
    </row>
    <row r="46" spans="1:18" ht="21" customHeight="1" x14ac:dyDescent="0.15">
      <c r="A46" s="35" t="str">
        <f t="shared" si="0"/>
        <v>39007009_39007017</v>
      </c>
      <c r="B46" s="43">
        <v>39007009</v>
      </c>
      <c r="C46" s="43">
        <v>39007017</v>
      </c>
      <c r="D46" s="42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ひとりじめしちゃうもーん！</v>
      </c>
      <c r="E46" s="42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ハートパネル吸収攻撃</v>
      </c>
      <c r="F46" s="43">
        <v>39007044</v>
      </c>
      <c r="G46" s="44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4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6" s="44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4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6" s="44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4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4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6" s="44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4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3" t="s">
        <v>305</v>
      </c>
      <c r="Q46" s="113">
        <v>42597</v>
      </c>
      <c r="R46" s="43" t="s">
        <v>302</v>
      </c>
    </row>
    <row r="47" spans="1:18" ht="21" customHeight="1" x14ac:dyDescent="0.15">
      <c r="A47" s="35" t="str">
        <f t="shared" si="0"/>
        <v>39007010_39007018</v>
      </c>
      <c r="B47" s="43">
        <v>39007010</v>
      </c>
      <c r="C47" s="43">
        <v>39007018</v>
      </c>
      <c r="D47" s="42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みんなー！おいでー！</v>
      </c>
      <c r="E47" s="42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ハートパネルを黄パネルに変換</v>
      </c>
      <c r="F47" s="43">
        <v>39007045</v>
      </c>
      <c r="G47" s="44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4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7" s="44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4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7" s="44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4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4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4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4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3" t="s">
        <v>305</v>
      </c>
      <c r="Q47" s="113">
        <v>42597</v>
      </c>
      <c r="R47" s="43" t="s">
        <v>303</v>
      </c>
    </row>
    <row r="48" spans="1:18" ht="21" customHeight="1" x14ac:dyDescent="0.15">
      <c r="A48" s="35" t="str">
        <f t="shared" si="0"/>
        <v>39007010_39007019</v>
      </c>
      <c r="B48" s="43">
        <v>39007010</v>
      </c>
      <c r="C48" s="43">
        <v>39007019</v>
      </c>
      <c r="D48" s="42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えいえーい！</v>
      </c>
      <c r="E48" s="42" t="str">
        <f ca="1">VLOOKUP($C48,OFFSET(enemy_skills!$A$1,0,0,COUNTA(enemy_skills!$A:$A),MATCH(E$1,enemy_skills!$1:$1,0)-MATCH("enemy_skill_id",enemy_skills!$1:$1,0)+1),MATCH(E$1,enemy_skills!$1:$1,0)-MATCH("enemy_skill_id",enemy_skills!$1:$1,0)+1,FALSE)</f>
        <v>時限式パネルを4個生成</v>
      </c>
      <c r="F48" s="43">
        <v>39007046</v>
      </c>
      <c r="G48" s="44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4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48" s="44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8" s="44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8" s="44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4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4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4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4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8" s="43" t="s">
        <v>305</v>
      </c>
      <c r="Q48" s="113">
        <v>42597</v>
      </c>
      <c r="R48" s="43" t="s">
        <v>303</v>
      </c>
    </row>
    <row r="49" spans="1:18" ht="21" customHeight="1" x14ac:dyDescent="0.15">
      <c r="A49" s="35" t="str">
        <f t="shared" si="0"/>
        <v>39007010_39007020</v>
      </c>
      <c r="B49" s="43">
        <v>39007010</v>
      </c>
      <c r="C49" s="43">
        <v>39007020</v>
      </c>
      <c r="D49" s="42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ぬいぐるみあたっーく！</v>
      </c>
      <c r="E49" s="42" t="str">
        <f ca="1">VLOOKUP($C49,OFFSET(enemy_skills!$A$1,0,0,COUNTA(enemy_skills!$A:$A),MATCH(E$1,enemy_skills!$1:$1,0)-MATCH("enemy_skill_id",enemy_skills!$1:$1,0)+1),MATCH(E$1,enemy_skills!$1:$1,0)-MATCH("enemy_skill_id",enemy_skills!$1:$1,0)+1,FALSE)</f>
        <v>7回連続攻撃</v>
      </c>
      <c r="F49" s="43">
        <v>39007047</v>
      </c>
      <c r="G49" s="44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4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9" s="44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9" s="44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9" s="44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4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4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4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4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9" s="43" t="s">
        <v>305</v>
      </c>
      <c r="Q49" s="113">
        <v>42597</v>
      </c>
      <c r="R49" s="43" t="s">
        <v>303</v>
      </c>
    </row>
    <row r="50" spans="1:18" ht="21" customHeight="1" x14ac:dyDescent="0.15">
      <c r="A50" s="35" t="str">
        <f t="shared" si="0"/>
        <v>39007010_39007021</v>
      </c>
      <c r="B50" s="43">
        <v>39007010</v>
      </c>
      <c r="C50" s="43">
        <v>39007021</v>
      </c>
      <c r="D50" s="42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キティちゃん大好き！</v>
      </c>
      <c r="E50" s="42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ぬいぐるみを抱きしめている</v>
      </c>
      <c r="F50" s="43">
        <v>39007048</v>
      </c>
      <c r="G50" s="44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4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0" s="44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4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0" s="44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4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4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4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4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3" t="s">
        <v>305</v>
      </c>
      <c r="Q50" s="113">
        <v>42597</v>
      </c>
      <c r="R50" s="43" t="s">
        <v>303</v>
      </c>
    </row>
    <row r="51" spans="1:18" ht="21" customHeight="1" x14ac:dyDescent="0.15">
      <c r="A51" s="35" t="str">
        <f t="shared" si="0"/>
        <v>39007010_39007022</v>
      </c>
      <c r="B51" s="43">
        <v>39007010</v>
      </c>
      <c r="C51" s="43">
        <v>39007022</v>
      </c>
      <c r="D51" s="42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まだ帰らないもん！</v>
      </c>
      <c r="E51" s="42" t="str">
        <f ca="1">VLOOKUP($C51,OFFSET(enemy_skills!$A$1,0,0,COUNTA(enemy_skills!$A:$A),MATCH(E$1,enemy_skills!$1:$1,0)-MATCH("enemy_skill_id",enemy_skills!$1:$1,0)+1),MATCH(E$1,enemy_skills!$1:$1,0)-MATCH("enemy_skill_id",enemy_skills!$1:$1,0)+1,FALSE)</f>
        <v>HP大回復</v>
      </c>
      <c r="F51" s="43">
        <v>39007049</v>
      </c>
      <c r="G51" s="44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4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1" s="44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4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1" s="44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4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4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4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4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3" t="s">
        <v>305</v>
      </c>
      <c r="Q51" s="113">
        <v>42597</v>
      </c>
      <c r="R51" s="43" t="s">
        <v>303</v>
      </c>
    </row>
    <row r="52" spans="1:18" ht="21" customHeight="1" x14ac:dyDescent="0.15">
      <c r="A52" s="35" t="str">
        <f t="shared" si="0"/>
        <v>39007010_39007023</v>
      </c>
      <c r="B52" s="43">
        <v>39007010</v>
      </c>
      <c r="C52" s="43">
        <v>39007023</v>
      </c>
      <c r="D52" s="42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ふわぁー…眠くなってきちゃった</v>
      </c>
      <c r="E52" s="42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また遊んでね！ばいばーい</v>
      </c>
      <c r="F52" s="43">
        <v>39007050</v>
      </c>
      <c r="G52" s="44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4" t="str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2" s="44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4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2" s="44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4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2" s="44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4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2" s="44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3" t="s">
        <v>305</v>
      </c>
      <c r="Q52" s="113">
        <v>42597</v>
      </c>
      <c r="R52" s="43" t="s">
        <v>303</v>
      </c>
    </row>
    <row r="53" spans="1:18" ht="21" customHeight="1" x14ac:dyDescent="0.15">
      <c r="A53" s="35" t="str">
        <f t="shared" si="0"/>
        <v>39007011_39007018</v>
      </c>
      <c r="B53" s="43">
        <v>39007011</v>
      </c>
      <c r="C53" s="43">
        <v>39007018</v>
      </c>
      <c r="D53" s="42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みんなー！おいでー！</v>
      </c>
      <c r="E53" s="42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ハートパネルを黄パネルに変換</v>
      </c>
      <c r="F53" s="43">
        <v>39007045</v>
      </c>
      <c r="G53" s="44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44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3" s="44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4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3" s="44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4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4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4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4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3" t="s">
        <v>305</v>
      </c>
      <c r="Q53" s="113">
        <v>42597</v>
      </c>
      <c r="R53" s="43" t="s">
        <v>304</v>
      </c>
    </row>
    <row r="54" spans="1:18" ht="21" customHeight="1" x14ac:dyDescent="0.15">
      <c r="A54" s="35" t="str">
        <f t="shared" si="0"/>
        <v>39007011_39007019</v>
      </c>
      <c r="B54" s="43">
        <v>39007011</v>
      </c>
      <c r="C54" s="43">
        <v>39007019</v>
      </c>
      <c r="D54" s="42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えいえーい！</v>
      </c>
      <c r="E54" s="42" t="str">
        <f ca="1">VLOOKUP($C54,OFFSET(enemy_skills!$A$1,0,0,COUNTA(enemy_skills!$A:$A),MATCH(E$1,enemy_skills!$1:$1,0)-MATCH("enemy_skill_id",enemy_skills!$1:$1,0)+1),MATCH(E$1,enemy_skills!$1:$1,0)-MATCH("enemy_skill_id",enemy_skills!$1:$1,0)+1,FALSE)</f>
        <v>時限式パネルを4個生成</v>
      </c>
      <c r="F54" s="43">
        <v>39007046</v>
      </c>
      <c r="G54" s="44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4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54" s="44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4" s="44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4" s="44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4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4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4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4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4" s="43" t="s">
        <v>305</v>
      </c>
      <c r="Q54" s="113">
        <v>42597</v>
      </c>
      <c r="R54" s="43" t="s">
        <v>304</v>
      </c>
    </row>
    <row r="55" spans="1:18" ht="21" customHeight="1" x14ac:dyDescent="0.15">
      <c r="A55" s="35" t="str">
        <f t="shared" si="0"/>
        <v>39007011_39007020</v>
      </c>
      <c r="B55" s="43">
        <v>39007011</v>
      </c>
      <c r="C55" s="43">
        <v>39007020</v>
      </c>
      <c r="D55" s="42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ぬいぐるみあたっーく！</v>
      </c>
      <c r="E55" s="42" t="str">
        <f ca="1">VLOOKUP($C55,OFFSET(enemy_skills!$A$1,0,0,COUNTA(enemy_skills!$A:$A),MATCH(E$1,enemy_skills!$1:$1,0)-MATCH("enemy_skill_id",enemy_skills!$1:$1,0)+1),MATCH(E$1,enemy_skills!$1:$1,0)-MATCH("enemy_skill_id",enemy_skills!$1:$1,0)+1,FALSE)</f>
        <v>7回連続攻撃</v>
      </c>
      <c r="F55" s="43">
        <v>39007047</v>
      </c>
      <c r="G55" s="44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4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5" s="44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55" s="44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5" s="44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4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44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4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4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55" s="43" t="s">
        <v>305</v>
      </c>
      <c r="Q55" s="113">
        <v>42597</v>
      </c>
      <c r="R55" s="43" t="s">
        <v>304</v>
      </c>
    </row>
    <row r="56" spans="1:18" ht="21" customHeight="1" x14ac:dyDescent="0.15">
      <c r="A56" s="35" t="str">
        <f t="shared" si="0"/>
        <v>39007011_39007022</v>
      </c>
      <c r="B56" s="43">
        <v>39007011</v>
      </c>
      <c r="C56" s="43">
        <v>39007022</v>
      </c>
      <c r="D56" s="42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まだ帰らないもん！</v>
      </c>
      <c r="E56" s="42" t="str">
        <f ca="1">VLOOKUP($C56,OFFSET(enemy_skills!$A$1,0,0,COUNTA(enemy_skills!$A:$A),MATCH(E$1,enemy_skills!$1:$1,0)-MATCH("enemy_skill_id",enemy_skills!$1:$1,0)+1),MATCH(E$1,enemy_skills!$1:$1,0)-MATCH("enemy_skill_id",enemy_skills!$1:$1,0)+1,FALSE)</f>
        <v>HP大回復</v>
      </c>
      <c r="F56" s="43">
        <v>39007049</v>
      </c>
      <c r="G56" s="44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4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6" s="44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4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6" s="44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4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4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4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4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3" t="s">
        <v>305</v>
      </c>
      <c r="Q56" s="113">
        <v>42597</v>
      </c>
      <c r="R56" s="43" t="s">
        <v>304</v>
      </c>
    </row>
    <row r="57" spans="1:18" ht="21" customHeight="1" x14ac:dyDescent="0.15">
      <c r="A57" s="35" t="str">
        <f t="shared" si="0"/>
        <v>39007011_39007023</v>
      </c>
      <c r="B57" s="43">
        <v>39007011</v>
      </c>
      <c r="C57" s="43">
        <v>39007023</v>
      </c>
      <c r="D57" s="42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ふわぁー…眠くなってきちゃった</v>
      </c>
      <c r="E57" s="42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また遊んでね！ばいばーい</v>
      </c>
      <c r="F57" s="43">
        <v>39007050</v>
      </c>
      <c r="G57" s="44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4" t="str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7" s="44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4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7" s="44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4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7" s="44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4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7" s="44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3" t="s">
        <v>305</v>
      </c>
      <c r="Q57" s="113">
        <v>42597</v>
      </c>
      <c r="R57" s="43" t="s">
        <v>304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4"/>
  <sheetViews>
    <sheetView showGridLines="0" topLeftCell="D1" zoomScale="75" zoomScaleNormal="75" zoomScalePageLayoutView="75" workbookViewId="0">
      <pane ySplit="1" topLeftCell="A2" activePane="bottomLeft" state="frozenSplit"/>
      <selection pane="bottomLeft" activeCell="O19" sqref="O19"/>
    </sheetView>
  </sheetViews>
  <sheetFormatPr baseColWidth="12" defaultColWidth="12.83203125" defaultRowHeight="21" customHeight="1" outlineLevelCol="1" x14ac:dyDescent="0.15"/>
  <cols>
    <col min="1" max="1" width="12.83203125" style="45"/>
    <col min="2" max="2" width="67.1640625" style="45" customWidth="1"/>
    <col min="3" max="4" width="12.83203125" style="45"/>
    <col min="5" max="5" width="23.6640625" style="45" bestFit="1" customWidth="1"/>
    <col min="6" max="6" width="44.1640625" style="45" bestFit="1" customWidth="1"/>
    <col min="7" max="7" width="52" style="45" customWidth="1" outlineLevel="1"/>
    <col min="8" max="8" width="18.33203125" style="45" customWidth="1" outlineLevel="1"/>
    <col min="9" max="11" width="18.6640625" style="45" customWidth="1" outlineLevel="1"/>
    <col min="12" max="12" width="23.6640625" style="45" customWidth="1"/>
    <col min="13" max="18" width="23.6640625" style="45" customWidth="1" outlineLevel="1"/>
    <col min="19" max="19" width="23.6640625" style="45" customWidth="1"/>
    <col min="20" max="24" width="23.6640625" style="45" customWidth="1" outlineLevel="1"/>
    <col min="25" max="25" width="23.6640625" style="45" customWidth="1"/>
    <col min="26" max="27" width="12.83203125" style="45"/>
    <col min="28" max="28" width="44.5" style="45" customWidth="1"/>
    <col min="29" max="16384" width="12.83203125" style="45"/>
  </cols>
  <sheetData>
    <row r="1" spans="1:28" ht="21" customHeight="1" x14ac:dyDescent="0.15">
      <c r="A1" s="36" t="s">
        <v>79</v>
      </c>
      <c r="B1" s="36" t="s">
        <v>80</v>
      </c>
      <c r="C1" s="36" t="s">
        <v>81</v>
      </c>
      <c r="D1" s="36" t="s">
        <v>125</v>
      </c>
      <c r="E1" s="36" t="s">
        <v>82</v>
      </c>
      <c r="F1" s="36" t="s">
        <v>83</v>
      </c>
      <c r="G1" s="37" t="s">
        <v>130</v>
      </c>
      <c r="H1" s="37" t="s">
        <v>136</v>
      </c>
      <c r="I1" s="37" t="s">
        <v>138</v>
      </c>
      <c r="J1" s="37" t="s">
        <v>137</v>
      </c>
      <c r="K1" s="37" t="s">
        <v>139</v>
      </c>
      <c r="L1" s="37" t="s">
        <v>131</v>
      </c>
      <c r="M1" s="37" t="s">
        <v>129</v>
      </c>
      <c r="N1" s="37" t="s">
        <v>132</v>
      </c>
      <c r="O1" s="37" t="s">
        <v>140</v>
      </c>
      <c r="P1" s="37" t="s">
        <v>141</v>
      </c>
      <c r="Q1" s="37" t="s">
        <v>142</v>
      </c>
      <c r="R1" s="37" t="s">
        <v>143</v>
      </c>
      <c r="S1" s="37" t="s">
        <v>133</v>
      </c>
      <c r="T1" s="37" t="s">
        <v>134</v>
      </c>
      <c r="U1" s="37" t="s">
        <v>144</v>
      </c>
      <c r="V1" s="37" t="s">
        <v>145</v>
      </c>
      <c r="W1" s="37" t="s">
        <v>146</v>
      </c>
      <c r="X1" s="37" t="s">
        <v>147</v>
      </c>
      <c r="Y1" s="37" t="s">
        <v>135</v>
      </c>
      <c r="Z1" s="37" t="s">
        <v>76</v>
      </c>
      <c r="AA1" s="37" t="s">
        <v>77</v>
      </c>
      <c r="AB1" s="37" t="s">
        <v>78</v>
      </c>
    </row>
    <row r="2" spans="1:28" ht="21" customHeight="1" x14ac:dyDescent="0.15">
      <c r="A2" s="43">
        <v>39007001</v>
      </c>
      <c r="B2" s="43" t="s">
        <v>306</v>
      </c>
      <c r="C2" s="46">
        <v>3</v>
      </c>
      <c r="D2" s="46" t="s">
        <v>196</v>
      </c>
      <c r="E2" s="47" t="s">
        <v>324</v>
      </c>
      <c r="F2" s="47" t="s">
        <v>347</v>
      </c>
      <c r="G2" s="59" t="str">
        <f>IFERROR(LEFT(B2,FIND("],",B2)),B2)</f>
        <v>[effect:hungup, target:unit_all, turn:1, rate:0.3, animation:hungup01]</v>
      </c>
      <c r="H2" s="59">
        <f>FIND("effect:",G2)+7</f>
        <v>9</v>
      </c>
      <c r="I2" s="59">
        <f>IFERROR(FIND(",",G2),LEN(G2))</f>
        <v>15</v>
      </c>
      <c r="J2" s="59">
        <f>FIND("target:",G2)+7</f>
        <v>24</v>
      </c>
      <c r="K2" s="59">
        <f>FIND(",",G2,I2+1)</f>
        <v>32</v>
      </c>
      <c r="L2" s="59" t="str">
        <f>IFERROR(VLOOKUP(MID(G2,J2,K2-J2),[6]skilldef!$C:$D,2,FALSE),"-") &amp; " / " &amp; IFERROR(VLOOKUP(MID(G2,H2,I2-H2),[6]skilldef!$A:$B,2,FALSE),"-")</f>
        <v>味方全体に / ハングアップ</v>
      </c>
      <c r="M2" s="59" t="str">
        <f>IFERROR(RIGHT(B2,LEN(B2)-FIND("],",B2)-1),"none")</f>
        <v>none</v>
      </c>
      <c r="N2" s="44" t="str">
        <f>IFERROR(LEFT(M2,FIND("],",M2)+S12),M2)</f>
        <v>none</v>
      </c>
      <c r="O2" s="59" t="e">
        <f>FIND("effect:",N2)+7</f>
        <v>#VALUE!</v>
      </c>
      <c r="P2" s="59">
        <f>IFERROR(FIND(",",N2),LEN(N2))</f>
        <v>4</v>
      </c>
      <c r="Q2" s="59" t="e">
        <f>FIND("target:",N2)+7</f>
        <v>#VALUE!</v>
      </c>
      <c r="R2" s="59" t="e">
        <f>FIND(",",N2,P2+1)</f>
        <v>#VALUE!</v>
      </c>
      <c r="S2" s="59" t="str">
        <f>IFERROR(VLOOKUP(MID(N2,Q2,R2-Q2),[6]skilldef!$C:$D,2,FALSE),"-") &amp; " / " &amp; IFERROR(VLOOKUP(MID(N2,O2,P2-O2),[6]skilldef!$A:$B,2,FALSE),"-")</f>
        <v>- / -</v>
      </c>
      <c r="T2" s="44" t="str">
        <f>IFERROR(RIGHT(M2,LEN(M2)-FIND("],",M2)-1),"none")</f>
        <v>none</v>
      </c>
      <c r="U2" s="59" t="e">
        <f>FIND("effect:",T2)+7</f>
        <v>#VALUE!</v>
      </c>
      <c r="V2" s="59">
        <f>IFERROR(FIND(",",T2),LEN(T2))</f>
        <v>4</v>
      </c>
      <c r="W2" s="59" t="e">
        <f>FIND("target:",T2)+7</f>
        <v>#VALUE!</v>
      </c>
      <c r="X2" s="59" t="e">
        <f>FIND(",",T2,V2+1)</f>
        <v>#VALUE!</v>
      </c>
      <c r="Y2" s="59" t="str">
        <f>IFERROR(VLOOKUP(MID(T2,W2,X2-W2),[6]skilldef!$C:$D,2,FALSE),"-") &amp; " / " &amp; IFERROR(VLOOKUP(MID(T2,U2,V2-U2),[6]skilldef!$A:$B,2,FALSE),"-")</f>
        <v>- / -</v>
      </c>
      <c r="Z2" s="43" t="s">
        <v>305</v>
      </c>
      <c r="AA2" s="113">
        <v>42597</v>
      </c>
      <c r="AB2" s="46" t="s">
        <v>368</v>
      </c>
    </row>
    <row r="3" spans="1:28" ht="21" customHeight="1" x14ac:dyDescent="0.15">
      <c r="A3" s="43">
        <v>39007002</v>
      </c>
      <c r="B3" s="43" t="s">
        <v>307</v>
      </c>
      <c r="C3" s="46">
        <v>3</v>
      </c>
      <c r="D3" s="46" t="s">
        <v>196</v>
      </c>
      <c r="E3" s="46" t="s">
        <v>325</v>
      </c>
      <c r="F3" s="47" t="s">
        <v>348</v>
      </c>
      <c r="G3" s="59" t="str">
        <f t="shared" ref="G3:G24" si="0">IFERROR(LEFT(B3,FIND("],",B3)),B3)</f>
        <v>[effect:freq_turn, target:myself, turn:3, val:1, animation:enemy_freq_turn]</v>
      </c>
      <c r="H3" s="59">
        <f t="shared" ref="H3:H24" si="1">FIND("effect:",G3)+7</f>
        <v>9</v>
      </c>
      <c r="I3" s="59">
        <f t="shared" ref="I3:I24" si="2">IFERROR(FIND(",",G3),LEN(G3))</f>
        <v>18</v>
      </c>
      <c r="J3" s="59">
        <f t="shared" ref="J3:J24" si="3">FIND("target:",G3)+7</f>
        <v>27</v>
      </c>
      <c r="K3" s="59">
        <f t="shared" ref="K3:K24" si="4">FIND(",",G3,I3+1)</f>
        <v>33</v>
      </c>
      <c r="L3" s="59" t="str">
        <f>IFERROR(VLOOKUP(MID(G3,J3,K3-J3),[6]skilldef!$C:$D,2,FALSE),"-") &amp; " / " &amp; IFERROR(VLOOKUP(MID(G3,H3,I3-H3),[6]skilldef!$A:$B,2,FALSE),"-")</f>
        <v>自分自身に / 攻撃頻度がUP</v>
      </c>
      <c r="M3" s="59" t="str">
        <f t="shared" ref="M3:M24" si="5">IFERROR(RIGHT(B3,LEN(B3)-FIND("],",B3)-1),"none")</f>
        <v>none</v>
      </c>
      <c r="N3" s="44" t="str">
        <f t="shared" ref="N3:N24" si="6">IFERROR(LEFT(M3,FIND("],",M3)+S13),M3)</f>
        <v>none</v>
      </c>
      <c r="O3" s="59" t="e">
        <f t="shared" ref="O3:O24" si="7">FIND("effect:",N3)+7</f>
        <v>#VALUE!</v>
      </c>
      <c r="P3" s="59">
        <f t="shared" ref="P3:P24" si="8">IFERROR(FIND(",",N3),LEN(N3))</f>
        <v>4</v>
      </c>
      <c r="Q3" s="59" t="e">
        <f t="shared" ref="Q3:Q24" si="9">FIND("target:",N3)+7</f>
        <v>#VALUE!</v>
      </c>
      <c r="R3" s="59" t="e">
        <f t="shared" ref="R3:R24" si="10">FIND(",",N3,P3+1)</f>
        <v>#VALUE!</v>
      </c>
      <c r="S3" s="59" t="str">
        <f>IFERROR(VLOOKUP(MID(N3,Q3,R3-Q3),[6]skilldef!$C:$D,2,FALSE),"-") &amp; " / " &amp; IFERROR(VLOOKUP(MID(N3,O3,P3-O3),[6]skilldef!$A:$B,2,FALSE),"-")</f>
        <v>- / -</v>
      </c>
      <c r="T3" s="44" t="str">
        <f t="shared" ref="T3:T24" si="11">IFERROR(RIGHT(M3,LEN(M3)-FIND("],",M3)-1),"none")</f>
        <v>none</v>
      </c>
      <c r="U3" s="59" t="e">
        <f t="shared" ref="U3:U24" si="12">FIND("effect:",T3)+7</f>
        <v>#VALUE!</v>
      </c>
      <c r="V3" s="59">
        <f t="shared" ref="V3:V24" si="13">IFERROR(FIND(",",T3),LEN(T3))</f>
        <v>4</v>
      </c>
      <c r="W3" s="59" t="e">
        <f t="shared" ref="W3:W24" si="14">FIND("target:",T3)+7</f>
        <v>#VALUE!</v>
      </c>
      <c r="X3" s="59" t="e">
        <f t="shared" ref="X3:X24" si="15">FIND(",",T3,V3+1)</f>
        <v>#VALUE!</v>
      </c>
      <c r="Y3" s="59" t="str">
        <f>IFERROR(VLOOKUP(MID(T3,W3,X3-W3),[6]skilldef!$C:$D,2,FALSE),"-") &amp; " / " &amp; IFERROR(VLOOKUP(MID(T3,U3,V3-U3),[6]skilldef!$A:$B,2,FALSE),"-")</f>
        <v>- / -</v>
      </c>
      <c r="Z3" s="43" t="s">
        <v>305</v>
      </c>
      <c r="AA3" s="113">
        <v>42597</v>
      </c>
      <c r="AB3" s="46" t="s">
        <v>369</v>
      </c>
    </row>
    <row r="4" spans="1:28" ht="21" customHeight="1" x14ac:dyDescent="0.15">
      <c r="A4" s="43">
        <v>39007003</v>
      </c>
      <c r="B4" s="43" t="s">
        <v>308</v>
      </c>
      <c r="C4" s="46">
        <v>3</v>
      </c>
      <c r="D4" s="46" t="s">
        <v>196</v>
      </c>
      <c r="E4" s="47" t="s">
        <v>326</v>
      </c>
      <c r="F4" s="47" t="s">
        <v>349</v>
      </c>
      <c r="G4" s="59" t="str">
        <f t="shared" si="0"/>
        <v>[effect:nothing]</v>
      </c>
      <c r="H4" s="59">
        <f t="shared" si="1"/>
        <v>9</v>
      </c>
      <c r="I4" s="59">
        <f t="shared" si="2"/>
        <v>16</v>
      </c>
      <c r="J4" s="59" t="e">
        <f t="shared" si="3"/>
        <v>#VALUE!</v>
      </c>
      <c r="K4" s="59" t="e">
        <f t="shared" si="4"/>
        <v>#VALUE!</v>
      </c>
      <c r="L4" s="59" t="str">
        <f>IFERROR(VLOOKUP(MID(G4,J4,K4-J4),[6]skilldef!$C:$D,2,FALSE),"-") &amp; " / " &amp; IFERROR(VLOOKUP(MID(G4,H4,I4-H4),[6]skilldef!$A:$B,2,FALSE),"-")</f>
        <v>- / 何もしない</v>
      </c>
      <c r="M4" s="59" t="str">
        <f t="shared" si="5"/>
        <v>none</v>
      </c>
      <c r="N4" s="44" t="str">
        <f t="shared" si="6"/>
        <v>none</v>
      </c>
      <c r="O4" s="59" t="e">
        <f t="shared" si="7"/>
        <v>#VALUE!</v>
      </c>
      <c r="P4" s="59">
        <f t="shared" si="8"/>
        <v>4</v>
      </c>
      <c r="Q4" s="59" t="e">
        <f t="shared" si="9"/>
        <v>#VALUE!</v>
      </c>
      <c r="R4" s="59" t="e">
        <f t="shared" si="10"/>
        <v>#VALUE!</v>
      </c>
      <c r="S4" s="59" t="str">
        <f>IFERROR(VLOOKUP(MID(N4,Q4,R4-Q4),[6]skilldef!$C:$D,2,FALSE),"-") &amp; " / " &amp; IFERROR(VLOOKUP(MID(N4,O4,P4-O4),[6]skilldef!$A:$B,2,FALSE),"-")</f>
        <v>- / -</v>
      </c>
      <c r="T4" s="44" t="str">
        <f t="shared" si="11"/>
        <v>none</v>
      </c>
      <c r="U4" s="59" t="e">
        <f t="shared" si="12"/>
        <v>#VALUE!</v>
      </c>
      <c r="V4" s="59">
        <f t="shared" si="13"/>
        <v>4</v>
      </c>
      <c r="W4" s="59" t="e">
        <f t="shared" si="14"/>
        <v>#VALUE!</v>
      </c>
      <c r="X4" s="59" t="e">
        <f t="shared" si="15"/>
        <v>#VALUE!</v>
      </c>
      <c r="Y4" s="59" t="str">
        <f>IFERROR(VLOOKUP(MID(T4,W4,X4-W4),[6]skilldef!$C:$D,2,FALSE),"-") &amp; " / " &amp; IFERROR(VLOOKUP(MID(T4,U4,V4-U4),[6]skilldef!$A:$B,2,FALSE),"-")</f>
        <v>- / -</v>
      </c>
      <c r="Z4" s="43" t="s">
        <v>305</v>
      </c>
      <c r="AA4" s="113">
        <v>42597</v>
      </c>
      <c r="AB4" s="46" t="s">
        <v>370</v>
      </c>
    </row>
    <row r="5" spans="1:28" ht="21" customHeight="1" x14ac:dyDescent="0.15">
      <c r="A5" s="43">
        <v>39007004</v>
      </c>
      <c r="B5" s="43" t="s">
        <v>308</v>
      </c>
      <c r="C5" s="46">
        <v>3</v>
      </c>
      <c r="D5" s="46" t="s">
        <v>196</v>
      </c>
      <c r="E5" s="47" t="s">
        <v>327</v>
      </c>
      <c r="F5" s="47" t="s">
        <v>350</v>
      </c>
      <c r="G5" s="59" t="str">
        <f t="shared" si="0"/>
        <v>[effect:nothing]</v>
      </c>
      <c r="H5" s="59">
        <f t="shared" si="1"/>
        <v>9</v>
      </c>
      <c r="I5" s="59">
        <f t="shared" si="2"/>
        <v>16</v>
      </c>
      <c r="J5" s="59" t="e">
        <f t="shared" si="3"/>
        <v>#VALUE!</v>
      </c>
      <c r="K5" s="59" t="e">
        <f t="shared" si="4"/>
        <v>#VALUE!</v>
      </c>
      <c r="L5" s="59" t="str">
        <f>IFERROR(VLOOKUP(MID(G5,J5,K5-J5),[6]skilldef!$C:$D,2,FALSE),"-") &amp; " / " &amp; IFERROR(VLOOKUP(MID(G5,H5,I5-H5),[6]skilldef!$A:$B,2,FALSE),"-")</f>
        <v>- / 何もしない</v>
      </c>
      <c r="M5" s="59" t="str">
        <f t="shared" si="5"/>
        <v>none</v>
      </c>
      <c r="N5" s="44" t="str">
        <f t="shared" si="6"/>
        <v>none</v>
      </c>
      <c r="O5" s="59" t="e">
        <f t="shared" si="7"/>
        <v>#VALUE!</v>
      </c>
      <c r="P5" s="59">
        <f t="shared" si="8"/>
        <v>4</v>
      </c>
      <c r="Q5" s="59" t="e">
        <f t="shared" si="9"/>
        <v>#VALUE!</v>
      </c>
      <c r="R5" s="59" t="e">
        <f t="shared" si="10"/>
        <v>#VALUE!</v>
      </c>
      <c r="S5" s="59" t="str">
        <f>IFERROR(VLOOKUP(MID(N5,Q5,R5-Q5),[6]skilldef!$C:$D,2,FALSE),"-") &amp; " / " &amp; IFERROR(VLOOKUP(MID(N5,O5,P5-O5),[6]skilldef!$A:$B,2,FALSE),"-")</f>
        <v>- / -</v>
      </c>
      <c r="T5" s="44" t="str">
        <f t="shared" si="11"/>
        <v>none</v>
      </c>
      <c r="U5" s="59" t="e">
        <f t="shared" si="12"/>
        <v>#VALUE!</v>
      </c>
      <c r="V5" s="59">
        <f t="shared" si="13"/>
        <v>4</v>
      </c>
      <c r="W5" s="59" t="e">
        <f t="shared" si="14"/>
        <v>#VALUE!</v>
      </c>
      <c r="X5" s="59" t="e">
        <f t="shared" si="15"/>
        <v>#VALUE!</v>
      </c>
      <c r="Y5" s="59" t="str">
        <f>IFERROR(VLOOKUP(MID(T5,W5,X5-W5),[6]skilldef!$C:$D,2,FALSE),"-") &amp; " / " &amp; IFERROR(VLOOKUP(MID(T5,U5,V5-U5),[6]skilldef!$A:$B,2,FALSE),"-")</f>
        <v>- / -</v>
      </c>
      <c r="Z5" s="43" t="s">
        <v>305</v>
      </c>
      <c r="AA5" s="113">
        <v>42597</v>
      </c>
      <c r="AB5" s="46" t="s">
        <v>371</v>
      </c>
    </row>
    <row r="6" spans="1:28" ht="21" customHeight="1" x14ac:dyDescent="0.15">
      <c r="A6" s="43">
        <v>39007005</v>
      </c>
      <c r="B6" s="43" t="s">
        <v>309</v>
      </c>
      <c r="C6" s="46">
        <v>3</v>
      </c>
      <c r="D6" s="46" t="s">
        <v>196</v>
      </c>
      <c r="E6" s="46" t="s">
        <v>328</v>
      </c>
      <c r="F6" s="47" t="s">
        <v>351</v>
      </c>
      <c r="G6" s="59" t="str">
        <f t="shared" si="0"/>
        <v xml:space="preserve">[effect:heal, target:enemy_all, val:0.2, animation:enemy_heal]    </v>
      </c>
      <c r="H6" s="59">
        <f t="shared" si="1"/>
        <v>9</v>
      </c>
      <c r="I6" s="59">
        <f t="shared" si="2"/>
        <v>13</v>
      </c>
      <c r="J6" s="59">
        <f t="shared" si="3"/>
        <v>22</v>
      </c>
      <c r="K6" s="59">
        <f t="shared" si="4"/>
        <v>31</v>
      </c>
      <c r="L6" s="59" t="str">
        <f>IFERROR(VLOOKUP(MID(G6,J6,K6-J6),[6]skilldef!$C:$D,2,FALSE),"-") &amp; " / " &amp; IFERROR(VLOOKUP(MID(G6,H6,I6-H6),[6]skilldef!$A:$B,2,FALSE),"-")</f>
        <v>敵全体に / 回復</v>
      </c>
      <c r="M6" s="59" t="str">
        <f t="shared" si="5"/>
        <v>none</v>
      </c>
      <c r="N6" s="44" t="str">
        <f t="shared" si="6"/>
        <v>none</v>
      </c>
      <c r="O6" s="59" t="e">
        <f t="shared" si="7"/>
        <v>#VALUE!</v>
      </c>
      <c r="P6" s="59">
        <f t="shared" si="8"/>
        <v>4</v>
      </c>
      <c r="Q6" s="59" t="e">
        <f t="shared" si="9"/>
        <v>#VALUE!</v>
      </c>
      <c r="R6" s="59" t="e">
        <f t="shared" si="10"/>
        <v>#VALUE!</v>
      </c>
      <c r="S6" s="59" t="str">
        <f>IFERROR(VLOOKUP(MID(N6,Q6,R6-Q6),[6]skilldef!$C:$D,2,FALSE),"-") &amp; " / " &amp; IFERROR(VLOOKUP(MID(N6,O6,P6-O6),[6]skilldef!$A:$B,2,FALSE),"-")</f>
        <v>- / -</v>
      </c>
      <c r="T6" s="44" t="str">
        <f t="shared" si="11"/>
        <v>none</v>
      </c>
      <c r="U6" s="59" t="e">
        <f t="shared" si="12"/>
        <v>#VALUE!</v>
      </c>
      <c r="V6" s="59">
        <f t="shared" si="13"/>
        <v>4</v>
      </c>
      <c r="W6" s="59" t="e">
        <f t="shared" si="14"/>
        <v>#VALUE!</v>
      </c>
      <c r="X6" s="59" t="e">
        <f t="shared" si="15"/>
        <v>#VALUE!</v>
      </c>
      <c r="Y6" s="59" t="str">
        <f>IFERROR(VLOOKUP(MID(T6,W6,X6-W6),[6]skilldef!$C:$D,2,FALSE),"-") &amp; " / " &amp; IFERROR(VLOOKUP(MID(T6,U6,V6-U6),[6]skilldef!$A:$B,2,FALSE),"-")</f>
        <v>- / -</v>
      </c>
      <c r="Z6" s="43" t="s">
        <v>305</v>
      </c>
      <c r="AA6" s="113">
        <v>42597</v>
      </c>
      <c r="AB6" s="46" t="s">
        <v>372</v>
      </c>
    </row>
    <row r="7" spans="1:28" ht="21" customHeight="1" x14ac:dyDescent="0.15">
      <c r="A7" s="43">
        <v>39007006</v>
      </c>
      <c r="B7" s="43" t="s">
        <v>310</v>
      </c>
      <c r="C7" s="46">
        <v>3</v>
      </c>
      <c r="D7" s="46" t="s">
        <v>196</v>
      </c>
      <c r="E7" s="47" t="s">
        <v>329</v>
      </c>
      <c r="F7" s="47" t="s">
        <v>352</v>
      </c>
      <c r="G7" s="59" t="str">
        <f t="shared" si="0"/>
        <v>[effect:enemy_message, val1:3, val2:3, dead_type:escape]</v>
      </c>
      <c r="H7" s="59">
        <f t="shared" si="1"/>
        <v>9</v>
      </c>
      <c r="I7" s="59">
        <f t="shared" si="2"/>
        <v>22</v>
      </c>
      <c r="J7" s="59" t="e">
        <f t="shared" si="3"/>
        <v>#VALUE!</v>
      </c>
      <c r="K7" s="59">
        <f t="shared" si="4"/>
        <v>30</v>
      </c>
      <c r="L7" s="59" t="str">
        <f>IFERROR(VLOOKUP(MID(G7,J7,K7-J7),[6]skilldef!$C:$D,2,FALSE),"-") &amp; " / " &amp; IFERROR(VLOOKUP(MID(G7,H7,I7-H7),[6]skilldef!$A:$B,2,FALSE),"-")</f>
        <v>- / -</v>
      </c>
      <c r="M7" s="59" t="str">
        <f t="shared" si="5"/>
        <v>none</v>
      </c>
      <c r="N7" s="44" t="str">
        <f t="shared" si="6"/>
        <v>none</v>
      </c>
      <c r="O7" s="59" t="e">
        <f t="shared" si="7"/>
        <v>#VALUE!</v>
      </c>
      <c r="P7" s="59">
        <f t="shared" si="8"/>
        <v>4</v>
      </c>
      <c r="Q7" s="59" t="e">
        <f t="shared" si="9"/>
        <v>#VALUE!</v>
      </c>
      <c r="R7" s="59" t="e">
        <f t="shared" si="10"/>
        <v>#VALUE!</v>
      </c>
      <c r="S7" s="59" t="str">
        <f>IFERROR(VLOOKUP(MID(N7,Q7,R7-Q7),[6]skilldef!$C:$D,2,FALSE),"-") &amp; " / " &amp; IFERROR(VLOOKUP(MID(N7,O7,P7-O7),[6]skilldef!$A:$B,2,FALSE),"-")</f>
        <v>- / -</v>
      </c>
      <c r="T7" s="44" t="str">
        <f t="shared" si="11"/>
        <v>none</v>
      </c>
      <c r="U7" s="59" t="e">
        <f t="shared" si="12"/>
        <v>#VALUE!</v>
      </c>
      <c r="V7" s="59">
        <f t="shared" si="13"/>
        <v>4</v>
      </c>
      <c r="W7" s="59" t="e">
        <f t="shared" si="14"/>
        <v>#VALUE!</v>
      </c>
      <c r="X7" s="59" t="e">
        <f t="shared" si="15"/>
        <v>#VALUE!</v>
      </c>
      <c r="Y7" s="59" t="str">
        <f>IFERROR(VLOOKUP(MID(T7,W7,X7-W7),[6]skilldef!$C:$D,2,FALSE),"-") &amp; " / " &amp; IFERROR(VLOOKUP(MID(T7,U7,V7-U7),[6]skilldef!$A:$B,2,FALSE),"-")</f>
        <v>- / -</v>
      </c>
      <c r="Z7" s="43" t="s">
        <v>305</v>
      </c>
      <c r="AA7" s="113">
        <v>42597</v>
      </c>
      <c r="AB7" s="46" t="s">
        <v>373</v>
      </c>
    </row>
    <row r="8" spans="1:28" ht="21" customHeight="1" x14ac:dyDescent="0.15">
      <c r="A8" s="43">
        <v>39007007</v>
      </c>
      <c r="B8" s="43" t="s">
        <v>311</v>
      </c>
      <c r="C8" s="46">
        <v>3</v>
      </c>
      <c r="D8" s="46" t="s">
        <v>196</v>
      </c>
      <c r="E8" s="46" t="s">
        <v>330</v>
      </c>
      <c r="F8" s="47" t="s">
        <v>353</v>
      </c>
      <c r="G8" s="59" t="str">
        <f t="shared" si="0"/>
        <v xml:space="preserve">[effect:enhance_enemy, target:enemy_all, turn:2, status:defense, val:1000, calc:add, animation:enemy_enhance_defense]    </v>
      </c>
      <c r="H8" s="59">
        <f t="shared" si="1"/>
        <v>9</v>
      </c>
      <c r="I8" s="59">
        <f t="shared" si="2"/>
        <v>22</v>
      </c>
      <c r="J8" s="59">
        <f t="shared" si="3"/>
        <v>31</v>
      </c>
      <c r="K8" s="59">
        <f t="shared" si="4"/>
        <v>40</v>
      </c>
      <c r="L8" s="59" t="str">
        <f>IFERROR(VLOOKUP(MID(G8,J8,K8-J8),[6]skilldef!$C:$D,2,FALSE),"-") &amp; " / " &amp; IFERROR(VLOOKUP(MID(G8,H8,I8-H8),[6]skilldef!$A:$B,2,FALSE),"-")</f>
        <v>敵全体に / ステータス強化</v>
      </c>
      <c r="M8" s="59" t="str">
        <f t="shared" si="5"/>
        <v>none</v>
      </c>
      <c r="N8" s="44" t="str">
        <f t="shared" si="6"/>
        <v>none</v>
      </c>
      <c r="O8" s="59" t="e">
        <f t="shared" si="7"/>
        <v>#VALUE!</v>
      </c>
      <c r="P8" s="59">
        <f t="shared" si="8"/>
        <v>4</v>
      </c>
      <c r="Q8" s="59" t="e">
        <f t="shared" si="9"/>
        <v>#VALUE!</v>
      </c>
      <c r="R8" s="59" t="e">
        <f t="shared" si="10"/>
        <v>#VALUE!</v>
      </c>
      <c r="S8" s="59" t="str">
        <f>IFERROR(VLOOKUP(MID(N8,Q8,R8-Q8),[6]skilldef!$C:$D,2,FALSE),"-") &amp; " / " &amp; IFERROR(VLOOKUP(MID(N8,O8,P8-O8),[6]skilldef!$A:$B,2,FALSE),"-")</f>
        <v>- / -</v>
      </c>
      <c r="T8" s="44" t="str">
        <f t="shared" si="11"/>
        <v>none</v>
      </c>
      <c r="U8" s="59" t="e">
        <f t="shared" si="12"/>
        <v>#VALUE!</v>
      </c>
      <c r="V8" s="59">
        <f t="shared" si="13"/>
        <v>4</v>
      </c>
      <c r="W8" s="59" t="e">
        <f t="shared" si="14"/>
        <v>#VALUE!</v>
      </c>
      <c r="X8" s="59" t="e">
        <f t="shared" si="15"/>
        <v>#VALUE!</v>
      </c>
      <c r="Y8" s="59" t="str">
        <f>IFERROR(VLOOKUP(MID(T8,W8,X8-W8),[6]skilldef!$C:$D,2,FALSE),"-") &amp; " / " &amp; IFERROR(VLOOKUP(MID(T8,U8,V8-U8),[6]skilldef!$A:$B,2,FALSE),"-")</f>
        <v>- / -</v>
      </c>
      <c r="Z8" s="43" t="s">
        <v>305</v>
      </c>
      <c r="AA8" s="113">
        <v>42597</v>
      </c>
      <c r="AB8" s="46" t="s">
        <v>374</v>
      </c>
    </row>
    <row r="9" spans="1:28" ht="21" customHeight="1" x14ac:dyDescent="0.15">
      <c r="A9" s="43">
        <v>39007008</v>
      </c>
      <c r="B9" s="43" t="s">
        <v>312</v>
      </c>
      <c r="C9" s="46">
        <v>3</v>
      </c>
      <c r="D9" s="46" t="s">
        <v>196</v>
      </c>
      <c r="E9" s="46" t="s">
        <v>331</v>
      </c>
      <c r="F9" s="47" t="s">
        <v>354</v>
      </c>
      <c r="G9" s="59" t="str">
        <f t="shared" si="0"/>
        <v xml:space="preserve">[effect:spread, val:0.3]    </v>
      </c>
      <c r="H9" s="59">
        <f t="shared" si="1"/>
        <v>9</v>
      </c>
      <c r="I9" s="59">
        <f t="shared" si="2"/>
        <v>15</v>
      </c>
      <c r="J9" s="59" t="e">
        <f t="shared" si="3"/>
        <v>#VALUE!</v>
      </c>
      <c r="K9" s="59" t="e">
        <f t="shared" si="4"/>
        <v>#VALUE!</v>
      </c>
      <c r="L9" s="59" t="str">
        <f>IFERROR(VLOOKUP(MID(G9,J9,K9-J9),[6]skilldef!$C:$D,2,FALSE),"-") &amp; " / " &amp; IFERROR(VLOOKUP(MID(G9,H9,I9-H9),[6]skilldef!$A:$B,2,FALSE),"-")</f>
        <v>- / 全体攻撃</v>
      </c>
      <c r="M9" s="59" t="str">
        <f t="shared" si="5"/>
        <v>none</v>
      </c>
      <c r="N9" s="44" t="str">
        <f t="shared" si="6"/>
        <v>none</v>
      </c>
      <c r="O9" s="59" t="e">
        <f t="shared" si="7"/>
        <v>#VALUE!</v>
      </c>
      <c r="P9" s="59">
        <f t="shared" si="8"/>
        <v>4</v>
      </c>
      <c r="Q9" s="59" t="e">
        <f t="shared" si="9"/>
        <v>#VALUE!</v>
      </c>
      <c r="R9" s="59" t="e">
        <f t="shared" si="10"/>
        <v>#VALUE!</v>
      </c>
      <c r="S9" s="59" t="str">
        <f>IFERROR(VLOOKUP(MID(N9,Q9,R9-Q9),[6]skilldef!$C:$D,2,FALSE),"-") &amp; " / " &amp; IFERROR(VLOOKUP(MID(N9,O9,P9-O9),[6]skilldef!$A:$B,2,FALSE),"-")</f>
        <v>- / -</v>
      </c>
      <c r="T9" s="44" t="str">
        <f t="shared" si="11"/>
        <v>none</v>
      </c>
      <c r="U9" s="59" t="e">
        <f t="shared" si="12"/>
        <v>#VALUE!</v>
      </c>
      <c r="V9" s="59">
        <f t="shared" si="13"/>
        <v>4</v>
      </c>
      <c r="W9" s="59" t="e">
        <f t="shared" si="14"/>
        <v>#VALUE!</v>
      </c>
      <c r="X9" s="59" t="e">
        <f t="shared" si="15"/>
        <v>#VALUE!</v>
      </c>
      <c r="Y9" s="59" t="str">
        <f>IFERROR(VLOOKUP(MID(T9,W9,X9-W9),[6]skilldef!$C:$D,2,FALSE),"-") &amp; " / " &amp; IFERROR(VLOOKUP(MID(T9,U9,V9-U9),[6]skilldef!$A:$B,2,FALSE),"-")</f>
        <v>- / -</v>
      </c>
      <c r="Z9" s="43" t="s">
        <v>305</v>
      </c>
      <c r="AA9" s="113">
        <v>42597</v>
      </c>
      <c r="AB9" s="46" t="s">
        <v>375</v>
      </c>
    </row>
    <row r="10" spans="1:28" ht="21" customHeight="1" x14ac:dyDescent="0.15">
      <c r="A10" s="43">
        <v>39007009</v>
      </c>
      <c r="B10" s="43" t="s">
        <v>313</v>
      </c>
      <c r="C10" s="46">
        <v>3</v>
      </c>
      <c r="D10" s="46" t="s">
        <v>196</v>
      </c>
      <c r="E10" s="46" t="s">
        <v>332</v>
      </c>
      <c r="F10" s="47" t="s">
        <v>355</v>
      </c>
      <c r="G10" s="59" t="str">
        <f t="shared" si="0"/>
        <v xml:space="preserve">[effect:rush, count:2, val:0.4]    </v>
      </c>
      <c r="H10" s="59">
        <f t="shared" si="1"/>
        <v>9</v>
      </c>
      <c r="I10" s="59">
        <f t="shared" si="2"/>
        <v>13</v>
      </c>
      <c r="J10" s="59" t="e">
        <f t="shared" si="3"/>
        <v>#VALUE!</v>
      </c>
      <c r="K10" s="59">
        <f t="shared" si="4"/>
        <v>22</v>
      </c>
      <c r="L10" s="59" t="str">
        <f>IFERROR(VLOOKUP(MID(G10,J10,K10-J10),[6]skilldef!$C:$D,2,FALSE),"-") &amp; " / " &amp; IFERROR(VLOOKUP(MID(G10,H10,I10-H10),[6]skilldef!$A:$B,2,FALSE),"-")</f>
        <v>- / 連続攻撃</v>
      </c>
      <c r="M10" s="59" t="str">
        <f t="shared" si="5"/>
        <v>none</v>
      </c>
      <c r="N10" s="44" t="str">
        <f t="shared" si="6"/>
        <v>none</v>
      </c>
      <c r="O10" s="59" t="e">
        <f t="shared" si="7"/>
        <v>#VALUE!</v>
      </c>
      <c r="P10" s="59">
        <f t="shared" si="8"/>
        <v>4</v>
      </c>
      <c r="Q10" s="59" t="e">
        <f t="shared" si="9"/>
        <v>#VALUE!</v>
      </c>
      <c r="R10" s="59" t="e">
        <f t="shared" si="10"/>
        <v>#VALUE!</v>
      </c>
      <c r="S10" s="59" t="str">
        <f>IFERROR(VLOOKUP(MID(N10,Q10,R10-Q10),[6]skilldef!$C:$D,2,FALSE),"-") &amp; " / " &amp; IFERROR(VLOOKUP(MID(N10,O10,P10-O10),[6]skilldef!$A:$B,2,FALSE),"-")</f>
        <v>- / -</v>
      </c>
      <c r="T10" s="44" t="str">
        <f t="shared" si="11"/>
        <v>none</v>
      </c>
      <c r="U10" s="59" t="e">
        <f t="shared" si="12"/>
        <v>#VALUE!</v>
      </c>
      <c r="V10" s="59">
        <f t="shared" si="13"/>
        <v>4</v>
      </c>
      <c r="W10" s="59" t="e">
        <f t="shared" si="14"/>
        <v>#VALUE!</v>
      </c>
      <c r="X10" s="59" t="e">
        <f t="shared" si="15"/>
        <v>#VALUE!</v>
      </c>
      <c r="Y10" s="59" t="str">
        <f>IFERROR(VLOOKUP(MID(T10,W10,X10-W10),[6]skilldef!$C:$D,2,FALSE),"-") &amp; " / " &amp; IFERROR(VLOOKUP(MID(T10,U10,V10-U10),[6]skilldef!$A:$B,2,FALSE),"-")</f>
        <v>- / -</v>
      </c>
      <c r="Z10" s="43" t="s">
        <v>305</v>
      </c>
      <c r="AA10" s="113">
        <v>42597</v>
      </c>
      <c r="AB10" s="46" t="s">
        <v>376</v>
      </c>
    </row>
    <row r="11" spans="1:28" ht="21" customHeight="1" x14ac:dyDescent="0.15">
      <c r="A11" s="43">
        <v>39007010</v>
      </c>
      <c r="B11" s="43" t="s">
        <v>314</v>
      </c>
      <c r="C11" s="46">
        <v>3</v>
      </c>
      <c r="D11" s="46" t="s">
        <v>196</v>
      </c>
      <c r="E11" s="46" t="s">
        <v>333</v>
      </c>
      <c r="F11" s="47" t="s">
        <v>356</v>
      </c>
      <c r="G11" s="59" t="str">
        <f t="shared" si="0"/>
        <v xml:space="preserve">[effect:critical, val:0.8]    </v>
      </c>
      <c r="H11" s="59">
        <f t="shared" si="1"/>
        <v>9</v>
      </c>
      <c r="I11" s="59">
        <f t="shared" si="2"/>
        <v>17</v>
      </c>
      <c r="J11" s="59" t="e">
        <f t="shared" si="3"/>
        <v>#VALUE!</v>
      </c>
      <c r="K11" s="59" t="e">
        <f t="shared" si="4"/>
        <v>#VALUE!</v>
      </c>
      <c r="L11" s="59" t="str">
        <f>IFERROR(VLOOKUP(MID(G11,J11,K11-J11),[6]skilldef!$C:$D,2,FALSE),"-") &amp; " / " &amp; IFERROR(VLOOKUP(MID(G11,H11,I11-H11),[6]skilldef!$A:$B,2,FALSE),"-")</f>
        <v>- / 大攻撃</v>
      </c>
      <c r="M11" s="59" t="str">
        <f t="shared" si="5"/>
        <v>none</v>
      </c>
      <c r="N11" s="44" t="str">
        <f t="shared" si="6"/>
        <v>none</v>
      </c>
      <c r="O11" s="59" t="e">
        <f t="shared" si="7"/>
        <v>#VALUE!</v>
      </c>
      <c r="P11" s="59">
        <f t="shared" si="8"/>
        <v>4</v>
      </c>
      <c r="Q11" s="59" t="e">
        <f t="shared" si="9"/>
        <v>#VALUE!</v>
      </c>
      <c r="R11" s="59" t="e">
        <f t="shared" si="10"/>
        <v>#VALUE!</v>
      </c>
      <c r="S11" s="59" t="str">
        <f>IFERROR(VLOOKUP(MID(N11,Q11,R11-Q11),[6]skilldef!$C:$D,2,FALSE),"-") &amp; " / " &amp; IFERROR(VLOOKUP(MID(N11,O11,P11-O11),[6]skilldef!$A:$B,2,FALSE),"-")</f>
        <v>- / -</v>
      </c>
      <c r="T11" s="44" t="str">
        <f t="shared" si="11"/>
        <v>none</v>
      </c>
      <c r="U11" s="59" t="e">
        <f t="shared" si="12"/>
        <v>#VALUE!</v>
      </c>
      <c r="V11" s="59">
        <f t="shared" si="13"/>
        <v>4</v>
      </c>
      <c r="W11" s="59" t="e">
        <f t="shared" si="14"/>
        <v>#VALUE!</v>
      </c>
      <c r="X11" s="59" t="e">
        <f t="shared" si="15"/>
        <v>#VALUE!</v>
      </c>
      <c r="Y11" s="59" t="str">
        <f>IFERROR(VLOOKUP(MID(T11,W11,X11-W11),[6]skilldef!$C:$D,2,FALSE),"-") &amp; " / " &amp; IFERROR(VLOOKUP(MID(T11,U11,V11-U11),[6]skilldef!$A:$B,2,FALSE),"-")</f>
        <v>- / -</v>
      </c>
      <c r="Z11" s="43" t="s">
        <v>305</v>
      </c>
      <c r="AA11" s="113">
        <v>42597</v>
      </c>
      <c r="AB11" s="46" t="s">
        <v>377</v>
      </c>
    </row>
    <row r="12" spans="1:28" ht="21" customHeight="1" x14ac:dyDescent="0.15">
      <c r="A12" s="43">
        <v>39007011</v>
      </c>
      <c r="B12" s="43" t="s">
        <v>315</v>
      </c>
      <c r="C12" s="46">
        <v>3</v>
      </c>
      <c r="D12" s="46" t="s">
        <v>196</v>
      </c>
      <c r="E12" s="46" t="s">
        <v>334</v>
      </c>
      <c r="F12" s="47" t="s">
        <v>357</v>
      </c>
      <c r="G12" s="59" t="str">
        <f t="shared" si="0"/>
        <v>[effect:enhance_enemy, target:enemy_all, turn:2, status:attack, val:0.8, calc:mul, animation:enemy_enhance_attack]</v>
      </c>
      <c r="H12" s="59">
        <f t="shared" si="1"/>
        <v>9</v>
      </c>
      <c r="I12" s="59">
        <f t="shared" si="2"/>
        <v>22</v>
      </c>
      <c r="J12" s="59">
        <f t="shared" si="3"/>
        <v>31</v>
      </c>
      <c r="K12" s="59">
        <f t="shared" si="4"/>
        <v>40</v>
      </c>
      <c r="L12" s="59" t="str">
        <f>IFERROR(VLOOKUP(MID(G12,J12,K12-J12),[6]skilldef!$C:$D,2,FALSE),"-") &amp; " / " &amp; IFERROR(VLOOKUP(MID(G12,H12,I12-H12),[6]skilldef!$A:$B,2,FALSE),"-")</f>
        <v>敵全体に / ステータス強化</v>
      </c>
      <c r="M12" s="59" t="str">
        <f t="shared" si="5"/>
        <v>none</v>
      </c>
      <c r="N12" s="44" t="str">
        <f t="shared" si="6"/>
        <v>none</v>
      </c>
      <c r="O12" s="59" t="e">
        <f t="shared" si="7"/>
        <v>#VALUE!</v>
      </c>
      <c r="P12" s="59">
        <f t="shared" si="8"/>
        <v>4</v>
      </c>
      <c r="Q12" s="59" t="e">
        <f t="shared" si="9"/>
        <v>#VALUE!</v>
      </c>
      <c r="R12" s="59" t="e">
        <f t="shared" si="10"/>
        <v>#VALUE!</v>
      </c>
      <c r="S12" s="59" t="str">
        <f>IFERROR(VLOOKUP(MID(N12,Q12,R12-Q12),[6]skilldef!$C:$D,2,FALSE),"-") &amp; " / " &amp; IFERROR(VLOOKUP(MID(N12,O12,P12-O12),[6]skilldef!$A:$B,2,FALSE),"-")</f>
        <v>- / -</v>
      </c>
      <c r="T12" s="44" t="str">
        <f t="shared" si="11"/>
        <v>none</v>
      </c>
      <c r="U12" s="59" t="e">
        <f t="shared" si="12"/>
        <v>#VALUE!</v>
      </c>
      <c r="V12" s="59">
        <f t="shared" si="13"/>
        <v>4</v>
      </c>
      <c r="W12" s="59" t="e">
        <f t="shared" si="14"/>
        <v>#VALUE!</v>
      </c>
      <c r="X12" s="59" t="e">
        <f t="shared" si="15"/>
        <v>#VALUE!</v>
      </c>
      <c r="Y12" s="59" t="str">
        <f>IFERROR(VLOOKUP(MID(T12,W12,X12-W12),[6]skilldef!$C:$D,2,FALSE),"-") &amp; " / " &amp; IFERROR(VLOOKUP(MID(T12,U12,V12-U12),[6]skilldef!$A:$B,2,FALSE),"-")</f>
        <v>- / -</v>
      </c>
      <c r="Z12" s="43" t="s">
        <v>305</v>
      </c>
      <c r="AA12" s="113">
        <v>42597</v>
      </c>
      <c r="AB12" s="46" t="s">
        <v>378</v>
      </c>
    </row>
    <row r="13" spans="1:28" ht="21" customHeight="1" x14ac:dyDescent="0.15">
      <c r="A13" s="43">
        <v>39007012</v>
      </c>
      <c r="B13" s="43" t="s">
        <v>316</v>
      </c>
      <c r="C13" s="46">
        <v>3</v>
      </c>
      <c r="D13" s="46" t="s">
        <v>196</v>
      </c>
      <c r="E13" s="46" t="s">
        <v>335</v>
      </c>
      <c r="F13" s="47" t="s">
        <v>358</v>
      </c>
      <c r="G13" s="59" t="str">
        <f t="shared" si="0"/>
        <v xml:space="preserve">[effect:panel_freeze, target:block_heart, count:3]    </v>
      </c>
      <c r="H13" s="59">
        <f t="shared" si="1"/>
        <v>9</v>
      </c>
      <c r="I13" s="59">
        <f t="shared" si="2"/>
        <v>21</v>
      </c>
      <c r="J13" s="59">
        <f t="shared" si="3"/>
        <v>30</v>
      </c>
      <c r="K13" s="59">
        <f t="shared" si="4"/>
        <v>41</v>
      </c>
      <c r="L13" s="59" t="str">
        <f>IFERROR(VLOOKUP(MID(G13,J13,K13-J13),[6]skilldef!$C:$D,2,FALSE),"-") &amp; " / " &amp; IFERROR(VLOOKUP(MID(G13,H13,I13-H13),[6]skilldef!$A:$B,2,FALSE),"-")</f>
        <v>ハートパネルを / -</v>
      </c>
      <c r="M13" s="59" t="str">
        <f t="shared" si="5"/>
        <v>none</v>
      </c>
      <c r="N13" s="44" t="str">
        <f t="shared" si="6"/>
        <v>none</v>
      </c>
      <c r="O13" s="59" t="e">
        <f t="shared" si="7"/>
        <v>#VALUE!</v>
      </c>
      <c r="P13" s="59">
        <f t="shared" si="8"/>
        <v>4</v>
      </c>
      <c r="Q13" s="59" t="e">
        <f t="shared" si="9"/>
        <v>#VALUE!</v>
      </c>
      <c r="R13" s="59" t="e">
        <f t="shared" si="10"/>
        <v>#VALUE!</v>
      </c>
      <c r="S13" s="59" t="str">
        <f>IFERROR(VLOOKUP(MID(N13,Q13,R13-Q13),[6]skilldef!$C:$D,2,FALSE),"-") &amp; " / " &amp; IFERROR(VLOOKUP(MID(N13,O13,P13-O13),[6]skilldef!$A:$B,2,FALSE),"-")</f>
        <v>- / -</v>
      </c>
      <c r="T13" s="44" t="str">
        <f t="shared" si="11"/>
        <v>none</v>
      </c>
      <c r="U13" s="59" t="e">
        <f t="shared" si="12"/>
        <v>#VALUE!</v>
      </c>
      <c r="V13" s="59">
        <f t="shared" si="13"/>
        <v>4</v>
      </c>
      <c r="W13" s="59" t="e">
        <f t="shared" si="14"/>
        <v>#VALUE!</v>
      </c>
      <c r="X13" s="59" t="e">
        <f t="shared" si="15"/>
        <v>#VALUE!</v>
      </c>
      <c r="Y13" s="59" t="str">
        <f>IFERROR(VLOOKUP(MID(T13,W13,X13-W13),[6]skilldef!$C:$D,2,FALSE),"-") &amp; " / " &amp; IFERROR(VLOOKUP(MID(T13,U13,V13-U13),[6]skilldef!$A:$B,2,FALSE),"-")</f>
        <v>- / -</v>
      </c>
      <c r="Z13" s="43" t="s">
        <v>305</v>
      </c>
      <c r="AA13" s="113">
        <v>42597</v>
      </c>
      <c r="AB13" s="46" t="s">
        <v>379</v>
      </c>
    </row>
    <row r="14" spans="1:28" ht="21" customHeight="1" x14ac:dyDescent="0.15">
      <c r="A14" s="43">
        <v>39007013</v>
      </c>
      <c r="B14" s="43" t="s">
        <v>317</v>
      </c>
      <c r="C14" s="46">
        <v>3</v>
      </c>
      <c r="D14" s="46" t="s">
        <v>196</v>
      </c>
      <c r="E14" s="46" t="s">
        <v>336</v>
      </c>
      <c r="F14" s="47" t="s">
        <v>359</v>
      </c>
      <c r="G14" s="59" t="str">
        <f t="shared" si="0"/>
        <v xml:space="preserve">[effect:panel_freeze, target:block_heart, count:30]    </v>
      </c>
      <c r="H14" s="59">
        <f t="shared" si="1"/>
        <v>9</v>
      </c>
      <c r="I14" s="59">
        <f t="shared" si="2"/>
        <v>21</v>
      </c>
      <c r="J14" s="59">
        <f t="shared" si="3"/>
        <v>30</v>
      </c>
      <c r="K14" s="59">
        <f t="shared" si="4"/>
        <v>41</v>
      </c>
      <c r="L14" s="59" t="str">
        <f>IFERROR(VLOOKUP(MID(G14,J14,K14-J14),[6]skilldef!$C:$D,2,FALSE),"-") &amp; " / " &amp; IFERROR(VLOOKUP(MID(G14,H14,I14-H14),[6]skilldef!$A:$B,2,FALSE),"-")</f>
        <v>ハートパネルを / -</v>
      </c>
      <c r="M14" s="59" t="str">
        <f t="shared" si="5"/>
        <v>none</v>
      </c>
      <c r="N14" s="44" t="str">
        <f t="shared" si="6"/>
        <v>none</v>
      </c>
      <c r="O14" s="59" t="e">
        <f t="shared" si="7"/>
        <v>#VALUE!</v>
      </c>
      <c r="P14" s="59">
        <f t="shared" si="8"/>
        <v>4</v>
      </c>
      <c r="Q14" s="59" t="e">
        <f t="shared" si="9"/>
        <v>#VALUE!</v>
      </c>
      <c r="R14" s="59" t="e">
        <f t="shared" si="10"/>
        <v>#VALUE!</v>
      </c>
      <c r="S14" s="59" t="str">
        <f>IFERROR(VLOOKUP(MID(N14,Q14,R14-Q14),[6]skilldef!$C:$D,2,FALSE),"-") &amp; " / " &amp; IFERROR(VLOOKUP(MID(N14,O14,P14-O14),[6]skilldef!$A:$B,2,FALSE),"-")</f>
        <v>- / -</v>
      </c>
      <c r="T14" s="44" t="str">
        <f t="shared" si="11"/>
        <v>none</v>
      </c>
      <c r="U14" s="59" t="e">
        <f t="shared" si="12"/>
        <v>#VALUE!</v>
      </c>
      <c r="V14" s="59">
        <f t="shared" si="13"/>
        <v>4</v>
      </c>
      <c r="W14" s="59" t="e">
        <f t="shared" si="14"/>
        <v>#VALUE!</v>
      </c>
      <c r="X14" s="59" t="e">
        <f t="shared" si="15"/>
        <v>#VALUE!</v>
      </c>
      <c r="Y14" s="59" t="str">
        <f>IFERROR(VLOOKUP(MID(T14,W14,X14-W14),[6]skilldef!$C:$D,2,FALSE),"-") &amp; " / " &amp; IFERROR(VLOOKUP(MID(T14,U14,V14-U14),[6]skilldef!$A:$B,2,FALSE),"-")</f>
        <v>- / -</v>
      </c>
      <c r="Z14" s="43" t="s">
        <v>305</v>
      </c>
      <c r="AA14" s="113">
        <v>42597</v>
      </c>
      <c r="AB14" s="46" t="s">
        <v>380</v>
      </c>
    </row>
    <row r="15" spans="1:28" ht="21" customHeight="1" x14ac:dyDescent="0.15">
      <c r="A15" s="43">
        <v>39007014</v>
      </c>
      <c r="B15" s="43" t="s">
        <v>318</v>
      </c>
      <c r="C15" s="46">
        <v>3</v>
      </c>
      <c r="D15" s="46" t="s">
        <v>196</v>
      </c>
      <c r="E15" s="47" t="s">
        <v>337</v>
      </c>
      <c r="F15" s="47" t="s">
        <v>360</v>
      </c>
      <c r="G15" s="59" t="str">
        <f t="shared" si="0"/>
        <v xml:space="preserve">[effect:force_change_block, new_block:block_heart, target:block_green, count:0, val:0, animation:change_block]    </v>
      </c>
      <c r="H15" s="59">
        <f t="shared" si="1"/>
        <v>9</v>
      </c>
      <c r="I15" s="59">
        <f t="shared" si="2"/>
        <v>27</v>
      </c>
      <c r="J15" s="59">
        <f t="shared" si="3"/>
        <v>59</v>
      </c>
      <c r="K15" s="59">
        <f t="shared" si="4"/>
        <v>50</v>
      </c>
      <c r="L15" s="59" t="str">
        <f>IFERROR(VLOOKUP(MID(G15,J15,K15-J15),[6]skilldef!$C:$D,2,FALSE),"-") &amp; " / " &amp; IFERROR(VLOOKUP(MID(G15,H15,I15-H15),[6]skilldef!$A:$B,2,FALSE),"-")</f>
        <v>- / -</v>
      </c>
      <c r="M15" s="59" t="str">
        <f t="shared" si="5"/>
        <v>none</v>
      </c>
      <c r="N15" s="44" t="str">
        <f t="shared" si="6"/>
        <v>none</v>
      </c>
      <c r="O15" s="59" t="e">
        <f t="shared" si="7"/>
        <v>#VALUE!</v>
      </c>
      <c r="P15" s="59">
        <f t="shared" si="8"/>
        <v>4</v>
      </c>
      <c r="Q15" s="59" t="e">
        <f t="shared" si="9"/>
        <v>#VALUE!</v>
      </c>
      <c r="R15" s="59" t="e">
        <f t="shared" si="10"/>
        <v>#VALUE!</v>
      </c>
      <c r="S15" s="59" t="str">
        <f>IFERROR(VLOOKUP(MID(N15,Q15,R15-Q15),[6]skilldef!$C:$D,2,FALSE),"-") &amp; " / " &amp; IFERROR(VLOOKUP(MID(N15,O15,P15-O15),[6]skilldef!$A:$B,2,FALSE),"-")</f>
        <v>- / -</v>
      </c>
      <c r="T15" s="44" t="str">
        <f t="shared" si="11"/>
        <v>none</v>
      </c>
      <c r="U15" s="59" t="e">
        <f t="shared" si="12"/>
        <v>#VALUE!</v>
      </c>
      <c r="V15" s="59">
        <f t="shared" si="13"/>
        <v>4</v>
      </c>
      <c r="W15" s="59" t="e">
        <f t="shared" si="14"/>
        <v>#VALUE!</v>
      </c>
      <c r="X15" s="59" t="e">
        <f t="shared" si="15"/>
        <v>#VALUE!</v>
      </c>
      <c r="Y15" s="59" t="str">
        <f>IFERROR(VLOOKUP(MID(T15,W15,X15-W15),[6]skilldef!$C:$D,2,FALSE),"-") &amp; " / " &amp; IFERROR(VLOOKUP(MID(T15,U15,V15-U15),[6]skilldef!$A:$B,2,FALSE),"-")</f>
        <v>- / -</v>
      </c>
      <c r="Z15" s="43" t="s">
        <v>305</v>
      </c>
      <c r="AA15" s="113">
        <v>42597</v>
      </c>
      <c r="AB15" s="46" t="s">
        <v>381</v>
      </c>
    </row>
    <row r="16" spans="1:28" ht="21" customHeight="1" x14ac:dyDescent="0.15">
      <c r="A16" s="43">
        <v>39007015</v>
      </c>
      <c r="B16" s="43" t="s">
        <v>312</v>
      </c>
      <c r="C16" s="46">
        <v>3</v>
      </c>
      <c r="D16" s="46" t="s">
        <v>196</v>
      </c>
      <c r="E16" s="47" t="s">
        <v>338</v>
      </c>
      <c r="F16" s="47" t="s">
        <v>354</v>
      </c>
      <c r="G16" s="59" t="str">
        <f t="shared" si="0"/>
        <v xml:space="preserve">[effect:spread, val:0.3]    </v>
      </c>
      <c r="H16" s="59">
        <f t="shared" si="1"/>
        <v>9</v>
      </c>
      <c r="I16" s="59">
        <f t="shared" si="2"/>
        <v>15</v>
      </c>
      <c r="J16" s="59" t="e">
        <f t="shared" si="3"/>
        <v>#VALUE!</v>
      </c>
      <c r="K16" s="59" t="e">
        <f t="shared" si="4"/>
        <v>#VALUE!</v>
      </c>
      <c r="L16" s="59" t="str">
        <f>IFERROR(VLOOKUP(MID(G16,J16,K16-J16),[6]skilldef!$C:$D,2,FALSE),"-") &amp; " / " &amp; IFERROR(VLOOKUP(MID(G16,H16,I16-H16),[6]skilldef!$A:$B,2,FALSE),"-")</f>
        <v>- / 全体攻撃</v>
      </c>
      <c r="M16" s="59" t="str">
        <f t="shared" si="5"/>
        <v>none</v>
      </c>
      <c r="N16" s="44" t="str">
        <f t="shared" si="6"/>
        <v>none</v>
      </c>
      <c r="O16" s="59" t="e">
        <f t="shared" si="7"/>
        <v>#VALUE!</v>
      </c>
      <c r="P16" s="59">
        <f t="shared" si="8"/>
        <v>4</v>
      </c>
      <c r="Q16" s="59" t="e">
        <f t="shared" si="9"/>
        <v>#VALUE!</v>
      </c>
      <c r="R16" s="59" t="e">
        <f t="shared" si="10"/>
        <v>#VALUE!</v>
      </c>
      <c r="S16" s="59" t="str">
        <f>IFERROR(VLOOKUP(MID(N16,Q16,R16-Q16),[6]skilldef!$C:$D,2,FALSE),"-") &amp; " / " &amp; IFERROR(VLOOKUP(MID(N16,O16,P16-O16),[6]skilldef!$A:$B,2,FALSE),"-")</f>
        <v>- / -</v>
      </c>
      <c r="T16" s="44" t="str">
        <f t="shared" si="11"/>
        <v>none</v>
      </c>
      <c r="U16" s="59" t="e">
        <f t="shared" si="12"/>
        <v>#VALUE!</v>
      </c>
      <c r="V16" s="59">
        <f t="shared" si="13"/>
        <v>4</v>
      </c>
      <c r="W16" s="59" t="e">
        <f t="shared" si="14"/>
        <v>#VALUE!</v>
      </c>
      <c r="X16" s="59" t="e">
        <f t="shared" si="15"/>
        <v>#VALUE!</v>
      </c>
      <c r="Y16" s="59" t="str">
        <f>IFERROR(VLOOKUP(MID(T16,W16,X16-W16),[6]skilldef!$C:$D,2,FALSE),"-") &amp; " / " &amp; IFERROR(VLOOKUP(MID(T16,U16,V16-U16),[6]skilldef!$A:$B,2,FALSE),"-")</f>
        <v>- / -</v>
      </c>
      <c r="Z16" s="43" t="s">
        <v>305</v>
      </c>
      <c r="AA16" s="113">
        <v>42597</v>
      </c>
      <c r="AB16" s="46" t="s">
        <v>382</v>
      </c>
    </row>
    <row r="17" spans="1:28" ht="21" customHeight="1" x14ac:dyDescent="0.15">
      <c r="A17" s="43">
        <v>39007016</v>
      </c>
      <c r="B17" s="43" t="s">
        <v>318</v>
      </c>
      <c r="C17" s="46">
        <v>3</v>
      </c>
      <c r="D17" s="46" t="s">
        <v>196</v>
      </c>
      <c r="E17" s="47" t="s">
        <v>339</v>
      </c>
      <c r="F17" s="47" t="s">
        <v>360</v>
      </c>
      <c r="G17" s="59" t="str">
        <f t="shared" si="0"/>
        <v xml:space="preserve">[effect:force_change_block, new_block:block_heart, target:block_green, count:0, val:0, animation:change_block]    </v>
      </c>
      <c r="H17" s="59">
        <f t="shared" si="1"/>
        <v>9</v>
      </c>
      <c r="I17" s="59">
        <f t="shared" si="2"/>
        <v>27</v>
      </c>
      <c r="J17" s="59">
        <f t="shared" si="3"/>
        <v>59</v>
      </c>
      <c r="K17" s="59">
        <f t="shared" si="4"/>
        <v>50</v>
      </c>
      <c r="L17" s="59" t="str">
        <f>IFERROR(VLOOKUP(MID(G17,J17,K17-J17),[6]skilldef!$C:$D,2,FALSE),"-") &amp; " / " &amp; IFERROR(VLOOKUP(MID(G17,H17,I17-H17),[6]skilldef!$A:$B,2,FALSE),"-")</f>
        <v>- / -</v>
      </c>
      <c r="M17" s="59" t="str">
        <f t="shared" si="5"/>
        <v>none</v>
      </c>
      <c r="N17" s="44" t="str">
        <f t="shared" si="6"/>
        <v>none</v>
      </c>
      <c r="O17" s="59" t="e">
        <f t="shared" si="7"/>
        <v>#VALUE!</v>
      </c>
      <c r="P17" s="59">
        <f t="shared" si="8"/>
        <v>4</v>
      </c>
      <c r="Q17" s="59" t="e">
        <f t="shared" si="9"/>
        <v>#VALUE!</v>
      </c>
      <c r="R17" s="59" t="e">
        <f t="shared" si="10"/>
        <v>#VALUE!</v>
      </c>
      <c r="S17" s="59" t="str">
        <f>IFERROR(VLOOKUP(MID(N17,Q17,R17-Q17),[6]skilldef!$C:$D,2,FALSE),"-") &amp; " / " &amp; IFERROR(VLOOKUP(MID(N17,O17,P17-O17),[6]skilldef!$A:$B,2,FALSE),"-")</f>
        <v>- / -</v>
      </c>
      <c r="T17" s="44" t="str">
        <f t="shared" si="11"/>
        <v>none</v>
      </c>
      <c r="U17" s="59" t="e">
        <f t="shared" si="12"/>
        <v>#VALUE!</v>
      </c>
      <c r="V17" s="59">
        <f t="shared" si="13"/>
        <v>4</v>
      </c>
      <c r="W17" s="59" t="e">
        <f t="shared" si="14"/>
        <v>#VALUE!</v>
      </c>
      <c r="X17" s="59" t="e">
        <f t="shared" si="15"/>
        <v>#VALUE!</v>
      </c>
      <c r="Y17" s="59" t="str">
        <f>IFERROR(VLOOKUP(MID(T17,W17,X17-W17),[6]skilldef!$C:$D,2,FALSE),"-") &amp; " / " &amp; IFERROR(VLOOKUP(MID(T17,U17,V17-U17),[6]skilldef!$A:$B,2,FALSE),"-")</f>
        <v>- / -</v>
      </c>
      <c r="Z17" s="43" t="s">
        <v>305</v>
      </c>
      <c r="AA17" s="113">
        <v>42597</v>
      </c>
      <c r="AB17" s="46" t="s">
        <v>382</v>
      </c>
    </row>
    <row r="18" spans="1:28" ht="21" customHeight="1" x14ac:dyDescent="0.15">
      <c r="A18" s="43">
        <v>39007017</v>
      </c>
      <c r="B18" s="43" t="s">
        <v>319</v>
      </c>
      <c r="C18" s="46">
        <v>3</v>
      </c>
      <c r="D18" s="46" t="s">
        <v>196</v>
      </c>
      <c r="E18" s="47" t="s">
        <v>340</v>
      </c>
      <c r="F18" s="47" t="s">
        <v>361</v>
      </c>
      <c r="G18" s="59" t="str">
        <f t="shared" si="0"/>
        <v xml:space="preserve">[effect:break_attack, val:0.04, lowest_val:1000, count:-1, block:block_heart, target:unit_all]    </v>
      </c>
      <c r="H18" s="59">
        <f t="shared" si="1"/>
        <v>9</v>
      </c>
      <c r="I18" s="59">
        <f t="shared" si="2"/>
        <v>21</v>
      </c>
      <c r="J18" s="59">
        <f t="shared" si="3"/>
        <v>86</v>
      </c>
      <c r="K18" s="59">
        <f t="shared" si="4"/>
        <v>31</v>
      </c>
      <c r="L18" s="59" t="str">
        <f>IFERROR(VLOOKUP(MID(G18,J18,K18-J18),[6]skilldef!$C:$D,2,FALSE),"-") &amp; " / " &amp; IFERROR(VLOOKUP(MID(G18,H18,I18-H18),[6]skilldef!$A:$B,2,FALSE),"-")</f>
        <v>- / -</v>
      </c>
      <c r="M18" s="59" t="str">
        <f t="shared" si="5"/>
        <v>none</v>
      </c>
      <c r="N18" s="44" t="str">
        <f t="shared" si="6"/>
        <v>none</v>
      </c>
      <c r="O18" s="59" t="e">
        <f t="shared" si="7"/>
        <v>#VALUE!</v>
      </c>
      <c r="P18" s="59">
        <f t="shared" si="8"/>
        <v>4</v>
      </c>
      <c r="Q18" s="59" t="e">
        <f t="shared" si="9"/>
        <v>#VALUE!</v>
      </c>
      <c r="R18" s="59" t="e">
        <f t="shared" si="10"/>
        <v>#VALUE!</v>
      </c>
      <c r="S18" s="59" t="str">
        <f>IFERROR(VLOOKUP(MID(N18,Q18,R18-Q18),[6]skilldef!$C:$D,2,FALSE),"-") &amp; " / " &amp; IFERROR(VLOOKUP(MID(N18,O18,P18-O18),[6]skilldef!$A:$B,2,FALSE),"-")</f>
        <v>- / -</v>
      </c>
      <c r="T18" s="44" t="str">
        <f t="shared" si="11"/>
        <v>none</v>
      </c>
      <c r="U18" s="59" t="e">
        <f t="shared" si="12"/>
        <v>#VALUE!</v>
      </c>
      <c r="V18" s="59">
        <f t="shared" si="13"/>
        <v>4</v>
      </c>
      <c r="W18" s="59" t="e">
        <f t="shared" si="14"/>
        <v>#VALUE!</v>
      </c>
      <c r="X18" s="59" t="e">
        <f t="shared" si="15"/>
        <v>#VALUE!</v>
      </c>
      <c r="Y18" s="59" t="str">
        <f>IFERROR(VLOOKUP(MID(T18,W18,X18-W18),[6]skilldef!$C:$D,2,FALSE),"-") &amp; " / " &amp; IFERROR(VLOOKUP(MID(T18,U18,V18-U18),[6]skilldef!$A:$B,2,FALSE),"-")</f>
        <v>- / -</v>
      </c>
      <c r="Z18" s="43" t="s">
        <v>305</v>
      </c>
      <c r="AA18" s="113">
        <v>42597</v>
      </c>
      <c r="AB18" s="46" t="s">
        <v>382</v>
      </c>
    </row>
    <row r="19" spans="1:28" ht="21" customHeight="1" x14ac:dyDescent="0.15">
      <c r="A19" s="43">
        <v>39007018</v>
      </c>
      <c r="B19" s="43" t="s">
        <v>320</v>
      </c>
      <c r="C19" s="46">
        <v>3</v>
      </c>
      <c r="D19" s="46" t="s">
        <v>196</v>
      </c>
      <c r="E19" s="47" t="s">
        <v>341</v>
      </c>
      <c r="F19" s="47" t="s">
        <v>362</v>
      </c>
      <c r="G19" s="59" t="str">
        <f t="shared" si="0"/>
        <v>[effect:force_change_block, new_block:block_yellow, target:block_heart, count:0, val:0, animation:change_block]</v>
      </c>
      <c r="H19" s="59">
        <f t="shared" si="1"/>
        <v>9</v>
      </c>
      <c r="I19" s="59">
        <f t="shared" si="2"/>
        <v>27</v>
      </c>
      <c r="J19" s="59">
        <f t="shared" si="3"/>
        <v>60</v>
      </c>
      <c r="K19" s="59">
        <f t="shared" si="4"/>
        <v>51</v>
      </c>
      <c r="L19" s="59" t="str">
        <f>IFERROR(VLOOKUP(MID(G19,J19,K19-J19),[6]skilldef!$C:$D,2,FALSE),"-") &amp; " / " &amp; IFERROR(VLOOKUP(MID(G19,H19,I19-H19),[6]skilldef!$A:$B,2,FALSE),"-")</f>
        <v>- / -</v>
      </c>
      <c r="M19" s="59" t="str">
        <f t="shared" si="5"/>
        <v>none</v>
      </c>
      <c r="N19" s="44" t="str">
        <f t="shared" si="6"/>
        <v>none</v>
      </c>
      <c r="O19" s="59" t="e">
        <f t="shared" si="7"/>
        <v>#VALUE!</v>
      </c>
      <c r="P19" s="59">
        <f t="shared" si="8"/>
        <v>4</v>
      </c>
      <c r="Q19" s="59" t="e">
        <f t="shared" si="9"/>
        <v>#VALUE!</v>
      </c>
      <c r="R19" s="59" t="e">
        <f t="shared" si="10"/>
        <v>#VALUE!</v>
      </c>
      <c r="S19" s="59" t="str">
        <f>IFERROR(VLOOKUP(MID(N19,Q19,R19-Q19),[6]skilldef!$C:$D,2,FALSE),"-") &amp; " / " &amp; IFERROR(VLOOKUP(MID(N19,O19,P19-O19),[6]skilldef!$A:$B,2,FALSE),"-")</f>
        <v>- / -</v>
      </c>
      <c r="T19" s="44" t="str">
        <f t="shared" si="11"/>
        <v>none</v>
      </c>
      <c r="U19" s="59" t="e">
        <f t="shared" si="12"/>
        <v>#VALUE!</v>
      </c>
      <c r="V19" s="59">
        <f t="shared" si="13"/>
        <v>4</v>
      </c>
      <c r="W19" s="59" t="e">
        <f t="shared" si="14"/>
        <v>#VALUE!</v>
      </c>
      <c r="X19" s="59" t="e">
        <f t="shared" si="15"/>
        <v>#VALUE!</v>
      </c>
      <c r="Y19" s="59" t="str">
        <f>IFERROR(VLOOKUP(MID(T19,W19,X19-W19),[6]skilldef!$C:$D,2,FALSE),"-") &amp; " / " &amp; IFERROR(VLOOKUP(MID(T19,U19,V19-U19),[6]skilldef!$A:$B,2,FALSE),"-")</f>
        <v>- / -</v>
      </c>
      <c r="Z19" s="43" t="s">
        <v>305</v>
      </c>
      <c r="AA19" s="113">
        <v>42597</v>
      </c>
      <c r="AB19" s="46" t="s">
        <v>383</v>
      </c>
    </row>
    <row r="20" spans="1:28" ht="21" customHeight="1" x14ac:dyDescent="0.15">
      <c r="A20" s="43">
        <v>39007019</v>
      </c>
      <c r="B20" s="43" t="s">
        <v>321</v>
      </c>
      <c r="C20" s="46">
        <v>3</v>
      </c>
      <c r="D20" s="46" t="s">
        <v>196</v>
      </c>
      <c r="E20" s="47" t="s">
        <v>342</v>
      </c>
      <c r="F20" s="47" t="s">
        <v>363</v>
      </c>
      <c r="G20" s="59" t="str">
        <f t="shared" si="0"/>
        <v>[effect:force_change_block, new_block:time_bomb, target:block_all, ignore:crack_bomb, ignore02:time_bomb, count:4, val:0.2, min_time_count:3, max_time_count:5, animation:change_block]</v>
      </c>
      <c r="H20" s="59">
        <f t="shared" si="1"/>
        <v>9</v>
      </c>
      <c r="I20" s="59">
        <f t="shared" si="2"/>
        <v>27</v>
      </c>
      <c r="J20" s="59">
        <f t="shared" si="3"/>
        <v>57</v>
      </c>
      <c r="K20" s="59">
        <f t="shared" si="4"/>
        <v>48</v>
      </c>
      <c r="L20" s="59" t="str">
        <f>IFERROR(VLOOKUP(MID(G20,J20,K20-J20),[6]skilldef!$C:$D,2,FALSE),"-") &amp; " / " &amp; IFERROR(VLOOKUP(MID(G20,H20,I20-H20),[6]skilldef!$A:$B,2,FALSE),"-")</f>
        <v>- / -</v>
      </c>
      <c r="M20" s="59" t="str">
        <f t="shared" si="5"/>
        <v>none</v>
      </c>
      <c r="N20" s="44" t="str">
        <f t="shared" si="6"/>
        <v>none</v>
      </c>
      <c r="O20" s="59" t="e">
        <f t="shared" si="7"/>
        <v>#VALUE!</v>
      </c>
      <c r="P20" s="59">
        <f t="shared" si="8"/>
        <v>4</v>
      </c>
      <c r="Q20" s="59" t="e">
        <f t="shared" si="9"/>
        <v>#VALUE!</v>
      </c>
      <c r="R20" s="59" t="e">
        <f t="shared" si="10"/>
        <v>#VALUE!</v>
      </c>
      <c r="S20" s="59" t="str">
        <f>IFERROR(VLOOKUP(MID(N20,Q20,R20-Q20),[6]skilldef!$C:$D,2,FALSE),"-") &amp; " / " &amp; IFERROR(VLOOKUP(MID(N20,O20,P20-O20),[6]skilldef!$A:$B,2,FALSE),"-")</f>
        <v>- / -</v>
      </c>
      <c r="T20" s="44" t="str">
        <f t="shared" si="11"/>
        <v>none</v>
      </c>
      <c r="U20" s="59" t="e">
        <f t="shared" si="12"/>
        <v>#VALUE!</v>
      </c>
      <c r="V20" s="59">
        <f t="shared" si="13"/>
        <v>4</v>
      </c>
      <c r="W20" s="59" t="e">
        <f t="shared" si="14"/>
        <v>#VALUE!</v>
      </c>
      <c r="X20" s="59" t="e">
        <f t="shared" si="15"/>
        <v>#VALUE!</v>
      </c>
      <c r="Y20" s="59" t="str">
        <f>IFERROR(VLOOKUP(MID(T20,W20,X20-W20),[6]skilldef!$C:$D,2,FALSE),"-") &amp; " / " &amp; IFERROR(VLOOKUP(MID(T20,U20,V20-U20),[6]skilldef!$A:$B,2,FALSE),"-")</f>
        <v>- / -</v>
      </c>
      <c r="Z20" s="43" t="s">
        <v>305</v>
      </c>
      <c r="AA20" s="113">
        <v>42597</v>
      </c>
      <c r="AB20" s="46" t="s">
        <v>384</v>
      </c>
    </row>
    <row r="21" spans="1:28" ht="21" customHeight="1" x14ac:dyDescent="0.15">
      <c r="A21" s="43">
        <v>39007020</v>
      </c>
      <c r="B21" s="43" t="s">
        <v>322</v>
      </c>
      <c r="C21" s="46">
        <v>3</v>
      </c>
      <c r="D21" s="46" t="s">
        <v>196</v>
      </c>
      <c r="E21" s="47" t="s">
        <v>343</v>
      </c>
      <c r="F21" s="47" t="s">
        <v>364</v>
      </c>
      <c r="G21" s="59" t="str">
        <f t="shared" si="0"/>
        <v xml:space="preserve">[effect:rush, count:7, val:0.2]    </v>
      </c>
      <c r="H21" s="59">
        <f t="shared" si="1"/>
        <v>9</v>
      </c>
      <c r="I21" s="59">
        <f t="shared" si="2"/>
        <v>13</v>
      </c>
      <c r="J21" s="59" t="e">
        <f t="shared" si="3"/>
        <v>#VALUE!</v>
      </c>
      <c r="K21" s="59">
        <f t="shared" si="4"/>
        <v>22</v>
      </c>
      <c r="L21" s="59" t="str">
        <f>IFERROR(VLOOKUP(MID(G21,J21,K21-J21),[6]skilldef!$C:$D,2,FALSE),"-") &amp; " / " &amp; IFERROR(VLOOKUP(MID(G21,H21,I21-H21),[6]skilldef!$A:$B,2,FALSE),"-")</f>
        <v>- / 連続攻撃</v>
      </c>
      <c r="M21" s="59" t="str">
        <f t="shared" si="5"/>
        <v>none</v>
      </c>
      <c r="N21" s="44" t="str">
        <f t="shared" si="6"/>
        <v>none</v>
      </c>
      <c r="O21" s="59" t="e">
        <f t="shared" si="7"/>
        <v>#VALUE!</v>
      </c>
      <c r="P21" s="59">
        <f t="shared" si="8"/>
        <v>4</v>
      </c>
      <c r="Q21" s="59" t="e">
        <f t="shared" si="9"/>
        <v>#VALUE!</v>
      </c>
      <c r="R21" s="59" t="e">
        <f t="shared" si="10"/>
        <v>#VALUE!</v>
      </c>
      <c r="S21" s="59" t="str">
        <f>IFERROR(VLOOKUP(MID(N21,Q21,R21-Q21),[6]skilldef!$C:$D,2,FALSE),"-") &amp; " / " &amp; IFERROR(VLOOKUP(MID(N21,O21,P21-O21),[6]skilldef!$A:$B,2,FALSE),"-")</f>
        <v>- / -</v>
      </c>
      <c r="T21" s="44" t="str">
        <f t="shared" si="11"/>
        <v>none</v>
      </c>
      <c r="U21" s="59" t="e">
        <f t="shared" si="12"/>
        <v>#VALUE!</v>
      </c>
      <c r="V21" s="59">
        <f t="shared" si="13"/>
        <v>4</v>
      </c>
      <c r="W21" s="59" t="e">
        <f t="shared" si="14"/>
        <v>#VALUE!</v>
      </c>
      <c r="X21" s="59" t="e">
        <f t="shared" si="15"/>
        <v>#VALUE!</v>
      </c>
      <c r="Y21" s="59" t="str">
        <f>IFERROR(VLOOKUP(MID(T21,W21,X21-W21),[6]skilldef!$C:$D,2,FALSE),"-") &amp; " / " &amp; IFERROR(VLOOKUP(MID(T21,U21,V21-U21),[6]skilldef!$A:$B,2,FALSE),"-")</f>
        <v>- / -</v>
      </c>
      <c r="Z21" s="43" t="s">
        <v>305</v>
      </c>
      <c r="AA21" s="113">
        <v>42597</v>
      </c>
      <c r="AB21" s="46" t="s">
        <v>384</v>
      </c>
    </row>
    <row r="22" spans="1:28" ht="21" customHeight="1" x14ac:dyDescent="0.15">
      <c r="A22" s="43">
        <v>39007021</v>
      </c>
      <c r="B22" s="43" t="s">
        <v>308</v>
      </c>
      <c r="C22" s="46">
        <v>3</v>
      </c>
      <c r="D22" s="46" t="s">
        <v>196</v>
      </c>
      <c r="E22" s="47" t="s">
        <v>344</v>
      </c>
      <c r="F22" s="47" t="s">
        <v>365</v>
      </c>
      <c r="G22" s="59" t="str">
        <f t="shared" si="0"/>
        <v>[effect:nothing]</v>
      </c>
      <c r="H22" s="59">
        <f t="shared" si="1"/>
        <v>9</v>
      </c>
      <c r="I22" s="59">
        <f t="shared" si="2"/>
        <v>16</v>
      </c>
      <c r="J22" s="59" t="e">
        <f t="shared" si="3"/>
        <v>#VALUE!</v>
      </c>
      <c r="K22" s="59" t="e">
        <f t="shared" si="4"/>
        <v>#VALUE!</v>
      </c>
      <c r="L22" s="59" t="str">
        <f>IFERROR(VLOOKUP(MID(G22,J22,K22-J22),[6]skilldef!$C:$D,2,FALSE),"-") &amp; " / " &amp; IFERROR(VLOOKUP(MID(G22,H22,I22-H22),[6]skilldef!$A:$B,2,FALSE),"-")</f>
        <v>- / 何もしない</v>
      </c>
      <c r="M22" s="59" t="str">
        <f t="shared" si="5"/>
        <v>none</v>
      </c>
      <c r="N22" s="44" t="str">
        <f t="shared" si="6"/>
        <v>none</v>
      </c>
      <c r="O22" s="59" t="e">
        <f t="shared" si="7"/>
        <v>#VALUE!</v>
      </c>
      <c r="P22" s="59">
        <f t="shared" si="8"/>
        <v>4</v>
      </c>
      <c r="Q22" s="59" t="e">
        <f t="shared" si="9"/>
        <v>#VALUE!</v>
      </c>
      <c r="R22" s="59" t="e">
        <f t="shared" si="10"/>
        <v>#VALUE!</v>
      </c>
      <c r="S22" s="59" t="str">
        <f>IFERROR(VLOOKUP(MID(N22,Q22,R22-Q22),[6]skilldef!$C:$D,2,FALSE),"-") &amp; " / " &amp; IFERROR(VLOOKUP(MID(N22,O22,P22-O22),[6]skilldef!$A:$B,2,FALSE),"-")</f>
        <v>- / -</v>
      </c>
      <c r="T22" s="44" t="str">
        <f t="shared" si="11"/>
        <v>none</v>
      </c>
      <c r="U22" s="59" t="e">
        <f t="shared" si="12"/>
        <v>#VALUE!</v>
      </c>
      <c r="V22" s="59">
        <f t="shared" si="13"/>
        <v>4</v>
      </c>
      <c r="W22" s="59" t="e">
        <f t="shared" si="14"/>
        <v>#VALUE!</v>
      </c>
      <c r="X22" s="59" t="e">
        <f t="shared" si="15"/>
        <v>#VALUE!</v>
      </c>
      <c r="Y22" s="59" t="str">
        <f>IFERROR(VLOOKUP(MID(T22,W22,X22-W22),[6]skilldef!$C:$D,2,FALSE),"-") &amp; " / " &amp; IFERROR(VLOOKUP(MID(T22,U22,V22-U22),[6]skilldef!$A:$B,2,FALSE),"-")</f>
        <v>- / -</v>
      </c>
      <c r="Z22" s="43" t="s">
        <v>305</v>
      </c>
      <c r="AA22" s="113">
        <v>42597</v>
      </c>
      <c r="AB22" s="46" t="s">
        <v>385</v>
      </c>
    </row>
    <row r="23" spans="1:28" ht="21" customHeight="1" x14ac:dyDescent="0.15">
      <c r="A23" s="43">
        <v>39007022</v>
      </c>
      <c r="B23" s="43" t="s">
        <v>323</v>
      </c>
      <c r="C23" s="46">
        <v>3</v>
      </c>
      <c r="D23" s="46" t="s">
        <v>196</v>
      </c>
      <c r="E23" s="47" t="s">
        <v>345</v>
      </c>
      <c r="F23" s="47" t="s">
        <v>366</v>
      </c>
      <c r="G23" s="59" t="str">
        <f t="shared" si="0"/>
        <v xml:space="preserve">[effect:heal, target:enemy_all, val:0.5, animation:enemy_heal]    </v>
      </c>
      <c r="H23" s="59">
        <f t="shared" si="1"/>
        <v>9</v>
      </c>
      <c r="I23" s="59">
        <f t="shared" si="2"/>
        <v>13</v>
      </c>
      <c r="J23" s="59">
        <f t="shared" si="3"/>
        <v>22</v>
      </c>
      <c r="K23" s="59">
        <f t="shared" si="4"/>
        <v>31</v>
      </c>
      <c r="L23" s="59" t="str">
        <f>IFERROR(VLOOKUP(MID(G23,J23,K23-J23),[6]skilldef!$C:$D,2,FALSE),"-") &amp; " / " &amp; IFERROR(VLOOKUP(MID(G23,H23,I23-H23),[6]skilldef!$A:$B,2,FALSE),"-")</f>
        <v>敵全体に / 回復</v>
      </c>
      <c r="M23" s="59" t="str">
        <f t="shared" si="5"/>
        <v>none</v>
      </c>
      <c r="N23" s="44" t="str">
        <f t="shared" si="6"/>
        <v>none</v>
      </c>
      <c r="O23" s="59" t="e">
        <f t="shared" si="7"/>
        <v>#VALUE!</v>
      </c>
      <c r="P23" s="59">
        <f t="shared" si="8"/>
        <v>4</v>
      </c>
      <c r="Q23" s="59" t="e">
        <f t="shared" si="9"/>
        <v>#VALUE!</v>
      </c>
      <c r="R23" s="59" t="e">
        <f t="shared" si="10"/>
        <v>#VALUE!</v>
      </c>
      <c r="S23" s="59" t="str">
        <f>IFERROR(VLOOKUP(MID(N23,Q23,R23-Q23),[6]skilldef!$C:$D,2,FALSE),"-") &amp; " / " &amp; IFERROR(VLOOKUP(MID(N23,O23,P23-O23),[6]skilldef!$A:$B,2,FALSE),"-")</f>
        <v>- / -</v>
      </c>
      <c r="T23" s="44" t="str">
        <f t="shared" si="11"/>
        <v>none</v>
      </c>
      <c r="U23" s="59" t="e">
        <f t="shared" si="12"/>
        <v>#VALUE!</v>
      </c>
      <c r="V23" s="59">
        <f t="shared" si="13"/>
        <v>4</v>
      </c>
      <c r="W23" s="59" t="e">
        <f t="shared" si="14"/>
        <v>#VALUE!</v>
      </c>
      <c r="X23" s="59" t="e">
        <f t="shared" si="15"/>
        <v>#VALUE!</v>
      </c>
      <c r="Y23" s="59" t="str">
        <f>IFERROR(VLOOKUP(MID(T23,W23,X23-W23),[6]skilldef!$C:$D,2,FALSE),"-") &amp; " / " &amp; IFERROR(VLOOKUP(MID(T23,U23,V23-U23),[6]skilldef!$A:$B,2,FALSE),"-")</f>
        <v>- / -</v>
      </c>
      <c r="Z23" s="43" t="s">
        <v>305</v>
      </c>
      <c r="AA23" s="113">
        <v>42597</v>
      </c>
      <c r="AB23" s="46" t="s">
        <v>384</v>
      </c>
    </row>
    <row r="24" spans="1:28" ht="21" customHeight="1" x14ac:dyDescent="0.15">
      <c r="A24" s="43">
        <v>39007023</v>
      </c>
      <c r="B24" s="43" t="s">
        <v>310</v>
      </c>
      <c r="C24" s="46">
        <v>3</v>
      </c>
      <c r="D24" s="46" t="s">
        <v>196</v>
      </c>
      <c r="E24" s="47" t="s">
        <v>346</v>
      </c>
      <c r="F24" s="47" t="s">
        <v>367</v>
      </c>
      <c r="G24" s="59" t="str">
        <f t="shared" si="0"/>
        <v>[effect:enemy_message, val1:3, val2:3, dead_type:escape]</v>
      </c>
      <c r="H24" s="59">
        <f t="shared" si="1"/>
        <v>9</v>
      </c>
      <c r="I24" s="59">
        <f t="shared" si="2"/>
        <v>22</v>
      </c>
      <c r="J24" s="59" t="e">
        <f t="shared" si="3"/>
        <v>#VALUE!</v>
      </c>
      <c r="K24" s="59">
        <f t="shared" si="4"/>
        <v>30</v>
      </c>
      <c r="L24" s="59" t="str">
        <f>IFERROR(VLOOKUP(MID(G24,J24,K24-J24),[6]skilldef!$C:$D,2,FALSE),"-") &amp; " / " &amp; IFERROR(VLOOKUP(MID(G24,H24,I24-H24),[6]skilldef!$A:$B,2,FALSE),"-")</f>
        <v>- / -</v>
      </c>
      <c r="M24" s="59" t="str">
        <f t="shared" si="5"/>
        <v>none</v>
      </c>
      <c r="N24" s="44" t="str">
        <f t="shared" si="6"/>
        <v>none</v>
      </c>
      <c r="O24" s="59" t="e">
        <f t="shared" si="7"/>
        <v>#VALUE!</v>
      </c>
      <c r="P24" s="59">
        <f t="shared" si="8"/>
        <v>4</v>
      </c>
      <c r="Q24" s="59" t="e">
        <f t="shared" si="9"/>
        <v>#VALUE!</v>
      </c>
      <c r="R24" s="59" t="e">
        <f t="shared" si="10"/>
        <v>#VALUE!</v>
      </c>
      <c r="S24" s="59" t="str">
        <f>IFERROR(VLOOKUP(MID(N24,Q24,R24-Q24),[6]skilldef!$C:$D,2,FALSE),"-") &amp; " / " &amp; IFERROR(VLOOKUP(MID(N24,O24,P24-O24),[6]skilldef!$A:$B,2,FALSE),"-")</f>
        <v>- / -</v>
      </c>
      <c r="T24" s="44" t="str">
        <f t="shared" si="11"/>
        <v>none</v>
      </c>
      <c r="U24" s="59" t="e">
        <f t="shared" si="12"/>
        <v>#VALUE!</v>
      </c>
      <c r="V24" s="59">
        <f t="shared" si="13"/>
        <v>4</v>
      </c>
      <c r="W24" s="59" t="e">
        <f t="shared" si="14"/>
        <v>#VALUE!</v>
      </c>
      <c r="X24" s="59" t="e">
        <f t="shared" si="15"/>
        <v>#VALUE!</v>
      </c>
      <c r="Y24" s="59" t="str">
        <f>IFERROR(VLOOKUP(MID(T24,W24,X24-W24),[6]skilldef!$C:$D,2,FALSE),"-") &amp; " / " &amp; IFERROR(VLOOKUP(MID(T24,U24,V24-U24),[6]skilldef!$A:$B,2,FALSE),"-")</f>
        <v>- / -</v>
      </c>
      <c r="Z24" s="43" t="s">
        <v>305</v>
      </c>
      <c r="AA24" s="113">
        <v>42597</v>
      </c>
      <c r="AB24" s="46" t="s">
        <v>386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51"/>
  <sheetViews>
    <sheetView showGridLines="0" zoomScale="75" zoomScaleNormal="75" zoomScalePageLayoutView="75" workbookViewId="0">
      <pane ySplit="1" topLeftCell="A2" activePane="bottomLeft" state="frozenSplit"/>
      <selection pane="bottomLeft" activeCell="J21" sqref="J21"/>
    </sheetView>
  </sheetViews>
  <sheetFormatPr baseColWidth="12" defaultColWidth="12.83203125" defaultRowHeight="21" customHeight="1" x14ac:dyDescent="0.15"/>
  <cols>
    <col min="1" max="1" width="16.1640625" style="45" bestFit="1" customWidth="1"/>
    <col min="2" max="2" width="13.33203125" style="45" bestFit="1" customWidth="1"/>
    <col min="3" max="3" width="11.83203125" style="45" bestFit="1" customWidth="1"/>
    <col min="4" max="4" width="14.6640625" style="45" bestFit="1" customWidth="1"/>
    <col min="5" max="5" width="15.6640625" style="45" bestFit="1" customWidth="1"/>
    <col min="6" max="6" width="17" style="45" bestFit="1" customWidth="1"/>
    <col min="7" max="7" width="15.6640625" style="45" bestFit="1" customWidth="1"/>
    <col min="8" max="9" width="14.6640625" style="45" customWidth="1"/>
    <col min="10" max="10" width="14.6640625" style="45" bestFit="1" customWidth="1"/>
    <col min="11" max="11" width="22.83203125" style="35" bestFit="1" customWidth="1"/>
    <col min="12" max="16384" width="12.83203125" style="41"/>
  </cols>
  <sheetData>
    <row r="1" spans="1:13" ht="21" customHeight="1" x14ac:dyDescent="0.15">
      <c r="A1" s="38" t="s">
        <v>84</v>
      </c>
      <c r="B1" s="38" t="s">
        <v>85</v>
      </c>
      <c r="C1" s="38" t="s">
        <v>86</v>
      </c>
      <c r="D1" s="38" t="s">
        <v>87</v>
      </c>
      <c r="E1" s="38" t="s">
        <v>70</v>
      </c>
      <c r="F1" s="48" t="s">
        <v>71</v>
      </c>
      <c r="G1" s="48" t="s">
        <v>72</v>
      </c>
      <c r="H1" s="38" t="s">
        <v>73</v>
      </c>
      <c r="I1" s="38" t="s">
        <v>74</v>
      </c>
      <c r="J1" s="38" t="s">
        <v>75</v>
      </c>
      <c r="K1" s="49" t="s">
        <v>88</v>
      </c>
    </row>
    <row r="2" spans="1:13" ht="21" customHeight="1" x14ac:dyDescent="0.15">
      <c r="A2" s="114">
        <v>39007001</v>
      </c>
      <c r="B2" s="43">
        <v>1</v>
      </c>
      <c r="C2" s="43">
        <v>100</v>
      </c>
      <c r="D2" s="43">
        <v>20</v>
      </c>
      <c r="E2" s="43">
        <v>100</v>
      </c>
      <c r="F2" s="43" t="s">
        <v>53</v>
      </c>
      <c r="G2" s="43">
        <v>1</v>
      </c>
      <c r="H2" s="43" t="s">
        <v>53</v>
      </c>
      <c r="I2" s="43" t="s">
        <v>388</v>
      </c>
      <c r="J2" s="44">
        <f t="shared" ref="J2:J51" si="0">D2</f>
        <v>20</v>
      </c>
      <c r="L2" s="41" t="s">
        <v>389</v>
      </c>
      <c r="M2" s="41" t="s">
        <v>347</v>
      </c>
    </row>
    <row r="3" spans="1:13" ht="21" customHeight="1" thickBot="1" x14ac:dyDescent="0.2">
      <c r="A3" s="115">
        <v>39007002</v>
      </c>
      <c r="B3" s="126">
        <v>0</v>
      </c>
      <c r="C3" s="126">
        <v>100</v>
      </c>
      <c r="D3" s="126">
        <v>100</v>
      </c>
      <c r="E3" s="126">
        <v>50</v>
      </c>
      <c r="F3" s="126" t="s">
        <v>53</v>
      </c>
      <c r="G3" s="126">
        <v>1</v>
      </c>
      <c r="H3" s="126" t="s">
        <v>53</v>
      </c>
      <c r="I3" s="126" t="s">
        <v>388</v>
      </c>
      <c r="J3" s="44">
        <f t="shared" si="0"/>
        <v>100</v>
      </c>
      <c r="L3" s="41" t="s">
        <v>390</v>
      </c>
      <c r="M3" s="41" t="s">
        <v>391</v>
      </c>
    </row>
    <row r="4" spans="1:13" ht="21" customHeight="1" x14ac:dyDescent="0.15">
      <c r="A4" s="116">
        <v>39007003</v>
      </c>
      <c r="B4" s="127">
        <v>1</v>
      </c>
      <c r="C4" s="127">
        <v>100</v>
      </c>
      <c r="D4" s="127">
        <v>100</v>
      </c>
      <c r="E4" s="127">
        <v>100</v>
      </c>
      <c r="F4" s="127" t="s">
        <v>53</v>
      </c>
      <c r="G4" s="127">
        <v>1</v>
      </c>
      <c r="H4" s="127">
        <v>1</v>
      </c>
      <c r="I4" s="127" t="s">
        <v>388</v>
      </c>
      <c r="J4" s="44">
        <f t="shared" si="0"/>
        <v>100</v>
      </c>
      <c r="L4" s="129" t="s">
        <v>392</v>
      </c>
      <c r="M4" s="130" t="s">
        <v>393</v>
      </c>
    </row>
    <row r="5" spans="1:13" ht="21" customHeight="1" x14ac:dyDescent="0.15">
      <c r="A5" s="117">
        <v>39007004</v>
      </c>
      <c r="B5" s="43">
        <v>1</v>
      </c>
      <c r="C5" s="43">
        <v>100</v>
      </c>
      <c r="D5" s="43">
        <v>100</v>
      </c>
      <c r="E5" s="43">
        <v>100</v>
      </c>
      <c r="F5" s="43" t="s">
        <v>53</v>
      </c>
      <c r="G5" s="43">
        <v>1</v>
      </c>
      <c r="H5" s="43">
        <v>1</v>
      </c>
      <c r="I5" s="43">
        <v>8043</v>
      </c>
      <c r="J5" s="44">
        <f t="shared" si="0"/>
        <v>100</v>
      </c>
      <c r="L5" s="131" t="s">
        <v>394</v>
      </c>
      <c r="M5" s="132" t="s">
        <v>395</v>
      </c>
    </row>
    <row r="6" spans="1:13" ht="21" customHeight="1" x14ac:dyDescent="0.15">
      <c r="A6" s="117">
        <v>39007005</v>
      </c>
      <c r="B6" s="43">
        <v>1</v>
      </c>
      <c r="C6" s="43">
        <v>100</v>
      </c>
      <c r="D6" s="43">
        <v>100</v>
      </c>
      <c r="E6" s="43">
        <v>100</v>
      </c>
      <c r="F6" s="43" t="s">
        <v>53</v>
      </c>
      <c r="G6" s="43">
        <v>1</v>
      </c>
      <c r="H6" s="43">
        <v>1</v>
      </c>
      <c r="I6" s="43">
        <v>8044</v>
      </c>
      <c r="J6" s="44">
        <f t="shared" si="0"/>
        <v>100</v>
      </c>
      <c r="L6" s="131" t="s">
        <v>394</v>
      </c>
      <c r="M6" s="132" t="s">
        <v>395</v>
      </c>
    </row>
    <row r="7" spans="1:13" ht="21" customHeight="1" x14ac:dyDescent="0.15">
      <c r="A7" s="117">
        <v>39007006</v>
      </c>
      <c r="B7" s="43">
        <v>1</v>
      </c>
      <c r="C7" s="43">
        <v>100</v>
      </c>
      <c r="D7" s="43">
        <v>100</v>
      </c>
      <c r="E7" s="43">
        <v>100</v>
      </c>
      <c r="F7" s="43" t="s">
        <v>53</v>
      </c>
      <c r="G7" s="43">
        <v>1</v>
      </c>
      <c r="H7" s="43">
        <v>1</v>
      </c>
      <c r="I7" s="43">
        <v>8045</v>
      </c>
      <c r="J7" s="44">
        <f t="shared" si="0"/>
        <v>100</v>
      </c>
      <c r="L7" s="131" t="s">
        <v>394</v>
      </c>
      <c r="M7" s="132" t="s">
        <v>395</v>
      </c>
    </row>
    <row r="8" spans="1:13" ht="21" customHeight="1" x14ac:dyDescent="0.15">
      <c r="A8" s="117">
        <v>39007007</v>
      </c>
      <c r="B8" s="43">
        <v>1</v>
      </c>
      <c r="C8" s="43">
        <v>100</v>
      </c>
      <c r="D8" s="43">
        <v>100</v>
      </c>
      <c r="E8" s="43">
        <v>100</v>
      </c>
      <c r="F8" s="43" t="s">
        <v>53</v>
      </c>
      <c r="G8" s="43">
        <v>1</v>
      </c>
      <c r="H8" s="43">
        <v>1</v>
      </c>
      <c r="I8" s="43">
        <v>8046</v>
      </c>
      <c r="J8" s="44">
        <f t="shared" si="0"/>
        <v>100</v>
      </c>
      <c r="L8" s="131" t="s">
        <v>394</v>
      </c>
      <c r="M8" s="132" t="s">
        <v>395</v>
      </c>
    </row>
    <row r="9" spans="1:13" ht="21" customHeight="1" x14ac:dyDescent="0.15">
      <c r="A9" s="117">
        <v>39007008</v>
      </c>
      <c r="B9" s="43">
        <v>1</v>
      </c>
      <c r="C9" s="43">
        <v>100</v>
      </c>
      <c r="D9" s="43">
        <v>100</v>
      </c>
      <c r="E9" s="43">
        <v>100</v>
      </c>
      <c r="F9" s="43" t="s">
        <v>53</v>
      </c>
      <c r="G9" s="43">
        <v>1</v>
      </c>
      <c r="H9" s="43">
        <v>1</v>
      </c>
      <c r="I9" s="43">
        <v>8047</v>
      </c>
      <c r="J9" s="44">
        <f t="shared" si="0"/>
        <v>100</v>
      </c>
      <c r="L9" s="131" t="s">
        <v>394</v>
      </c>
      <c r="M9" s="132" t="s">
        <v>395</v>
      </c>
    </row>
    <row r="10" spans="1:13" ht="21" customHeight="1" x14ac:dyDescent="0.15">
      <c r="A10" s="117">
        <v>39007009</v>
      </c>
      <c r="B10" s="43">
        <v>1</v>
      </c>
      <c r="C10" s="43">
        <v>100</v>
      </c>
      <c r="D10" s="43">
        <v>100</v>
      </c>
      <c r="E10" s="43">
        <v>100</v>
      </c>
      <c r="F10" s="43" t="s">
        <v>53</v>
      </c>
      <c r="G10" s="43">
        <v>1</v>
      </c>
      <c r="H10" s="43">
        <v>1</v>
      </c>
      <c r="I10" s="43">
        <v>8048</v>
      </c>
      <c r="J10" s="44">
        <f t="shared" si="0"/>
        <v>100</v>
      </c>
      <c r="L10" s="131" t="s">
        <v>394</v>
      </c>
      <c r="M10" s="132" t="s">
        <v>395</v>
      </c>
    </row>
    <row r="11" spans="1:13" ht="21" customHeight="1" x14ac:dyDescent="0.15">
      <c r="A11" s="117">
        <v>39007010</v>
      </c>
      <c r="B11" s="43">
        <v>1</v>
      </c>
      <c r="C11" s="43">
        <v>100</v>
      </c>
      <c r="D11" s="43">
        <v>100</v>
      </c>
      <c r="E11" s="43">
        <v>100</v>
      </c>
      <c r="F11" s="43" t="s">
        <v>53</v>
      </c>
      <c r="G11" s="43">
        <v>1</v>
      </c>
      <c r="H11" s="43">
        <v>1</v>
      </c>
      <c r="I11" s="43">
        <v>8049</v>
      </c>
      <c r="J11" s="44">
        <f t="shared" si="0"/>
        <v>100</v>
      </c>
      <c r="L11" s="131" t="s">
        <v>394</v>
      </c>
      <c r="M11" s="132" t="s">
        <v>395</v>
      </c>
    </row>
    <row r="12" spans="1:13" ht="21" customHeight="1" x14ac:dyDescent="0.15">
      <c r="A12" s="117">
        <v>39007011</v>
      </c>
      <c r="B12" s="43">
        <v>1</v>
      </c>
      <c r="C12" s="43">
        <v>100</v>
      </c>
      <c r="D12" s="43">
        <v>100</v>
      </c>
      <c r="E12" s="43">
        <v>100</v>
      </c>
      <c r="F12" s="43" t="s">
        <v>53</v>
      </c>
      <c r="G12" s="43">
        <v>1</v>
      </c>
      <c r="H12" s="43">
        <v>1</v>
      </c>
      <c r="I12" s="43">
        <v>8050</v>
      </c>
      <c r="J12" s="44">
        <f t="shared" si="0"/>
        <v>100</v>
      </c>
      <c r="L12" s="131" t="s">
        <v>394</v>
      </c>
      <c r="M12" s="132" t="s">
        <v>395</v>
      </c>
    </row>
    <row r="13" spans="1:13" ht="21" customHeight="1" x14ac:dyDescent="0.15">
      <c r="A13" s="117">
        <v>39007012</v>
      </c>
      <c r="B13" s="43">
        <v>1</v>
      </c>
      <c r="C13" s="43">
        <v>100</v>
      </c>
      <c r="D13" s="43">
        <v>100</v>
      </c>
      <c r="E13" s="43">
        <v>100</v>
      </c>
      <c r="F13" s="43" t="s">
        <v>53</v>
      </c>
      <c r="G13" s="43">
        <v>1</v>
      </c>
      <c r="H13" s="43">
        <v>1</v>
      </c>
      <c r="I13" s="43">
        <v>8053</v>
      </c>
      <c r="J13" s="44">
        <f t="shared" si="0"/>
        <v>100</v>
      </c>
      <c r="L13" s="131" t="s">
        <v>394</v>
      </c>
      <c r="M13" s="132" t="s">
        <v>395</v>
      </c>
    </row>
    <row r="14" spans="1:13" ht="21" customHeight="1" x14ac:dyDescent="0.15">
      <c r="A14" s="117">
        <v>39007013</v>
      </c>
      <c r="B14" s="43">
        <v>1</v>
      </c>
      <c r="C14" s="43">
        <v>100</v>
      </c>
      <c r="D14" s="43">
        <v>100</v>
      </c>
      <c r="E14" s="43">
        <v>100</v>
      </c>
      <c r="F14" s="43" t="s">
        <v>53</v>
      </c>
      <c r="G14" s="43">
        <v>1</v>
      </c>
      <c r="H14" s="43">
        <v>1</v>
      </c>
      <c r="I14" s="43">
        <v>8054</v>
      </c>
      <c r="J14" s="44">
        <f t="shared" si="0"/>
        <v>100</v>
      </c>
      <c r="L14" s="131" t="s">
        <v>394</v>
      </c>
      <c r="M14" s="132" t="s">
        <v>395</v>
      </c>
    </row>
    <row r="15" spans="1:13" ht="21" customHeight="1" x14ac:dyDescent="0.15">
      <c r="A15" s="117">
        <v>39007014</v>
      </c>
      <c r="B15" s="43">
        <v>1</v>
      </c>
      <c r="C15" s="43">
        <v>100</v>
      </c>
      <c r="D15" s="43">
        <v>100</v>
      </c>
      <c r="E15" s="43">
        <v>100</v>
      </c>
      <c r="F15" s="43" t="s">
        <v>53</v>
      </c>
      <c r="G15" s="43">
        <v>1</v>
      </c>
      <c r="H15" s="43">
        <v>1</v>
      </c>
      <c r="I15" s="43">
        <v>8055</v>
      </c>
      <c r="J15" s="44">
        <f t="shared" si="0"/>
        <v>100</v>
      </c>
      <c r="L15" s="131" t="s">
        <v>394</v>
      </c>
      <c r="M15" s="132" t="s">
        <v>395</v>
      </c>
    </row>
    <row r="16" spans="1:13" ht="21" customHeight="1" x14ac:dyDescent="0.15">
      <c r="A16" s="117">
        <v>39007015</v>
      </c>
      <c r="B16" s="43">
        <v>1</v>
      </c>
      <c r="C16" s="43">
        <v>100</v>
      </c>
      <c r="D16" s="43">
        <v>100</v>
      </c>
      <c r="E16" s="43">
        <v>100</v>
      </c>
      <c r="F16" s="43" t="s">
        <v>53</v>
      </c>
      <c r="G16" s="43">
        <v>1</v>
      </c>
      <c r="H16" s="43">
        <v>1</v>
      </c>
      <c r="I16" s="43">
        <v>8056</v>
      </c>
      <c r="J16" s="44">
        <f t="shared" si="0"/>
        <v>100</v>
      </c>
      <c r="L16" s="131" t="s">
        <v>394</v>
      </c>
      <c r="M16" s="132" t="s">
        <v>395</v>
      </c>
    </row>
    <row r="17" spans="1:13" ht="21" customHeight="1" x14ac:dyDescent="0.15">
      <c r="A17" s="117">
        <v>39007016</v>
      </c>
      <c r="B17" s="43">
        <v>1</v>
      </c>
      <c r="C17" s="43">
        <v>100</v>
      </c>
      <c r="D17" s="43">
        <v>100</v>
      </c>
      <c r="E17" s="43">
        <v>100</v>
      </c>
      <c r="F17" s="43" t="s">
        <v>53</v>
      </c>
      <c r="G17" s="43">
        <v>1</v>
      </c>
      <c r="H17" s="43">
        <v>1</v>
      </c>
      <c r="I17" s="43">
        <v>8057</v>
      </c>
      <c r="J17" s="44">
        <f t="shared" si="0"/>
        <v>100</v>
      </c>
      <c r="L17" s="131" t="s">
        <v>394</v>
      </c>
      <c r="M17" s="132" t="s">
        <v>395</v>
      </c>
    </row>
    <row r="18" spans="1:13" ht="21" customHeight="1" x14ac:dyDescent="0.15">
      <c r="A18" s="117">
        <v>39007017</v>
      </c>
      <c r="B18" s="43">
        <v>1</v>
      </c>
      <c r="C18" s="43">
        <v>100</v>
      </c>
      <c r="D18" s="43">
        <v>100</v>
      </c>
      <c r="E18" s="43">
        <v>100</v>
      </c>
      <c r="F18" s="43" t="s">
        <v>53</v>
      </c>
      <c r="G18" s="43">
        <v>1</v>
      </c>
      <c r="H18" s="43">
        <v>1</v>
      </c>
      <c r="I18" s="43">
        <v>8058</v>
      </c>
      <c r="J18" s="44">
        <f t="shared" si="0"/>
        <v>100</v>
      </c>
      <c r="L18" s="131" t="s">
        <v>394</v>
      </c>
      <c r="M18" s="132" t="s">
        <v>395</v>
      </c>
    </row>
    <row r="19" spans="1:13" ht="21" customHeight="1" x14ac:dyDescent="0.15">
      <c r="A19" s="117">
        <v>39007018</v>
      </c>
      <c r="B19" s="43">
        <v>1</v>
      </c>
      <c r="C19" s="43">
        <v>100</v>
      </c>
      <c r="D19" s="43">
        <v>100</v>
      </c>
      <c r="E19" s="43">
        <v>100</v>
      </c>
      <c r="F19" s="43" t="s">
        <v>53</v>
      </c>
      <c r="G19" s="43">
        <v>1</v>
      </c>
      <c r="H19" s="43">
        <v>1</v>
      </c>
      <c r="I19" s="43">
        <v>8059</v>
      </c>
      <c r="J19" s="44">
        <f t="shared" si="0"/>
        <v>100</v>
      </c>
      <c r="L19" s="131" t="s">
        <v>394</v>
      </c>
      <c r="M19" s="132" t="s">
        <v>395</v>
      </c>
    </row>
    <row r="20" spans="1:13" ht="21" customHeight="1" x14ac:dyDescent="0.15">
      <c r="A20" s="117">
        <v>39007019</v>
      </c>
      <c r="B20" s="43">
        <v>1</v>
      </c>
      <c r="C20" s="43">
        <v>100</v>
      </c>
      <c r="D20" s="43">
        <v>100</v>
      </c>
      <c r="E20" s="43">
        <v>100</v>
      </c>
      <c r="F20" s="43" t="s">
        <v>53</v>
      </c>
      <c r="G20" s="43">
        <v>1</v>
      </c>
      <c r="H20" s="43">
        <v>1</v>
      </c>
      <c r="I20" s="43">
        <v>8060</v>
      </c>
      <c r="J20" s="44">
        <f t="shared" si="0"/>
        <v>100</v>
      </c>
      <c r="L20" s="131" t="s">
        <v>394</v>
      </c>
      <c r="M20" s="132" t="s">
        <v>395</v>
      </c>
    </row>
    <row r="21" spans="1:13" ht="21" customHeight="1" x14ac:dyDescent="0.15">
      <c r="A21" s="117">
        <v>39007020</v>
      </c>
      <c r="B21" s="43">
        <v>1</v>
      </c>
      <c r="C21" s="43">
        <v>100</v>
      </c>
      <c r="D21" s="43">
        <v>100</v>
      </c>
      <c r="E21" s="43">
        <v>100</v>
      </c>
      <c r="F21" s="43" t="s">
        <v>53</v>
      </c>
      <c r="G21" s="43">
        <v>1</v>
      </c>
      <c r="H21" s="43">
        <v>1</v>
      </c>
      <c r="I21" s="43">
        <v>8061</v>
      </c>
      <c r="J21" s="44">
        <f t="shared" si="0"/>
        <v>100</v>
      </c>
      <c r="L21" s="131" t="s">
        <v>394</v>
      </c>
      <c r="M21" s="132" t="s">
        <v>395</v>
      </c>
    </row>
    <row r="22" spans="1:13" ht="21" customHeight="1" x14ac:dyDescent="0.15">
      <c r="A22" s="117">
        <v>39007021</v>
      </c>
      <c r="B22" s="43">
        <v>1</v>
      </c>
      <c r="C22" s="43">
        <v>100</v>
      </c>
      <c r="D22" s="43">
        <v>100</v>
      </c>
      <c r="E22" s="43">
        <v>100</v>
      </c>
      <c r="F22" s="43" t="s">
        <v>53</v>
      </c>
      <c r="G22" s="43">
        <v>1</v>
      </c>
      <c r="H22" s="43">
        <v>1</v>
      </c>
      <c r="I22" s="43">
        <v>8062</v>
      </c>
      <c r="J22" s="44">
        <f t="shared" si="0"/>
        <v>100</v>
      </c>
      <c r="L22" s="131" t="s">
        <v>394</v>
      </c>
      <c r="M22" s="132" t="s">
        <v>395</v>
      </c>
    </row>
    <row r="23" spans="1:13" ht="21" customHeight="1" x14ac:dyDescent="0.15">
      <c r="A23" s="117">
        <v>39007022</v>
      </c>
      <c r="B23" s="43">
        <v>1</v>
      </c>
      <c r="C23" s="43">
        <v>100</v>
      </c>
      <c r="D23" s="43">
        <v>100</v>
      </c>
      <c r="E23" s="43">
        <v>100</v>
      </c>
      <c r="F23" s="43" t="s">
        <v>53</v>
      </c>
      <c r="G23" s="43">
        <v>1</v>
      </c>
      <c r="H23" s="43">
        <v>1</v>
      </c>
      <c r="I23" s="43">
        <v>8063</v>
      </c>
      <c r="J23" s="44">
        <f t="shared" si="0"/>
        <v>100</v>
      </c>
      <c r="L23" s="131" t="s">
        <v>394</v>
      </c>
      <c r="M23" s="132" t="s">
        <v>395</v>
      </c>
    </row>
    <row r="24" spans="1:13" ht="21" customHeight="1" x14ac:dyDescent="0.15">
      <c r="A24" s="117">
        <v>39007023</v>
      </c>
      <c r="B24" s="43">
        <v>1</v>
      </c>
      <c r="C24" s="43">
        <v>100</v>
      </c>
      <c r="D24" s="43">
        <v>100</v>
      </c>
      <c r="E24" s="43">
        <v>100</v>
      </c>
      <c r="F24" s="43" t="s">
        <v>53</v>
      </c>
      <c r="G24" s="43">
        <v>1</v>
      </c>
      <c r="H24" s="43">
        <v>1</v>
      </c>
      <c r="I24" s="43">
        <v>8064</v>
      </c>
      <c r="J24" s="44">
        <f t="shared" si="0"/>
        <v>100</v>
      </c>
      <c r="L24" s="131" t="s">
        <v>394</v>
      </c>
      <c r="M24" s="132" t="s">
        <v>395</v>
      </c>
    </row>
    <row r="25" spans="1:13" ht="21" customHeight="1" x14ac:dyDescent="0.15">
      <c r="A25" s="117">
        <v>39007024</v>
      </c>
      <c r="B25" s="43">
        <v>1</v>
      </c>
      <c r="C25" s="43">
        <v>100</v>
      </c>
      <c r="D25" s="43">
        <v>100</v>
      </c>
      <c r="E25" s="43">
        <v>100</v>
      </c>
      <c r="F25" s="43" t="s">
        <v>53</v>
      </c>
      <c r="G25" s="43">
        <v>1</v>
      </c>
      <c r="H25" s="43">
        <v>1</v>
      </c>
      <c r="I25" s="43">
        <v>8065</v>
      </c>
      <c r="J25" s="44">
        <f t="shared" si="0"/>
        <v>100</v>
      </c>
      <c r="L25" s="131" t="s">
        <v>394</v>
      </c>
      <c r="M25" s="132" t="s">
        <v>395</v>
      </c>
    </row>
    <row r="26" spans="1:13" ht="21" customHeight="1" x14ac:dyDescent="0.15">
      <c r="A26" s="117">
        <v>39007025</v>
      </c>
      <c r="B26" s="43">
        <v>1</v>
      </c>
      <c r="C26" s="43">
        <v>100</v>
      </c>
      <c r="D26" s="43">
        <v>100</v>
      </c>
      <c r="E26" s="43">
        <v>100</v>
      </c>
      <c r="F26" s="43" t="s">
        <v>53</v>
      </c>
      <c r="G26" s="43">
        <v>1</v>
      </c>
      <c r="H26" s="43">
        <v>1</v>
      </c>
      <c r="I26" s="43">
        <v>8066</v>
      </c>
      <c r="J26" s="44">
        <f t="shared" si="0"/>
        <v>100</v>
      </c>
      <c r="L26" s="131" t="s">
        <v>394</v>
      </c>
      <c r="M26" s="132" t="s">
        <v>395</v>
      </c>
    </row>
    <row r="27" spans="1:13" ht="21" customHeight="1" x14ac:dyDescent="0.15">
      <c r="A27" s="117">
        <v>39007026</v>
      </c>
      <c r="B27" s="43">
        <v>1</v>
      </c>
      <c r="C27" s="43">
        <v>100</v>
      </c>
      <c r="D27" s="43">
        <v>100</v>
      </c>
      <c r="E27" s="43">
        <v>100</v>
      </c>
      <c r="F27" s="43" t="s">
        <v>53</v>
      </c>
      <c r="G27" s="43">
        <v>1</v>
      </c>
      <c r="H27" s="43">
        <v>1</v>
      </c>
      <c r="I27" s="43">
        <v>8067</v>
      </c>
      <c r="J27" s="44">
        <f t="shared" si="0"/>
        <v>100</v>
      </c>
      <c r="L27" s="131" t="s">
        <v>394</v>
      </c>
      <c r="M27" s="132" t="s">
        <v>395</v>
      </c>
    </row>
    <row r="28" spans="1:13" ht="21" customHeight="1" x14ac:dyDescent="0.15">
      <c r="A28" s="117">
        <v>39007027</v>
      </c>
      <c r="B28" s="43">
        <v>1</v>
      </c>
      <c r="C28" s="43">
        <v>100</v>
      </c>
      <c r="D28" s="43">
        <v>100</v>
      </c>
      <c r="E28" s="43">
        <v>100</v>
      </c>
      <c r="F28" s="43" t="s">
        <v>53</v>
      </c>
      <c r="G28" s="43">
        <v>1</v>
      </c>
      <c r="H28" s="43">
        <v>1</v>
      </c>
      <c r="I28" s="43">
        <v>8068</v>
      </c>
      <c r="J28" s="44">
        <f t="shared" si="0"/>
        <v>100</v>
      </c>
      <c r="L28" s="131" t="s">
        <v>394</v>
      </c>
      <c r="M28" s="132" t="s">
        <v>395</v>
      </c>
    </row>
    <row r="29" spans="1:13" ht="21" customHeight="1" x14ac:dyDescent="0.15">
      <c r="A29" s="117">
        <v>39007028</v>
      </c>
      <c r="B29" s="43">
        <v>1</v>
      </c>
      <c r="C29" s="43">
        <v>100</v>
      </c>
      <c r="D29" s="43">
        <v>100</v>
      </c>
      <c r="E29" s="43">
        <v>100</v>
      </c>
      <c r="F29" s="43" t="s">
        <v>53</v>
      </c>
      <c r="G29" s="43">
        <v>1</v>
      </c>
      <c r="H29" s="43">
        <v>1</v>
      </c>
      <c r="I29" s="43">
        <v>8069</v>
      </c>
      <c r="J29" s="44">
        <f t="shared" si="0"/>
        <v>100</v>
      </c>
      <c r="L29" s="131" t="s">
        <v>394</v>
      </c>
      <c r="M29" s="132" t="s">
        <v>395</v>
      </c>
    </row>
    <row r="30" spans="1:13" ht="21" customHeight="1" x14ac:dyDescent="0.15">
      <c r="A30" s="117">
        <v>39007029</v>
      </c>
      <c r="B30" s="43">
        <v>1</v>
      </c>
      <c r="C30" s="43">
        <v>100</v>
      </c>
      <c r="D30" s="43">
        <v>100</v>
      </c>
      <c r="E30" s="43">
        <v>100</v>
      </c>
      <c r="F30" s="43" t="s">
        <v>53</v>
      </c>
      <c r="G30" s="43">
        <v>1</v>
      </c>
      <c r="H30" s="43">
        <v>1</v>
      </c>
      <c r="I30" s="43">
        <v>8070</v>
      </c>
      <c r="J30" s="44">
        <f t="shared" si="0"/>
        <v>100</v>
      </c>
      <c r="L30" s="131" t="s">
        <v>394</v>
      </c>
      <c r="M30" s="132" t="s">
        <v>395</v>
      </c>
    </row>
    <row r="31" spans="1:13" ht="21" customHeight="1" x14ac:dyDescent="0.15">
      <c r="A31" s="117">
        <v>39007030</v>
      </c>
      <c r="B31" s="43">
        <v>1</v>
      </c>
      <c r="C31" s="43">
        <v>100</v>
      </c>
      <c r="D31" s="43">
        <v>100</v>
      </c>
      <c r="E31" s="43">
        <v>100</v>
      </c>
      <c r="F31" s="43" t="s">
        <v>53</v>
      </c>
      <c r="G31" s="43">
        <v>1</v>
      </c>
      <c r="H31" s="43">
        <v>1</v>
      </c>
      <c r="I31" s="43">
        <v>8071</v>
      </c>
      <c r="J31" s="44">
        <f t="shared" si="0"/>
        <v>100</v>
      </c>
      <c r="L31" s="131" t="s">
        <v>394</v>
      </c>
      <c r="M31" s="132" t="s">
        <v>395</v>
      </c>
    </row>
    <row r="32" spans="1:13" ht="21" customHeight="1" x14ac:dyDescent="0.15">
      <c r="A32" s="117">
        <v>39007031</v>
      </c>
      <c r="B32" s="43">
        <v>1</v>
      </c>
      <c r="C32" s="43">
        <v>100</v>
      </c>
      <c r="D32" s="43">
        <v>100</v>
      </c>
      <c r="E32" s="43">
        <v>100</v>
      </c>
      <c r="F32" s="43" t="s">
        <v>53</v>
      </c>
      <c r="G32" s="43">
        <v>1</v>
      </c>
      <c r="H32" s="43">
        <v>1</v>
      </c>
      <c r="I32" s="43">
        <v>8072</v>
      </c>
      <c r="J32" s="44">
        <f t="shared" si="0"/>
        <v>100</v>
      </c>
      <c r="L32" s="131" t="s">
        <v>394</v>
      </c>
      <c r="M32" s="132" t="s">
        <v>395</v>
      </c>
    </row>
    <row r="33" spans="1:13" ht="21" customHeight="1" x14ac:dyDescent="0.15">
      <c r="A33" s="117">
        <v>39007032</v>
      </c>
      <c r="B33" s="43">
        <v>0</v>
      </c>
      <c r="C33" s="43">
        <v>90</v>
      </c>
      <c r="D33" s="43">
        <v>100</v>
      </c>
      <c r="E33" s="43">
        <v>100</v>
      </c>
      <c r="F33" s="43" t="s">
        <v>53</v>
      </c>
      <c r="G33" s="43">
        <v>0</v>
      </c>
      <c r="H33" s="43" t="s">
        <v>53</v>
      </c>
      <c r="I33" s="43" t="s">
        <v>388</v>
      </c>
      <c r="J33" s="44">
        <f t="shared" si="0"/>
        <v>100</v>
      </c>
      <c r="L33" s="131" t="s">
        <v>396</v>
      </c>
      <c r="M33" s="132" t="s">
        <v>351</v>
      </c>
    </row>
    <row r="34" spans="1:13" ht="21" customHeight="1" x14ac:dyDescent="0.15">
      <c r="A34" s="117">
        <v>39007033</v>
      </c>
      <c r="B34" s="43">
        <v>0</v>
      </c>
      <c r="C34" s="43" t="s">
        <v>53</v>
      </c>
      <c r="D34" s="43">
        <v>100</v>
      </c>
      <c r="E34" s="43">
        <v>100</v>
      </c>
      <c r="F34" s="43" t="s">
        <v>53</v>
      </c>
      <c r="G34" s="43">
        <v>0</v>
      </c>
      <c r="H34" s="43" t="s">
        <v>53</v>
      </c>
      <c r="I34" s="43">
        <v>0</v>
      </c>
      <c r="J34" s="44">
        <f t="shared" si="0"/>
        <v>100</v>
      </c>
      <c r="L34" s="131" t="s">
        <v>397</v>
      </c>
      <c r="M34" s="132" t="s">
        <v>398</v>
      </c>
    </row>
    <row r="35" spans="1:13" ht="21" customHeight="1" x14ac:dyDescent="0.15">
      <c r="A35" s="118">
        <v>39007034</v>
      </c>
      <c r="B35" s="43">
        <v>1</v>
      </c>
      <c r="C35" s="43">
        <v>100</v>
      </c>
      <c r="D35" s="43">
        <v>100</v>
      </c>
      <c r="E35" s="43">
        <v>100</v>
      </c>
      <c r="F35" s="43" t="s">
        <v>53</v>
      </c>
      <c r="G35" s="43">
        <v>1</v>
      </c>
      <c r="H35" s="43" t="s">
        <v>53</v>
      </c>
      <c r="I35" s="43" t="s">
        <v>388</v>
      </c>
      <c r="J35" s="44">
        <f t="shared" si="0"/>
        <v>100</v>
      </c>
      <c r="L35" s="131" t="s">
        <v>374</v>
      </c>
      <c r="M35" s="132" t="s">
        <v>399</v>
      </c>
    </row>
    <row r="36" spans="1:13" ht="21" customHeight="1" thickBot="1" x14ac:dyDescent="0.2">
      <c r="A36" s="119">
        <v>39007035</v>
      </c>
      <c r="B36" s="128">
        <v>0</v>
      </c>
      <c r="C36" s="128">
        <v>100</v>
      </c>
      <c r="D36" s="128">
        <v>50</v>
      </c>
      <c r="E36" s="128">
        <v>100</v>
      </c>
      <c r="F36" s="128" t="s">
        <v>53</v>
      </c>
      <c r="G36" s="128" t="s">
        <v>387</v>
      </c>
      <c r="H36" s="128" t="s">
        <v>53</v>
      </c>
      <c r="I36" s="128" t="s">
        <v>388</v>
      </c>
      <c r="J36" s="44">
        <f t="shared" si="0"/>
        <v>50</v>
      </c>
      <c r="L36" s="133" t="s">
        <v>400</v>
      </c>
      <c r="M36" s="134" t="s">
        <v>401</v>
      </c>
    </row>
    <row r="37" spans="1:13" ht="21" customHeight="1" x14ac:dyDescent="0.15">
      <c r="A37" s="120">
        <v>39007036</v>
      </c>
      <c r="B37" s="127">
        <v>0</v>
      </c>
      <c r="C37" s="127">
        <v>100</v>
      </c>
      <c r="D37" s="127">
        <v>50</v>
      </c>
      <c r="E37" s="127">
        <v>100</v>
      </c>
      <c r="F37" s="127" t="s">
        <v>53</v>
      </c>
      <c r="G37" s="127" t="s">
        <v>387</v>
      </c>
      <c r="H37" s="127" t="s">
        <v>53</v>
      </c>
      <c r="I37" s="127" t="s">
        <v>388</v>
      </c>
      <c r="J37" s="44">
        <f t="shared" si="0"/>
        <v>50</v>
      </c>
      <c r="L37" s="129" t="s">
        <v>402</v>
      </c>
      <c r="M37" s="130" t="s">
        <v>403</v>
      </c>
    </row>
    <row r="38" spans="1:13" ht="21" customHeight="1" x14ac:dyDescent="0.15">
      <c r="A38" s="121">
        <v>39007037</v>
      </c>
      <c r="B38" s="43">
        <v>0</v>
      </c>
      <c r="C38" s="43">
        <v>100</v>
      </c>
      <c r="D38" s="43">
        <v>100</v>
      </c>
      <c r="E38" s="43">
        <v>100</v>
      </c>
      <c r="F38" s="43" t="s">
        <v>53</v>
      </c>
      <c r="G38" s="43" t="s">
        <v>387</v>
      </c>
      <c r="H38" s="43">
        <v>3</v>
      </c>
      <c r="I38" s="43" t="s">
        <v>388</v>
      </c>
      <c r="J38" s="44">
        <f t="shared" si="0"/>
        <v>100</v>
      </c>
      <c r="L38" s="131" t="s">
        <v>404</v>
      </c>
      <c r="M38" s="132" t="s">
        <v>405</v>
      </c>
    </row>
    <row r="39" spans="1:13" ht="21" customHeight="1" x14ac:dyDescent="0.15">
      <c r="A39" s="122">
        <v>39007038</v>
      </c>
      <c r="B39" s="43">
        <v>1</v>
      </c>
      <c r="C39" s="43">
        <v>100</v>
      </c>
      <c r="D39" s="43">
        <v>100</v>
      </c>
      <c r="E39" s="43">
        <v>100</v>
      </c>
      <c r="F39" s="43" t="s">
        <v>53</v>
      </c>
      <c r="G39" s="43">
        <v>1</v>
      </c>
      <c r="H39" s="43" t="s">
        <v>53</v>
      </c>
      <c r="I39" s="43" t="s">
        <v>388</v>
      </c>
      <c r="J39" s="44">
        <f t="shared" si="0"/>
        <v>100</v>
      </c>
      <c r="L39" s="131" t="s">
        <v>378</v>
      </c>
      <c r="M39" s="132" t="s">
        <v>406</v>
      </c>
    </row>
    <row r="40" spans="1:13" ht="21" customHeight="1" x14ac:dyDescent="0.15">
      <c r="A40" s="122">
        <v>39007039</v>
      </c>
      <c r="B40" s="43">
        <v>0</v>
      </c>
      <c r="C40" s="43">
        <v>90</v>
      </c>
      <c r="D40" s="43">
        <v>25</v>
      </c>
      <c r="E40" s="43">
        <v>100</v>
      </c>
      <c r="F40" s="43" t="s">
        <v>53</v>
      </c>
      <c r="G40" s="43" t="s">
        <v>387</v>
      </c>
      <c r="H40" s="43" t="s">
        <v>53</v>
      </c>
      <c r="I40" s="43" t="s">
        <v>388</v>
      </c>
      <c r="J40" s="44">
        <f t="shared" si="0"/>
        <v>25</v>
      </c>
      <c r="L40" s="131" t="s">
        <v>379</v>
      </c>
      <c r="M40" s="132" t="s">
        <v>358</v>
      </c>
    </row>
    <row r="41" spans="1:13" ht="21" customHeight="1" thickBot="1" x14ac:dyDescent="0.2">
      <c r="A41" s="123">
        <v>39007040</v>
      </c>
      <c r="B41" s="128">
        <v>0</v>
      </c>
      <c r="C41" s="128">
        <v>90</v>
      </c>
      <c r="D41" s="128">
        <v>25</v>
      </c>
      <c r="E41" s="128">
        <v>100</v>
      </c>
      <c r="F41" s="128" t="s">
        <v>53</v>
      </c>
      <c r="G41" s="128" t="s">
        <v>387</v>
      </c>
      <c r="H41" s="128" t="s">
        <v>53</v>
      </c>
      <c r="I41" s="128" t="s">
        <v>388</v>
      </c>
      <c r="J41" s="44">
        <f t="shared" si="0"/>
        <v>25</v>
      </c>
      <c r="L41" s="133" t="s">
        <v>380</v>
      </c>
      <c r="M41" s="134" t="s">
        <v>359</v>
      </c>
    </row>
    <row r="42" spans="1:13" ht="21" customHeight="1" x14ac:dyDescent="0.15">
      <c r="A42" s="124">
        <v>39007041</v>
      </c>
      <c r="B42" s="127">
        <v>1</v>
      </c>
      <c r="C42" s="127">
        <v>100</v>
      </c>
      <c r="D42" s="127">
        <v>100</v>
      </c>
      <c r="E42" s="127">
        <v>100</v>
      </c>
      <c r="F42" s="127" t="s">
        <v>53</v>
      </c>
      <c r="G42" s="127">
        <v>1</v>
      </c>
      <c r="H42" s="127" t="s">
        <v>53</v>
      </c>
      <c r="I42" s="127" t="s">
        <v>388</v>
      </c>
      <c r="J42" s="44">
        <f t="shared" si="0"/>
        <v>100</v>
      </c>
      <c r="L42" s="129" t="s">
        <v>407</v>
      </c>
      <c r="M42" s="130" t="s">
        <v>408</v>
      </c>
    </row>
    <row r="43" spans="1:13" ht="21" customHeight="1" x14ac:dyDescent="0.15">
      <c r="A43" s="125">
        <v>39007042</v>
      </c>
      <c r="B43" s="43">
        <v>0</v>
      </c>
      <c r="C43" s="43">
        <v>80</v>
      </c>
      <c r="D43" s="43">
        <v>100</v>
      </c>
      <c r="E43" s="43">
        <v>100</v>
      </c>
      <c r="F43" s="43" t="s">
        <v>53</v>
      </c>
      <c r="G43" s="43" t="s">
        <v>387</v>
      </c>
      <c r="H43" s="43" t="s">
        <v>53</v>
      </c>
      <c r="I43" s="43" t="s">
        <v>388</v>
      </c>
      <c r="J43" s="44">
        <f t="shared" si="0"/>
        <v>100</v>
      </c>
      <c r="L43" s="131" t="s">
        <v>409</v>
      </c>
      <c r="M43" s="132" t="s">
        <v>401</v>
      </c>
    </row>
    <row r="44" spans="1:13" ht="21" customHeight="1" x14ac:dyDescent="0.15">
      <c r="A44" s="125">
        <v>39007043</v>
      </c>
      <c r="B44" s="43">
        <v>0</v>
      </c>
      <c r="C44" s="43">
        <v>90</v>
      </c>
      <c r="D44" s="43">
        <v>30</v>
      </c>
      <c r="E44" s="43">
        <v>100</v>
      </c>
      <c r="F44" s="43" t="s">
        <v>53</v>
      </c>
      <c r="G44" s="43" t="s">
        <v>387</v>
      </c>
      <c r="H44" s="43" t="s">
        <v>53</v>
      </c>
      <c r="I44" s="43">
        <v>0</v>
      </c>
      <c r="J44" s="44">
        <f t="shared" si="0"/>
        <v>30</v>
      </c>
      <c r="L44" s="131" t="s">
        <v>410</v>
      </c>
      <c r="M44" s="132" t="s">
        <v>408</v>
      </c>
    </row>
    <row r="45" spans="1:13" ht="21" customHeight="1" x14ac:dyDescent="0.15">
      <c r="A45" s="125">
        <v>39007044</v>
      </c>
      <c r="B45" s="43">
        <v>0</v>
      </c>
      <c r="C45" s="43">
        <v>70</v>
      </c>
      <c r="D45" s="43">
        <v>100</v>
      </c>
      <c r="E45" s="43">
        <v>100</v>
      </c>
      <c r="F45" s="43" t="s">
        <v>53</v>
      </c>
      <c r="G45" s="43" t="s">
        <v>387</v>
      </c>
      <c r="H45" s="43">
        <v>2</v>
      </c>
      <c r="I45" s="43" t="s">
        <v>388</v>
      </c>
      <c r="J45" s="44">
        <f t="shared" si="0"/>
        <v>100</v>
      </c>
      <c r="L45" s="131" t="s">
        <v>411</v>
      </c>
      <c r="M45" s="132" t="s">
        <v>361</v>
      </c>
    </row>
    <row r="46" spans="1:13" ht="21" customHeight="1" x14ac:dyDescent="0.15">
      <c r="A46" s="118">
        <v>39007045</v>
      </c>
      <c r="B46" s="43">
        <v>1</v>
      </c>
      <c r="C46" s="43">
        <v>100</v>
      </c>
      <c r="D46" s="43">
        <v>100</v>
      </c>
      <c r="E46" s="43">
        <v>100</v>
      </c>
      <c r="F46" s="43" t="s">
        <v>53</v>
      </c>
      <c r="G46" s="43">
        <v>1</v>
      </c>
      <c r="H46" s="43" t="s">
        <v>53</v>
      </c>
      <c r="I46" s="43" t="s">
        <v>388</v>
      </c>
      <c r="J46" s="44">
        <f t="shared" si="0"/>
        <v>100</v>
      </c>
      <c r="L46" s="131" t="s">
        <v>412</v>
      </c>
      <c r="M46" s="132" t="s">
        <v>362</v>
      </c>
    </row>
    <row r="47" spans="1:13" ht="21" customHeight="1" x14ac:dyDescent="0.15">
      <c r="A47" s="118">
        <v>39007046</v>
      </c>
      <c r="B47" s="43">
        <v>0</v>
      </c>
      <c r="C47" s="43">
        <v>60</v>
      </c>
      <c r="D47" s="43">
        <v>50</v>
      </c>
      <c r="E47" s="43">
        <v>100</v>
      </c>
      <c r="F47" s="43" t="s">
        <v>53</v>
      </c>
      <c r="G47" s="43" t="s">
        <v>387</v>
      </c>
      <c r="H47" s="43" t="s">
        <v>53</v>
      </c>
      <c r="I47" s="43" t="s">
        <v>388</v>
      </c>
      <c r="J47" s="44">
        <f t="shared" si="0"/>
        <v>50</v>
      </c>
      <c r="L47" s="131" t="s">
        <v>413</v>
      </c>
      <c r="M47" s="132" t="s">
        <v>363</v>
      </c>
    </row>
    <row r="48" spans="1:13" ht="21" customHeight="1" x14ac:dyDescent="0.15">
      <c r="A48" s="118">
        <v>39007047</v>
      </c>
      <c r="B48" s="43">
        <v>0</v>
      </c>
      <c r="C48" s="43">
        <v>70</v>
      </c>
      <c r="D48" s="43">
        <v>40</v>
      </c>
      <c r="E48" s="43">
        <v>100</v>
      </c>
      <c r="F48" s="43" t="s">
        <v>53</v>
      </c>
      <c r="G48" s="43" t="s">
        <v>387</v>
      </c>
      <c r="H48" s="43" t="s">
        <v>53</v>
      </c>
      <c r="I48" s="43" t="s">
        <v>388</v>
      </c>
      <c r="J48" s="44">
        <f t="shared" si="0"/>
        <v>40</v>
      </c>
      <c r="L48" s="131" t="s">
        <v>414</v>
      </c>
      <c r="M48" s="132" t="s">
        <v>364</v>
      </c>
    </row>
    <row r="49" spans="1:13" ht="21" customHeight="1" x14ac:dyDescent="0.15">
      <c r="A49" s="118">
        <v>39007048</v>
      </c>
      <c r="B49" s="43">
        <v>0</v>
      </c>
      <c r="C49" s="43">
        <v>80</v>
      </c>
      <c r="D49" s="43">
        <v>100</v>
      </c>
      <c r="E49" s="43">
        <v>50</v>
      </c>
      <c r="F49" s="43" t="s">
        <v>53</v>
      </c>
      <c r="G49" s="43">
        <v>1</v>
      </c>
      <c r="H49" s="43" t="s">
        <v>53</v>
      </c>
      <c r="I49" s="43" t="s">
        <v>388</v>
      </c>
      <c r="J49" s="44">
        <f t="shared" si="0"/>
        <v>100</v>
      </c>
      <c r="L49" s="131" t="s">
        <v>415</v>
      </c>
      <c r="M49" s="132" t="s">
        <v>416</v>
      </c>
    </row>
    <row r="50" spans="1:13" ht="21" customHeight="1" x14ac:dyDescent="0.15">
      <c r="A50" s="118">
        <v>39007049</v>
      </c>
      <c r="B50" s="43">
        <v>0</v>
      </c>
      <c r="C50" s="43">
        <v>90</v>
      </c>
      <c r="D50" s="43">
        <v>100</v>
      </c>
      <c r="E50" s="43">
        <v>30</v>
      </c>
      <c r="F50" s="43" t="s">
        <v>53</v>
      </c>
      <c r="G50" s="43">
        <v>1</v>
      </c>
      <c r="H50" s="43" t="s">
        <v>53</v>
      </c>
      <c r="I50" s="43" t="s">
        <v>388</v>
      </c>
      <c r="J50" s="44">
        <f t="shared" si="0"/>
        <v>100</v>
      </c>
      <c r="L50" s="131" t="s">
        <v>417</v>
      </c>
      <c r="M50" s="132" t="s">
        <v>418</v>
      </c>
    </row>
    <row r="51" spans="1:13" ht="21" customHeight="1" thickBot="1" x14ac:dyDescent="0.2">
      <c r="A51" s="119">
        <v>39007050</v>
      </c>
      <c r="B51" s="128">
        <v>0</v>
      </c>
      <c r="C51" s="128" t="s">
        <v>53</v>
      </c>
      <c r="D51" s="128">
        <v>100</v>
      </c>
      <c r="E51" s="128">
        <v>100</v>
      </c>
      <c r="F51" s="128" t="s">
        <v>53</v>
      </c>
      <c r="G51" s="128">
        <v>0</v>
      </c>
      <c r="H51" s="128" t="s">
        <v>53</v>
      </c>
      <c r="I51" s="128">
        <v>0</v>
      </c>
      <c r="J51" s="44">
        <f t="shared" si="0"/>
        <v>100</v>
      </c>
      <c r="L51" s="133" t="s">
        <v>419</v>
      </c>
      <c r="M51" s="134" t="s">
        <v>420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U51"/>
  <sheetViews>
    <sheetView tabSelected="1" workbookViewId="0">
      <selection activeCell="I23" sqref="I23"/>
    </sheetView>
  </sheetViews>
  <sheetFormatPr baseColWidth="12" defaultRowHeight="15" x14ac:dyDescent="0.15"/>
  <cols>
    <col min="17" max="18" width="19" bestFit="1" customWidth="1"/>
  </cols>
  <sheetData>
    <row r="1" spans="1:21" ht="16" thickBot="1" x14ac:dyDescent="0.2">
      <c r="A1" s="60" t="s">
        <v>148</v>
      </c>
      <c r="B1" s="60" t="s">
        <v>149</v>
      </c>
      <c r="C1" s="61" t="s">
        <v>150</v>
      </c>
      <c r="D1" s="68" t="s">
        <v>151</v>
      </c>
      <c r="E1" s="62" t="s">
        <v>152</v>
      </c>
      <c r="F1" s="60" t="s">
        <v>153</v>
      </c>
      <c r="G1" s="60" t="s">
        <v>154</v>
      </c>
      <c r="H1" s="60" t="s">
        <v>155</v>
      </c>
      <c r="I1" s="60" t="s">
        <v>156</v>
      </c>
      <c r="J1" s="60" t="s">
        <v>157</v>
      </c>
      <c r="K1" s="60" t="s">
        <v>158</v>
      </c>
      <c r="L1" s="60" t="s">
        <v>159</v>
      </c>
      <c r="M1" s="60" t="s">
        <v>160</v>
      </c>
      <c r="N1" s="60" t="s">
        <v>161</v>
      </c>
      <c r="O1" s="60" t="s">
        <v>162</v>
      </c>
      <c r="P1" s="60" t="s">
        <v>163</v>
      </c>
      <c r="Q1" s="60" t="s">
        <v>164</v>
      </c>
      <c r="R1" s="60" t="s">
        <v>165</v>
      </c>
      <c r="T1" s="150" t="s">
        <v>424</v>
      </c>
      <c r="U1" s="151" t="s">
        <v>425</v>
      </c>
    </row>
    <row r="2" spans="1:21" x14ac:dyDescent="0.15">
      <c r="A2" s="135">
        <v>39007</v>
      </c>
      <c r="B2" s="77">
        <v>1</v>
      </c>
      <c r="C2" s="67" t="str">
        <f>A2&amp; "_"&amp;B2</f>
        <v>39007_1</v>
      </c>
      <c r="D2" s="10" t="str">
        <f ca="1">VLOOKUP($C2,OFFSET([2]stages!$A$1,0,0,COUNTA([2]stages!$A:$A),MATCH(D$1,[2]stages!$2:$2,0)-MATCH($C$1,[2]stages!$2:$2,0)+1),MATCH(D$1,[2]stages!$2:$2,0)-MATCH($C$1,[2]stages!$2:$2,0)+1,FALSE)</f>
        <v>everyone</v>
      </c>
      <c r="E2" s="77">
        <v>1</v>
      </c>
      <c r="F2" s="77" t="s">
        <v>166</v>
      </c>
      <c r="G2" s="77">
        <v>1700</v>
      </c>
      <c r="H2" s="77" t="s">
        <v>422</v>
      </c>
      <c r="I2" s="77">
        <v>1</v>
      </c>
      <c r="J2" s="77">
        <v>1</v>
      </c>
      <c r="K2" s="77">
        <v>0</v>
      </c>
      <c r="L2" s="77">
        <v>0</v>
      </c>
      <c r="M2" s="77">
        <v>0</v>
      </c>
      <c r="N2" s="77">
        <v>0</v>
      </c>
      <c r="O2" s="77">
        <v>1</v>
      </c>
      <c r="P2" s="77">
        <v>250</v>
      </c>
      <c r="Q2" s="77" t="s">
        <v>167</v>
      </c>
      <c r="R2" s="144" t="s">
        <v>168</v>
      </c>
      <c r="T2" s="152">
        <f>P2/SUM(P$2:P$13)</f>
        <v>0.16722408026755853</v>
      </c>
      <c r="U2" t="str">
        <f>IF($F2="unit",VLOOKUP($G2,[4]characters!$A:$C,3,),($G2&amp;$F2))</f>
        <v>1700bit</v>
      </c>
    </row>
    <row r="3" spans="1:21" x14ac:dyDescent="0.15">
      <c r="A3" s="135">
        <v>39007</v>
      </c>
      <c r="B3" s="77">
        <v>1</v>
      </c>
      <c r="C3" s="67" t="str">
        <f t="shared" ref="C3:C51" si="0">A3&amp; "_"&amp;B3</f>
        <v>39007_1</v>
      </c>
      <c r="D3" s="10" t="str">
        <f ca="1">VLOOKUP($C3,OFFSET([2]stages!$A$1,0,0,COUNTA([2]stages!$A:$A),MATCH(D$1,[2]stages!$2:$2,0)-MATCH($C$1,[2]stages!$2:$2,0)+1),MATCH(D$1,[2]stages!$2:$2,0)-MATCH($C$1,[2]stages!$2:$2,0)+1,FALSE)</f>
        <v>everyone</v>
      </c>
      <c r="E3" s="77">
        <v>2</v>
      </c>
      <c r="F3" s="77" t="s">
        <v>421</v>
      </c>
      <c r="G3" s="77">
        <v>20</v>
      </c>
      <c r="H3" s="77" t="s">
        <v>422</v>
      </c>
      <c r="I3" s="77">
        <v>1</v>
      </c>
      <c r="J3" s="77">
        <v>1</v>
      </c>
      <c r="K3" s="77">
        <v>0</v>
      </c>
      <c r="L3" s="77">
        <v>0</v>
      </c>
      <c r="M3" s="77">
        <v>0</v>
      </c>
      <c r="N3" s="77">
        <v>0</v>
      </c>
      <c r="O3" s="77">
        <v>1</v>
      </c>
      <c r="P3" s="77">
        <v>250</v>
      </c>
      <c r="Q3" s="77" t="s">
        <v>167</v>
      </c>
      <c r="R3" s="144" t="s">
        <v>168</v>
      </c>
      <c r="T3" s="153">
        <f t="shared" ref="T3:T13" si="1">P3/SUM(P$2:P$13)</f>
        <v>0.16722408026755853</v>
      </c>
      <c r="U3" t="str">
        <f>IF($F3="unit",VLOOKUP($G3,[4]characters!$A:$C,3,),($G3&amp;$F3))</f>
        <v>20link</v>
      </c>
    </row>
    <row r="4" spans="1:21" x14ac:dyDescent="0.15">
      <c r="A4" s="135">
        <v>39007</v>
      </c>
      <c r="B4" s="77">
        <v>1</v>
      </c>
      <c r="C4" s="67" t="str">
        <f t="shared" si="0"/>
        <v>39007_1</v>
      </c>
      <c r="D4" s="10" t="str">
        <f ca="1">VLOOKUP($C4,OFFSET([2]stages!$A$1,0,0,COUNTA([2]stages!$A:$A),MATCH(D$1,[2]stages!$2:$2,0)-MATCH($C$1,[2]stages!$2:$2,0)+1),MATCH(D$1,[2]stages!$2:$2,0)-MATCH($C$1,[2]stages!$2:$2,0)+1,FALSE)</f>
        <v>everyone</v>
      </c>
      <c r="E4" s="77">
        <v>3</v>
      </c>
      <c r="F4" s="77" t="s">
        <v>232</v>
      </c>
      <c r="G4" s="77">
        <v>344</v>
      </c>
      <c r="H4" s="77">
        <v>1</v>
      </c>
      <c r="I4" s="77">
        <v>1</v>
      </c>
      <c r="J4" s="77">
        <v>1</v>
      </c>
      <c r="K4" s="77">
        <v>0</v>
      </c>
      <c r="L4" s="77">
        <v>0</v>
      </c>
      <c r="M4" s="77">
        <v>0</v>
      </c>
      <c r="N4" s="77">
        <v>0</v>
      </c>
      <c r="O4" s="77">
        <v>1</v>
      </c>
      <c r="P4" s="77">
        <v>150</v>
      </c>
      <c r="Q4" s="77" t="s">
        <v>167</v>
      </c>
      <c r="R4" s="144" t="s">
        <v>168</v>
      </c>
      <c r="T4" s="153">
        <f t="shared" si="1"/>
        <v>0.10033444816053512</v>
      </c>
      <c r="U4" t="str">
        <f>IF($F4="unit",VLOOKUP($G4,[4]characters!$A:$C,3,),($G4&amp;$F4))</f>
        <v>雷のメタルピヨピヨ</v>
      </c>
    </row>
    <row r="5" spans="1:21" x14ac:dyDescent="0.15">
      <c r="A5" s="135">
        <v>39007</v>
      </c>
      <c r="B5" s="77">
        <v>1</v>
      </c>
      <c r="C5" s="67" t="str">
        <f t="shared" si="0"/>
        <v>39007_1</v>
      </c>
      <c r="D5" s="10" t="str">
        <f ca="1">VLOOKUP($C5,OFFSET([2]stages!$A$1,0,0,COUNTA([2]stages!$A:$A),MATCH(D$1,[2]stages!$2:$2,0)-MATCH($C$1,[2]stages!$2:$2,0)+1),MATCH(D$1,[2]stages!$2:$2,0)-MATCH($C$1,[2]stages!$2:$2,0)+1,FALSE)</f>
        <v>everyone</v>
      </c>
      <c r="E5" s="77">
        <v>4</v>
      </c>
      <c r="F5" s="77" t="s">
        <v>232</v>
      </c>
      <c r="G5" s="77">
        <v>345</v>
      </c>
      <c r="H5" s="77">
        <v>1</v>
      </c>
      <c r="I5" s="77">
        <v>1</v>
      </c>
      <c r="J5" s="77">
        <v>1</v>
      </c>
      <c r="K5" s="77">
        <v>0</v>
      </c>
      <c r="L5" s="77">
        <v>0</v>
      </c>
      <c r="M5" s="77">
        <v>0</v>
      </c>
      <c r="N5" s="77">
        <v>0</v>
      </c>
      <c r="O5" s="77">
        <v>1</v>
      </c>
      <c r="P5" s="77">
        <v>55</v>
      </c>
      <c r="Q5" s="77" t="s">
        <v>167</v>
      </c>
      <c r="R5" s="144" t="s">
        <v>168</v>
      </c>
      <c r="T5" s="153">
        <f t="shared" si="1"/>
        <v>3.678929765886288E-2</v>
      </c>
      <c r="U5" t="str">
        <f>IF($F5="unit",VLOOKUP($G5,[4]characters!$A:$C,3,),($G5&amp;$F5))</f>
        <v>雷のメタルチック</v>
      </c>
    </row>
    <row r="6" spans="1:21" x14ac:dyDescent="0.15">
      <c r="A6" s="135">
        <v>39007</v>
      </c>
      <c r="B6" s="77">
        <v>1</v>
      </c>
      <c r="C6" s="67" t="str">
        <f t="shared" si="0"/>
        <v>39007_1</v>
      </c>
      <c r="D6" s="10" t="str">
        <f ca="1">VLOOKUP($C6,OFFSET([2]stages!$A$1,0,0,COUNTA([2]stages!$A:$A),MATCH(D$1,[2]stages!$2:$2,0)-MATCH($C$1,[2]stages!$2:$2,0)+1),MATCH(D$1,[2]stages!$2:$2,0)-MATCH($C$1,[2]stages!$2:$2,0)+1,FALSE)</f>
        <v>everyone</v>
      </c>
      <c r="E6" s="77">
        <v>5</v>
      </c>
      <c r="F6" s="77" t="s">
        <v>232</v>
      </c>
      <c r="G6" s="77">
        <v>121</v>
      </c>
      <c r="H6" s="77">
        <v>1</v>
      </c>
      <c r="I6" s="77">
        <v>1</v>
      </c>
      <c r="J6" s="77">
        <v>1</v>
      </c>
      <c r="K6" s="77">
        <v>0</v>
      </c>
      <c r="L6" s="77">
        <v>0</v>
      </c>
      <c r="M6" s="77">
        <v>0</v>
      </c>
      <c r="N6" s="77">
        <v>0</v>
      </c>
      <c r="O6" s="77">
        <v>1</v>
      </c>
      <c r="P6" s="77">
        <v>75</v>
      </c>
      <c r="Q6" s="77" t="s">
        <v>167</v>
      </c>
      <c r="R6" s="144" t="s">
        <v>168</v>
      </c>
      <c r="T6" s="153">
        <f t="shared" si="1"/>
        <v>5.016722408026756E-2</v>
      </c>
      <c r="U6" t="str">
        <f>IF($F6="unit",VLOOKUP($G6,[4]characters!$A:$C,3,),($G6&amp;$F6))</f>
        <v>攻めの果実</v>
      </c>
    </row>
    <row r="7" spans="1:21" x14ac:dyDescent="0.15">
      <c r="A7" s="135">
        <v>39007</v>
      </c>
      <c r="B7" s="77">
        <v>1</v>
      </c>
      <c r="C7" s="67" t="str">
        <f t="shared" si="0"/>
        <v>39007_1</v>
      </c>
      <c r="D7" s="10" t="str">
        <f ca="1">VLOOKUP($C7,OFFSET([2]stages!$A$1,0,0,COUNTA([2]stages!$A:$A),MATCH(D$1,[2]stages!$2:$2,0)-MATCH($C$1,[2]stages!$2:$2,0)+1),MATCH(D$1,[2]stages!$2:$2,0)-MATCH($C$1,[2]stages!$2:$2,0)+1,FALSE)</f>
        <v>everyone</v>
      </c>
      <c r="E7" s="77">
        <v>6</v>
      </c>
      <c r="F7" s="77" t="s">
        <v>232</v>
      </c>
      <c r="G7" s="77">
        <v>122</v>
      </c>
      <c r="H7" s="77">
        <v>1</v>
      </c>
      <c r="I7" s="77">
        <v>1</v>
      </c>
      <c r="J7" s="77">
        <v>1</v>
      </c>
      <c r="K7" s="77">
        <v>0</v>
      </c>
      <c r="L7" s="77">
        <v>0</v>
      </c>
      <c r="M7" s="77">
        <v>0</v>
      </c>
      <c r="N7" s="77">
        <v>0</v>
      </c>
      <c r="O7" s="77">
        <v>1</v>
      </c>
      <c r="P7" s="77">
        <v>75</v>
      </c>
      <c r="Q7" s="77" t="s">
        <v>167</v>
      </c>
      <c r="R7" s="144" t="s">
        <v>168</v>
      </c>
      <c r="T7" s="153">
        <f t="shared" si="1"/>
        <v>5.016722408026756E-2</v>
      </c>
      <c r="U7" t="str">
        <f>IF($F7="unit",VLOOKUP($G7,[4]characters!$A:$C,3,),($G7&amp;$F7))</f>
        <v>生命の果実</v>
      </c>
    </row>
    <row r="8" spans="1:21" x14ac:dyDescent="0.15">
      <c r="A8" s="135">
        <v>39007</v>
      </c>
      <c r="B8" s="77">
        <v>1</v>
      </c>
      <c r="C8" s="67" t="str">
        <f t="shared" si="0"/>
        <v>39007_1</v>
      </c>
      <c r="D8" s="10" t="str">
        <f ca="1">VLOOKUP($C8,OFFSET([2]stages!$A$1,0,0,COUNTA([2]stages!$A:$A),MATCH(D$1,[2]stages!$2:$2,0)-MATCH($C$1,[2]stages!$2:$2,0)+1),MATCH(D$1,[2]stages!$2:$2,0)-MATCH($C$1,[2]stages!$2:$2,0)+1,FALSE)</f>
        <v>everyone</v>
      </c>
      <c r="E8" s="77">
        <v>7</v>
      </c>
      <c r="F8" s="77" t="s">
        <v>232</v>
      </c>
      <c r="G8" s="77">
        <v>123</v>
      </c>
      <c r="H8" s="77">
        <v>1</v>
      </c>
      <c r="I8" s="77">
        <v>1</v>
      </c>
      <c r="J8" s="77">
        <v>1</v>
      </c>
      <c r="K8" s="77">
        <v>0</v>
      </c>
      <c r="L8" s="77">
        <v>0</v>
      </c>
      <c r="M8" s="77">
        <v>0</v>
      </c>
      <c r="N8" s="77">
        <v>0</v>
      </c>
      <c r="O8" s="77">
        <v>1</v>
      </c>
      <c r="P8" s="77">
        <v>75</v>
      </c>
      <c r="Q8" s="77" t="s">
        <v>167</v>
      </c>
      <c r="R8" s="144" t="s">
        <v>168</v>
      </c>
      <c r="T8" s="153">
        <f t="shared" si="1"/>
        <v>5.016722408026756E-2</v>
      </c>
      <c r="U8" t="str">
        <f>IF($F8="unit",VLOOKUP($G8,[4]characters!$A:$C,3,),($G8&amp;$F8))</f>
        <v>癒しの果実</v>
      </c>
    </row>
    <row r="9" spans="1:21" x14ac:dyDescent="0.15">
      <c r="A9" s="135">
        <v>39007</v>
      </c>
      <c r="B9" s="77">
        <v>1</v>
      </c>
      <c r="C9" s="67" t="str">
        <f t="shared" si="0"/>
        <v>39007_1</v>
      </c>
      <c r="D9" s="10" t="str">
        <f ca="1">VLOOKUP($C9,OFFSET([2]stages!$A$1,0,0,COUNTA([2]stages!$A:$A),MATCH(D$1,[2]stages!$2:$2,0)-MATCH($C$1,[2]stages!$2:$2,0)+1),MATCH(D$1,[2]stages!$2:$2,0)-MATCH($C$1,[2]stages!$2:$2,0)+1,FALSE)</f>
        <v>everyone</v>
      </c>
      <c r="E9" s="77">
        <v>8</v>
      </c>
      <c r="F9" s="77" t="s">
        <v>232</v>
      </c>
      <c r="G9" s="77">
        <v>125</v>
      </c>
      <c r="H9" s="77">
        <v>1</v>
      </c>
      <c r="I9" s="77">
        <v>1</v>
      </c>
      <c r="J9" s="77">
        <v>1</v>
      </c>
      <c r="K9" s="77">
        <v>0</v>
      </c>
      <c r="L9" s="77">
        <v>0</v>
      </c>
      <c r="M9" s="77">
        <v>0</v>
      </c>
      <c r="N9" s="77">
        <v>0</v>
      </c>
      <c r="O9" s="77">
        <v>1</v>
      </c>
      <c r="P9" s="77">
        <v>15</v>
      </c>
      <c r="Q9" s="77" t="s">
        <v>167</v>
      </c>
      <c r="R9" s="144" t="s">
        <v>168</v>
      </c>
      <c r="T9" s="153">
        <f t="shared" si="1"/>
        <v>1.0033444816053512E-2</v>
      </c>
      <c r="U9" t="str">
        <f>IF($F9="unit",VLOOKUP($G9,[4]characters!$A:$C,3,),($G9&amp;$F9))</f>
        <v>秘術の果実</v>
      </c>
    </row>
    <row r="10" spans="1:21" x14ac:dyDescent="0.15">
      <c r="A10" s="135">
        <v>39007</v>
      </c>
      <c r="B10" s="77">
        <v>1</v>
      </c>
      <c r="C10" s="67" t="str">
        <f t="shared" si="0"/>
        <v>39007_1</v>
      </c>
      <c r="D10" s="10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77">
        <v>9</v>
      </c>
      <c r="F10" s="77" t="s">
        <v>232</v>
      </c>
      <c r="G10" s="143">
        <v>8045</v>
      </c>
      <c r="H10" s="77">
        <v>1</v>
      </c>
      <c r="I10" s="77">
        <v>1</v>
      </c>
      <c r="J10" s="77">
        <v>1</v>
      </c>
      <c r="K10" s="77">
        <v>0</v>
      </c>
      <c r="L10" s="77">
        <v>0</v>
      </c>
      <c r="M10" s="77">
        <v>0</v>
      </c>
      <c r="N10" s="77">
        <v>0</v>
      </c>
      <c r="O10" s="77">
        <v>1</v>
      </c>
      <c r="P10" s="77">
        <v>150</v>
      </c>
      <c r="Q10" s="77" t="s">
        <v>167</v>
      </c>
      <c r="R10" s="144" t="s">
        <v>168</v>
      </c>
      <c r="T10" s="153">
        <f t="shared" si="1"/>
        <v>0.10033444816053512</v>
      </c>
      <c r="U10" t="str">
        <f>IF($F10="unit",VLOOKUP($G10,[4]characters!$A:$C,3,),($G10&amp;$F10))</f>
        <v>ニムダ_サンリオキャラ混じり</v>
      </c>
    </row>
    <row r="11" spans="1:21" x14ac:dyDescent="0.15">
      <c r="A11" s="135">
        <v>39007</v>
      </c>
      <c r="B11" s="77">
        <v>1</v>
      </c>
      <c r="C11" s="67" t="str">
        <f t="shared" si="0"/>
        <v>39007_1</v>
      </c>
      <c r="D11" s="10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77">
        <v>10</v>
      </c>
      <c r="F11" s="77" t="s">
        <v>232</v>
      </c>
      <c r="G11" s="77">
        <v>354</v>
      </c>
      <c r="H11" s="77">
        <v>1</v>
      </c>
      <c r="I11" s="77">
        <v>1</v>
      </c>
      <c r="J11" s="77">
        <v>1</v>
      </c>
      <c r="K11" s="77">
        <v>0</v>
      </c>
      <c r="L11" s="77">
        <v>0</v>
      </c>
      <c r="M11" s="77">
        <v>0</v>
      </c>
      <c r="N11" s="77">
        <v>0</v>
      </c>
      <c r="O11" s="77">
        <v>1</v>
      </c>
      <c r="P11" s="77">
        <v>100</v>
      </c>
      <c r="Q11" s="77" t="s">
        <v>167</v>
      </c>
      <c r="R11" s="144" t="s">
        <v>168</v>
      </c>
      <c r="T11" s="153">
        <f t="shared" si="1"/>
        <v>6.6889632107023408E-2</v>
      </c>
      <c r="U11" t="str">
        <f>IF($F11="unit",VLOOKUP($G11,[4]characters!$A:$C,3,),($G11&amp;$F11))</f>
        <v>雷のケロケロ</v>
      </c>
    </row>
    <row r="12" spans="1:21" x14ac:dyDescent="0.15">
      <c r="A12" s="135">
        <v>39007</v>
      </c>
      <c r="B12" s="77">
        <v>1</v>
      </c>
      <c r="C12" s="67" t="str">
        <f t="shared" si="0"/>
        <v>39007_1</v>
      </c>
      <c r="D12" s="10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77">
        <v>11</v>
      </c>
      <c r="F12" s="77" t="s">
        <v>232</v>
      </c>
      <c r="G12" s="77">
        <v>8051</v>
      </c>
      <c r="H12" s="77">
        <v>1</v>
      </c>
      <c r="I12" s="77">
        <v>1</v>
      </c>
      <c r="J12" s="77">
        <v>1</v>
      </c>
      <c r="K12" s="77">
        <v>0</v>
      </c>
      <c r="L12" s="77">
        <v>0</v>
      </c>
      <c r="M12" s="77">
        <v>0</v>
      </c>
      <c r="N12" s="77">
        <v>0</v>
      </c>
      <c r="O12" s="77">
        <v>1</v>
      </c>
      <c r="P12" s="77">
        <v>150</v>
      </c>
      <c r="Q12" s="77" t="s">
        <v>167</v>
      </c>
      <c r="R12" s="145" t="s">
        <v>168</v>
      </c>
      <c r="T12" s="153">
        <f t="shared" si="1"/>
        <v>0.10033444816053512</v>
      </c>
      <c r="U12" t="str">
        <f>IF($F12="unit",VLOOKUP($G12,[4]characters!$A:$C,3,),($G12&amp;$F12))</f>
        <v>ハローキティのリボン</v>
      </c>
    </row>
    <row r="13" spans="1:21" ht="16" thickBot="1" x14ac:dyDescent="0.2">
      <c r="A13" s="136">
        <v>39007</v>
      </c>
      <c r="B13" s="140">
        <v>1</v>
      </c>
      <c r="C13" s="67" t="str">
        <f t="shared" si="0"/>
        <v>39007_1</v>
      </c>
      <c r="D13" s="10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140">
        <v>12</v>
      </c>
      <c r="F13" s="140" t="s">
        <v>232</v>
      </c>
      <c r="G13" s="142">
        <v>8052</v>
      </c>
      <c r="H13" s="140">
        <v>1</v>
      </c>
      <c r="I13" s="140">
        <v>1</v>
      </c>
      <c r="J13" s="140">
        <v>1</v>
      </c>
      <c r="K13" s="140">
        <v>0</v>
      </c>
      <c r="L13" s="140">
        <v>0</v>
      </c>
      <c r="M13" s="140">
        <v>0</v>
      </c>
      <c r="N13" s="140">
        <v>0</v>
      </c>
      <c r="O13" s="140">
        <v>1</v>
      </c>
      <c r="P13" s="140">
        <v>150</v>
      </c>
      <c r="Q13" s="140" t="s">
        <v>167</v>
      </c>
      <c r="R13" s="146" t="s">
        <v>168</v>
      </c>
      <c r="T13" s="154">
        <f t="shared" si="1"/>
        <v>0.10033444816053512</v>
      </c>
      <c r="U13" t="str">
        <f>IF($F13="unit",VLOOKUP($G13,[4]characters!$A:$C,3,),($G13&amp;$F13))</f>
        <v>ママの作ったアップルパイ</v>
      </c>
    </row>
    <row r="14" spans="1:21" x14ac:dyDescent="0.15">
      <c r="A14" s="137">
        <v>39007</v>
      </c>
      <c r="B14" s="141">
        <v>2</v>
      </c>
      <c r="C14" s="67" t="str">
        <f t="shared" si="0"/>
        <v>39007_2</v>
      </c>
      <c r="D14" s="10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141">
        <v>13</v>
      </c>
      <c r="F14" s="141" t="s">
        <v>166</v>
      </c>
      <c r="G14" s="141">
        <v>3200</v>
      </c>
      <c r="H14" s="141" t="s">
        <v>422</v>
      </c>
      <c r="I14" s="141">
        <v>1</v>
      </c>
      <c r="J14" s="141">
        <v>1</v>
      </c>
      <c r="K14" s="141">
        <v>0</v>
      </c>
      <c r="L14" s="141">
        <v>0</v>
      </c>
      <c r="M14" s="141">
        <v>0</v>
      </c>
      <c r="N14" s="141">
        <v>0</v>
      </c>
      <c r="O14" s="141">
        <v>1</v>
      </c>
      <c r="P14" s="141">
        <v>200</v>
      </c>
      <c r="Q14" s="141" t="s">
        <v>167</v>
      </c>
      <c r="R14" s="147" t="s">
        <v>168</v>
      </c>
      <c r="T14" s="152">
        <f>P14/SUM(P$14:P$25)</f>
        <v>0.11976047904191617</v>
      </c>
      <c r="U14" t="str">
        <f>IF($F14="unit",VLOOKUP($G14,[4]characters!$A:$C,3,),($G14&amp;$F14))</f>
        <v>3200bit</v>
      </c>
    </row>
    <row r="15" spans="1:21" x14ac:dyDescent="0.15">
      <c r="A15" s="138">
        <v>39007</v>
      </c>
      <c r="B15" s="77">
        <v>2</v>
      </c>
      <c r="C15" s="67" t="str">
        <f t="shared" si="0"/>
        <v>39007_2</v>
      </c>
      <c r="D15" s="10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77">
        <v>14</v>
      </c>
      <c r="F15" s="77" t="s">
        <v>421</v>
      </c>
      <c r="G15" s="77">
        <v>20</v>
      </c>
      <c r="H15" s="77" t="s">
        <v>422</v>
      </c>
      <c r="I15" s="77">
        <v>1</v>
      </c>
      <c r="J15" s="77">
        <v>1</v>
      </c>
      <c r="K15" s="77">
        <v>0</v>
      </c>
      <c r="L15" s="77">
        <v>0</v>
      </c>
      <c r="M15" s="77">
        <v>0</v>
      </c>
      <c r="N15" s="77">
        <v>0</v>
      </c>
      <c r="O15" s="77">
        <v>1</v>
      </c>
      <c r="P15" s="77">
        <v>200</v>
      </c>
      <c r="Q15" s="77" t="s">
        <v>167</v>
      </c>
      <c r="R15" s="144" t="s">
        <v>168</v>
      </c>
      <c r="T15" s="153">
        <f t="shared" ref="T15:T24" si="2">P15/SUM(P$14:P$25)</f>
        <v>0.11976047904191617</v>
      </c>
      <c r="U15" t="str">
        <f>IF($F15="unit",VLOOKUP($G15,[4]characters!$A:$C,3,),($G15&amp;$F15))</f>
        <v>20link</v>
      </c>
    </row>
    <row r="16" spans="1:21" x14ac:dyDescent="0.15">
      <c r="A16" s="138">
        <v>39007</v>
      </c>
      <c r="B16" s="77">
        <v>2</v>
      </c>
      <c r="C16" s="67" t="str">
        <f t="shared" si="0"/>
        <v>39007_2</v>
      </c>
      <c r="D16" s="10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77">
        <v>15</v>
      </c>
      <c r="F16" s="77" t="s">
        <v>232</v>
      </c>
      <c r="G16" s="77">
        <v>344</v>
      </c>
      <c r="H16" s="77">
        <v>1</v>
      </c>
      <c r="I16" s="77">
        <v>1</v>
      </c>
      <c r="J16" s="77">
        <v>1</v>
      </c>
      <c r="K16" s="77">
        <v>0</v>
      </c>
      <c r="L16" s="77">
        <v>0</v>
      </c>
      <c r="M16" s="77">
        <v>0</v>
      </c>
      <c r="N16" s="77">
        <v>0</v>
      </c>
      <c r="O16" s="77">
        <v>1</v>
      </c>
      <c r="P16" s="77">
        <v>100</v>
      </c>
      <c r="Q16" s="77" t="s">
        <v>167</v>
      </c>
      <c r="R16" s="144" t="s">
        <v>168</v>
      </c>
      <c r="T16" s="153">
        <f t="shared" si="2"/>
        <v>5.9880239520958084E-2</v>
      </c>
      <c r="U16" t="str">
        <f>IF($F16="unit",VLOOKUP($G16,[4]characters!$A:$C,3,),($G16&amp;$F16))</f>
        <v>雷のメタルピヨピヨ</v>
      </c>
    </row>
    <row r="17" spans="1:21" x14ac:dyDescent="0.15">
      <c r="A17" s="138">
        <v>39007</v>
      </c>
      <c r="B17" s="77">
        <v>2</v>
      </c>
      <c r="C17" s="67" t="str">
        <f t="shared" si="0"/>
        <v>39007_2</v>
      </c>
      <c r="D17" s="10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77">
        <v>16</v>
      </c>
      <c r="F17" s="77" t="s">
        <v>232</v>
      </c>
      <c r="G17" s="77">
        <v>345</v>
      </c>
      <c r="H17" s="77">
        <v>1</v>
      </c>
      <c r="I17" s="77">
        <v>1</v>
      </c>
      <c r="J17" s="77">
        <v>1</v>
      </c>
      <c r="K17" s="77">
        <v>0</v>
      </c>
      <c r="L17" s="77">
        <v>0</v>
      </c>
      <c r="M17" s="77">
        <v>0</v>
      </c>
      <c r="N17" s="77">
        <v>0</v>
      </c>
      <c r="O17" s="77">
        <v>1</v>
      </c>
      <c r="P17" s="77">
        <v>100</v>
      </c>
      <c r="Q17" s="77" t="s">
        <v>167</v>
      </c>
      <c r="R17" s="144" t="s">
        <v>168</v>
      </c>
      <c r="T17" s="153">
        <f t="shared" si="2"/>
        <v>5.9880239520958084E-2</v>
      </c>
      <c r="U17" t="str">
        <f>IF($F17="unit",VLOOKUP($G17,[4]characters!$A:$C,3,),($G17&amp;$F17))</f>
        <v>雷のメタルチック</v>
      </c>
    </row>
    <row r="18" spans="1:21" x14ac:dyDescent="0.15">
      <c r="A18" s="138">
        <v>39007</v>
      </c>
      <c r="B18" s="77">
        <v>2</v>
      </c>
      <c r="C18" s="67" t="str">
        <f t="shared" si="0"/>
        <v>39007_2</v>
      </c>
      <c r="D18" s="10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77">
        <v>17</v>
      </c>
      <c r="F18" s="77" t="s">
        <v>232</v>
      </c>
      <c r="G18" s="77">
        <v>121</v>
      </c>
      <c r="H18" s="77">
        <v>1</v>
      </c>
      <c r="I18" s="77">
        <v>1</v>
      </c>
      <c r="J18" s="77">
        <v>1</v>
      </c>
      <c r="K18" s="77">
        <v>0</v>
      </c>
      <c r="L18" s="77">
        <v>0</v>
      </c>
      <c r="M18" s="77">
        <v>0</v>
      </c>
      <c r="N18" s="77">
        <v>0</v>
      </c>
      <c r="O18" s="77">
        <v>1</v>
      </c>
      <c r="P18" s="77">
        <v>50</v>
      </c>
      <c r="Q18" s="77" t="s">
        <v>167</v>
      </c>
      <c r="R18" s="144" t="s">
        <v>168</v>
      </c>
      <c r="T18" s="153">
        <f t="shared" si="2"/>
        <v>2.9940119760479042E-2</v>
      </c>
      <c r="U18" t="str">
        <f>IF($F18="unit",VLOOKUP($G18,[4]characters!$A:$C,3,),($G18&amp;$F18))</f>
        <v>攻めの果実</v>
      </c>
    </row>
    <row r="19" spans="1:21" x14ac:dyDescent="0.15">
      <c r="A19" s="138">
        <v>39007</v>
      </c>
      <c r="B19" s="77">
        <v>2</v>
      </c>
      <c r="C19" s="67" t="str">
        <f t="shared" si="0"/>
        <v>39007_2</v>
      </c>
      <c r="D19" s="10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77">
        <v>18</v>
      </c>
      <c r="F19" s="77" t="s">
        <v>232</v>
      </c>
      <c r="G19" s="77">
        <v>122</v>
      </c>
      <c r="H19" s="77">
        <v>1</v>
      </c>
      <c r="I19" s="77">
        <v>1</v>
      </c>
      <c r="J19" s="77">
        <v>1</v>
      </c>
      <c r="K19" s="77">
        <v>0</v>
      </c>
      <c r="L19" s="77">
        <v>0</v>
      </c>
      <c r="M19" s="77">
        <v>0</v>
      </c>
      <c r="N19" s="77">
        <v>0</v>
      </c>
      <c r="O19" s="77">
        <v>1</v>
      </c>
      <c r="P19" s="77">
        <v>50</v>
      </c>
      <c r="Q19" s="77" t="s">
        <v>167</v>
      </c>
      <c r="R19" s="144" t="s">
        <v>168</v>
      </c>
      <c r="T19" s="153">
        <f t="shared" si="2"/>
        <v>2.9940119760479042E-2</v>
      </c>
      <c r="U19" t="str">
        <f>IF($F19="unit",VLOOKUP($G19,[4]characters!$A:$C,3,),($G19&amp;$F19))</f>
        <v>生命の果実</v>
      </c>
    </row>
    <row r="20" spans="1:21" x14ac:dyDescent="0.15">
      <c r="A20" s="138">
        <v>39007</v>
      </c>
      <c r="B20" s="77">
        <v>2</v>
      </c>
      <c r="C20" s="67" t="str">
        <f t="shared" si="0"/>
        <v>39007_2</v>
      </c>
      <c r="D20" s="10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77">
        <v>19</v>
      </c>
      <c r="F20" s="77" t="s">
        <v>232</v>
      </c>
      <c r="G20" s="77">
        <v>123</v>
      </c>
      <c r="H20" s="77">
        <v>1</v>
      </c>
      <c r="I20" s="77">
        <v>1</v>
      </c>
      <c r="J20" s="77">
        <v>1</v>
      </c>
      <c r="K20" s="77">
        <v>0</v>
      </c>
      <c r="L20" s="77">
        <v>0</v>
      </c>
      <c r="M20" s="77">
        <v>0</v>
      </c>
      <c r="N20" s="77">
        <v>0</v>
      </c>
      <c r="O20" s="77">
        <v>1</v>
      </c>
      <c r="P20" s="77">
        <v>50</v>
      </c>
      <c r="Q20" s="77" t="s">
        <v>167</v>
      </c>
      <c r="R20" s="144" t="s">
        <v>168</v>
      </c>
      <c r="T20" s="153">
        <f t="shared" si="2"/>
        <v>2.9940119760479042E-2</v>
      </c>
      <c r="U20" t="str">
        <f>IF($F20="unit",VLOOKUP($G20,[4]characters!$A:$C,3,),($G20&amp;$F20))</f>
        <v>癒しの果実</v>
      </c>
    </row>
    <row r="21" spans="1:21" x14ac:dyDescent="0.15">
      <c r="A21" s="138">
        <v>39007</v>
      </c>
      <c r="B21" s="77">
        <v>2</v>
      </c>
      <c r="C21" s="67" t="str">
        <f t="shared" si="0"/>
        <v>39007_2</v>
      </c>
      <c r="D21" s="10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77">
        <v>20</v>
      </c>
      <c r="F21" s="77" t="s">
        <v>232</v>
      </c>
      <c r="G21" s="77">
        <v>125</v>
      </c>
      <c r="H21" s="77">
        <v>1</v>
      </c>
      <c r="I21" s="77">
        <v>1</v>
      </c>
      <c r="J21" s="77">
        <v>1</v>
      </c>
      <c r="K21" s="77">
        <v>0</v>
      </c>
      <c r="L21" s="77">
        <v>0</v>
      </c>
      <c r="M21" s="77">
        <v>0</v>
      </c>
      <c r="N21" s="77">
        <v>0</v>
      </c>
      <c r="O21" s="77">
        <v>1</v>
      </c>
      <c r="P21" s="77">
        <v>10</v>
      </c>
      <c r="Q21" s="77" t="s">
        <v>167</v>
      </c>
      <c r="R21" s="144" t="s">
        <v>168</v>
      </c>
      <c r="T21" s="153">
        <f t="shared" si="2"/>
        <v>5.9880239520958087E-3</v>
      </c>
      <c r="U21" t="str">
        <f>IF($F21="unit",VLOOKUP($G21,[4]characters!$A:$C,3,),($G21&amp;$F21))</f>
        <v>秘術の果実</v>
      </c>
    </row>
    <row r="22" spans="1:21" x14ac:dyDescent="0.15">
      <c r="A22" s="138">
        <v>39007</v>
      </c>
      <c r="B22" s="77">
        <v>2</v>
      </c>
      <c r="C22" s="67" t="str">
        <f t="shared" si="0"/>
        <v>39007_2</v>
      </c>
      <c r="D22" s="10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77">
        <v>21</v>
      </c>
      <c r="F22" s="77" t="s">
        <v>232</v>
      </c>
      <c r="G22" s="143">
        <v>8045</v>
      </c>
      <c r="H22" s="77">
        <v>1</v>
      </c>
      <c r="I22" s="77">
        <v>1</v>
      </c>
      <c r="J22" s="77">
        <v>1</v>
      </c>
      <c r="K22" s="77">
        <v>0</v>
      </c>
      <c r="L22" s="77">
        <v>0</v>
      </c>
      <c r="M22" s="77">
        <v>0</v>
      </c>
      <c r="N22" s="77">
        <v>0</v>
      </c>
      <c r="O22" s="77">
        <v>1</v>
      </c>
      <c r="P22" s="77">
        <v>250</v>
      </c>
      <c r="Q22" s="77" t="s">
        <v>167</v>
      </c>
      <c r="R22" s="144" t="s">
        <v>168</v>
      </c>
      <c r="T22" s="153">
        <f t="shared" si="2"/>
        <v>0.1497005988023952</v>
      </c>
      <c r="U22" t="str">
        <f>IF($F22="unit",VLOOKUP($G22,[4]characters!$A:$C,3,),($G22&amp;$F22))</f>
        <v>ニムダ_サンリオキャラ混じり</v>
      </c>
    </row>
    <row r="23" spans="1:21" x14ac:dyDescent="0.15">
      <c r="A23" s="138">
        <v>39007</v>
      </c>
      <c r="B23" s="77">
        <v>2</v>
      </c>
      <c r="C23" s="67" t="str">
        <f t="shared" si="0"/>
        <v>39007_2</v>
      </c>
      <c r="D23" s="10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77">
        <v>22</v>
      </c>
      <c r="F23" s="77" t="s">
        <v>232</v>
      </c>
      <c r="G23" s="77">
        <v>354</v>
      </c>
      <c r="H23" s="77">
        <v>1</v>
      </c>
      <c r="I23" s="77">
        <v>1</v>
      </c>
      <c r="J23" s="77">
        <v>1</v>
      </c>
      <c r="K23" s="77">
        <v>0</v>
      </c>
      <c r="L23" s="77">
        <v>0</v>
      </c>
      <c r="M23" s="77">
        <v>0</v>
      </c>
      <c r="N23" s="77">
        <v>0</v>
      </c>
      <c r="O23" s="77">
        <v>1</v>
      </c>
      <c r="P23" s="77">
        <v>160</v>
      </c>
      <c r="Q23" s="77" t="s">
        <v>167</v>
      </c>
      <c r="R23" s="144" t="s">
        <v>168</v>
      </c>
      <c r="T23" s="153">
        <f t="shared" si="2"/>
        <v>9.580838323353294E-2</v>
      </c>
      <c r="U23" t="str">
        <f>IF($F23="unit",VLOOKUP($G23,[4]characters!$A:$C,3,),($G23&amp;$F23))</f>
        <v>雷のケロケロ</v>
      </c>
    </row>
    <row r="24" spans="1:21" x14ac:dyDescent="0.15">
      <c r="A24" s="138">
        <v>39007</v>
      </c>
      <c r="B24" s="77">
        <v>2</v>
      </c>
      <c r="C24" s="67" t="str">
        <f t="shared" si="0"/>
        <v>39007_2</v>
      </c>
      <c r="D24" s="10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77">
        <v>23</v>
      </c>
      <c r="F24" s="77" t="s">
        <v>232</v>
      </c>
      <c r="G24" s="77">
        <v>8051</v>
      </c>
      <c r="H24" s="77">
        <v>1</v>
      </c>
      <c r="I24" s="77">
        <v>1</v>
      </c>
      <c r="J24" s="77">
        <v>1</v>
      </c>
      <c r="K24" s="77">
        <v>0</v>
      </c>
      <c r="L24" s="77">
        <v>0</v>
      </c>
      <c r="M24" s="77">
        <v>0</v>
      </c>
      <c r="N24" s="77">
        <v>0</v>
      </c>
      <c r="O24" s="77">
        <v>1</v>
      </c>
      <c r="P24" s="77">
        <v>250</v>
      </c>
      <c r="Q24" s="77" t="s">
        <v>167</v>
      </c>
      <c r="R24" s="145" t="s">
        <v>168</v>
      </c>
      <c r="T24" s="153">
        <f t="shared" si="2"/>
        <v>0.1497005988023952</v>
      </c>
      <c r="U24" t="str">
        <f>IF($F24="unit",VLOOKUP($G24,[4]characters!$A:$C,3,),($G24&amp;$F24))</f>
        <v>ハローキティのリボン</v>
      </c>
    </row>
    <row r="25" spans="1:21" ht="16" thickBot="1" x14ac:dyDescent="0.2">
      <c r="A25" s="139">
        <v>39007</v>
      </c>
      <c r="B25" s="142">
        <v>2</v>
      </c>
      <c r="C25" s="67" t="str">
        <f t="shared" si="0"/>
        <v>39007_2</v>
      </c>
      <c r="D25" s="10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142">
        <v>24</v>
      </c>
      <c r="F25" s="142" t="s">
        <v>232</v>
      </c>
      <c r="G25" s="142">
        <v>8052</v>
      </c>
      <c r="H25" s="142">
        <v>1</v>
      </c>
      <c r="I25" s="142">
        <v>1</v>
      </c>
      <c r="J25" s="142">
        <v>1</v>
      </c>
      <c r="K25" s="142">
        <v>0</v>
      </c>
      <c r="L25" s="142">
        <v>0</v>
      </c>
      <c r="M25" s="142">
        <v>0</v>
      </c>
      <c r="N25" s="142">
        <v>0</v>
      </c>
      <c r="O25" s="142">
        <v>1</v>
      </c>
      <c r="P25" s="142">
        <v>250</v>
      </c>
      <c r="Q25" s="142" t="s">
        <v>167</v>
      </c>
      <c r="R25" s="148" t="s">
        <v>168</v>
      </c>
      <c r="T25" s="154">
        <f>P25/SUM(P$14:P$25)</f>
        <v>0.1497005988023952</v>
      </c>
      <c r="U25" t="str">
        <f>IF($F25="unit",VLOOKUP($G25,[4]characters!$A:$C,3,),($G25&amp;$F25))</f>
        <v>ママの作ったアップルパイ</v>
      </c>
    </row>
    <row r="26" spans="1:21" x14ac:dyDescent="0.15">
      <c r="A26" s="137">
        <v>39007</v>
      </c>
      <c r="B26" s="141">
        <v>3</v>
      </c>
      <c r="C26" s="67" t="str">
        <f t="shared" si="0"/>
        <v>39007_3</v>
      </c>
      <c r="D26" s="10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141">
        <v>25</v>
      </c>
      <c r="F26" s="141" t="s">
        <v>166</v>
      </c>
      <c r="G26" s="141">
        <v>5000</v>
      </c>
      <c r="H26" s="141" t="s">
        <v>422</v>
      </c>
      <c r="I26" s="141">
        <v>1</v>
      </c>
      <c r="J26" s="141">
        <v>1</v>
      </c>
      <c r="K26" s="141">
        <v>0</v>
      </c>
      <c r="L26" s="141">
        <v>0</v>
      </c>
      <c r="M26" s="141">
        <v>0</v>
      </c>
      <c r="N26" s="141">
        <v>0</v>
      </c>
      <c r="O26" s="141">
        <v>1</v>
      </c>
      <c r="P26" s="141">
        <v>175</v>
      </c>
      <c r="Q26" s="141" t="s">
        <v>167</v>
      </c>
      <c r="R26" s="147" t="s">
        <v>168</v>
      </c>
      <c r="T26" s="152">
        <f>P26/SUM(P$26:P$38)</f>
        <v>6.363636363636363E-2</v>
      </c>
      <c r="U26" t="str">
        <f>IF($F26="unit",VLOOKUP($G26,[4]characters!$A:$C,3,),($G26&amp;$F26))</f>
        <v>5000bit</v>
      </c>
    </row>
    <row r="27" spans="1:21" x14ac:dyDescent="0.15">
      <c r="A27" s="138">
        <v>39007</v>
      </c>
      <c r="B27" s="77">
        <v>3</v>
      </c>
      <c r="C27" s="67" t="str">
        <f t="shared" si="0"/>
        <v>39007_3</v>
      </c>
      <c r="D27" s="10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77">
        <v>26</v>
      </c>
      <c r="F27" s="77" t="s">
        <v>421</v>
      </c>
      <c r="G27" s="77">
        <v>25</v>
      </c>
      <c r="H27" s="77" t="s">
        <v>422</v>
      </c>
      <c r="I27" s="77">
        <v>1</v>
      </c>
      <c r="J27" s="77">
        <v>1</v>
      </c>
      <c r="K27" s="77">
        <v>0</v>
      </c>
      <c r="L27" s="77">
        <v>0</v>
      </c>
      <c r="M27" s="77">
        <v>0</v>
      </c>
      <c r="N27" s="77">
        <v>0</v>
      </c>
      <c r="O27" s="77">
        <v>1</v>
      </c>
      <c r="P27" s="77">
        <v>175</v>
      </c>
      <c r="Q27" s="77" t="s">
        <v>167</v>
      </c>
      <c r="R27" s="144" t="s">
        <v>168</v>
      </c>
      <c r="T27" s="153">
        <f t="shared" ref="T27:T37" si="3">P27/SUM(P$26:P$38)</f>
        <v>6.363636363636363E-2</v>
      </c>
      <c r="U27" t="str">
        <f>IF($F27="unit",VLOOKUP($G27,[4]characters!$A:$C,3,),($G27&amp;$F27))</f>
        <v>25link</v>
      </c>
    </row>
    <row r="28" spans="1:21" x14ac:dyDescent="0.15">
      <c r="A28" s="138">
        <v>39007</v>
      </c>
      <c r="B28" s="77">
        <v>3</v>
      </c>
      <c r="C28" s="67" t="str">
        <f t="shared" si="0"/>
        <v>39007_3</v>
      </c>
      <c r="D28" s="10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77">
        <v>27</v>
      </c>
      <c r="F28" s="77" t="s">
        <v>232</v>
      </c>
      <c r="G28" s="77">
        <v>344</v>
      </c>
      <c r="H28" s="77">
        <v>1</v>
      </c>
      <c r="I28" s="77">
        <v>1</v>
      </c>
      <c r="J28" s="77">
        <v>1</v>
      </c>
      <c r="K28" s="77">
        <v>0</v>
      </c>
      <c r="L28" s="77">
        <v>0</v>
      </c>
      <c r="M28" s="77">
        <v>0</v>
      </c>
      <c r="N28" s="77">
        <v>0</v>
      </c>
      <c r="O28" s="77">
        <v>1</v>
      </c>
      <c r="P28" s="77">
        <v>75</v>
      </c>
      <c r="Q28" s="77" t="s">
        <v>167</v>
      </c>
      <c r="R28" s="144" t="s">
        <v>168</v>
      </c>
      <c r="T28" s="153">
        <f t="shared" si="3"/>
        <v>2.7272727272727271E-2</v>
      </c>
      <c r="U28" t="str">
        <f>IF($F28="unit",VLOOKUP($G28,[4]characters!$A:$C,3,),($G28&amp;$F28))</f>
        <v>雷のメタルピヨピヨ</v>
      </c>
    </row>
    <row r="29" spans="1:21" x14ac:dyDescent="0.15">
      <c r="A29" s="138">
        <v>39007</v>
      </c>
      <c r="B29" s="77">
        <v>3</v>
      </c>
      <c r="C29" s="67" t="str">
        <f t="shared" si="0"/>
        <v>39007_3</v>
      </c>
      <c r="D29" s="10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77">
        <v>28</v>
      </c>
      <c r="F29" s="77" t="s">
        <v>232</v>
      </c>
      <c r="G29" s="77">
        <v>345</v>
      </c>
      <c r="H29" s="77">
        <v>1</v>
      </c>
      <c r="I29" s="77">
        <v>1</v>
      </c>
      <c r="J29" s="77">
        <v>1</v>
      </c>
      <c r="K29" s="77">
        <v>0</v>
      </c>
      <c r="L29" s="77">
        <v>0</v>
      </c>
      <c r="M29" s="77">
        <v>0</v>
      </c>
      <c r="N29" s="77">
        <v>0</v>
      </c>
      <c r="O29" s="77">
        <v>1</v>
      </c>
      <c r="P29" s="77">
        <v>75</v>
      </c>
      <c r="Q29" s="77" t="s">
        <v>167</v>
      </c>
      <c r="R29" s="144" t="s">
        <v>168</v>
      </c>
      <c r="T29" s="153">
        <f t="shared" si="3"/>
        <v>2.7272727272727271E-2</v>
      </c>
      <c r="U29" t="str">
        <f>IF($F29="unit",VLOOKUP($G29,[4]characters!$A:$C,3,),($G29&amp;$F29))</f>
        <v>雷のメタルチック</v>
      </c>
    </row>
    <row r="30" spans="1:21" x14ac:dyDescent="0.15">
      <c r="A30" s="138">
        <v>39007</v>
      </c>
      <c r="B30" s="77">
        <v>3</v>
      </c>
      <c r="C30" s="67" t="str">
        <f t="shared" si="0"/>
        <v>39007_3</v>
      </c>
      <c r="D30" s="10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77">
        <v>29</v>
      </c>
      <c r="F30" s="77" t="s">
        <v>232</v>
      </c>
      <c r="G30" s="77">
        <v>346</v>
      </c>
      <c r="H30" s="77">
        <v>1</v>
      </c>
      <c r="I30" s="77">
        <v>1</v>
      </c>
      <c r="J30" s="77">
        <v>1</v>
      </c>
      <c r="K30" s="77">
        <v>0</v>
      </c>
      <c r="L30" s="77">
        <v>0</v>
      </c>
      <c r="M30" s="77">
        <v>0</v>
      </c>
      <c r="N30" s="77">
        <v>0</v>
      </c>
      <c r="O30" s="77">
        <v>1</v>
      </c>
      <c r="P30" s="77">
        <v>75</v>
      </c>
      <c r="Q30" s="77" t="s">
        <v>167</v>
      </c>
      <c r="R30" s="144" t="s">
        <v>168</v>
      </c>
      <c r="T30" s="153">
        <f t="shared" si="3"/>
        <v>2.7272727272727271E-2</v>
      </c>
      <c r="U30" t="str">
        <f>IF($F30="unit",VLOOKUP($G30,[4]characters!$A:$C,3,),($G30&amp;$F30))</f>
        <v>雷のメタルダック</v>
      </c>
    </row>
    <row r="31" spans="1:21" x14ac:dyDescent="0.15">
      <c r="A31" s="138">
        <v>39007</v>
      </c>
      <c r="B31" s="77">
        <v>3</v>
      </c>
      <c r="C31" s="67" t="str">
        <f t="shared" si="0"/>
        <v>39007_3</v>
      </c>
      <c r="D31" s="10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77">
        <v>30</v>
      </c>
      <c r="F31" s="77" t="s">
        <v>232</v>
      </c>
      <c r="G31" s="77">
        <v>121</v>
      </c>
      <c r="H31" s="77">
        <v>1</v>
      </c>
      <c r="I31" s="77">
        <v>1</v>
      </c>
      <c r="J31" s="77">
        <v>1</v>
      </c>
      <c r="K31" s="77">
        <v>0</v>
      </c>
      <c r="L31" s="77">
        <v>0</v>
      </c>
      <c r="M31" s="77">
        <v>0</v>
      </c>
      <c r="N31" s="77">
        <v>0</v>
      </c>
      <c r="O31" s="77">
        <v>1</v>
      </c>
      <c r="P31" s="77">
        <v>100</v>
      </c>
      <c r="Q31" s="77" t="s">
        <v>167</v>
      </c>
      <c r="R31" s="144" t="s">
        <v>168</v>
      </c>
      <c r="T31" s="153">
        <f t="shared" si="3"/>
        <v>3.6363636363636362E-2</v>
      </c>
      <c r="U31" t="str">
        <f>IF($F31="unit",VLOOKUP($G31,[4]characters!$A:$C,3,),($G31&amp;$F31))</f>
        <v>攻めの果実</v>
      </c>
    </row>
    <row r="32" spans="1:21" x14ac:dyDescent="0.15">
      <c r="A32" s="138">
        <v>39007</v>
      </c>
      <c r="B32" s="77">
        <v>3</v>
      </c>
      <c r="C32" s="67" t="str">
        <f t="shared" si="0"/>
        <v>39007_3</v>
      </c>
      <c r="D32" s="10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77">
        <v>31</v>
      </c>
      <c r="F32" s="77" t="s">
        <v>232</v>
      </c>
      <c r="G32" s="77">
        <v>122</v>
      </c>
      <c r="H32" s="77">
        <v>1</v>
      </c>
      <c r="I32" s="77">
        <v>1</v>
      </c>
      <c r="J32" s="77">
        <v>1</v>
      </c>
      <c r="K32" s="77">
        <v>0</v>
      </c>
      <c r="L32" s="77">
        <v>0</v>
      </c>
      <c r="M32" s="77">
        <v>0</v>
      </c>
      <c r="N32" s="77">
        <v>0</v>
      </c>
      <c r="O32" s="77">
        <v>1</v>
      </c>
      <c r="P32" s="77">
        <v>100</v>
      </c>
      <c r="Q32" s="77" t="s">
        <v>167</v>
      </c>
      <c r="R32" s="144" t="s">
        <v>168</v>
      </c>
      <c r="T32" s="153">
        <f t="shared" si="3"/>
        <v>3.6363636363636362E-2</v>
      </c>
      <c r="U32" t="str">
        <f>IF($F32="unit",VLOOKUP($G32,[4]characters!$A:$C,3,),($G32&amp;$F32))</f>
        <v>生命の果実</v>
      </c>
    </row>
    <row r="33" spans="1:21" x14ac:dyDescent="0.15">
      <c r="A33" s="138">
        <v>39007</v>
      </c>
      <c r="B33" s="77">
        <v>3</v>
      </c>
      <c r="C33" s="67" t="str">
        <f t="shared" si="0"/>
        <v>39007_3</v>
      </c>
      <c r="D33" s="10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77">
        <v>32</v>
      </c>
      <c r="F33" s="77" t="s">
        <v>232</v>
      </c>
      <c r="G33" s="77">
        <v>123</v>
      </c>
      <c r="H33" s="77">
        <v>1</v>
      </c>
      <c r="I33" s="77">
        <v>1</v>
      </c>
      <c r="J33" s="77">
        <v>1</v>
      </c>
      <c r="K33" s="77">
        <v>0</v>
      </c>
      <c r="L33" s="77">
        <v>0</v>
      </c>
      <c r="M33" s="77">
        <v>0</v>
      </c>
      <c r="N33" s="77">
        <v>0</v>
      </c>
      <c r="O33" s="77">
        <v>1</v>
      </c>
      <c r="P33" s="77">
        <v>100</v>
      </c>
      <c r="Q33" s="77" t="s">
        <v>167</v>
      </c>
      <c r="R33" s="144" t="s">
        <v>168</v>
      </c>
      <c r="T33" s="153">
        <f t="shared" si="3"/>
        <v>3.6363636363636362E-2</v>
      </c>
      <c r="U33" t="str">
        <f>IF($F33="unit",VLOOKUP($G33,[4]characters!$A:$C,3,),($G33&amp;$F33))</f>
        <v>癒しの果実</v>
      </c>
    </row>
    <row r="34" spans="1:21" x14ac:dyDescent="0.15">
      <c r="A34" s="138">
        <v>39007</v>
      </c>
      <c r="B34" s="77">
        <v>3</v>
      </c>
      <c r="C34" s="67" t="str">
        <f t="shared" si="0"/>
        <v>39007_3</v>
      </c>
      <c r="D34" s="10" t="str">
        <f ca="1">VLOOKUP($C34,OFFSET([2]stages!$A$1,0,0,COUNTA([2]stages!$A:$A),MATCH(D$1,[2]stages!$2:$2,0)-MATCH($C$1,[2]stages!$2:$2,0)+1),MATCH(D$1,[2]stages!$2:$2,0)-MATCH($C$1,[2]stages!$2:$2,0)+1,FALSE)</f>
        <v>everyone</v>
      </c>
      <c r="E34" s="77">
        <v>33</v>
      </c>
      <c r="F34" s="77" t="s">
        <v>232</v>
      </c>
      <c r="G34" s="77">
        <v>125</v>
      </c>
      <c r="H34" s="77">
        <v>1</v>
      </c>
      <c r="I34" s="77">
        <v>1</v>
      </c>
      <c r="J34" s="77">
        <v>1</v>
      </c>
      <c r="K34" s="77">
        <v>0</v>
      </c>
      <c r="L34" s="77">
        <v>0</v>
      </c>
      <c r="M34" s="77">
        <v>0</v>
      </c>
      <c r="N34" s="77">
        <v>0</v>
      </c>
      <c r="O34" s="77">
        <v>1</v>
      </c>
      <c r="P34" s="77">
        <v>25</v>
      </c>
      <c r="Q34" s="77" t="s">
        <v>167</v>
      </c>
      <c r="R34" s="144" t="s">
        <v>168</v>
      </c>
      <c r="T34" s="153">
        <f t="shared" si="3"/>
        <v>9.0909090909090905E-3</v>
      </c>
      <c r="U34" t="str">
        <f>IF($F34="unit",VLOOKUP($G34,[4]characters!$A:$C,3,),($G34&amp;$F34))</f>
        <v>秘術の果実</v>
      </c>
    </row>
    <row r="35" spans="1:21" x14ac:dyDescent="0.15">
      <c r="A35" s="138">
        <v>39007</v>
      </c>
      <c r="B35" s="77">
        <v>3</v>
      </c>
      <c r="C35" s="67" t="str">
        <f t="shared" si="0"/>
        <v>39007_3</v>
      </c>
      <c r="D35" s="10" t="str">
        <f ca="1">VLOOKUP($C35,OFFSET([2]stages!$A$1,0,0,COUNTA([2]stages!$A:$A),MATCH(D$1,[2]stages!$2:$2,0)-MATCH($C$1,[2]stages!$2:$2,0)+1),MATCH(D$1,[2]stages!$2:$2,0)-MATCH($C$1,[2]stages!$2:$2,0)+1,FALSE)</f>
        <v>everyone</v>
      </c>
      <c r="E35" s="77">
        <v>34</v>
      </c>
      <c r="F35" s="77" t="s">
        <v>232</v>
      </c>
      <c r="G35" s="143">
        <v>8045</v>
      </c>
      <c r="H35" s="77">
        <v>1</v>
      </c>
      <c r="I35" s="77">
        <v>1</v>
      </c>
      <c r="J35" s="77">
        <v>1</v>
      </c>
      <c r="K35" s="77">
        <v>0</v>
      </c>
      <c r="L35" s="77">
        <v>0</v>
      </c>
      <c r="M35" s="77">
        <v>0</v>
      </c>
      <c r="N35" s="77">
        <v>0</v>
      </c>
      <c r="O35" s="77">
        <v>1</v>
      </c>
      <c r="P35" s="77">
        <v>550</v>
      </c>
      <c r="Q35" s="77" t="s">
        <v>167</v>
      </c>
      <c r="R35" s="144" t="s">
        <v>168</v>
      </c>
      <c r="T35" s="153">
        <f t="shared" si="3"/>
        <v>0.2</v>
      </c>
      <c r="U35" t="str">
        <f>IF($F35="unit",VLOOKUP($G35,[4]characters!$A:$C,3,),($G35&amp;$F35))</f>
        <v>ニムダ_サンリオキャラ混じり</v>
      </c>
    </row>
    <row r="36" spans="1:21" x14ac:dyDescent="0.15">
      <c r="A36" s="138">
        <v>39007</v>
      </c>
      <c r="B36" s="77">
        <v>3</v>
      </c>
      <c r="C36" s="67" t="str">
        <f t="shared" si="0"/>
        <v>39007_3</v>
      </c>
      <c r="D36" s="10" t="str">
        <f ca="1">VLOOKUP($C36,OFFSET([2]stages!$A$1,0,0,COUNTA([2]stages!$A:$A),MATCH(D$1,[2]stages!$2:$2,0)-MATCH($C$1,[2]stages!$2:$2,0)+1),MATCH(D$1,[2]stages!$2:$2,0)-MATCH($C$1,[2]stages!$2:$2,0)+1,FALSE)</f>
        <v>everyone</v>
      </c>
      <c r="E36" s="77">
        <v>35</v>
      </c>
      <c r="F36" s="77" t="s">
        <v>232</v>
      </c>
      <c r="G36" s="77">
        <v>354</v>
      </c>
      <c r="H36" s="77">
        <v>1</v>
      </c>
      <c r="I36" s="77">
        <v>1</v>
      </c>
      <c r="J36" s="77">
        <v>1</v>
      </c>
      <c r="K36" s="77">
        <v>0</v>
      </c>
      <c r="L36" s="77">
        <v>0</v>
      </c>
      <c r="M36" s="77">
        <v>0</v>
      </c>
      <c r="N36" s="77">
        <v>0</v>
      </c>
      <c r="O36" s="77">
        <v>1</v>
      </c>
      <c r="P36" s="77">
        <v>200</v>
      </c>
      <c r="Q36" s="77" t="s">
        <v>167</v>
      </c>
      <c r="R36" s="144" t="s">
        <v>168</v>
      </c>
      <c r="T36" s="153">
        <f t="shared" si="3"/>
        <v>7.2727272727272724E-2</v>
      </c>
      <c r="U36" t="str">
        <f>IF($F36="unit",VLOOKUP($G36,[4]characters!$A:$C,3,),($G36&amp;$F36))</f>
        <v>雷のケロケロ</v>
      </c>
    </row>
    <row r="37" spans="1:21" x14ac:dyDescent="0.15">
      <c r="A37" s="138">
        <v>39007</v>
      </c>
      <c r="B37" s="77">
        <v>3</v>
      </c>
      <c r="C37" s="67" t="str">
        <f t="shared" si="0"/>
        <v>39007_3</v>
      </c>
      <c r="D37" s="10" t="str">
        <f ca="1">VLOOKUP($C37,OFFSET([2]stages!$A$1,0,0,COUNTA([2]stages!$A:$A),MATCH(D$1,[2]stages!$2:$2,0)-MATCH($C$1,[2]stages!$2:$2,0)+1),MATCH(D$1,[2]stages!$2:$2,0)-MATCH($C$1,[2]stages!$2:$2,0)+1,FALSE)</f>
        <v>everyone</v>
      </c>
      <c r="E37" s="77">
        <v>36</v>
      </c>
      <c r="F37" s="77" t="s">
        <v>232</v>
      </c>
      <c r="G37" s="77">
        <v>8051</v>
      </c>
      <c r="H37" s="77">
        <v>1</v>
      </c>
      <c r="I37" s="77">
        <v>1</v>
      </c>
      <c r="J37" s="77">
        <v>1</v>
      </c>
      <c r="K37" s="77">
        <v>0</v>
      </c>
      <c r="L37" s="77">
        <v>0</v>
      </c>
      <c r="M37" s="77">
        <v>0</v>
      </c>
      <c r="N37" s="77">
        <v>0</v>
      </c>
      <c r="O37" s="77">
        <v>1</v>
      </c>
      <c r="P37" s="77">
        <v>550</v>
      </c>
      <c r="Q37" s="77" t="s">
        <v>167</v>
      </c>
      <c r="R37" s="145" t="s">
        <v>168</v>
      </c>
      <c r="T37" s="153">
        <f t="shared" si="3"/>
        <v>0.2</v>
      </c>
      <c r="U37" t="str">
        <f>IF($F37="unit",VLOOKUP($G37,[4]characters!$A:$C,3,),($G37&amp;$F37))</f>
        <v>ハローキティのリボン</v>
      </c>
    </row>
    <row r="38" spans="1:21" ht="16" thickBot="1" x14ac:dyDescent="0.2">
      <c r="A38" s="139">
        <v>39007</v>
      </c>
      <c r="B38" s="142">
        <v>3</v>
      </c>
      <c r="C38" s="67" t="str">
        <f t="shared" si="0"/>
        <v>39007_3</v>
      </c>
      <c r="D38" s="10" t="str">
        <f ca="1">VLOOKUP($C38,OFFSET([2]stages!$A$1,0,0,COUNTA([2]stages!$A:$A),MATCH(D$1,[2]stages!$2:$2,0)-MATCH($C$1,[2]stages!$2:$2,0)+1),MATCH(D$1,[2]stages!$2:$2,0)-MATCH($C$1,[2]stages!$2:$2,0)+1,FALSE)</f>
        <v>everyone</v>
      </c>
      <c r="E38" s="142">
        <v>37</v>
      </c>
      <c r="F38" s="142" t="s">
        <v>232</v>
      </c>
      <c r="G38" s="142">
        <v>8052</v>
      </c>
      <c r="H38" s="142">
        <v>1</v>
      </c>
      <c r="I38" s="142">
        <v>1</v>
      </c>
      <c r="J38" s="142">
        <v>1</v>
      </c>
      <c r="K38" s="142">
        <v>0</v>
      </c>
      <c r="L38" s="142">
        <v>0</v>
      </c>
      <c r="M38" s="142">
        <v>0</v>
      </c>
      <c r="N38" s="142">
        <v>0</v>
      </c>
      <c r="O38" s="142">
        <v>1</v>
      </c>
      <c r="P38" s="142">
        <v>550</v>
      </c>
      <c r="Q38" s="142" t="s">
        <v>167</v>
      </c>
      <c r="R38" s="148" t="s">
        <v>168</v>
      </c>
      <c r="T38" s="154">
        <f>P38/SUM(P$26:P$38)</f>
        <v>0.2</v>
      </c>
      <c r="U38" t="str">
        <f>IF($F38="unit",VLOOKUP($G38,[4]characters!$A:$C,3,),($G38&amp;$F38))</f>
        <v>ママの作ったアップルパイ</v>
      </c>
    </row>
    <row r="39" spans="1:21" x14ac:dyDescent="0.15">
      <c r="A39" s="137">
        <v>39007</v>
      </c>
      <c r="B39" s="141">
        <v>4</v>
      </c>
      <c r="C39" s="67" t="str">
        <f t="shared" si="0"/>
        <v>39007_4</v>
      </c>
      <c r="D39" s="10" t="str">
        <f ca="1">VLOOKUP($C39,OFFSET([2]stages!$A$1,0,0,COUNTA([2]stages!$A:$A),MATCH(D$1,[2]stages!$2:$2,0)-MATCH($C$1,[2]stages!$2:$2,0)+1),MATCH(D$1,[2]stages!$2:$2,0)-MATCH($C$1,[2]stages!$2:$2,0)+1,FALSE)</f>
        <v>everyone</v>
      </c>
      <c r="E39" s="141">
        <v>38</v>
      </c>
      <c r="F39" s="141" t="s">
        <v>166</v>
      </c>
      <c r="G39" s="141">
        <v>6500</v>
      </c>
      <c r="H39" s="141" t="s">
        <v>422</v>
      </c>
      <c r="I39" s="141">
        <v>1</v>
      </c>
      <c r="J39" s="141">
        <v>1</v>
      </c>
      <c r="K39" s="141">
        <v>0</v>
      </c>
      <c r="L39" s="141">
        <v>0</v>
      </c>
      <c r="M39" s="141">
        <v>0</v>
      </c>
      <c r="N39" s="141">
        <v>0</v>
      </c>
      <c r="O39" s="141">
        <v>1</v>
      </c>
      <c r="P39" s="141">
        <v>150</v>
      </c>
      <c r="Q39" s="141" t="s">
        <v>167</v>
      </c>
      <c r="R39" s="149" t="s">
        <v>423</v>
      </c>
      <c r="T39" s="152">
        <f>P39/SUM(P$39:P$51)</f>
        <v>0.05</v>
      </c>
      <c r="U39" t="str">
        <f>IF($F39="unit",VLOOKUP($G39,[4]characters!$A:$C,3,),($G39&amp;$F39))</f>
        <v>6500bit</v>
      </c>
    </row>
    <row r="40" spans="1:21" x14ac:dyDescent="0.15">
      <c r="A40" s="138">
        <v>39007</v>
      </c>
      <c r="B40" s="77">
        <v>4</v>
      </c>
      <c r="C40" s="67" t="str">
        <f t="shared" si="0"/>
        <v>39007_4</v>
      </c>
      <c r="D40" s="10" t="str">
        <f ca="1">VLOOKUP($C40,OFFSET([2]stages!$A$1,0,0,COUNTA([2]stages!$A:$A),MATCH(D$1,[2]stages!$2:$2,0)-MATCH($C$1,[2]stages!$2:$2,0)+1),MATCH(D$1,[2]stages!$2:$2,0)-MATCH($C$1,[2]stages!$2:$2,0)+1,FALSE)</f>
        <v>everyone</v>
      </c>
      <c r="E40" s="77">
        <v>39</v>
      </c>
      <c r="F40" s="77" t="s">
        <v>421</v>
      </c>
      <c r="G40" s="77">
        <v>25</v>
      </c>
      <c r="H40" s="77" t="s">
        <v>422</v>
      </c>
      <c r="I40" s="77">
        <v>1</v>
      </c>
      <c r="J40" s="77">
        <v>1</v>
      </c>
      <c r="K40" s="77">
        <v>0</v>
      </c>
      <c r="L40" s="77">
        <v>0</v>
      </c>
      <c r="M40" s="77">
        <v>0</v>
      </c>
      <c r="N40" s="77">
        <v>0</v>
      </c>
      <c r="O40" s="77">
        <v>1</v>
      </c>
      <c r="P40" s="77">
        <v>150</v>
      </c>
      <c r="Q40" s="77" t="s">
        <v>167</v>
      </c>
      <c r="R40" s="145" t="s">
        <v>423</v>
      </c>
      <c r="T40" s="153">
        <f t="shared" ref="T40:T51" si="4">P40/SUM(P$39:P$51)</f>
        <v>0.05</v>
      </c>
      <c r="U40" t="str">
        <f>IF($F40="unit",VLOOKUP($G40,[4]characters!$A:$C,3,),($G40&amp;$F40))</f>
        <v>25link</v>
      </c>
    </row>
    <row r="41" spans="1:21" x14ac:dyDescent="0.15">
      <c r="A41" s="138">
        <v>39007</v>
      </c>
      <c r="B41" s="77">
        <v>4</v>
      </c>
      <c r="C41" s="67" t="str">
        <f t="shared" si="0"/>
        <v>39007_4</v>
      </c>
      <c r="D41" s="10" t="str">
        <f ca="1">VLOOKUP($C41,OFFSET([2]stages!$A$1,0,0,COUNTA([2]stages!$A:$A),MATCH(D$1,[2]stages!$2:$2,0)-MATCH($C$1,[2]stages!$2:$2,0)+1),MATCH(D$1,[2]stages!$2:$2,0)-MATCH($C$1,[2]stages!$2:$2,0)+1,FALSE)</f>
        <v>everyone</v>
      </c>
      <c r="E41" s="77">
        <v>40</v>
      </c>
      <c r="F41" s="77" t="s">
        <v>232</v>
      </c>
      <c r="G41" s="77">
        <v>344</v>
      </c>
      <c r="H41" s="77">
        <v>1</v>
      </c>
      <c r="I41" s="77">
        <v>1</v>
      </c>
      <c r="J41" s="77">
        <v>1</v>
      </c>
      <c r="K41" s="77">
        <v>0</v>
      </c>
      <c r="L41" s="77">
        <v>0</v>
      </c>
      <c r="M41" s="77">
        <v>0</v>
      </c>
      <c r="N41" s="77">
        <v>0</v>
      </c>
      <c r="O41" s="77">
        <v>1</v>
      </c>
      <c r="P41" s="77">
        <v>28</v>
      </c>
      <c r="Q41" s="77" t="s">
        <v>167</v>
      </c>
      <c r="R41" s="145" t="s">
        <v>168</v>
      </c>
      <c r="T41" s="153">
        <f t="shared" si="4"/>
        <v>9.3333333333333341E-3</v>
      </c>
      <c r="U41" t="str">
        <f>IF($F41="unit",VLOOKUP($G41,[4]characters!$A:$C,3,),($G41&amp;$F41))</f>
        <v>雷のメタルピヨピヨ</v>
      </c>
    </row>
    <row r="42" spans="1:21" x14ac:dyDescent="0.15">
      <c r="A42" s="138">
        <v>39007</v>
      </c>
      <c r="B42" s="77">
        <v>4</v>
      </c>
      <c r="C42" s="67" t="str">
        <f t="shared" si="0"/>
        <v>39007_4</v>
      </c>
      <c r="D42" s="10" t="str">
        <f ca="1">VLOOKUP($C42,OFFSET([2]stages!$A$1,0,0,COUNTA([2]stages!$A:$A),MATCH(D$1,[2]stages!$2:$2,0)-MATCH($C$1,[2]stages!$2:$2,0)+1),MATCH(D$1,[2]stages!$2:$2,0)-MATCH($C$1,[2]stages!$2:$2,0)+1,FALSE)</f>
        <v>everyone</v>
      </c>
      <c r="E42" s="77">
        <v>41</v>
      </c>
      <c r="F42" s="77" t="s">
        <v>232</v>
      </c>
      <c r="G42" s="77">
        <v>345</v>
      </c>
      <c r="H42" s="77">
        <v>1</v>
      </c>
      <c r="I42" s="77">
        <v>1</v>
      </c>
      <c r="J42" s="77">
        <v>1</v>
      </c>
      <c r="K42" s="77">
        <v>0</v>
      </c>
      <c r="L42" s="77">
        <v>0</v>
      </c>
      <c r="M42" s="77">
        <v>0</v>
      </c>
      <c r="N42" s="77">
        <v>0</v>
      </c>
      <c r="O42" s="77">
        <v>1</v>
      </c>
      <c r="P42" s="77">
        <v>56</v>
      </c>
      <c r="Q42" s="77" t="s">
        <v>167</v>
      </c>
      <c r="R42" s="145" t="s">
        <v>168</v>
      </c>
      <c r="T42" s="153">
        <f t="shared" si="4"/>
        <v>1.8666666666666668E-2</v>
      </c>
      <c r="U42" t="str">
        <f>IF($F42="unit",VLOOKUP($G42,[4]characters!$A:$C,3,),($G42&amp;$F42))</f>
        <v>雷のメタルチック</v>
      </c>
    </row>
    <row r="43" spans="1:21" x14ac:dyDescent="0.15">
      <c r="A43" s="138">
        <v>39007</v>
      </c>
      <c r="B43" s="77">
        <v>4</v>
      </c>
      <c r="C43" s="67" t="str">
        <f t="shared" si="0"/>
        <v>39007_4</v>
      </c>
      <c r="D43" s="10" t="str">
        <f ca="1">VLOOKUP($C43,OFFSET([2]stages!$A$1,0,0,COUNTA([2]stages!$A:$A),MATCH(D$1,[2]stages!$2:$2,0)-MATCH($C$1,[2]stages!$2:$2,0)+1),MATCH(D$1,[2]stages!$2:$2,0)-MATCH($C$1,[2]stages!$2:$2,0)+1,FALSE)</f>
        <v>everyone</v>
      </c>
      <c r="E43" s="77">
        <v>42</v>
      </c>
      <c r="F43" s="77" t="s">
        <v>232</v>
      </c>
      <c r="G43" s="77">
        <v>346</v>
      </c>
      <c r="H43" s="77">
        <v>1</v>
      </c>
      <c r="I43" s="77">
        <v>1</v>
      </c>
      <c r="J43" s="77">
        <v>1</v>
      </c>
      <c r="K43" s="77">
        <v>0</v>
      </c>
      <c r="L43" s="77">
        <v>0</v>
      </c>
      <c r="M43" s="77">
        <v>0</v>
      </c>
      <c r="N43" s="77">
        <v>0</v>
      </c>
      <c r="O43" s="77">
        <v>1</v>
      </c>
      <c r="P43" s="77">
        <v>56</v>
      </c>
      <c r="Q43" s="77" t="s">
        <v>167</v>
      </c>
      <c r="R43" s="145" t="s">
        <v>168</v>
      </c>
      <c r="T43" s="153">
        <f t="shared" si="4"/>
        <v>1.8666666666666668E-2</v>
      </c>
      <c r="U43" t="str">
        <f>IF($F43="unit",VLOOKUP($G43,[4]characters!$A:$C,3,),($G43&amp;$F43))</f>
        <v>雷のメタルダック</v>
      </c>
    </row>
    <row r="44" spans="1:21" x14ac:dyDescent="0.15">
      <c r="A44" s="138">
        <v>39007</v>
      </c>
      <c r="B44" s="77">
        <v>4</v>
      </c>
      <c r="C44" s="67" t="str">
        <f t="shared" si="0"/>
        <v>39007_4</v>
      </c>
      <c r="D44" s="10" t="str">
        <f ca="1">VLOOKUP($C44,OFFSET([2]stages!$A$1,0,0,COUNTA([2]stages!$A:$A),MATCH(D$1,[2]stages!$2:$2,0)-MATCH($C$1,[2]stages!$2:$2,0)+1),MATCH(D$1,[2]stages!$2:$2,0)-MATCH($C$1,[2]stages!$2:$2,0)+1,FALSE)</f>
        <v>everyone</v>
      </c>
      <c r="E44" s="77">
        <v>43</v>
      </c>
      <c r="F44" s="77" t="s">
        <v>232</v>
      </c>
      <c r="G44" s="77">
        <v>121</v>
      </c>
      <c r="H44" s="77">
        <v>1</v>
      </c>
      <c r="I44" s="77">
        <v>1</v>
      </c>
      <c r="J44" s="77">
        <v>1</v>
      </c>
      <c r="K44" s="77">
        <v>0</v>
      </c>
      <c r="L44" s="77">
        <v>0</v>
      </c>
      <c r="M44" s="77">
        <v>0</v>
      </c>
      <c r="N44" s="77">
        <v>0</v>
      </c>
      <c r="O44" s="77">
        <v>1</v>
      </c>
      <c r="P44" s="77">
        <v>50</v>
      </c>
      <c r="Q44" s="77" t="s">
        <v>167</v>
      </c>
      <c r="R44" s="145" t="s">
        <v>168</v>
      </c>
      <c r="T44" s="153">
        <f t="shared" si="4"/>
        <v>1.6666666666666666E-2</v>
      </c>
      <c r="U44" t="str">
        <f>IF($F44="unit",VLOOKUP($G44,[4]characters!$A:$C,3,),($G44&amp;$F44))</f>
        <v>攻めの果実</v>
      </c>
    </row>
    <row r="45" spans="1:21" x14ac:dyDescent="0.15">
      <c r="A45" s="138">
        <v>39007</v>
      </c>
      <c r="B45" s="77">
        <v>4</v>
      </c>
      <c r="C45" s="67" t="str">
        <f t="shared" si="0"/>
        <v>39007_4</v>
      </c>
      <c r="D45" s="10" t="str">
        <f ca="1">VLOOKUP($C45,OFFSET([2]stages!$A$1,0,0,COUNTA([2]stages!$A:$A),MATCH(D$1,[2]stages!$2:$2,0)-MATCH($C$1,[2]stages!$2:$2,0)+1),MATCH(D$1,[2]stages!$2:$2,0)-MATCH($C$1,[2]stages!$2:$2,0)+1,FALSE)</f>
        <v>everyone</v>
      </c>
      <c r="E45" s="77">
        <v>44</v>
      </c>
      <c r="F45" s="77" t="s">
        <v>232</v>
      </c>
      <c r="G45" s="77">
        <v>122</v>
      </c>
      <c r="H45" s="77">
        <v>1</v>
      </c>
      <c r="I45" s="77">
        <v>1</v>
      </c>
      <c r="J45" s="77">
        <v>1</v>
      </c>
      <c r="K45" s="77">
        <v>0</v>
      </c>
      <c r="L45" s="77">
        <v>0</v>
      </c>
      <c r="M45" s="77">
        <v>0</v>
      </c>
      <c r="N45" s="77">
        <v>0</v>
      </c>
      <c r="O45" s="77">
        <v>1</v>
      </c>
      <c r="P45" s="77">
        <v>50</v>
      </c>
      <c r="Q45" s="77" t="s">
        <v>167</v>
      </c>
      <c r="R45" s="145" t="s">
        <v>168</v>
      </c>
      <c r="T45" s="153">
        <f t="shared" si="4"/>
        <v>1.6666666666666666E-2</v>
      </c>
      <c r="U45" t="str">
        <f>IF($F45="unit",VLOOKUP($G45,[4]characters!$A:$C,3,),($G45&amp;$F45))</f>
        <v>生命の果実</v>
      </c>
    </row>
    <row r="46" spans="1:21" x14ac:dyDescent="0.15">
      <c r="A46" s="138">
        <v>39007</v>
      </c>
      <c r="B46" s="77">
        <v>4</v>
      </c>
      <c r="C46" s="67" t="str">
        <f t="shared" si="0"/>
        <v>39007_4</v>
      </c>
      <c r="D46" s="10" t="str">
        <f ca="1">VLOOKUP($C46,OFFSET([2]stages!$A$1,0,0,COUNTA([2]stages!$A:$A),MATCH(D$1,[2]stages!$2:$2,0)-MATCH($C$1,[2]stages!$2:$2,0)+1),MATCH(D$1,[2]stages!$2:$2,0)-MATCH($C$1,[2]stages!$2:$2,0)+1,FALSE)</f>
        <v>everyone</v>
      </c>
      <c r="E46" s="77">
        <v>45</v>
      </c>
      <c r="F46" s="77" t="s">
        <v>232</v>
      </c>
      <c r="G46" s="77">
        <v>123</v>
      </c>
      <c r="H46" s="77">
        <v>1</v>
      </c>
      <c r="I46" s="77">
        <v>1</v>
      </c>
      <c r="J46" s="77">
        <v>1</v>
      </c>
      <c r="K46" s="77">
        <v>0</v>
      </c>
      <c r="L46" s="77">
        <v>0</v>
      </c>
      <c r="M46" s="77">
        <v>0</v>
      </c>
      <c r="N46" s="77">
        <v>0</v>
      </c>
      <c r="O46" s="77">
        <v>1</v>
      </c>
      <c r="P46" s="77">
        <v>50</v>
      </c>
      <c r="Q46" s="77" t="s">
        <v>167</v>
      </c>
      <c r="R46" s="145" t="s">
        <v>168</v>
      </c>
      <c r="T46" s="153">
        <f t="shared" si="4"/>
        <v>1.6666666666666666E-2</v>
      </c>
      <c r="U46" t="str">
        <f>IF($F46="unit",VLOOKUP($G46,[4]characters!$A:$C,3,),($G46&amp;$F46))</f>
        <v>癒しの果実</v>
      </c>
    </row>
    <row r="47" spans="1:21" x14ac:dyDescent="0.15">
      <c r="A47" s="138">
        <v>39007</v>
      </c>
      <c r="B47" s="77">
        <v>4</v>
      </c>
      <c r="C47" s="67" t="str">
        <f t="shared" si="0"/>
        <v>39007_4</v>
      </c>
      <c r="D47" s="10" t="str">
        <f ca="1">VLOOKUP($C47,OFFSET([2]stages!$A$1,0,0,COUNTA([2]stages!$A:$A),MATCH(D$1,[2]stages!$2:$2,0)-MATCH($C$1,[2]stages!$2:$2,0)+1),MATCH(D$1,[2]stages!$2:$2,0)-MATCH($C$1,[2]stages!$2:$2,0)+1,FALSE)</f>
        <v>everyone</v>
      </c>
      <c r="E47" s="77">
        <v>46</v>
      </c>
      <c r="F47" s="77" t="s">
        <v>232</v>
      </c>
      <c r="G47" s="77">
        <v>125</v>
      </c>
      <c r="H47" s="77">
        <v>1</v>
      </c>
      <c r="I47" s="77">
        <v>1</v>
      </c>
      <c r="J47" s="77">
        <v>1</v>
      </c>
      <c r="K47" s="77">
        <v>0</v>
      </c>
      <c r="L47" s="77">
        <v>0</v>
      </c>
      <c r="M47" s="77">
        <v>0</v>
      </c>
      <c r="N47" s="77">
        <v>0</v>
      </c>
      <c r="O47" s="77">
        <v>1</v>
      </c>
      <c r="P47" s="77">
        <v>10</v>
      </c>
      <c r="Q47" s="77" t="s">
        <v>167</v>
      </c>
      <c r="R47" s="145" t="s">
        <v>168</v>
      </c>
      <c r="T47" s="153">
        <f t="shared" si="4"/>
        <v>3.3333333333333335E-3</v>
      </c>
      <c r="U47" t="str">
        <f>IF($F47="unit",VLOOKUP($G47,[4]characters!$A:$C,3,),($G47&amp;$F47))</f>
        <v>秘術の果実</v>
      </c>
    </row>
    <row r="48" spans="1:21" x14ac:dyDescent="0.15">
      <c r="A48" s="138">
        <v>39007</v>
      </c>
      <c r="B48" s="77">
        <v>4</v>
      </c>
      <c r="C48" s="67" t="str">
        <f t="shared" si="0"/>
        <v>39007_4</v>
      </c>
      <c r="D48" s="10" t="str">
        <f ca="1">VLOOKUP($C48,OFFSET([2]stages!$A$1,0,0,COUNTA([2]stages!$A:$A),MATCH(D$1,[2]stages!$2:$2,0)-MATCH($C$1,[2]stages!$2:$2,0)+1),MATCH(D$1,[2]stages!$2:$2,0)-MATCH($C$1,[2]stages!$2:$2,0)+1,FALSE)</f>
        <v>everyone</v>
      </c>
      <c r="E48" s="77">
        <v>47</v>
      </c>
      <c r="F48" s="77" t="s">
        <v>232</v>
      </c>
      <c r="G48" s="143">
        <v>8045</v>
      </c>
      <c r="H48" s="77">
        <v>1</v>
      </c>
      <c r="I48" s="77">
        <v>1</v>
      </c>
      <c r="J48" s="77">
        <v>1</v>
      </c>
      <c r="K48" s="77">
        <v>0</v>
      </c>
      <c r="L48" s="77">
        <v>0</v>
      </c>
      <c r="M48" s="77">
        <v>0</v>
      </c>
      <c r="N48" s="77">
        <v>0</v>
      </c>
      <c r="O48" s="77">
        <v>1</v>
      </c>
      <c r="P48" s="77">
        <v>750</v>
      </c>
      <c r="Q48" s="77" t="s">
        <v>167</v>
      </c>
      <c r="R48" s="145" t="s">
        <v>168</v>
      </c>
      <c r="T48" s="153">
        <f t="shared" si="4"/>
        <v>0.25</v>
      </c>
      <c r="U48" t="str">
        <f>IF($F48="unit",VLOOKUP($G48,[4]characters!$A:$C,3,),($G48&amp;$F48))</f>
        <v>ニムダ_サンリオキャラ混じり</v>
      </c>
    </row>
    <row r="49" spans="1:21" x14ac:dyDescent="0.15">
      <c r="A49" s="138">
        <v>39007</v>
      </c>
      <c r="B49" s="77">
        <v>4</v>
      </c>
      <c r="C49" s="67" t="str">
        <f t="shared" si="0"/>
        <v>39007_4</v>
      </c>
      <c r="D49" s="10" t="str">
        <f ca="1">VLOOKUP($C49,OFFSET([2]stages!$A$1,0,0,COUNTA([2]stages!$A:$A),MATCH(D$1,[2]stages!$2:$2,0)-MATCH($C$1,[2]stages!$2:$2,0)+1),MATCH(D$1,[2]stages!$2:$2,0)-MATCH($C$1,[2]stages!$2:$2,0)+1,FALSE)</f>
        <v>everyone</v>
      </c>
      <c r="E49" s="77">
        <v>48</v>
      </c>
      <c r="F49" s="77" t="s">
        <v>232</v>
      </c>
      <c r="G49" s="77">
        <v>354</v>
      </c>
      <c r="H49" s="77">
        <v>1</v>
      </c>
      <c r="I49" s="77">
        <v>1</v>
      </c>
      <c r="J49" s="77">
        <v>1</v>
      </c>
      <c r="K49" s="77">
        <v>0</v>
      </c>
      <c r="L49" s="77">
        <v>0</v>
      </c>
      <c r="M49" s="77">
        <v>0</v>
      </c>
      <c r="N49" s="77">
        <v>0</v>
      </c>
      <c r="O49" s="77">
        <v>1</v>
      </c>
      <c r="P49" s="77">
        <v>150</v>
      </c>
      <c r="Q49" s="77" t="s">
        <v>167</v>
      </c>
      <c r="R49" s="145" t="s">
        <v>168</v>
      </c>
      <c r="T49" s="153">
        <f t="shared" si="4"/>
        <v>0.05</v>
      </c>
      <c r="U49" t="str">
        <f>IF($F49="unit",VLOOKUP($G49,[4]characters!$A:$C,3,),($G49&amp;$F49))</f>
        <v>雷のケロケロ</v>
      </c>
    </row>
    <row r="50" spans="1:21" x14ac:dyDescent="0.15">
      <c r="A50" s="138">
        <v>39007</v>
      </c>
      <c r="B50" s="77">
        <v>4</v>
      </c>
      <c r="C50" s="67" t="str">
        <f t="shared" si="0"/>
        <v>39007_4</v>
      </c>
      <c r="D50" s="10" t="str">
        <f ca="1">VLOOKUP($C50,OFFSET([2]stages!$A$1,0,0,COUNTA([2]stages!$A:$A),MATCH(D$1,[2]stages!$2:$2,0)-MATCH($C$1,[2]stages!$2:$2,0)+1),MATCH(D$1,[2]stages!$2:$2,0)-MATCH($C$1,[2]stages!$2:$2,0)+1,FALSE)</f>
        <v>everyone</v>
      </c>
      <c r="E50" s="77">
        <v>49</v>
      </c>
      <c r="F50" s="77" t="s">
        <v>232</v>
      </c>
      <c r="G50" s="77">
        <v>8051</v>
      </c>
      <c r="H50" s="77">
        <v>1</v>
      </c>
      <c r="I50" s="77">
        <v>1</v>
      </c>
      <c r="J50" s="77">
        <v>1</v>
      </c>
      <c r="K50" s="77">
        <v>0</v>
      </c>
      <c r="L50" s="77">
        <v>0</v>
      </c>
      <c r="M50" s="77">
        <v>0</v>
      </c>
      <c r="N50" s="77">
        <v>0</v>
      </c>
      <c r="O50" s="77">
        <v>1</v>
      </c>
      <c r="P50" s="77">
        <v>750</v>
      </c>
      <c r="Q50" s="77" t="s">
        <v>167</v>
      </c>
      <c r="R50" s="145" t="s">
        <v>168</v>
      </c>
      <c r="T50" s="153">
        <f t="shared" si="4"/>
        <v>0.25</v>
      </c>
      <c r="U50" t="str">
        <f>IF($F50="unit",VLOOKUP($G50,[4]characters!$A:$C,3,),($G50&amp;$F50))</f>
        <v>ハローキティのリボン</v>
      </c>
    </row>
    <row r="51" spans="1:21" ht="16" thickBot="1" x14ac:dyDescent="0.2">
      <c r="A51" s="139">
        <v>39007</v>
      </c>
      <c r="B51" s="142">
        <v>4</v>
      </c>
      <c r="C51" s="67" t="str">
        <f t="shared" si="0"/>
        <v>39007_4</v>
      </c>
      <c r="D51" s="10" t="str">
        <f ca="1">VLOOKUP($C51,OFFSET([2]stages!$A$1,0,0,COUNTA([2]stages!$A:$A),MATCH(D$1,[2]stages!$2:$2,0)-MATCH($C$1,[2]stages!$2:$2,0)+1),MATCH(D$1,[2]stages!$2:$2,0)-MATCH($C$1,[2]stages!$2:$2,0)+1,FALSE)</f>
        <v>everyone</v>
      </c>
      <c r="E51" s="142">
        <v>50</v>
      </c>
      <c r="F51" s="142" t="s">
        <v>232</v>
      </c>
      <c r="G51" s="142">
        <v>8052</v>
      </c>
      <c r="H51" s="142">
        <v>1</v>
      </c>
      <c r="I51" s="142">
        <v>1</v>
      </c>
      <c r="J51" s="142">
        <v>1</v>
      </c>
      <c r="K51" s="142">
        <v>0</v>
      </c>
      <c r="L51" s="142">
        <v>0</v>
      </c>
      <c r="M51" s="142">
        <v>0</v>
      </c>
      <c r="N51" s="142">
        <v>0</v>
      </c>
      <c r="O51" s="142">
        <v>1</v>
      </c>
      <c r="P51" s="142">
        <v>750</v>
      </c>
      <c r="Q51" s="142" t="s">
        <v>167</v>
      </c>
      <c r="R51" s="148" t="s">
        <v>168</v>
      </c>
      <c r="T51" s="154">
        <f t="shared" si="4"/>
        <v>0.25</v>
      </c>
      <c r="U51" t="str">
        <f>IF($F51="unit",VLOOKUP($G51,[4]characters!$A:$C,3,),($G51&amp;$F51))</f>
        <v>ママの作ったアップルパイ</v>
      </c>
    </row>
  </sheetData>
  <phoneticPr fontId="5"/>
  <dataValidations count="1">
    <dataValidation type="list" allowBlank="1" showInputMessage="1" showErrorMessage="1" sqref="F2:F51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08"/>
  <sheetViews>
    <sheetView showGridLines="0" workbookViewId="0">
      <pane ySplit="1" topLeftCell="A2" activePane="bottomLeft" state="frozen"/>
      <selection pane="bottomLeft" activeCell="B3" sqref="B3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2" t="s">
        <v>186</v>
      </c>
      <c r="B1" s="69" t="s">
        <v>187</v>
      </c>
      <c r="C1" s="73" t="s">
        <v>188</v>
      </c>
      <c r="D1" s="73" t="s">
        <v>33</v>
      </c>
      <c r="E1" s="69" t="s">
        <v>189</v>
      </c>
      <c r="F1" s="73" t="s">
        <v>190</v>
      </c>
      <c r="G1" s="73" t="s">
        <v>33</v>
      </c>
      <c r="H1" s="69" t="s">
        <v>191</v>
      </c>
      <c r="I1" s="87" t="s">
        <v>193</v>
      </c>
      <c r="J1" s="75" t="s">
        <v>125</v>
      </c>
      <c r="K1" s="74" t="s">
        <v>184</v>
      </c>
      <c r="L1" s="88" t="s">
        <v>183</v>
      </c>
      <c r="M1" s="76" t="s">
        <v>194</v>
      </c>
    </row>
    <row r="2" spans="1:13" x14ac:dyDescent="0.15">
      <c r="A2" s="77" t="s">
        <v>199</v>
      </c>
      <c r="B2" s="78">
        <f>floors!$C$2</f>
        <v>39007</v>
      </c>
      <c r="C2" s="79" t="str">
        <f ca="1">VLOOKUP($B2,OFFSET([2]quests!$A$1,0,0,COUNTA([2]quests!$A:$A),MATCH(C$1,[2]quests!$1:$1,0)-MATCH($B$1,[2]quests!$1:$1,0)+1),MATCH(C$1,[2]quests!$1:$1,0)-MATCH($B$1,[2]quests!$1:$1,0)+1,FALSE)</f>
        <v>ニムダ（台）</v>
      </c>
      <c r="D2" s="79" t="str">
        <f ca="1">VLOOKUP($B2,OFFSET([2]quests!$A$1,0,0,COUNTA([2]quests!$A:$A),MATCH(D$1,[2]quests!$1:$1,0)-MATCH($B$1,[2]quests!$1:$1,0)+1),MATCH(D$1,[2]quests!$1:$1,0)-MATCH($B$1,[2]quests!$1:$1,0)+1,FALSE)</f>
        <v>コラボクエスト</v>
      </c>
      <c r="E2" s="83" t="s">
        <v>212</v>
      </c>
      <c r="F2" s="79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79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1">
        <v>0</v>
      </c>
      <c r="I2">
        <v>1</v>
      </c>
      <c r="J2" s="80" t="s">
        <v>196</v>
      </c>
      <c r="K2" s="89" t="str">
        <f>VLOOKUP(I2,[7]stage_hints!$A:$C,3,FALSE)</f>
        <v>長くつなげて大ダメージ</v>
      </c>
      <c r="L2" s="90" t="str">
        <f>VLOOKUP(I2,[7]stage_hints!$A:$D,4,FALSE)</f>
        <v>パネルを長くつなげるほど_x000D_大ダメージを与えることができます</v>
      </c>
      <c r="M2" s="52" t="s">
        <v>209</v>
      </c>
    </row>
    <row r="3" spans="1:13" x14ac:dyDescent="0.15">
      <c r="A3" s="77" t="s">
        <v>199</v>
      </c>
      <c r="B3" s="78">
        <f>floors!$C$2</f>
        <v>39007</v>
      </c>
      <c r="C3" s="79" t="str">
        <f ca="1">VLOOKUP($B3,OFFSET([2]quests!$A$1,0,0,COUNTA([2]quests!$A:$A),MATCH(C$1,[2]quests!$1:$1,0)-MATCH($B$1,[2]quests!$1:$1,0)+1),MATCH(C$1,[2]quests!$1:$1,0)-MATCH($B$1,[2]quests!$1:$1,0)+1,FALSE)</f>
        <v>ニムダ（台）</v>
      </c>
      <c r="D3" s="79" t="str">
        <f ca="1">VLOOKUP($B3,OFFSET([2]quests!$A$1,0,0,COUNTA([2]quests!$A:$A),MATCH(D$1,[2]quests!$1:$1,0)-MATCH($B$1,[2]quests!$1:$1,0)+1),MATCH(D$1,[2]quests!$1:$1,0)-MATCH($B$1,[2]quests!$1:$1,0)+1,FALSE)</f>
        <v>コラボクエスト</v>
      </c>
      <c r="E3" s="83" t="s">
        <v>212</v>
      </c>
      <c r="F3" s="79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79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1">
        <v>0</v>
      </c>
      <c r="I3">
        <v>2</v>
      </c>
      <c r="J3" s="80" t="s">
        <v>196</v>
      </c>
      <c r="K3" s="89" t="str">
        <f>VLOOKUP(I3,[7]stage_hints!$A:$C,3,FALSE)</f>
        <v>属性の相性</v>
      </c>
      <c r="L3" s="90" t="str">
        <f>VLOOKUP(I3,[7]stage_hints!$A:$D,4,FALSE)</f>
        <v>赤＞青　青＞黄　黄＞緑　緑＞赤_x000D_敵属性に最適なパーティがオススメです</v>
      </c>
      <c r="M3" s="52" t="s">
        <v>209</v>
      </c>
    </row>
    <row r="4" spans="1:13" x14ac:dyDescent="0.15">
      <c r="A4" s="77" t="s">
        <v>199</v>
      </c>
      <c r="B4" s="78">
        <f>floors!$C$2</f>
        <v>39007</v>
      </c>
      <c r="C4" s="79" t="str">
        <f ca="1">VLOOKUP($B4,OFFSET([2]quests!$A$1,0,0,COUNTA([2]quests!$A:$A),MATCH(C$1,[2]quests!$1:$1,0)-MATCH($B$1,[2]quests!$1:$1,0)+1),MATCH(C$1,[2]quests!$1:$1,0)-MATCH($B$1,[2]quests!$1:$1,0)+1,FALSE)</f>
        <v>ニムダ（台）</v>
      </c>
      <c r="D4" s="79" t="str">
        <f ca="1">VLOOKUP($B4,OFFSET([2]quests!$A$1,0,0,COUNTA([2]quests!$A:$A),MATCH(D$1,[2]quests!$1:$1,0)-MATCH($B$1,[2]quests!$1:$1,0)+1),MATCH(D$1,[2]quests!$1:$1,0)-MATCH($B$1,[2]quests!$1:$1,0)+1,FALSE)</f>
        <v>コラボクエスト</v>
      </c>
      <c r="E4" s="83" t="s">
        <v>212</v>
      </c>
      <c r="F4" s="79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79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1">
        <v>0</v>
      </c>
      <c r="I4">
        <v>3</v>
      </c>
      <c r="J4" s="80" t="s">
        <v>196</v>
      </c>
      <c r="K4" s="89" t="str">
        <f>VLOOKUP(I4,[7]stage_hints!$A:$C,3,FALSE)</f>
        <v>ターゲット</v>
      </c>
      <c r="L4" s="90" t="str">
        <f>VLOOKUP(I4,[7]stage_hints!$A:$D,4,FALSE)</f>
        <v>敵ユニットをタップすると_x000D_その敵を狙い撃ちできます</v>
      </c>
      <c r="M4" s="52" t="s">
        <v>209</v>
      </c>
    </row>
    <row r="5" spans="1:13" x14ac:dyDescent="0.15">
      <c r="A5" s="77" t="s">
        <v>199</v>
      </c>
      <c r="B5" s="78">
        <f>floors!$C$2</f>
        <v>39007</v>
      </c>
      <c r="C5" s="79" t="str">
        <f ca="1">VLOOKUP($B5,OFFSET([2]quests!$A$1,0,0,COUNTA([2]quests!$A:$A),MATCH(C$1,[2]quests!$1:$1,0)-MATCH($B$1,[2]quests!$1:$1,0)+1),MATCH(C$1,[2]quests!$1:$1,0)-MATCH($B$1,[2]quests!$1:$1,0)+1,FALSE)</f>
        <v>ニムダ（台）</v>
      </c>
      <c r="D5" s="79" t="str">
        <f ca="1">VLOOKUP($B5,OFFSET([2]quests!$A$1,0,0,COUNTA([2]quests!$A:$A),MATCH(D$1,[2]quests!$1:$1,0)-MATCH($B$1,[2]quests!$1:$1,0)+1),MATCH(D$1,[2]quests!$1:$1,0)-MATCH($B$1,[2]quests!$1:$1,0)+1,FALSE)</f>
        <v>コラボクエスト</v>
      </c>
      <c r="E5" s="83" t="s">
        <v>212</v>
      </c>
      <c r="F5" s="79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79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1">
        <v>0</v>
      </c>
      <c r="I5">
        <v>5</v>
      </c>
      <c r="J5" s="80" t="s">
        <v>196</v>
      </c>
      <c r="K5" s="89" t="str">
        <f>VLOOKUP(I5,[7]stage_hints!$A:$C,3,FALSE)</f>
        <v>ユニット強化でレベルアップ</v>
      </c>
      <c r="L5" s="90" t="str">
        <f>VLOOKUP(I5,[7]stage_hints!$A:$D,4,FALSE)</f>
        <v>「ユニット強化」でレベルアップすると_x000D_勝てない敵にも勝てるようになります</v>
      </c>
      <c r="M5" s="52" t="s">
        <v>209</v>
      </c>
    </row>
    <row r="6" spans="1:13" x14ac:dyDescent="0.15">
      <c r="A6" s="77" t="s">
        <v>199</v>
      </c>
      <c r="B6" s="78">
        <f>floors!$C$2</f>
        <v>39007</v>
      </c>
      <c r="C6" s="79" t="str">
        <f ca="1">VLOOKUP($B6,OFFSET([2]quests!$A$1,0,0,COUNTA([2]quests!$A:$A),MATCH(C$1,[2]quests!$1:$1,0)-MATCH($B$1,[2]quests!$1:$1,0)+1),MATCH(C$1,[2]quests!$1:$1,0)-MATCH($B$1,[2]quests!$1:$1,0)+1,FALSE)</f>
        <v>ニムダ（台）</v>
      </c>
      <c r="D6" s="79" t="str">
        <f ca="1">VLOOKUP($B6,OFFSET([2]quests!$A$1,0,0,COUNTA([2]quests!$A:$A),MATCH(D$1,[2]quests!$1:$1,0)-MATCH($B$1,[2]quests!$1:$1,0)+1),MATCH(D$1,[2]quests!$1:$1,0)-MATCH($B$1,[2]quests!$1:$1,0)+1,FALSE)</f>
        <v>コラボクエスト</v>
      </c>
      <c r="E6" s="83" t="s">
        <v>212</v>
      </c>
      <c r="F6" s="79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79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1">
        <v>0</v>
      </c>
      <c r="I6">
        <v>6</v>
      </c>
      <c r="J6" s="80" t="s">
        <v>196</v>
      </c>
      <c r="K6" s="89" t="str">
        <f>VLOOKUP(I6,[7]stage_hints!$A:$C,3,FALSE)</f>
        <v>ユニット強化の属性ボーナス</v>
      </c>
      <c r="L6" s="90" t="str">
        <f>VLOOKUP(I6,[7]stage_hints!$A:$D,4,FALSE)</f>
        <v>同属性ユニットを強化素材にすると_x000D_経験値が多くもらえます</v>
      </c>
      <c r="M6" s="52" t="s">
        <v>209</v>
      </c>
    </row>
    <row r="7" spans="1:13" x14ac:dyDescent="0.15">
      <c r="A7" s="77" t="s">
        <v>199</v>
      </c>
      <c r="B7" s="78">
        <f>floors!$C$2</f>
        <v>39007</v>
      </c>
      <c r="C7" s="79" t="str">
        <f ca="1">VLOOKUP($B7,OFFSET([2]quests!$A$1,0,0,COUNTA([2]quests!$A:$A),MATCH(C$1,[2]quests!$1:$1,0)-MATCH($B$1,[2]quests!$1:$1,0)+1),MATCH(C$1,[2]quests!$1:$1,0)-MATCH($B$1,[2]quests!$1:$1,0)+1,FALSE)</f>
        <v>ニムダ（台）</v>
      </c>
      <c r="D7" s="79" t="str">
        <f ca="1">VLOOKUP($B7,OFFSET([2]quests!$A$1,0,0,COUNTA([2]quests!$A:$A),MATCH(D$1,[2]quests!$1:$1,0)-MATCH($B$1,[2]quests!$1:$1,0)+1),MATCH(D$1,[2]quests!$1:$1,0)-MATCH($B$1,[2]quests!$1:$1,0)+1,FALSE)</f>
        <v>コラボクエスト</v>
      </c>
      <c r="E7" s="83" t="s">
        <v>212</v>
      </c>
      <c r="F7" s="79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79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1">
        <v>0</v>
      </c>
      <c r="I7">
        <v>7</v>
      </c>
      <c r="J7" s="80" t="s">
        <v>196</v>
      </c>
      <c r="K7" s="89" t="str">
        <f>VLOOKUP(I7,[7]stage_hints!$A:$C,3,FALSE)</f>
        <v>メタルダックで経験値を獲得</v>
      </c>
      <c r="L7" s="90" t="str">
        <f>VLOOKUP(I7,[7]stage_hints!$A:$D,4,FALSE)</f>
        <v>「メタルなアヒル」を強化素材にすると_x000D_大量の経験値がもらえます</v>
      </c>
      <c r="M7" s="52" t="s">
        <v>209</v>
      </c>
    </row>
    <row r="8" spans="1:13" x14ac:dyDescent="0.15">
      <c r="A8" s="77" t="s">
        <v>199</v>
      </c>
      <c r="B8" s="78">
        <f>floors!$C$2</f>
        <v>39007</v>
      </c>
      <c r="C8" s="79" t="str">
        <f ca="1">VLOOKUP($B8,OFFSET([2]quests!$A$1,0,0,COUNTA([2]quests!$A:$A),MATCH(C$1,[2]quests!$1:$1,0)-MATCH($B$1,[2]quests!$1:$1,0)+1),MATCH(C$1,[2]quests!$1:$1,0)-MATCH($B$1,[2]quests!$1:$1,0)+1,FALSE)</f>
        <v>ニムダ（台）</v>
      </c>
      <c r="D8" s="79" t="str">
        <f ca="1">VLOOKUP($B8,OFFSET([2]quests!$A$1,0,0,COUNTA([2]quests!$A:$A),MATCH(D$1,[2]quests!$1:$1,0)-MATCH($B$1,[2]quests!$1:$1,0)+1),MATCH(D$1,[2]quests!$1:$1,0)-MATCH($B$1,[2]quests!$1:$1,0)+1,FALSE)</f>
        <v>コラボクエスト</v>
      </c>
      <c r="E8" s="83" t="s">
        <v>212</v>
      </c>
      <c r="F8" s="79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79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1">
        <v>0</v>
      </c>
      <c r="I8">
        <v>8</v>
      </c>
      <c r="J8" s="80" t="s">
        <v>196</v>
      </c>
      <c r="K8" s="89" t="str">
        <f>VLOOKUP(I8,[7]stage_hints!$A:$C,3,FALSE)</f>
        <v>ゲリラクエストは要チェック</v>
      </c>
      <c r="L8" s="90" t="str">
        <f>VLOOKUP(I8,[7]stage_hints!$A:$D,4,FALSE)</f>
        <v>時間限定の「アヒル捕獲作戦」では_x000D_経験値素材ユニットが多く手に入ります</v>
      </c>
      <c r="M8" s="52" t="s">
        <v>209</v>
      </c>
    </row>
    <row r="9" spans="1:13" x14ac:dyDescent="0.15">
      <c r="A9" s="77" t="s">
        <v>199</v>
      </c>
      <c r="B9" s="78">
        <f>floors!$C$2</f>
        <v>39007</v>
      </c>
      <c r="C9" s="79" t="str">
        <f ca="1">VLOOKUP($B9,OFFSET([2]quests!$A$1,0,0,COUNTA([2]quests!$A:$A),MATCH(C$1,[2]quests!$1:$1,0)-MATCH($B$1,[2]quests!$1:$1,0)+1),MATCH(C$1,[2]quests!$1:$1,0)-MATCH($B$1,[2]quests!$1:$1,0)+1,FALSE)</f>
        <v>ニムダ（台）</v>
      </c>
      <c r="D9" s="79" t="str">
        <f ca="1">VLOOKUP($B9,OFFSET([2]quests!$A$1,0,0,COUNTA([2]quests!$A:$A),MATCH(D$1,[2]quests!$1:$1,0)-MATCH($B$1,[2]quests!$1:$1,0)+1),MATCH(D$1,[2]quests!$1:$1,0)-MATCH($B$1,[2]quests!$1:$1,0)+1,FALSE)</f>
        <v>コラボクエスト</v>
      </c>
      <c r="E9" s="83" t="s">
        <v>212</v>
      </c>
      <c r="F9" s="79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79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1">
        <v>0</v>
      </c>
      <c r="I9">
        <v>9</v>
      </c>
      <c r="J9" s="80" t="s">
        <v>196</v>
      </c>
      <c r="K9" s="89" t="str">
        <f>VLOOKUP(I9,[7]stage_hints!$A:$C,3,FALSE)</f>
        <v>ゴールドダックでビットを獲得</v>
      </c>
      <c r="L9" s="90" t="str">
        <f>VLOOKUP(I9,[7]stage_hints!$A:$D,4,FALSE)</f>
        <v>「ゴールドなアヒル」を売却すると_x000D_大量のビットがもらえます</v>
      </c>
      <c r="M9" s="52" t="s">
        <v>209</v>
      </c>
    </row>
    <row r="10" spans="1:13" x14ac:dyDescent="0.15">
      <c r="A10" s="77" t="s">
        <v>199</v>
      </c>
      <c r="B10" s="78">
        <f>floors!$C$2</f>
        <v>39007</v>
      </c>
      <c r="C10" s="79" t="str">
        <f ca="1">VLOOKUP($B10,OFFSET([2]quests!$A$1,0,0,COUNTA([2]quests!$A:$A),MATCH(C$1,[2]quests!$1:$1,0)-MATCH($B$1,[2]quests!$1:$1,0)+1),MATCH(C$1,[2]quests!$1:$1,0)-MATCH($B$1,[2]quests!$1:$1,0)+1,FALSE)</f>
        <v>ニムダ（台）</v>
      </c>
      <c r="D10" s="79" t="str">
        <f ca="1">VLOOKUP($B10,OFFSET([2]quests!$A$1,0,0,COUNTA([2]quests!$A:$A),MATCH(D$1,[2]quests!$1:$1,0)-MATCH($B$1,[2]quests!$1:$1,0)+1),MATCH(D$1,[2]quests!$1:$1,0)-MATCH($B$1,[2]quests!$1:$1,0)+1,FALSE)</f>
        <v>コラボクエスト</v>
      </c>
      <c r="E10" s="83" t="s">
        <v>212</v>
      </c>
      <c r="F10" s="79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79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1">
        <v>0</v>
      </c>
      <c r="I10">
        <v>10</v>
      </c>
      <c r="J10" s="80" t="s">
        <v>196</v>
      </c>
      <c r="K10" s="89" t="str">
        <f>VLOOKUP(I10,[7]stage_hints!$A:$C,3,FALSE)</f>
        <v>土日に大量のビットを獲得</v>
      </c>
      <c r="L10" s="90" t="str">
        <f>VLOOKUP(I10,[7]stage_hints!$A:$D,4,FALSE)</f>
        <v>土日限定の「ゴールドカジノ」では_x000D_売却素材ユニットが多く手に入ります</v>
      </c>
      <c r="M10" s="52" t="s">
        <v>209</v>
      </c>
    </row>
    <row r="11" spans="1:13" x14ac:dyDescent="0.15">
      <c r="A11" s="77" t="s">
        <v>199</v>
      </c>
      <c r="B11" s="78">
        <f>floors!$C$2</f>
        <v>39007</v>
      </c>
      <c r="C11" s="79" t="str">
        <f ca="1">VLOOKUP($B11,OFFSET([2]quests!$A$1,0,0,COUNTA([2]quests!$A:$A),MATCH(C$1,[2]quests!$1:$1,0)-MATCH($B$1,[2]quests!$1:$1,0)+1),MATCH(C$1,[2]quests!$1:$1,0)-MATCH($B$1,[2]quests!$1:$1,0)+1,FALSE)</f>
        <v>ニムダ（台）</v>
      </c>
      <c r="D11" s="79" t="str">
        <f ca="1">VLOOKUP($B11,OFFSET([2]quests!$A$1,0,0,COUNTA([2]quests!$A:$A),MATCH(D$1,[2]quests!$1:$1,0)-MATCH($B$1,[2]quests!$1:$1,0)+1),MATCH(D$1,[2]quests!$1:$1,0)-MATCH($B$1,[2]quests!$1:$1,0)+1,FALSE)</f>
        <v>コラボクエスト</v>
      </c>
      <c r="E11" s="83" t="s">
        <v>212</v>
      </c>
      <c r="F11" s="79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79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1">
        <v>0</v>
      </c>
      <c r="I11">
        <v>11</v>
      </c>
      <c r="J11" s="80" t="s">
        <v>196</v>
      </c>
      <c r="K11" s="89" t="str">
        <f>VLOOKUP(I11,[7]stage_hints!$A:$C,3,FALSE)</f>
        <v>ランク解放クエスト</v>
      </c>
      <c r="L11" s="90" t="str">
        <f>VLOOKUP(I11,[7]stage_hints!$A:$D,4,FALSE)</f>
        <v>一定ランクに到達すると_x000D_報酬付きのランク開放クエストが現れます</v>
      </c>
      <c r="M11" s="52" t="s">
        <v>209</v>
      </c>
    </row>
    <row r="12" spans="1:13" x14ac:dyDescent="0.15">
      <c r="A12" s="77" t="s">
        <v>199</v>
      </c>
      <c r="B12" s="78">
        <f>floors!$C$2</f>
        <v>39007</v>
      </c>
      <c r="C12" s="79" t="str">
        <f ca="1">VLOOKUP($B12,OFFSET([2]quests!$A$1,0,0,COUNTA([2]quests!$A:$A),MATCH(C$1,[2]quests!$1:$1,0)-MATCH($B$1,[2]quests!$1:$1,0)+1),MATCH(C$1,[2]quests!$1:$1,0)-MATCH($B$1,[2]quests!$1:$1,0)+1,FALSE)</f>
        <v>ニムダ（台）</v>
      </c>
      <c r="D12" s="79" t="str">
        <f ca="1">VLOOKUP($B12,OFFSET([2]quests!$A$1,0,0,COUNTA([2]quests!$A:$A),MATCH(D$1,[2]quests!$1:$1,0)-MATCH($B$1,[2]quests!$1:$1,0)+1),MATCH(D$1,[2]quests!$1:$1,0)-MATCH($B$1,[2]quests!$1:$1,0)+1,FALSE)</f>
        <v>コラボクエスト</v>
      </c>
      <c r="E12" s="83" t="s">
        <v>212</v>
      </c>
      <c r="F12" s="79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79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1">
        <v>0</v>
      </c>
      <c r="I12">
        <v>12</v>
      </c>
      <c r="J12" s="80" t="s">
        <v>196</v>
      </c>
      <c r="K12" s="89" t="str">
        <f>VLOOKUP(I12,[7]stage_hints!$A:$C,3,FALSE)</f>
        <v>ユニットのお気に入り登録</v>
      </c>
      <c r="L12" s="90" t="str">
        <f>VLOOKUP(I12,[7]stage_hints!$A:$D,4,FALSE)</f>
        <v>大事なユニットを誤って消さないように_x000D_フォルダから「お気に入り登録」しましょう</v>
      </c>
      <c r="M12" s="52" t="s">
        <v>209</v>
      </c>
    </row>
    <row r="13" spans="1:13" x14ac:dyDescent="0.15">
      <c r="A13" s="77" t="s">
        <v>199</v>
      </c>
      <c r="B13" s="78">
        <f>floors!$C$2</f>
        <v>39007</v>
      </c>
      <c r="C13" s="79" t="str">
        <f ca="1">VLOOKUP($B13,OFFSET([2]quests!$A$1,0,0,COUNTA([2]quests!$A:$A),MATCH(C$1,[2]quests!$1:$1,0)-MATCH($B$1,[2]quests!$1:$1,0)+1),MATCH(C$1,[2]quests!$1:$1,0)-MATCH($B$1,[2]quests!$1:$1,0)+1,FALSE)</f>
        <v>ニムダ（台）</v>
      </c>
      <c r="D13" s="79" t="str">
        <f ca="1">VLOOKUP($B13,OFFSET([2]quests!$A$1,0,0,COUNTA([2]quests!$A:$A),MATCH(D$1,[2]quests!$1:$1,0)-MATCH($B$1,[2]quests!$1:$1,0)+1),MATCH(D$1,[2]quests!$1:$1,0)-MATCH($B$1,[2]quests!$1:$1,0)+1,FALSE)</f>
        <v>コラボクエスト</v>
      </c>
      <c r="E13" s="83" t="s">
        <v>212</v>
      </c>
      <c r="F13" s="79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79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1">
        <v>0</v>
      </c>
      <c r="I13">
        <v>13</v>
      </c>
      <c r="J13" s="80" t="s">
        <v>196</v>
      </c>
      <c r="K13" s="89" t="str">
        <f>VLOOKUP(I13,[7]stage_hints!$A:$C,3,FALSE)</f>
        <v>ユニットの覚醒</v>
      </c>
      <c r="L13" s="90" t="str">
        <f>VLOOKUP(I13,[7]stage_hints!$A:$D,4,FALSE)</f>
        <v>ユニットを覚醒させると_x000D_比べものにならない強さが手に入ります</v>
      </c>
      <c r="M13" s="52" t="s">
        <v>209</v>
      </c>
    </row>
    <row r="14" spans="1:13" x14ac:dyDescent="0.15">
      <c r="A14" s="77" t="s">
        <v>199</v>
      </c>
      <c r="B14" s="78">
        <f>floors!$C$2</f>
        <v>39007</v>
      </c>
      <c r="C14" s="79" t="str">
        <f ca="1">VLOOKUP($B14,OFFSET([2]quests!$A$1,0,0,COUNTA([2]quests!$A:$A),MATCH(C$1,[2]quests!$1:$1,0)-MATCH($B$1,[2]quests!$1:$1,0)+1),MATCH(C$1,[2]quests!$1:$1,0)-MATCH($B$1,[2]quests!$1:$1,0)+1,FALSE)</f>
        <v>ニムダ（台）</v>
      </c>
      <c r="D14" s="79" t="str">
        <f ca="1">VLOOKUP($B14,OFFSET([2]quests!$A$1,0,0,COUNTA([2]quests!$A:$A),MATCH(D$1,[2]quests!$1:$1,0)-MATCH($B$1,[2]quests!$1:$1,0)+1),MATCH(D$1,[2]quests!$1:$1,0)-MATCH($B$1,[2]quests!$1:$1,0)+1,FALSE)</f>
        <v>コラボクエスト</v>
      </c>
      <c r="E14" s="83" t="s">
        <v>212</v>
      </c>
      <c r="F14" s="79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79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1">
        <v>0</v>
      </c>
      <c r="I14">
        <v>14</v>
      </c>
      <c r="J14" s="80" t="s">
        <v>196</v>
      </c>
      <c r="K14" s="89" t="str">
        <f>VLOOKUP(I14,[7]stage_hints!$A:$C,3,FALSE)</f>
        <v>覚醒するにはレベルを最大に</v>
      </c>
      <c r="L14" s="90" t="str">
        <f>VLOOKUP(I14,[7]stage_hints!$A:$D,4,FALSE)</f>
        <v>覚醒するにはユニットのレベルを_x000D_最大まで上げる必要があります</v>
      </c>
      <c r="M14" s="52" t="s">
        <v>209</v>
      </c>
    </row>
    <row r="15" spans="1:13" x14ac:dyDescent="0.15">
      <c r="A15" s="77" t="s">
        <v>199</v>
      </c>
      <c r="B15" s="78">
        <f>floors!$C$2</f>
        <v>39007</v>
      </c>
      <c r="C15" s="79" t="str">
        <f ca="1">VLOOKUP($B15,OFFSET([2]quests!$A$1,0,0,COUNTA([2]quests!$A:$A),MATCH(C$1,[2]quests!$1:$1,0)-MATCH($B$1,[2]quests!$1:$1,0)+1),MATCH(C$1,[2]quests!$1:$1,0)-MATCH($B$1,[2]quests!$1:$1,0)+1,FALSE)</f>
        <v>ニムダ（台）</v>
      </c>
      <c r="D15" s="79" t="str">
        <f ca="1">VLOOKUP($B15,OFFSET([2]quests!$A$1,0,0,COUNTA([2]quests!$A:$A),MATCH(D$1,[2]quests!$1:$1,0)-MATCH($B$1,[2]quests!$1:$1,0)+1),MATCH(D$1,[2]quests!$1:$1,0)-MATCH($B$1,[2]quests!$1:$1,0)+1,FALSE)</f>
        <v>コラボクエスト</v>
      </c>
      <c r="E15" s="83" t="s">
        <v>212</v>
      </c>
      <c r="F15" s="79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79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1">
        <v>0</v>
      </c>
      <c r="I15">
        <v>15</v>
      </c>
      <c r="J15" s="80" t="s">
        <v>196</v>
      </c>
      <c r="K15" s="89" t="str">
        <f>VLOOKUP(I15,[7]stage_hints!$A:$C,3,FALSE)</f>
        <v>覚醒素材を獲得</v>
      </c>
      <c r="L15" s="90" t="str">
        <f>VLOOKUP(I15,[7]stage_hints!$A:$D,4,FALSE)</f>
        <v>「曜日クエスト」では_x000D_ユニットの覚醒に必要な素材が手に入ります</v>
      </c>
      <c r="M15" s="52" t="s">
        <v>209</v>
      </c>
    </row>
    <row r="16" spans="1:13" x14ac:dyDescent="0.15">
      <c r="A16" s="77" t="s">
        <v>199</v>
      </c>
      <c r="B16" s="78">
        <f>floors!$C$2</f>
        <v>39007</v>
      </c>
      <c r="C16" s="79" t="str">
        <f ca="1">VLOOKUP($B16,OFFSET([2]quests!$A$1,0,0,COUNTA([2]quests!$A:$A),MATCH(C$1,[2]quests!$1:$1,0)-MATCH($B$1,[2]quests!$1:$1,0)+1),MATCH(C$1,[2]quests!$1:$1,0)-MATCH($B$1,[2]quests!$1:$1,0)+1,FALSE)</f>
        <v>ニムダ（台）</v>
      </c>
      <c r="D16" s="79" t="str">
        <f ca="1">VLOOKUP($B16,OFFSET([2]quests!$A$1,0,0,COUNTA([2]quests!$A:$A),MATCH(D$1,[2]quests!$1:$1,0)-MATCH($B$1,[2]quests!$1:$1,0)+1),MATCH(D$1,[2]quests!$1:$1,0)-MATCH($B$1,[2]quests!$1:$1,0)+1,FALSE)</f>
        <v>コラボクエスト</v>
      </c>
      <c r="E16" s="83" t="s">
        <v>212</v>
      </c>
      <c r="F16" s="79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79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1">
        <v>0</v>
      </c>
      <c r="I16">
        <v>16</v>
      </c>
      <c r="J16" s="80" t="s">
        <v>196</v>
      </c>
      <c r="K16" s="89" t="str">
        <f>VLOOKUP(I16,[7]stage_hints!$A:$C,3,FALSE)</f>
        <v>マルチプレイのメリット（その1）</v>
      </c>
      <c r="L16" s="90" t="str">
        <f>VLOOKUP(I16,[7]stage_hints!$A:$D,4,FALSE)</f>
        <v>他のプレイヤーとマルチプレイで遊ぶと_x000D_ポリゴンがもらえます（100人まで）</v>
      </c>
      <c r="M16" s="52" t="s">
        <v>209</v>
      </c>
    </row>
    <row r="17" spans="1:13" x14ac:dyDescent="0.15">
      <c r="A17" s="77" t="s">
        <v>199</v>
      </c>
      <c r="B17" s="78">
        <f>floors!$C$2</f>
        <v>39007</v>
      </c>
      <c r="C17" s="79" t="str">
        <f ca="1">VLOOKUP($B17,OFFSET([2]quests!$A$1,0,0,COUNTA([2]quests!$A:$A),MATCH(C$1,[2]quests!$1:$1,0)-MATCH($B$1,[2]quests!$1:$1,0)+1),MATCH(C$1,[2]quests!$1:$1,0)-MATCH($B$1,[2]quests!$1:$1,0)+1,FALSE)</f>
        <v>ニムダ（台）</v>
      </c>
      <c r="D17" s="79" t="str">
        <f ca="1">VLOOKUP($B17,OFFSET([2]quests!$A$1,0,0,COUNTA([2]quests!$A:$A),MATCH(D$1,[2]quests!$1:$1,0)-MATCH($B$1,[2]quests!$1:$1,0)+1),MATCH(D$1,[2]quests!$1:$1,0)-MATCH($B$1,[2]quests!$1:$1,0)+1,FALSE)</f>
        <v>コラボクエスト</v>
      </c>
      <c r="E17" s="83" t="s">
        <v>212</v>
      </c>
      <c r="F17" s="79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79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1">
        <v>0</v>
      </c>
      <c r="I17">
        <v>17</v>
      </c>
      <c r="J17" s="80" t="s">
        <v>196</v>
      </c>
      <c r="K17" s="89" t="str">
        <f>VLOOKUP(I17,[7]stage_hints!$A:$C,3,FALSE)</f>
        <v>リンクガチャ</v>
      </c>
      <c r="L17" s="90" t="str">
        <f>VLOOKUP(I17,[7]stage_hints!$A:$D,4,FALSE)</f>
        <v>無料のリンクガチャを回して_x000D_経験値素材や売却素材を獲得しましょう</v>
      </c>
      <c r="M17" s="52" t="s">
        <v>209</v>
      </c>
    </row>
    <row r="18" spans="1:13" x14ac:dyDescent="0.15">
      <c r="A18" s="77" t="s">
        <v>199</v>
      </c>
      <c r="B18" s="78">
        <f>floors!$C$2</f>
        <v>39007</v>
      </c>
      <c r="C18" s="79" t="str">
        <f ca="1">VLOOKUP($B18,OFFSET([2]quests!$A$1,0,0,COUNTA([2]quests!$A:$A),MATCH(C$1,[2]quests!$1:$1,0)-MATCH($B$1,[2]quests!$1:$1,0)+1),MATCH(C$1,[2]quests!$1:$1,0)-MATCH($B$1,[2]quests!$1:$1,0)+1,FALSE)</f>
        <v>ニムダ（台）</v>
      </c>
      <c r="D18" s="79" t="str">
        <f ca="1">VLOOKUP($B18,OFFSET([2]quests!$A$1,0,0,COUNTA([2]quests!$A:$A),MATCH(D$1,[2]quests!$1:$1,0)-MATCH($B$1,[2]quests!$1:$1,0)+1),MATCH(D$1,[2]quests!$1:$1,0)-MATCH($B$1,[2]quests!$1:$1,0)+1,FALSE)</f>
        <v>コラボクエスト</v>
      </c>
      <c r="E18" s="83" t="s">
        <v>212</v>
      </c>
      <c r="F18" s="79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79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1">
        <v>0</v>
      </c>
      <c r="I18">
        <v>18</v>
      </c>
      <c r="J18" s="80" t="s">
        <v>196</v>
      </c>
      <c r="K18" s="89" t="str">
        <f>VLOOKUP(I18,[7]stage_hints!$A:$C,3,FALSE)</f>
        <v>マルチプレイのメリット（その2）</v>
      </c>
      <c r="L18" s="90" t="str">
        <f>VLOOKUP(I18,[7]stage_hints!$A:$D,4,FALSE)</f>
        <v>マルチプレイならリンクが2倍もらえます_x000D_リンクガチャをたくさん回しましょう</v>
      </c>
      <c r="M18" s="52" t="s">
        <v>209</v>
      </c>
    </row>
    <row r="19" spans="1:13" x14ac:dyDescent="0.15">
      <c r="A19" s="77" t="s">
        <v>199</v>
      </c>
      <c r="B19" s="78">
        <f>floors!$C$2</f>
        <v>39007</v>
      </c>
      <c r="C19" s="79" t="str">
        <f ca="1">VLOOKUP($B19,OFFSET([2]quests!$A$1,0,0,COUNTA([2]quests!$A:$A),MATCH(C$1,[2]quests!$1:$1,0)-MATCH($B$1,[2]quests!$1:$1,0)+1),MATCH(C$1,[2]quests!$1:$1,0)-MATCH($B$1,[2]quests!$1:$1,0)+1,FALSE)</f>
        <v>ニムダ（台）</v>
      </c>
      <c r="D19" s="79" t="str">
        <f ca="1">VLOOKUP($B19,OFFSET([2]quests!$A$1,0,0,COUNTA([2]quests!$A:$A),MATCH(D$1,[2]quests!$1:$1,0)-MATCH($B$1,[2]quests!$1:$1,0)+1),MATCH(D$1,[2]quests!$1:$1,0)-MATCH($B$1,[2]quests!$1:$1,0)+1,FALSE)</f>
        <v>コラボクエスト</v>
      </c>
      <c r="E19" s="83" t="s">
        <v>212</v>
      </c>
      <c r="F19" s="79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79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1">
        <v>0</v>
      </c>
      <c r="I19">
        <v>19</v>
      </c>
      <c r="J19" s="80" t="s">
        <v>196</v>
      </c>
      <c r="K19" s="89" t="str">
        <f>VLOOKUP(I19,[7]stage_hints!$A:$C,3,FALSE)</f>
        <v>ソロ専用チャレンジタワー</v>
      </c>
      <c r="L19" s="90" t="str">
        <f>VLOOKUP(I19,[7]stage_hints!$A:$D,4,FALSE)</f>
        <v>ソロ専用の「チャレンジタワー」では_x000D_各フロアごとにクリア報酬がもらえます</v>
      </c>
      <c r="M19" s="52" t="s">
        <v>209</v>
      </c>
    </row>
    <row r="20" spans="1:13" x14ac:dyDescent="0.15">
      <c r="A20" s="77" t="s">
        <v>199</v>
      </c>
      <c r="B20" s="78">
        <f>floors!$C$2</f>
        <v>39007</v>
      </c>
      <c r="C20" s="79" t="str">
        <f ca="1">VLOOKUP($B20,OFFSET([2]quests!$A$1,0,0,COUNTA([2]quests!$A:$A),MATCH(C$1,[2]quests!$1:$1,0)-MATCH($B$1,[2]quests!$1:$1,0)+1),MATCH(C$1,[2]quests!$1:$1,0)-MATCH($B$1,[2]quests!$1:$1,0)+1,FALSE)</f>
        <v>ニムダ（台）</v>
      </c>
      <c r="D20" s="79" t="str">
        <f ca="1">VLOOKUP($B20,OFFSET([2]quests!$A$1,0,0,COUNTA([2]quests!$A:$A),MATCH(D$1,[2]quests!$1:$1,0)-MATCH($B$1,[2]quests!$1:$1,0)+1),MATCH(D$1,[2]quests!$1:$1,0)-MATCH($B$1,[2]quests!$1:$1,0)+1,FALSE)</f>
        <v>コラボクエスト</v>
      </c>
      <c r="E20" s="83" t="s">
        <v>212</v>
      </c>
      <c r="F20" s="79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79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1">
        <v>0</v>
      </c>
      <c r="I20">
        <v>20</v>
      </c>
      <c r="J20" s="80" t="s">
        <v>196</v>
      </c>
      <c r="K20" s="89" t="str">
        <f>VLOOKUP(I20,[7]stage_hints!$A:$C,3,FALSE)</f>
        <v>マルチプレイのメリット（その3）</v>
      </c>
      <c r="L20" s="90" t="str">
        <f>VLOOKUP(I20,[7]stage_hints!$A:$D,4,FALSE)</f>
        <v>マルチプレイへの参加はエナジー消費ゼロ_x000D_いつでも好きなだけ遊ぶことができます</v>
      </c>
      <c r="M20" s="52" t="s">
        <v>209</v>
      </c>
    </row>
    <row r="21" spans="1:13" x14ac:dyDescent="0.15">
      <c r="A21" s="77" t="s">
        <v>199</v>
      </c>
      <c r="B21" s="78">
        <f>floors!$C$2</f>
        <v>39007</v>
      </c>
      <c r="C21" s="79" t="str">
        <f ca="1">VLOOKUP($B21,OFFSET([2]quests!$A$1,0,0,COUNTA([2]quests!$A:$A),MATCH(C$1,[2]quests!$1:$1,0)-MATCH($B$1,[2]quests!$1:$1,0)+1),MATCH(C$1,[2]quests!$1:$1,0)-MATCH($B$1,[2]quests!$1:$1,0)+1,FALSE)</f>
        <v>ニムダ（台）</v>
      </c>
      <c r="D21" s="79" t="str">
        <f ca="1">VLOOKUP($B21,OFFSET([2]quests!$A$1,0,0,COUNTA([2]quests!$A:$A),MATCH(D$1,[2]quests!$1:$1,0)-MATCH($B$1,[2]quests!$1:$1,0)+1),MATCH(D$1,[2]quests!$1:$1,0)-MATCH($B$1,[2]quests!$1:$1,0)+1,FALSE)</f>
        <v>コラボクエスト</v>
      </c>
      <c r="E21" s="83" t="s">
        <v>212</v>
      </c>
      <c r="F21" s="79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79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1">
        <v>0</v>
      </c>
      <c r="I21">
        <v>21</v>
      </c>
      <c r="J21" s="80" t="s">
        <v>196</v>
      </c>
      <c r="K21" s="89" t="str">
        <f>VLOOKUP(I21,[7]stage_hints!$A:$C,3,FALSE)</f>
        <v>スキルを有効に</v>
      </c>
      <c r="L21" s="90" t="str">
        <f>VLOOKUP(I21,[7]stage_hints!$A:$D,4,FALSE)</f>
        <v>ターン経過でユニットのスキルが使えます_x000D_強力スキルでバトルを有利に進めましょう</v>
      </c>
      <c r="M21" s="52" t="s">
        <v>209</v>
      </c>
    </row>
    <row r="22" spans="1:13" x14ac:dyDescent="0.15">
      <c r="A22" s="77" t="s">
        <v>199</v>
      </c>
      <c r="B22" s="78">
        <f>floors!$C$2</f>
        <v>39007</v>
      </c>
      <c r="C22" s="79" t="str">
        <f ca="1">VLOOKUP($B22,OFFSET([2]quests!$A$1,0,0,COUNTA([2]quests!$A:$A),MATCH(C$1,[2]quests!$1:$1,0)-MATCH($B$1,[2]quests!$1:$1,0)+1),MATCH(C$1,[2]quests!$1:$1,0)-MATCH($B$1,[2]quests!$1:$1,0)+1,FALSE)</f>
        <v>ニムダ（台）</v>
      </c>
      <c r="D22" s="79" t="str">
        <f ca="1">VLOOKUP($B22,OFFSET([2]quests!$A$1,0,0,COUNTA([2]quests!$A:$A),MATCH(D$1,[2]quests!$1:$1,0)-MATCH($B$1,[2]quests!$1:$1,0)+1),MATCH(D$1,[2]quests!$1:$1,0)-MATCH($B$1,[2]quests!$1:$1,0)+1,FALSE)</f>
        <v>コラボクエスト</v>
      </c>
      <c r="E22" s="83" t="s">
        <v>212</v>
      </c>
      <c r="F22" s="79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79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1">
        <v>0</v>
      </c>
      <c r="I22">
        <v>22</v>
      </c>
      <c r="J22" s="80" t="s">
        <v>196</v>
      </c>
      <c r="K22" s="89" t="str">
        <f>VLOOKUP(I22,[7]stage_hints!$A:$C,3,FALSE)</f>
        <v>フィーバーで一発逆転（その1）</v>
      </c>
      <c r="L22" s="90" t="str">
        <f>VLOOKUP(I22,[7]stage_hints!$A:$D,4,FALSE)</f>
        <v>フィーバーは攻撃と回復を兼ね備えます_x000D_ピンチからの一発逆転を狙いましょう</v>
      </c>
      <c r="M22" s="52" t="s">
        <v>209</v>
      </c>
    </row>
    <row r="23" spans="1:13" x14ac:dyDescent="0.15">
      <c r="A23" s="77" t="s">
        <v>199</v>
      </c>
      <c r="B23" s="78">
        <f>floors!$C$2</f>
        <v>39007</v>
      </c>
      <c r="C23" s="79" t="str">
        <f ca="1">VLOOKUP($B23,OFFSET([2]quests!$A$1,0,0,COUNTA([2]quests!$A:$A),MATCH(C$1,[2]quests!$1:$1,0)-MATCH($B$1,[2]quests!$1:$1,0)+1),MATCH(C$1,[2]quests!$1:$1,0)-MATCH($B$1,[2]quests!$1:$1,0)+1,FALSE)</f>
        <v>ニムダ（台）</v>
      </c>
      <c r="D23" s="79" t="str">
        <f ca="1">VLOOKUP($B23,OFFSET([2]quests!$A$1,0,0,COUNTA([2]quests!$A:$A),MATCH(D$1,[2]quests!$1:$1,0)-MATCH($B$1,[2]quests!$1:$1,0)+1),MATCH(D$1,[2]quests!$1:$1,0)-MATCH($B$1,[2]quests!$1:$1,0)+1,FALSE)</f>
        <v>コラボクエスト</v>
      </c>
      <c r="E23" s="83" t="s">
        <v>212</v>
      </c>
      <c r="F23" s="79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79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1">
        <v>0</v>
      </c>
      <c r="I23">
        <v>23</v>
      </c>
      <c r="J23" s="80" t="s">
        <v>196</v>
      </c>
      <c r="K23" s="89" t="str">
        <f>VLOOKUP(I23,[7]stage_hints!$A:$C,3,FALSE)</f>
        <v>フィーバーで一発逆転（その2）</v>
      </c>
      <c r="L23" s="90" t="str">
        <f>VLOOKUP(I23,[7]stage_hints!$A:$D,4,FALSE)</f>
        <v>フィーバー中は虹色のボムパネルを狙って_x000D_画面上のパネルを一気に破壊しましょう</v>
      </c>
      <c r="M23" s="52" t="s">
        <v>209</v>
      </c>
    </row>
    <row r="24" spans="1:13" x14ac:dyDescent="0.15">
      <c r="A24" s="77" t="s">
        <v>199</v>
      </c>
      <c r="B24" s="78">
        <f>floors!$C$2</f>
        <v>39007</v>
      </c>
      <c r="C24" s="79" t="str">
        <f ca="1">VLOOKUP($B24,OFFSET([2]quests!$A$1,0,0,COUNTA([2]quests!$A:$A),MATCH(C$1,[2]quests!$1:$1,0)-MATCH($B$1,[2]quests!$1:$1,0)+1),MATCH(C$1,[2]quests!$1:$1,0)-MATCH($B$1,[2]quests!$1:$1,0)+1,FALSE)</f>
        <v>ニムダ（台）</v>
      </c>
      <c r="D24" s="79" t="str">
        <f ca="1">VLOOKUP($B24,OFFSET([2]quests!$A$1,0,0,COUNTA([2]quests!$A:$A),MATCH(D$1,[2]quests!$1:$1,0)-MATCH($B$1,[2]quests!$1:$1,0)+1),MATCH(D$1,[2]quests!$1:$1,0)-MATCH($B$1,[2]quests!$1:$1,0)+1,FALSE)</f>
        <v>コラボクエスト</v>
      </c>
      <c r="E24" s="83" t="s">
        <v>212</v>
      </c>
      <c r="F24" s="79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79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1">
        <v>0</v>
      </c>
      <c r="I24">
        <v>24</v>
      </c>
      <c r="J24" s="80" t="s">
        <v>196</v>
      </c>
      <c r="K24" s="89" t="str">
        <f>VLOOKUP(I24,[7]stage_hints!$A:$C,3,FALSE)</f>
        <v>りんごを使って限界突破</v>
      </c>
      <c r="L24" s="90" t="str">
        <f>VLOOKUP(I24,[7]stage_hints!$A:$D,4,FALSE)</f>
        <v>赤りんご(攻撃力) 青りんご(回復力)_x000D_緑りんご(体力)をユニット強化に使うと_x000D_ステータスが限界突破します（計99個迄）</v>
      </c>
      <c r="M24" s="52" t="s">
        <v>209</v>
      </c>
    </row>
    <row r="25" spans="1:13" x14ac:dyDescent="0.15">
      <c r="A25" s="77" t="s">
        <v>199</v>
      </c>
      <c r="B25" s="78">
        <f>floors!$C$2</f>
        <v>39007</v>
      </c>
      <c r="C25" s="79" t="str">
        <f ca="1">VLOOKUP($B25,OFFSET([2]quests!$A$1,0,0,COUNTA([2]quests!$A:$A),MATCH(C$1,[2]quests!$1:$1,0)-MATCH($B$1,[2]quests!$1:$1,0)+1),MATCH(C$1,[2]quests!$1:$1,0)-MATCH($B$1,[2]quests!$1:$1,0)+1,FALSE)</f>
        <v>ニムダ（台）</v>
      </c>
      <c r="D25" s="79" t="str">
        <f ca="1">VLOOKUP($B25,OFFSET([2]quests!$A$1,0,0,COUNTA([2]quests!$A:$A),MATCH(D$1,[2]quests!$1:$1,0)-MATCH($B$1,[2]quests!$1:$1,0)+1),MATCH(D$1,[2]quests!$1:$1,0)-MATCH($B$1,[2]quests!$1:$1,0)+1,FALSE)</f>
        <v>コラボクエスト</v>
      </c>
      <c r="E25" s="83" t="s">
        <v>212</v>
      </c>
      <c r="F25" s="79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79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1">
        <v>0</v>
      </c>
      <c r="I25">
        <v>25</v>
      </c>
      <c r="J25" s="80" t="s">
        <v>196</v>
      </c>
      <c r="K25" s="89" t="str">
        <f>VLOOKUP(I25,[7]stage_hints!$A:$C,3,FALSE)</f>
        <v>スキルレベルアップ</v>
      </c>
      <c r="L25" s="90" t="str">
        <f>VLOOKUP(I25,[7]stage_hints!$A:$D,4,FALSE)</f>
        <v>「クリスタルのりんご」を強化に使うと_x000D_スキルレベルを上げることができます</v>
      </c>
      <c r="M25" s="52" t="s">
        <v>209</v>
      </c>
    </row>
    <row r="26" spans="1:13" x14ac:dyDescent="0.15">
      <c r="A26" s="77" t="s">
        <v>199</v>
      </c>
      <c r="B26" s="78">
        <f>floors!$C$2</f>
        <v>39007</v>
      </c>
      <c r="C26" s="79" t="str">
        <f ca="1">VLOOKUP($B26,OFFSET([2]quests!$A$1,0,0,COUNTA([2]quests!$A:$A),MATCH(C$1,[2]quests!$1:$1,0)-MATCH($B$1,[2]quests!$1:$1,0)+1),MATCH(C$1,[2]quests!$1:$1,0)-MATCH($B$1,[2]quests!$1:$1,0)+1,FALSE)</f>
        <v>ニムダ（台）</v>
      </c>
      <c r="D26" s="79" t="str">
        <f ca="1">VLOOKUP($B26,OFFSET([2]quests!$A$1,0,0,COUNTA([2]quests!$A:$A),MATCH(D$1,[2]quests!$1:$1,0)-MATCH($B$1,[2]quests!$1:$1,0)+1),MATCH(D$1,[2]quests!$1:$1,0)-MATCH($B$1,[2]quests!$1:$1,0)+1,FALSE)</f>
        <v>コラボクエスト</v>
      </c>
      <c r="E26" s="83" t="s">
        <v>212</v>
      </c>
      <c r="F26" s="79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79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1">
        <v>0</v>
      </c>
      <c r="I26">
        <v>26</v>
      </c>
      <c r="J26" s="80" t="s">
        <v>196</v>
      </c>
      <c r="K26" s="89" t="str">
        <f>VLOOKUP(I26,[7]stage_hints!$A:$C,3,FALSE)</f>
        <v>スキルレベルの効果</v>
      </c>
      <c r="L26" s="90" t="str">
        <f>VLOOKUP(I26,[7]stage_hints!$A:$D,4,FALSE)</f>
        <v>スキルレベルが上がると_x000D_短いターンでスキルを使うことができます</v>
      </c>
      <c r="M26" s="52" t="s">
        <v>209</v>
      </c>
    </row>
    <row r="27" spans="1:13" x14ac:dyDescent="0.15">
      <c r="A27" s="77" t="s">
        <v>199</v>
      </c>
      <c r="B27" s="78">
        <f>floors!$C$2</f>
        <v>39007</v>
      </c>
      <c r="C27" s="79" t="str">
        <f ca="1">VLOOKUP($B27,OFFSET([2]quests!$A$1,0,0,COUNTA([2]quests!$A:$A),MATCH(C$1,[2]quests!$1:$1,0)-MATCH($B$1,[2]quests!$1:$1,0)+1),MATCH(C$1,[2]quests!$1:$1,0)-MATCH($B$1,[2]quests!$1:$1,0)+1,FALSE)</f>
        <v>ニムダ（台）</v>
      </c>
      <c r="D27" s="79" t="str">
        <f ca="1">VLOOKUP($B27,OFFSET([2]quests!$A$1,0,0,COUNTA([2]quests!$A:$A),MATCH(D$1,[2]quests!$1:$1,0)-MATCH($B$1,[2]quests!$1:$1,0)+1),MATCH(D$1,[2]quests!$1:$1,0)-MATCH($B$1,[2]quests!$1:$1,0)+1,FALSE)</f>
        <v>コラボクエスト</v>
      </c>
      <c r="E27" s="83" t="s">
        <v>212</v>
      </c>
      <c r="F27" s="79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79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1">
        <v>0</v>
      </c>
      <c r="I27">
        <v>39</v>
      </c>
      <c r="J27" s="80" t="s">
        <v>196</v>
      </c>
      <c r="K27" s="89" t="str">
        <f>VLOOKUP(I27,[7]stage_hints!$A:$C,3,FALSE)</f>
        <v>システム適合者を確認</v>
      </c>
      <c r="L27" s="90" t="str">
        <f>VLOOKUP(I27,[7]stage_hints!$A:$D,4,FALSE)</f>
        <v>ALICEが 「アナタ」を呼んでいます</v>
      </c>
      <c r="M27" s="52" t="s">
        <v>209</v>
      </c>
    </row>
    <row r="28" spans="1:13" x14ac:dyDescent="0.15">
      <c r="A28" s="77" t="s">
        <v>199</v>
      </c>
      <c r="B28" s="78">
        <f>floors!$C$2</f>
        <v>39007</v>
      </c>
      <c r="C28" s="79" t="str">
        <f ca="1">VLOOKUP($B28,OFFSET([2]quests!$A$1,0,0,COUNTA([2]quests!$A:$A),MATCH(C$1,[2]quests!$1:$1,0)-MATCH($B$1,[2]quests!$1:$1,0)+1),MATCH(C$1,[2]quests!$1:$1,0)-MATCH($B$1,[2]quests!$1:$1,0)+1,FALSE)</f>
        <v>ニムダ（台）</v>
      </c>
      <c r="D28" s="79" t="str">
        <f ca="1">VLOOKUP($B28,OFFSET([2]quests!$A$1,0,0,COUNTA([2]quests!$A:$A),MATCH(D$1,[2]quests!$1:$1,0)-MATCH($B$1,[2]quests!$1:$1,0)+1),MATCH(D$1,[2]quests!$1:$1,0)-MATCH($B$1,[2]quests!$1:$1,0)+1,FALSE)</f>
        <v>コラボクエスト</v>
      </c>
      <c r="E28" s="83" t="s">
        <v>213</v>
      </c>
      <c r="F28" s="79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79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1">
        <v>0</v>
      </c>
      <c r="I28">
        <v>3</v>
      </c>
      <c r="J28" s="80" t="s">
        <v>196</v>
      </c>
      <c r="K28" s="89" t="str">
        <f>VLOOKUP(I28,[7]stage_hints!$A:$C,3,FALSE)</f>
        <v>ターゲット</v>
      </c>
      <c r="L28" s="90" t="str">
        <f>VLOOKUP(I28,[7]stage_hints!$A:$D,4,FALSE)</f>
        <v>敵ユニットをタップすると_x000D_その敵を狙い撃ちできます</v>
      </c>
      <c r="M28" s="52" t="s">
        <v>209</v>
      </c>
    </row>
    <row r="29" spans="1:13" x14ac:dyDescent="0.15">
      <c r="A29" s="77" t="s">
        <v>199</v>
      </c>
      <c r="B29" s="78">
        <f>floors!$C$2</f>
        <v>39007</v>
      </c>
      <c r="C29" s="79" t="str">
        <f ca="1">VLOOKUP($B29,OFFSET([2]quests!$A$1,0,0,COUNTA([2]quests!$A:$A),MATCH(C$1,[2]quests!$1:$1,0)-MATCH($B$1,[2]quests!$1:$1,0)+1),MATCH(C$1,[2]quests!$1:$1,0)-MATCH($B$1,[2]quests!$1:$1,0)+1,FALSE)</f>
        <v>ニムダ（台）</v>
      </c>
      <c r="D29" s="79" t="str">
        <f ca="1">VLOOKUP($B29,OFFSET([2]quests!$A$1,0,0,COUNTA([2]quests!$A:$A),MATCH(D$1,[2]quests!$1:$1,0)-MATCH($B$1,[2]quests!$1:$1,0)+1),MATCH(D$1,[2]quests!$1:$1,0)-MATCH($B$1,[2]quests!$1:$1,0)+1,FALSE)</f>
        <v>コラボクエスト</v>
      </c>
      <c r="E29" s="83" t="s">
        <v>213</v>
      </c>
      <c r="F29" s="79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79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1">
        <v>0</v>
      </c>
      <c r="I29">
        <v>6</v>
      </c>
      <c r="J29" s="80" t="s">
        <v>196</v>
      </c>
      <c r="K29" s="89" t="str">
        <f>VLOOKUP(I29,[7]stage_hints!$A:$C,3,FALSE)</f>
        <v>ユニット強化の属性ボーナス</v>
      </c>
      <c r="L29" s="90" t="str">
        <f>VLOOKUP(I29,[7]stage_hints!$A:$D,4,FALSE)</f>
        <v>同属性ユニットを強化素材にすると_x000D_経験値が多くもらえます</v>
      </c>
      <c r="M29" s="52" t="s">
        <v>209</v>
      </c>
    </row>
    <row r="30" spans="1:13" x14ac:dyDescent="0.15">
      <c r="A30" s="77" t="s">
        <v>199</v>
      </c>
      <c r="B30" s="78">
        <f>floors!$C$2</f>
        <v>39007</v>
      </c>
      <c r="C30" s="79" t="str">
        <f ca="1">VLOOKUP($B30,OFFSET([2]quests!$A$1,0,0,COUNTA([2]quests!$A:$A),MATCH(C$1,[2]quests!$1:$1,0)-MATCH($B$1,[2]quests!$1:$1,0)+1),MATCH(C$1,[2]quests!$1:$1,0)-MATCH($B$1,[2]quests!$1:$1,0)+1,FALSE)</f>
        <v>ニムダ（台）</v>
      </c>
      <c r="D30" s="79" t="str">
        <f ca="1">VLOOKUP($B30,OFFSET([2]quests!$A$1,0,0,COUNTA([2]quests!$A:$A),MATCH(D$1,[2]quests!$1:$1,0)-MATCH($B$1,[2]quests!$1:$1,0)+1),MATCH(D$1,[2]quests!$1:$1,0)-MATCH($B$1,[2]quests!$1:$1,0)+1,FALSE)</f>
        <v>コラボクエスト</v>
      </c>
      <c r="E30" s="83" t="s">
        <v>213</v>
      </c>
      <c r="F30" s="79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79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1">
        <v>0</v>
      </c>
      <c r="I30">
        <v>7</v>
      </c>
      <c r="J30" s="80" t="s">
        <v>196</v>
      </c>
      <c r="K30" s="89" t="str">
        <f>VLOOKUP(I30,[7]stage_hints!$A:$C,3,FALSE)</f>
        <v>メタルダックで経験値を獲得</v>
      </c>
      <c r="L30" s="90" t="str">
        <f>VLOOKUP(I30,[7]stage_hints!$A:$D,4,FALSE)</f>
        <v>「メタルなアヒル」を強化素材にすると_x000D_大量の経験値がもらえます</v>
      </c>
      <c r="M30" s="52" t="s">
        <v>209</v>
      </c>
    </row>
    <row r="31" spans="1:13" x14ac:dyDescent="0.15">
      <c r="A31" s="77" t="s">
        <v>199</v>
      </c>
      <c r="B31" s="78">
        <f>floors!$C$2</f>
        <v>39007</v>
      </c>
      <c r="C31" s="79" t="str">
        <f ca="1">VLOOKUP($B31,OFFSET([2]quests!$A$1,0,0,COUNTA([2]quests!$A:$A),MATCH(C$1,[2]quests!$1:$1,0)-MATCH($B$1,[2]quests!$1:$1,0)+1),MATCH(C$1,[2]quests!$1:$1,0)-MATCH($B$1,[2]quests!$1:$1,0)+1,FALSE)</f>
        <v>ニムダ（台）</v>
      </c>
      <c r="D31" s="79" t="str">
        <f ca="1">VLOOKUP($B31,OFFSET([2]quests!$A$1,0,0,COUNTA([2]quests!$A:$A),MATCH(D$1,[2]quests!$1:$1,0)-MATCH($B$1,[2]quests!$1:$1,0)+1),MATCH(D$1,[2]quests!$1:$1,0)-MATCH($B$1,[2]quests!$1:$1,0)+1,FALSE)</f>
        <v>コラボクエスト</v>
      </c>
      <c r="E31" s="83" t="s">
        <v>213</v>
      </c>
      <c r="F31" s="79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79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1">
        <v>0</v>
      </c>
      <c r="I31">
        <v>8</v>
      </c>
      <c r="J31" s="80" t="s">
        <v>196</v>
      </c>
      <c r="K31" s="89" t="str">
        <f>VLOOKUP(I31,[7]stage_hints!$A:$C,3,FALSE)</f>
        <v>ゲリラクエストは要チェック</v>
      </c>
      <c r="L31" s="90" t="str">
        <f>VLOOKUP(I31,[7]stage_hints!$A:$D,4,FALSE)</f>
        <v>時間限定の「アヒル捕獲作戦」では_x000D_経験値素材ユニットが多く手に入ります</v>
      </c>
      <c r="M31" s="52" t="s">
        <v>209</v>
      </c>
    </row>
    <row r="32" spans="1:13" x14ac:dyDescent="0.15">
      <c r="A32" s="77" t="s">
        <v>199</v>
      </c>
      <c r="B32" s="78">
        <f>floors!$C$2</f>
        <v>39007</v>
      </c>
      <c r="C32" s="79" t="str">
        <f ca="1">VLOOKUP($B32,OFFSET([2]quests!$A$1,0,0,COUNTA([2]quests!$A:$A),MATCH(C$1,[2]quests!$1:$1,0)-MATCH($B$1,[2]quests!$1:$1,0)+1),MATCH(C$1,[2]quests!$1:$1,0)-MATCH($B$1,[2]quests!$1:$1,0)+1,FALSE)</f>
        <v>ニムダ（台）</v>
      </c>
      <c r="D32" s="79" t="str">
        <f ca="1">VLOOKUP($B32,OFFSET([2]quests!$A$1,0,0,COUNTA([2]quests!$A:$A),MATCH(D$1,[2]quests!$1:$1,0)-MATCH($B$1,[2]quests!$1:$1,0)+1),MATCH(D$1,[2]quests!$1:$1,0)-MATCH($B$1,[2]quests!$1:$1,0)+1,FALSE)</f>
        <v>コラボクエスト</v>
      </c>
      <c r="E32" s="83" t="s">
        <v>213</v>
      </c>
      <c r="F32" s="79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79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1">
        <v>0</v>
      </c>
      <c r="I32">
        <v>9</v>
      </c>
      <c r="J32" s="80" t="s">
        <v>196</v>
      </c>
      <c r="K32" s="89" t="str">
        <f>VLOOKUP(I32,[7]stage_hints!$A:$C,3,FALSE)</f>
        <v>ゴールドダックでビットを獲得</v>
      </c>
      <c r="L32" s="90" t="str">
        <f>VLOOKUP(I32,[7]stage_hints!$A:$D,4,FALSE)</f>
        <v>「ゴールドなアヒル」を売却すると_x000D_大量のビットがもらえます</v>
      </c>
      <c r="M32" s="52" t="s">
        <v>209</v>
      </c>
    </row>
    <row r="33" spans="1:13" x14ac:dyDescent="0.15">
      <c r="A33" s="77" t="s">
        <v>199</v>
      </c>
      <c r="B33" s="78">
        <f>floors!$C$2</f>
        <v>39007</v>
      </c>
      <c r="C33" s="79" t="str">
        <f ca="1">VLOOKUP($B33,OFFSET([2]quests!$A$1,0,0,COUNTA([2]quests!$A:$A),MATCH(C$1,[2]quests!$1:$1,0)-MATCH($B$1,[2]quests!$1:$1,0)+1),MATCH(C$1,[2]quests!$1:$1,0)-MATCH($B$1,[2]quests!$1:$1,0)+1,FALSE)</f>
        <v>ニムダ（台）</v>
      </c>
      <c r="D33" s="79" t="str">
        <f ca="1">VLOOKUP($B33,OFFSET([2]quests!$A$1,0,0,COUNTA([2]quests!$A:$A),MATCH(D$1,[2]quests!$1:$1,0)-MATCH($B$1,[2]quests!$1:$1,0)+1),MATCH(D$1,[2]quests!$1:$1,0)-MATCH($B$1,[2]quests!$1:$1,0)+1,FALSE)</f>
        <v>コラボクエスト</v>
      </c>
      <c r="E33" s="83" t="s">
        <v>213</v>
      </c>
      <c r="F33" s="79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79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1">
        <v>0</v>
      </c>
      <c r="I33">
        <v>10</v>
      </c>
      <c r="J33" s="80" t="s">
        <v>196</v>
      </c>
      <c r="K33" s="89" t="str">
        <f>VLOOKUP(I33,[7]stage_hints!$A:$C,3,FALSE)</f>
        <v>土日に大量のビットを獲得</v>
      </c>
      <c r="L33" s="90" t="str">
        <f>VLOOKUP(I33,[7]stage_hints!$A:$D,4,FALSE)</f>
        <v>土日限定の「ゴールドカジノ」では_x000D_売却素材ユニットが多く手に入ります</v>
      </c>
      <c r="M33" s="52" t="s">
        <v>209</v>
      </c>
    </row>
    <row r="34" spans="1:13" x14ac:dyDescent="0.15">
      <c r="A34" s="77" t="s">
        <v>199</v>
      </c>
      <c r="B34" s="78">
        <f>floors!$C$2</f>
        <v>39007</v>
      </c>
      <c r="C34" s="79" t="str">
        <f ca="1">VLOOKUP($B34,OFFSET([2]quests!$A$1,0,0,COUNTA([2]quests!$A:$A),MATCH(C$1,[2]quests!$1:$1,0)-MATCH($B$1,[2]quests!$1:$1,0)+1),MATCH(C$1,[2]quests!$1:$1,0)-MATCH($B$1,[2]quests!$1:$1,0)+1,FALSE)</f>
        <v>ニムダ（台）</v>
      </c>
      <c r="D34" s="79" t="str">
        <f ca="1">VLOOKUP($B34,OFFSET([2]quests!$A$1,0,0,COUNTA([2]quests!$A:$A),MATCH(D$1,[2]quests!$1:$1,0)-MATCH($B$1,[2]quests!$1:$1,0)+1),MATCH(D$1,[2]quests!$1:$1,0)-MATCH($B$1,[2]quests!$1:$1,0)+1,FALSE)</f>
        <v>コラボクエスト</v>
      </c>
      <c r="E34" s="83" t="s">
        <v>213</v>
      </c>
      <c r="F34" s="79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79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1">
        <v>0</v>
      </c>
      <c r="I34">
        <v>11</v>
      </c>
      <c r="J34" s="80" t="s">
        <v>196</v>
      </c>
      <c r="K34" s="89" t="str">
        <f>VLOOKUP(I34,[7]stage_hints!$A:$C,3,FALSE)</f>
        <v>ランク解放クエスト</v>
      </c>
      <c r="L34" s="90" t="str">
        <f>VLOOKUP(I34,[7]stage_hints!$A:$D,4,FALSE)</f>
        <v>一定ランクに到達すると_x000D_報酬付きのランク開放クエストが現れます</v>
      </c>
      <c r="M34" s="52" t="s">
        <v>209</v>
      </c>
    </row>
    <row r="35" spans="1:13" x14ac:dyDescent="0.15">
      <c r="A35" s="77" t="s">
        <v>199</v>
      </c>
      <c r="B35" s="78">
        <f>floors!$C$2</f>
        <v>39007</v>
      </c>
      <c r="C35" s="79" t="str">
        <f ca="1">VLOOKUP($B35,OFFSET([2]quests!$A$1,0,0,COUNTA([2]quests!$A:$A),MATCH(C$1,[2]quests!$1:$1,0)-MATCH($B$1,[2]quests!$1:$1,0)+1),MATCH(C$1,[2]quests!$1:$1,0)-MATCH($B$1,[2]quests!$1:$1,0)+1,FALSE)</f>
        <v>ニムダ（台）</v>
      </c>
      <c r="D35" s="79" t="str">
        <f ca="1">VLOOKUP($B35,OFFSET([2]quests!$A$1,0,0,COUNTA([2]quests!$A:$A),MATCH(D$1,[2]quests!$1:$1,0)-MATCH($B$1,[2]quests!$1:$1,0)+1),MATCH(D$1,[2]quests!$1:$1,0)-MATCH($B$1,[2]quests!$1:$1,0)+1,FALSE)</f>
        <v>コラボクエスト</v>
      </c>
      <c r="E35" s="83" t="s">
        <v>213</v>
      </c>
      <c r="F35" s="79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79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1">
        <v>0</v>
      </c>
      <c r="I35">
        <v>12</v>
      </c>
      <c r="J35" s="80" t="s">
        <v>196</v>
      </c>
      <c r="K35" s="89" t="str">
        <f>VLOOKUP(I35,[7]stage_hints!$A:$C,3,FALSE)</f>
        <v>ユニットのお気に入り登録</v>
      </c>
      <c r="L35" s="90" t="str">
        <f>VLOOKUP(I35,[7]stage_hints!$A:$D,4,FALSE)</f>
        <v>大事なユニットを誤って消さないように_x000D_フォルダから「お気に入り登録」しましょう</v>
      </c>
      <c r="M35" s="52" t="s">
        <v>209</v>
      </c>
    </row>
    <row r="36" spans="1:13" x14ac:dyDescent="0.15">
      <c r="A36" s="77" t="s">
        <v>199</v>
      </c>
      <c r="B36" s="78">
        <f>floors!$C$2</f>
        <v>39007</v>
      </c>
      <c r="C36" s="79" t="str">
        <f ca="1">VLOOKUP($B36,OFFSET([2]quests!$A$1,0,0,COUNTA([2]quests!$A:$A),MATCH(C$1,[2]quests!$1:$1,0)-MATCH($B$1,[2]quests!$1:$1,0)+1),MATCH(C$1,[2]quests!$1:$1,0)-MATCH($B$1,[2]quests!$1:$1,0)+1,FALSE)</f>
        <v>ニムダ（台）</v>
      </c>
      <c r="D36" s="79" t="str">
        <f ca="1">VLOOKUP($B36,OFFSET([2]quests!$A$1,0,0,COUNTA([2]quests!$A:$A),MATCH(D$1,[2]quests!$1:$1,0)-MATCH($B$1,[2]quests!$1:$1,0)+1),MATCH(D$1,[2]quests!$1:$1,0)-MATCH($B$1,[2]quests!$1:$1,0)+1,FALSE)</f>
        <v>コラボクエスト</v>
      </c>
      <c r="E36" s="83" t="s">
        <v>213</v>
      </c>
      <c r="F36" s="79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79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1">
        <v>0</v>
      </c>
      <c r="I36">
        <v>13</v>
      </c>
      <c r="J36" s="80" t="s">
        <v>196</v>
      </c>
      <c r="K36" s="89" t="str">
        <f>VLOOKUP(I36,[7]stage_hints!$A:$C,3,FALSE)</f>
        <v>ユニットの覚醒</v>
      </c>
      <c r="L36" s="90" t="str">
        <f>VLOOKUP(I36,[7]stage_hints!$A:$D,4,FALSE)</f>
        <v>ユニットを覚醒させると_x000D_比べものにならない強さが手に入ります</v>
      </c>
      <c r="M36" s="52" t="s">
        <v>209</v>
      </c>
    </row>
    <row r="37" spans="1:13" x14ac:dyDescent="0.15">
      <c r="A37" s="77" t="s">
        <v>199</v>
      </c>
      <c r="B37" s="78">
        <f>floors!$C$2</f>
        <v>39007</v>
      </c>
      <c r="C37" s="79" t="str">
        <f ca="1">VLOOKUP($B37,OFFSET([2]quests!$A$1,0,0,COUNTA([2]quests!$A:$A),MATCH(C$1,[2]quests!$1:$1,0)-MATCH($B$1,[2]quests!$1:$1,0)+1),MATCH(C$1,[2]quests!$1:$1,0)-MATCH($B$1,[2]quests!$1:$1,0)+1,FALSE)</f>
        <v>ニムダ（台）</v>
      </c>
      <c r="D37" s="79" t="str">
        <f ca="1">VLOOKUP($B37,OFFSET([2]quests!$A$1,0,0,COUNTA([2]quests!$A:$A),MATCH(D$1,[2]quests!$1:$1,0)-MATCH($B$1,[2]quests!$1:$1,0)+1),MATCH(D$1,[2]quests!$1:$1,0)-MATCH($B$1,[2]quests!$1:$1,0)+1,FALSE)</f>
        <v>コラボクエスト</v>
      </c>
      <c r="E37" s="83" t="s">
        <v>213</v>
      </c>
      <c r="F37" s="79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79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1">
        <v>0</v>
      </c>
      <c r="I37">
        <v>14</v>
      </c>
      <c r="J37" s="80" t="s">
        <v>196</v>
      </c>
      <c r="K37" s="89" t="str">
        <f>VLOOKUP(I37,[7]stage_hints!$A:$C,3,FALSE)</f>
        <v>覚醒するにはレベルを最大に</v>
      </c>
      <c r="L37" s="90" t="str">
        <f>VLOOKUP(I37,[7]stage_hints!$A:$D,4,FALSE)</f>
        <v>覚醒するにはユニットのレベルを_x000D_最大まで上げる必要があります</v>
      </c>
      <c r="M37" s="52" t="s">
        <v>209</v>
      </c>
    </row>
    <row r="38" spans="1:13" x14ac:dyDescent="0.15">
      <c r="A38" s="77" t="s">
        <v>199</v>
      </c>
      <c r="B38" s="78">
        <f>floors!$C$2</f>
        <v>39007</v>
      </c>
      <c r="C38" s="79" t="str">
        <f ca="1">VLOOKUP($B38,OFFSET([2]quests!$A$1,0,0,COUNTA([2]quests!$A:$A),MATCH(C$1,[2]quests!$1:$1,0)-MATCH($B$1,[2]quests!$1:$1,0)+1),MATCH(C$1,[2]quests!$1:$1,0)-MATCH($B$1,[2]quests!$1:$1,0)+1,FALSE)</f>
        <v>ニムダ（台）</v>
      </c>
      <c r="D38" s="79" t="str">
        <f ca="1">VLOOKUP($B38,OFFSET([2]quests!$A$1,0,0,COUNTA([2]quests!$A:$A),MATCH(D$1,[2]quests!$1:$1,0)-MATCH($B$1,[2]quests!$1:$1,0)+1),MATCH(D$1,[2]quests!$1:$1,0)-MATCH($B$1,[2]quests!$1:$1,0)+1,FALSE)</f>
        <v>コラボクエスト</v>
      </c>
      <c r="E38" s="83" t="s">
        <v>213</v>
      </c>
      <c r="F38" s="79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79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1">
        <v>0</v>
      </c>
      <c r="I38">
        <v>15</v>
      </c>
      <c r="J38" s="80" t="s">
        <v>196</v>
      </c>
      <c r="K38" s="89" t="str">
        <f>VLOOKUP(I38,[7]stage_hints!$A:$C,3,FALSE)</f>
        <v>覚醒素材を獲得</v>
      </c>
      <c r="L38" s="90" t="str">
        <f>VLOOKUP(I38,[7]stage_hints!$A:$D,4,FALSE)</f>
        <v>「曜日クエスト」では_x000D_ユニットの覚醒に必要な素材が手に入ります</v>
      </c>
      <c r="M38" s="52" t="s">
        <v>209</v>
      </c>
    </row>
    <row r="39" spans="1:13" x14ac:dyDescent="0.15">
      <c r="A39" s="77" t="s">
        <v>199</v>
      </c>
      <c r="B39" s="78">
        <f>floors!$C$2</f>
        <v>39007</v>
      </c>
      <c r="C39" s="79" t="str">
        <f ca="1">VLOOKUP($B39,OFFSET([2]quests!$A$1,0,0,COUNTA([2]quests!$A:$A),MATCH(C$1,[2]quests!$1:$1,0)-MATCH($B$1,[2]quests!$1:$1,0)+1),MATCH(C$1,[2]quests!$1:$1,0)-MATCH($B$1,[2]quests!$1:$1,0)+1,FALSE)</f>
        <v>ニムダ（台）</v>
      </c>
      <c r="D39" s="79" t="str">
        <f ca="1">VLOOKUP($B39,OFFSET([2]quests!$A$1,0,0,COUNTA([2]quests!$A:$A),MATCH(D$1,[2]quests!$1:$1,0)-MATCH($B$1,[2]quests!$1:$1,0)+1),MATCH(D$1,[2]quests!$1:$1,0)-MATCH($B$1,[2]quests!$1:$1,0)+1,FALSE)</f>
        <v>コラボクエスト</v>
      </c>
      <c r="E39" s="83" t="s">
        <v>213</v>
      </c>
      <c r="F39" s="79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79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1">
        <v>0</v>
      </c>
      <c r="I39">
        <v>16</v>
      </c>
      <c r="J39" s="80" t="s">
        <v>196</v>
      </c>
      <c r="K39" s="89" t="str">
        <f>VLOOKUP(I39,[7]stage_hints!$A:$C,3,FALSE)</f>
        <v>マルチプレイのメリット（その1）</v>
      </c>
      <c r="L39" s="90" t="str">
        <f>VLOOKUP(I39,[7]stage_hints!$A:$D,4,FALSE)</f>
        <v>他のプレイヤーとマルチプレイで遊ぶと_x000D_ポリゴンがもらえます（100人まで）</v>
      </c>
      <c r="M39" s="52" t="s">
        <v>209</v>
      </c>
    </row>
    <row r="40" spans="1:13" x14ac:dyDescent="0.15">
      <c r="A40" s="77" t="s">
        <v>199</v>
      </c>
      <c r="B40" s="78">
        <f>floors!$C$2</f>
        <v>39007</v>
      </c>
      <c r="C40" s="79" t="str">
        <f ca="1">VLOOKUP($B40,OFFSET([2]quests!$A$1,0,0,COUNTA([2]quests!$A:$A),MATCH(C$1,[2]quests!$1:$1,0)-MATCH($B$1,[2]quests!$1:$1,0)+1),MATCH(C$1,[2]quests!$1:$1,0)-MATCH($B$1,[2]quests!$1:$1,0)+1,FALSE)</f>
        <v>ニムダ（台）</v>
      </c>
      <c r="D40" s="79" t="str">
        <f ca="1">VLOOKUP($B40,OFFSET([2]quests!$A$1,0,0,COUNTA([2]quests!$A:$A),MATCH(D$1,[2]quests!$1:$1,0)-MATCH($B$1,[2]quests!$1:$1,0)+1),MATCH(D$1,[2]quests!$1:$1,0)-MATCH($B$1,[2]quests!$1:$1,0)+1,FALSE)</f>
        <v>コラボクエスト</v>
      </c>
      <c r="E40" s="83" t="s">
        <v>213</v>
      </c>
      <c r="F40" s="79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79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1">
        <v>0</v>
      </c>
      <c r="I40">
        <v>17</v>
      </c>
      <c r="J40" s="80" t="s">
        <v>196</v>
      </c>
      <c r="K40" s="89" t="str">
        <f>VLOOKUP(I40,[7]stage_hints!$A:$C,3,FALSE)</f>
        <v>リンクガチャ</v>
      </c>
      <c r="L40" s="90" t="str">
        <f>VLOOKUP(I40,[7]stage_hints!$A:$D,4,FALSE)</f>
        <v>無料のリンクガチャを回して_x000D_経験値素材や売却素材を獲得しましょう</v>
      </c>
      <c r="M40" s="52" t="s">
        <v>209</v>
      </c>
    </row>
    <row r="41" spans="1:13" x14ac:dyDescent="0.15">
      <c r="A41" s="77" t="s">
        <v>199</v>
      </c>
      <c r="B41" s="78">
        <f>floors!$C$2</f>
        <v>39007</v>
      </c>
      <c r="C41" s="79" t="str">
        <f ca="1">VLOOKUP($B41,OFFSET([2]quests!$A$1,0,0,COUNTA([2]quests!$A:$A),MATCH(C$1,[2]quests!$1:$1,0)-MATCH($B$1,[2]quests!$1:$1,0)+1),MATCH(C$1,[2]quests!$1:$1,0)-MATCH($B$1,[2]quests!$1:$1,0)+1,FALSE)</f>
        <v>ニムダ（台）</v>
      </c>
      <c r="D41" s="79" t="str">
        <f ca="1">VLOOKUP($B41,OFFSET([2]quests!$A$1,0,0,COUNTA([2]quests!$A:$A),MATCH(D$1,[2]quests!$1:$1,0)-MATCH($B$1,[2]quests!$1:$1,0)+1),MATCH(D$1,[2]quests!$1:$1,0)-MATCH($B$1,[2]quests!$1:$1,0)+1,FALSE)</f>
        <v>コラボクエスト</v>
      </c>
      <c r="E41" s="83" t="s">
        <v>213</v>
      </c>
      <c r="F41" s="79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79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1">
        <v>0</v>
      </c>
      <c r="I41">
        <v>18</v>
      </c>
      <c r="J41" s="80" t="s">
        <v>196</v>
      </c>
      <c r="K41" s="89" t="str">
        <f>VLOOKUP(I41,[7]stage_hints!$A:$C,3,FALSE)</f>
        <v>マルチプレイのメリット（その2）</v>
      </c>
      <c r="L41" s="90" t="str">
        <f>VLOOKUP(I41,[7]stage_hints!$A:$D,4,FALSE)</f>
        <v>マルチプレイならリンクが2倍もらえます_x000D_リンクガチャをたくさん回しましょう</v>
      </c>
      <c r="M41" s="52" t="s">
        <v>209</v>
      </c>
    </row>
    <row r="42" spans="1:13" x14ac:dyDescent="0.15">
      <c r="A42" s="77" t="s">
        <v>199</v>
      </c>
      <c r="B42" s="78">
        <f>floors!$C$2</f>
        <v>39007</v>
      </c>
      <c r="C42" s="79" t="str">
        <f ca="1">VLOOKUP($B42,OFFSET([2]quests!$A$1,0,0,COUNTA([2]quests!$A:$A),MATCH(C$1,[2]quests!$1:$1,0)-MATCH($B$1,[2]quests!$1:$1,0)+1),MATCH(C$1,[2]quests!$1:$1,0)-MATCH($B$1,[2]quests!$1:$1,0)+1,FALSE)</f>
        <v>ニムダ（台）</v>
      </c>
      <c r="D42" s="79" t="str">
        <f ca="1">VLOOKUP($B42,OFFSET([2]quests!$A$1,0,0,COUNTA([2]quests!$A:$A),MATCH(D$1,[2]quests!$1:$1,0)-MATCH($B$1,[2]quests!$1:$1,0)+1),MATCH(D$1,[2]quests!$1:$1,0)-MATCH($B$1,[2]quests!$1:$1,0)+1,FALSE)</f>
        <v>コラボクエスト</v>
      </c>
      <c r="E42" s="83" t="s">
        <v>213</v>
      </c>
      <c r="F42" s="79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79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1">
        <v>0</v>
      </c>
      <c r="I42">
        <v>19</v>
      </c>
      <c r="J42" s="80" t="s">
        <v>196</v>
      </c>
      <c r="K42" s="89" t="str">
        <f>VLOOKUP(I42,[7]stage_hints!$A:$C,3,FALSE)</f>
        <v>ソロ専用チャレンジタワー</v>
      </c>
      <c r="L42" s="90" t="str">
        <f>VLOOKUP(I42,[7]stage_hints!$A:$D,4,FALSE)</f>
        <v>ソロ専用の「チャレンジタワー」では_x000D_各フロアごとにクリア報酬がもらえます</v>
      </c>
      <c r="M42" s="52" t="s">
        <v>209</v>
      </c>
    </row>
    <row r="43" spans="1:13" x14ac:dyDescent="0.15">
      <c r="A43" s="77" t="s">
        <v>199</v>
      </c>
      <c r="B43" s="78">
        <f>floors!$C$2</f>
        <v>39007</v>
      </c>
      <c r="C43" s="79" t="str">
        <f ca="1">VLOOKUP($B43,OFFSET([2]quests!$A$1,0,0,COUNTA([2]quests!$A:$A),MATCH(C$1,[2]quests!$1:$1,0)-MATCH($B$1,[2]quests!$1:$1,0)+1),MATCH(C$1,[2]quests!$1:$1,0)-MATCH($B$1,[2]quests!$1:$1,0)+1,FALSE)</f>
        <v>ニムダ（台）</v>
      </c>
      <c r="D43" s="79" t="str">
        <f ca="1">VLOOKUP($B43,OFFSET([2]quests!$A$1,0,0,COUNTA([2]quests!$A:$A),MATCH(D$1,[2]quests!$1:$1,0)-MATCH($B$1,[2]quests!$1:$1,0)+1),MATCH(D$1,[2]quests!$1:$1,0)-MATCH($B$1,[2]quests!$1:$1,0)+1,FALSE)</f>
        <v>コラボクエスト</v>
      </c>
      <c r="E43" s="83" t="s">
        <v>213</v>
      </c>
      <c r="F43" s="79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79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1">
        <v>0</v>
      </c>
      <c r="I43">
        <v>20</v>
      </c>
      <c r="J43" s="80" t="s">
        <v>196</v>
      </c>
      <c r="K43" s="89" t="str">
        <f>VLOOKUP(I43,[7]stage_hints!$A:$C,3,FALSE)</f>
        <v>マルチプレイのメリット（その3）</v>
      </c>
      <c r="L43" s="90" t="str">
        <f>VLOOKUP(I43,[7]stage_hints!$A:$D,4,FALSE)</f>
        <v>マルチプレイへの参加はエナジー消費ゼロ_x000D_いつでも好きなだけ遊ぶことができます</v>
      </c>
      <c r="M43" s="52" t="s">
        <v>209</v>
      </c>
    </row>
    <row r="44" spans="1:13" x14ac:dyDescent="0.15">
      <c r="A44" s="77" t="s">
        <v>199</v>
      </c>
      <c r="B44" s="78">
        <f>floors!$C$2</f>
        <v>39007</v>
      </c>
      <c r="C44" s="79" t="str">
        <f ca="1">VLOOKUP($B44,OFFSET([2]quests!$A$1,0,0,COUNTA([2]quests!$A:$A),MATCH(C$1,[2]quests!$1:$1,0)-MATCH($B$1,[2]quests!$1:$1,0)+1),MATCH(C$1,[2]quests!$1:$1,0)-MATCH($B$1,[2]quests!$1:$1,0)+1,FALSE)</f>
        <v>ニムダ（台）</v>
      </c>
      <c r="D44" s="79" t="str">
        <f ca="1">VLOOKUP($B44,OFFSET([2]quests!$A$1,0,0,COUNTA([2]quests!$A:$A),MATCH(D$1,[2]quests!$1:$1,0)-MATCH($B$1,[2]quests!$1:$1,0)+1),MATCH(D$1,[2]quests!$1:$1,0)-MATCH($B$1,[2]quests!$1:$1,0)+1,FALSE)</f>
        <v>コラボクエスト</v>
      </c>
      <c r="E44" s="83" t="s">
        <v>213</v>
      </c>
      <c r="F44" s="79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79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1">
        <v>0</v>
      </c>
      <c r="I44">
        <v>21</v>
      </c>
      <c r="J44" s="80" t="s">
        <v>196</v>
      </c>
      <c r="K44" s="89" t="str">
        <f>VLOOKUP(I44,[7]stage_hints!$A:$C,3,FALSE)</f>
        <v>スキルを有効に</v>
      </c>
      <c r="L44" s="90" t="str">
        <f>VLOOKUP(I44,[7]stage_hints!$A:$D,4,FALSE)</f>
        <v>ターン経過でユニットのスキルが使えます_x000D_強力スキルでバトルを有利に進めましょう</v>
      </c>
      <c r="M44" s="52" t="s">
        <v>209</v>
      </c>
    </row>
    <row r="45" spans="1:13" x14ac:dyDescent="0.15">
      <c r="A45" s="77" t="s">
        <v>199</v>
      </c>
      <c r="B45" s="78">
        <f>floors!$C$2</f>
        <v>39007</v>
      </c>
      <c r="C45" s="79" t="str">
        <f ca="1">VLOOKUP($B45,OFFSET([2]quests!$A$1,0,0,COUNTA([2]quests!$A:$A),MATCH(C$1,[2]quests!$1:$1,0)-MATCH($B$1,[2]quests!$1:$1,0)+1),MATCH(C$1,[2]quests!$1:$1,0)-MATCH($B$1,[2]quests!$1:$1,0)+1,FALSE)</f>
        <v>ニムダ（台）</v>
      </c>
      <c r="D45" s="79" t="str">
        <f ca="1">VLOOKUP($B45,OFFSET([2]quests!$A$1,0,0,COUNTA([2]quests!$A:$A),MATCH(D$1,[2]quests!$1:$1,0)-MATCH($B$1,[2]quests!$1:$1,0)+1),MATCH(D$1,[2]quests!$1:$1,0)-MATCH($B$1,[2]quests!$1:$1,0)+1,FALSE)</f>
        <v>コラボクエスト</v>
      </c>
      <c r="E45" s="83" t="s">
        <v>213</v>
      </c>
      <c r="F45" s="79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79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1">
        <v>0</v>
      </c>
      <c r="I45">
        <v>22</v>
      </c>
      <c r="J45" s="80" t="s">
        <v>196</v>
      </c>
      <c r="K45" s="89" t="str">
        <f>VLOOKUP(I45,[7]stage_hints!$A:$C,3,FALSE)</f>
        <v>フィーバーで一発逆転（その1）</v>
      </c>
      <c r="L45" s="90" t="str">
        <f>VLOOKUP(I45,[7]stage_hints!$A:$D,4,FALSE)</f>
        <v>フィーバーは攻撃と回復を兼ね備えます_x000D_ピンチからの一発逆転を狙いましょう</v>
      </c>
      <c r="M45" s="52" t="s">
        <v>209</v>
      </c>
    </row>
    <row r="46" spans="1:13" x14ac:dyDescent="0.15">
      <c r="A46" s="77" t="s">
        <v>199</v>
      </c>
      <c r="B46" s="78">
        <f>floors!$C$2</f>
        <v>39007</v>
      </c>
      <c r="C46" s="79" t="str">
        <f ca="1">VLOOKUP($B46,OFFSET([2]quests!$A$1,0,0,COUNTA([2]quests!$A:$A),MATCH(C$1,[2]quests!$1:$1,0)-MATCH($B$1,[2]quests!$1:$1,0)+1),MATCH(C$1,[2]quests!$1:$1,0)-MATCH($B$1,[2]quests!$1:$1,0)+1,FALSE)</f>
        <v>ニムダ（台）</v>
      </c>
      <c r="D46" s="79" t="str">
        <f ca="1">VLOOKUP($B46,OFFSET([2]quests!$A$1,0,0,COUNTA([2]quests!$A:$A),MATCH(D$1,[2]quests!$1:$1,0)-MATCH($B$1,[2]quests!$1:$1,0)+1),MATCH(D$1,[2]quests!$1:$1,0)-MATCH($B$1,[2]quests!$1:$1,0)+1,FALSE)</f>
        <v>コラボクエスト</v>
      </c>
      <c r="E46" s="83" t="s">
        <v>213</v>
      </c>
      <c r="F46" s="79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79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1">
        <v>0</v>
      </c>
      <c r="I46">
        <v>23</v>
      </c>
      <c r="J46" s="80" t="s">
        <v>196</v>
      </c>
      <c r="K46" s="89" t="str">
        <f>VLOOKUP(I46,[7]stage_hints!$A:$C,3,FALSE)</f>
        <v>フィーバーで一発逆転（その2）</v>
      </c>
      <c r="L46" s="90" t="str">
        <f>VLOOKUP(I46,[7]stage_hints!$A:$D,4,FALSE)</f>
        <v>フィーバー中は虹色のボムパネルを狙って_x000D_画面上のパネルを一気に破壊しましょう</v>
      </c>
      <c r="M46" s="52" t="s">
        <v>209</v>
      </c>
    </row>
    <row r="47" spans="1:13" x14ac:dyDescent="0.15">
      <c r="A47" s="77" t="s">
        <v>199</v>
      </c>
      <c r="B47" s="78">
        <f>floors!$C$2</f>
        <v>39007</v>
      </c>
      <c r="C47" s="79" t="str">
        <f ca="1">VLOOKUP($B47,OFFSET([2]quests!$A$1,0,0,COUNTA([2]quests!$A:$A),MATCH(C$1,[2]quests!$1:$1,0)-MATCH($B$1,[2]quests!$1:$1,0)+1),MATCH(C$1,[2]quests!$1:$1,0)-MATCH($B$1,[2]quests!$1:$1,0)+1,FALSE)</f>
        <v>ニムダ（台）</v>
      </c>
      <c r="D47" s="79" t="str">
        <f ca="1">VLOOKUP($B47,OFFSET([2]quests!$A$1,0,0,COUNTA([2]quests!$A:$A),MATCH(D$1,[2]quests!$1:$1,0)-MATCH($B$1,[2]quests!$1:$1,0)+1),MATCH(D$1,[2]quests!$1:$1,0)-MATCH($B$1,[2]quests!$1:$1,0)+1,FALSE)</f>
        <v>コラボクエスト</v>
      </c>
      <c r="E47" s="83" t="s">
        <v>213</v>
      </c>
      <c r="F47" s="79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79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1">
        <v>0</v>
      </c>
      <c r="I47">
        <v>24</v>
      </c>
      <c r="J47" s="80" t="s">
        <v>196</v>
      </c>
      <c r="K47" s="89" t="str">
        <f>VLOOKUP(I47,[7]stage_hints!$A:$C,3,FALSE)</f>
        <v>りんごを使って限界突破</v>
      </c>
      <c r="L47" s="90" t="str">
        <f>VLOOKUP(I47,[7]stage_hints!$A:$D,4,FALSE)</f>
        <v>赤りんご(攻撃力) 青りんご(回復力)_x000D_緑りんご(体力)をユニット強化に使うと_x000D_ステータスが限界突破します（計99個迄）</v>
      </c>
      <c r="M47" s="52" t="s">
        <v>209</v>
      </c>
    </row>
    <row r="48" spans="1:13" x14ac:dyDescent="0.15">
      <c r="A48" s="77" t="s">
        <v>199</v>
      </c>
      <c r="B48" s="78">
        <f>floors!$C$2</f>
        <v>39007</v>
      </c>
      <c r="C48" s="79" t="str">
        <f ca="1">VLOOKUP($B48,OFFSET([2]quests!$A$1,0,0,COUNTA([2]quests!$A:$A),MATCH(C$1,[2]quests!$1:$1,0)-MATCH($B$1,[2]quests!$1:$1,0)+1),MATCH(C$1,[2]quests!$1:$1,0)-MATCH($B$1,[2]quests!$1:$1,0)+1,FALSE)</f>
        <v>ニムダ（台）</v>
      </c>
      <c r="D48" s="79" t="str">
        <f ca="1">VLOOKUP($B48,OFFSET([2]quests!$A$1,0,0,COUNTA([2]quests!$A:$A),MATCH(D$1,[2]quests!$1:$1,0)-MATCH($B$1,[2]quests!$1:$1,0)+1),MATCH(D$1,[2]quests!$1:$1,0)-MATCH($B$1,[2]quests!$1:$1,0)+1,FALSE)</f>
        <v>コラボクエスト</v>
      </c>
      <c r="E48" s="83" t="s">
        <v>213</v>
      </c>
      <c r="F48" s="79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79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1">
        <v>0</v>
      </c>
      <c r="I48">
        <v>25</v>
      </c>
      <c r="J48" s="80" t="s">
        <v>196</v>
      </c>
      <c r="K48" s="89" t="str">
        <f>VLOOKUP(I48,[7]stage_hints!$A:$C,3,FALSE)</f>
        <v>スキルレベルアップ</v>
      </c>
      <c r="L48" s="90" t="str">
        <f>VLOOKUP(I48,[7]stage_hints!$A:$D,4,FALSE)</f>
        <v>「クリスタルのりんご」を強化に使うと_x000D_スキルレベルを上げることができます</v>
      </c>
      <c r="M48" s="52" t="s">
        <v>209</v>
      </c>
    </row>
    <row r="49" spans="1:13" x14ac:dyDescent="0.15">
      <c r="A49" s="77" t="s">
        <v>199</v>
      </c>
      <c r="B49" s="78">
        <f>floors!$C$2</f>
        <v>39007</v>
      </c>
      <c r="C49" s="79" t="str">
        <f ca="1">VLOOKUP($B49,OFFSET([2]quests!$A$1,0,0,COUNTA([2]quests!$A:$A),MATCH(C$1,[2]quests!$1:$1,0)-MATCH($B$1,[2]quests!$1:$1,0)+1),MATCH(C$1,[2]quests!$1:$1,0)-MATCH($B$1,[2]quests!$1:$1,0)+1,FALSE)</f>
        <v>ニムダ（台）</v>
      </c>
      <c r="D49" s="79" t="str">
        <f ca="1">VLOOKUP($B49,OFFSET([2]quests!$A$1,0,0,COUNTA([2]quests!$A:$A),MATCH(D$1,[2]quests!$1:$1,0)-MATCH($B$1,[2]quests!$1:$1,0)+1),MATCH(D$1,[2]quests!$1:$1,0)-MATCH($B$1,[2]quests!$1:$1,0)+1,FALSE)</f>
        <v>コラボクエスト</v>
      </c>
      <c r="E49" s="83" t="s">
        <v>213</v>
      </c>
      <c r="F49" s="79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79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1">
        <v>0</v>
      </c>
      <c r="I49">
        <v>26</v>
      </c>
      <c r="J49" s="80" t="s">
        <v>196</v>
      </c>
      <c r="K49" s="89" t="str">
        <f>VLOOKUP(I49,[7]stage_hints!$A:$C,3,FALSE)</f>
        <v>スキルレベルの効果</v>
      </c>
      <c r="L49" s="90" t="str">
        <f>VLOOKUP(I49,[7]stage_hints!$A:$D,4,FALSE)</f>
        <v>スキルレベルが上がると_x000D_短いターンでスキルを使うことができます</v>
      </c>
      <c r="M49" s="52" t="s">
        <v>209</v>
      </c>
    </row>
    <row r="50" spans="1:13" x14ac:dyDescent="0.15">
      <c r="A50" s="77" t="s">
        <v>199</v>
      </c>
      <c r="B50" s="78">
        <f>floors!$C$2</f>
        <v>39007</v>
      </c>
      <c r="C50" s="79" t="str">
        <f ca="1">VLOOKUP($B50,OFFSET([2]quests!$A$1,0,0,COUNTA([2]quests!$A:$A),MATCH(C$1,[2]quests!$1:$1,0)-MATCH($B$1,[2]quests!$1:$1,0)+1),MATCH(C$1,[2]quests!$1:$1,0)-MATCH($B$1,[2]quests!$1:$1,0)+1,FALSE)</f>
        <v>ニムダ（台）</v>
      </c>
      <c r="D50" s="79" t="str">
        <f ca="1">VLOOKUP($B50,OFFSET([2]quests!$A$1,0,0,COUNTA([2]quests!$A:$A),MATCH(D$1,[2]quests!$1:$1,0)-MATCH($B$1,[2]quests!$1:$1,0)+1),MATCH(D$1,[2]quests!$1:$1,0)-MATCH($B$1,[2]quests!$1:$1,0)+1,FALSE)</f>
        <v>コラボクエスト</v>
      </c>
      <c r="E50" s="83" t="s">
        <v>213</v>
      </c>
      <c r="F50" s="79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79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1">
        <v>0</v>
      </c>
      <c r="I50">
        <v>27</v>
      </c>
      <c r="J50" s="80" t="s">
        <v>196</v>
      </c>
      <c r="K50" s="89" t="str">
        <f>VLOOKUP(I50,[7]stage_hints!$A:$C,3,FALSE)</f>
        <v>ホーム画面からデッキを編成</v>
      </c>
      <c r="L50" s="90" t="str">
        <f>VLOOKUP(I50,[7]stage_hints!$A:$D,4,FALSE)</f>
        <v>ホーム画面でユニットを長押しすると_x000D_すぐにパーティ編成に移動できます</v>
      </c>
      <c r="M50" s="52" t="s">
        <v>209</v>
      </c>
    </row>
    <row r="51" spans="1:13" x14ac:dyDescent="0.15">
      <c r="A51" s="77" t="s">
        <v>199</v>
      </c>
      <c r="B51" s="78">
        <f>floors!$C$2</f>
        <v>39007</v>
      </c>
      <c r="C51" s="79" t="str">
        <f ca="1">VLOOKUP($B51,OFFSET([2]quests!$A$1,0,0,COUNTA([2]quests!$A:$A),MATCH(C$1,[2]quests!$1:$1,0)-MATCH($B$1,[2]quests!$1:$1,0)+1),MATCH(C$1,[2]quests!$1:$1,0)-MATCH($B$1,[2]quests!$1:$1,0)+1,FALSE)</f>
        <v>ニムダ（台）</v>
      </c>
      <c r="D51" s="79" t="str">
        <f ca="1">VLOOKUP($B51,OFFSET([2]quests!$A$1,0,0,COUNTA([2]quests!$A:$A),MATCH(D$1,[2]quests!$1:$1,0)-MATCH($B$1,[2]quests!$1:$1,0)+1),MATCH(D$1,[2]quests!$1:$1,0)-MATCH($B$1,[2]quests!$1:$1,0)+1,FALSE)</f>
        <v>コラボクエスト</v>
      </c>
      <c r="E51" s="83" t="s">
        <v>213</v>
      </c>
      <c r="F51" s="79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79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1">
        <v>0</v>
      </c>
      <c r="I51">
        <v>28</v>
      </c>
      <c r="J51" s="80" t="s">
        <v>196</v>
      </c>
      <c r="K51" s="89" t="str">
        <f>VLOOKUP(I51,[7]stage_hints!$A:$C,3,FALSE)</f>
        <v>ステータス情報は長押しで</v>
      </c>
      <c r="L51" s="90" t="str">
        <f>VLOOKUP(I51,[7]stage_hints!$A:$D,4,FALSE)</f>
        <v>ユニットのアイコンを長押しすると_x000D_ステータス情報を確認することができます</v>
      </c>
      <c r="M51" s="52" t="s">
        <v>209</v>
      </c>
    </row>
    <row r="52" spans="1:13" x14ac:dyDescent="0.15">
      <c r="A52" s="77" t="s">
        <v>199</v>
      </c>
      <c r="B52" s="78">
        <f>floors!$C$2</f>
        <v>39007</v>
      </c>
      <c r="C52" s="79" t="str">
        <f ca="1">VLOOKUP($B52,OFFSET([2]quests!$A$1,0,0,COUNTA([2]quests!$A:$A),MATCH(C$1,[2]quests!$1:$1,0)-MATCH($B$1,[2]quests!$1:$1,0)+1),MATCH(C$1,[2]quests!$1:$1,0)-MATCH($B$1,[2]quests!$1:$1,0)+1,FALSE)</f>
        <v>ニムダ（台）</v>
      </c>
      <c r="D52" s="79" t="str">
        <f ca="1">VLOOKUP($B52,OFFSET([2]quests!$A$1,0,0,COUNTA([2]quests!$A:$A),MATCH(D$1,[2]quests!$1:$1,0)-MATCH($B$1,[2]quests!$1:$1,0)+1),MATCH(D$1,[2]quests!$1:$1,0)-MATCH($B$1,[2]quests!$1:$1,0)+1,FALSE)</f>
        <v>コラボクエスト</v>
      </c>
      <c r="E52" s="83" t="s">
        <v>213</v>
      </c>
      <c r="F52" s="79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79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1">
        <v>0</v>
      </c>
      <c r="I52">
        <v>29</v>
      </c>
      <c r="J52" s="80" t="s">
        <v>196</v>
      </c>
      <c r="K52" s="89" t="str">
        <f>VLOOKUP(I52,[7]stage_hints!$A:$C,3,FALSE)</f>
        <v>「バグ」のメリット</v>
      </c>
      <c r="L52" s="90" t="str">
        <f>VLOOKUP(I52,[7]stage_hints!$A:$D,4,FALSE)</f>
        <v>ユニットの「バグ」を増やすと_x000D_報酬をもらえる確率がアップします</v>
      </c>
      <c r="M52" s="52" t="s">
        <v>209</v>
      </c>
    </row>
    <row r="53" spans="1:13" x14ac:dyDescent="0.15">
      <c r="A53" s="77" t="s">
        <v>199</v>
      </c>
      <c r="B53" s="78">
        <f>floors!$C$2</f>
        <v>39007</v>
      </c>
      <c r="C53" s="79" t="str">
        <f ca="1">VLOOKUP($B53,OFFSET([2]quests!$A$1,0,0,COUNTA([2]quests!$A:$A),MATCH(C$1,[2]quests!$1:$1,0)-MATCH($B$1,[2]quests!$1:$1,0)+1),MATCH(C$1,[2]quests!$1:$1,0)-MATCH($B$1,[2]quests!$1:$1,0)+1,FALSE)</f>
        <v>ニムダ（台）</v>
      </c>
      <c r="D53" s="79" t="str">
        <f ca="1">VLOOKUP($B53,OFFSET([2]quests!$A$1,0,0,COUNTA([2]quests!$A:$A),MATCH(D$1,[2]quests!$1:$1,0)-MATCH($B$1,[2]quests!$1:$1,0)+1),MATCH(D$1,[2]quests!$1:$1,0)-MATCH($B$1,[2]quests!$1:$1,0)+1,FALSE)</f>
        <v>コラボクエスト</v>
      </c>
      <c r="E53" s="83" t="s">
        <v>213</v>
      </c>
      <c r="F53" s="79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79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1">
        <v>0</v>
      </c>
      <c r="I53">
        <v>30</v>
      </c>
      <c r="J53" s="80" t="s">
        <v>196</v>
      </c>
      <c r="K53" s="89" t="str">
        <f>VLOOKUP(I53,[7]stage_hints!$A:$C,3,FALSE)</f>
        <v>「バグ」の増やし方</v>
      </c>
      <c r="L53" s="90" t="str">
        <f>VLOOKUP(I53,[7]stage_hints!$A:$D,4,FALSE)</f>
        <v>同じユニット同士を強化で合成すると_x000D_「バグ」を増やすことができます</v>
      </c>
      <c r="M53" s="52" t="s">
        <v>209</v>
      </c>
    </row>
    <row r="54" spans="1:13" x14ac:dyDescent="0.15">
      <c r="A54" s="77" t="s">
        <v>199</v>
      </c>
      <c r="B54" s="78">
        <f>floors!$C$2</f>
        <v>39007</v>
      </c>
      <c r="C54" s="79" t="str">
        <f ca="1">VLOOKUP($B54,OFFSET([2]quests!$A$1,0,0,COUNTA([2]quests!$A:$A),MATCH(C$1,[2]quests!$1:$1,0)-MATCH($B$1,[2]quests!$1:$1,0)+1),MATCH(C$1,[2]quests!$1:$1,0)-MATCH($B$1,[2]quests!$1:$1,0)+1,FALSE)</f>
        <v>ニムダ（台）</v>
      </c>
      <c r="D54" s="79" t="str">
        <f ca="1">VLOOKUP($B54,OFFSET([2]quests!$A$1,0,0,COUNTA([2]quests!$A:$A),MATCH(D$1,[2]quests!$1:$1,0)-MATCH($B$1,[2]quests!$1:$1,0)+1),MATCH(D$1,[2]quests!$1:$1,0)-MATCH($B$1,[2]quests!$1:$1,0)+1,FALSE)</f>
        <v>コラボクエスト</v>
      </c>
      <c r="E54" s="83" t="s">
        <v>213</v>
      </c>
      <c r="F54" s="79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79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1">
        <v>0</v>
      </c>
      <c r="I54">
        <v>31</v>
      </c>
      <c r="J54" s="80" t="s">
        <v>196</v>
      </c>
      <c r="K54" s="89" t="str">
        <f>VLOOKUP(I54,[7]stage_hints!$A:$C,3,FALSE)</f>
        <v>イベントはお知らせでチェック</v>
      </c>
      <c r="L54" s="90" t="str">
        <f>VLOOKUP(I54,[7]stage_hints!$A:$D,4,FALSE)</f>
        <v>イベント限定ユニットを取り忘れないように_x000D_お知らせをこまめにチェックしましょう</v>
      </c>
      <c r="M54" s="52" t="s">
        <v>209</v>
      </c>
    </row>
    <row r="55" spans="1:13" x14ac:dyDescent="0.15">
      <c r="A55" s="77" t="s">
        <v>199</v>
      </c>
      <c r="B55" s="78">
        <f>floors!$C$2</f>
        <v>39007</v>
      </c>
      <c r="C55" s="79" t="str">
        <f ca="1">VLOOKUP($B55,OFFSET([2]quests!$A$1,0,0,COUNTA([2]quests!$A:$A),MATCH(C$1,[2]quests!$1:$1,0)-MATCH($B$1,[2]quests!$1:$1,0)+1),MATCH(C$1,[2]quests!$1:$1,0)-MATCH($B$1,[2]quests!$1:$1,0)+1,FALSE)</f>
        <v>ニムダ（台）</v>
      </c>
      <c r="D55" s="79" t="str">
        <f ca="1">VLOOKUP($B55,OFFSET([2]quests!$A$1,0,0,COUNTA([2]quests!$A:$A),MATCH(D$1,[2]quests!$1:$1,0)-MATCH($B$1,[2]quests!$1:$1,0)+1),MATCH(D$1,[2]quests!$1:$1,0)-MATCH($B$1,[2]quests!$1:$1,0)+1,FALSE)</f>
        <v>コラボクエスト</v>
      </c>
      <c r="E55" s="83" t="s">
        <v>213</v>
      </c>
      <c r="F55" s="79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79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1">
        <v>0</v>
      </c>
      <c r="I55">
        <v>32</v>
      </c>
      <c r="J55" s="80" t="s">
        <v>196</v>
      </c>
      <c r="K55" s="89" t="str">
        <f>VLOOKUP(I55,[7]stage_hints!$A:$C,3,FALSE)</f>
        <v>敵の連続攻撃には</v>
      </c>
      <c r="L55" s="90" t="str">
        <f>VLOOKUP(I55,[7]stage_hints!$A:$D,4,FALSE)</f>
        <v>カウンタースキルを持つユニットがいれば_x000D_ダメージ回数分の反撃ができます</v>
      </c>
      <c r="M55" s="52" t="s">
        <v>209</v>
      </c>
    </row>
    <row r="56" spans="1:13" x14ac:dyDescent="0.15">
      <c r="A56" s="77" t="s">
        <v>199</v>
      </c>
      <c r="B56" s="78">
        <f>floors!$C$2</f>
        <v>39007</v>
      </c>
      <c r="C56" s="79" t="str">
        <f ca="1">VLOOKUP($B56,OFFSET([2]quests!$A$1,0,0,COUNTA([2]quests!$A:$A),MATCH(C$1,[2]quests!$1:$1,0)-MATCH($B$1,[2]quests!$1:$1,0)+1),MATCH(C$1,[2]quests!$1:$1,0)-MATCH($B$1,[2]quests!$1:$1,0)+1,FALSE)</f>
        <v>ニムダ（台）</v>
      </c>
      <c r="D56" s="79" t="str">
        <f ca="1">VLOOKUP($B56,OFFSET([2]quests!$A$1,0,0,COUNTA([2]quests!$A:$A),MATCH(D$1,[2]quests!$1:$1,0)-MATCH($B$1,[2]quests!$1:$1,0)+1),MATCH(D$1,[2]quests!$1:$1,0)-MATCH($B$1,[2]quests!$1:$1,0)+1,FALSE)</f>
        <v>コラボクエスト</v>
      </c>
      <c r="E56" s="83" t="s">
        <v>213</v>
      </c>
      <c r="F56" s="79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79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1">
        <v>0</v>
      </c>
      <c r="I56">
        <v>33</v>
      </c>
      <c r="J56" s="80" t="s">
        <v>196</v>
      </c>
      <c r="K56" s="89" t="str">
        <f>VLOOKUP(I56,[7]stage_hints!$A:$C,3,FALSE)</f>
        <v>敵のカウンター攻撃には</v>
      </c>
      <c r="L56" s="90" t="str">
        <f>VLOOKUP(I56,[7]stage_hints!$A:$D,4,FALSE)</f>
        <v>カウンターブレイクスキルを持っていれば_x000D_敵のカウンターを解除して攻撃ができます</v>
      </c>
      <c r="M56" s="52" t="s">
        <v>209</v>
      </c>
    </row>
    <row r="57" spans="1:13" x14ac:dyDescent="0.15">
      <c r="A57" s="77" t="s">
        <v>199</v>
      </c>
      <c r="B57" s="78">
        <f>floors!$C$2</f>
        <v>39007</v>
      </c>
      <c r="C57" s="79" t="str">
        <f ca="1">VLOOKUP($B57,OFFSET([2]quests!$A$1,0,0,COUNTA([2]quests!$A:$A),MATCH(C$1,[2]quests!$1:$1,0)-MATCH($B$1,[2]quests!$1:$1,0)+1),MATCH(C$1,[2]quests!$1:$1,0)-MATCH($B$1,[2]quests!$1:$1,0)+1,FALSE)</f>
        <v>ニムダ（台）</v>
      </c>
      <c r="D57" s="79" t="str">
        <f ca="1">VLOOKUP($B57,OFFSET([2]quests!$A$1,0,0,COUNTA([2]quests!$A:$A),MATCH(D$1,[2]quests!$1:$1,0)-MATCH($B$1,[2]quests!$1:$1,0)+1),MATCH(D$1,[2]quests!$1:$1,0)-MATCH($B$1,[2]quests!$1:$1,0)+1,FALSE)</f>
        <v>コラボクエスト</v>
      </c>
      <c r="E57" s="83" t="s">
        <v>213</v>
      </c>
      <c r="F57" s="79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79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1">
        <v>0</v>
      </c>
      <c r="I57">
        <v>34</v>
      </c>
      <c r="J57" s="80" t="s">
        <v>196</v>
      </c>
      <c r="K57" s="89" t="str">
        <f>VLOOKUP(I57,[7]stage_hints!$A:$C,3,FALSE)</f>
        <v>ステータスをスキルで下げられたら</v>
      </c>
      <c r="L57" s="90" t="str">
        <f>VLOOKUP(I57,[7]stage_hints!$A:$D,4,FALSE)</f>
        <v>ステータスダウンのスキルを受けたら_x000D_ステータスアップスキルで上書きしましょう</v>
      </c>
      <c r="M57" s="52" t="s">
        <v>209</v>
      </c>
    </row>
    <row r="58" spans="1:13" x14ac:dyDescent="0.15">
      <c r="A58" s="77" t="s">
        <v>199</v>
      </c>
      <c r="B58" s="78">
        <f>floors!$C$2</f>
        <v>39007</v>
      </c>
      <c r="C58" s="79" t="str">
        <f ca="1">VLOOKUP($B58,OFFSET([2]quests!$A$1,0,0,COUNTA([2]quests!$A:$A),MATCH(C$1,[2]quests!$1:$1,0)-MATCH($B$1,[2]quests!$1:$1,0)+1),MATCH(C$1,[2]quests!$1:$1,0)-MATCH($B$1,[2]quests!$1:$1,0)+1,FALSE)</f>
        <v>ニムダ（台）</v>
      </c>
      <c r="D58" s="79" t="str">
        <f ca="1">VLOOKUP($B58,OFFSET([2]quests!$A$1,0,0,COUNTA([2]quests!$A:$A),MATCH(D$1,[2]quests!$1:$1,0)-MATCH($B$1,[2]quests!$1:$1,0)+1),MATCH(D$1,[2]quests!$1:$1,0)-MATCH($B$1,[2]quests!$1:$1,0)+1,FALSE)</f>
        <v>コラボクエスト</v>
      </c>
      <c r="E58" s="83" t="s">
        <v>213</v>
      </c>
      <c r="F58" s="79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79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1">
        <v>0</v>
      </c>
      <c r="I58">
        <v>35</v>
      </c>
      <c r="J58" s="80" t="s">
        <v>196</v>
      </c>
      <c r="K58" s="89" t="str">
        <f>VLOOKUP(I58,[7]stage_hints!$A:$C,3,FALSE)</f>
        <v>敵のステータスがスキルで上がったら</v>
      </c>
      <c r="L58" s="90" t="str">
        <f>VLOOKUP(I58,[7]stage_hints!$A:$D,4,FALSE)</f>
        <v>敵のステータスがスキルでアップしたときは_x000D_ステータスダウンスキルで上書きしましょう</v>
      </c>
      <c r="M58" s="52" t="s">
        <v>209</v>
      </c>
    </row>
    <row r="59" spans="1:13" x14ac:dyDescent="0.15">
      <c r="A59" s="77" t="s">
        <v>199</v>
      </c>
      <c r="B59" s="78">
        <f>floors!$C$2</f>
        <v>39007</v>
      </c>
      <c r="C59" s="79" t="str">
        <f ca="1">VLOOKUP($B59,OFFSET([2]quests!$A$1,0,0,COUNTA([2]quests!$A:$A),MATCH(C$1,[2]quests!$1:$1,0)-MATCH($B$1,[2]quests!$1:$1,0)+1),MATCH(C$1,[2]quests!$1:$1,0)-MATCH($B$1,[2]quests!$1:$1,0)+1,FALSE)</f>
        <v>ニムダ（台）</v>
      </c>
      <c r="D59" s="79" t="str">
        <f ca="1">VLOOKUP($B59,OFFSET([2]quests!$A$1,0,0,COUNTA([2]quests!$A:$A),MATCH(D$1,[2]quests!$1:$1,0)-MATCH($B$1,[2]quests!$1:$1,0)+1),MATCH(D$1,[2]quests!$1:$1,0)-MATCH($B$1,[2]quests!$1:$1,0)+1,FALSE)</f>
        <v>コラボクエスト</v>
      </c>
      <c r="E59" s="83" t="s">
        <v>213</v>
      </c>
      <c r="F59" s="79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79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1">
        <v>0</v>
      </c>
      <c r="I59">
        <v>39</v>
      </c>
      <c r="J59" s="80" t="s">
        <v>196</v>
      </c>
      <c r="K59" s="89" t="str">
        <f>VLOOKUP(I59,[7]stage_hints!$A:$C,3,FALSE)</f>
        <v>システム適合者を確認</v>
      </c>
      <c r="L59" s="90" t="str">
        <f>VLOOKUP(I59,[7]stage_hints!$A:$D,4,FALSE)</f>
        <v>ALICEが 「アナタ」を呼んでいます</v>
      </c>
      <c r="M59" s="52" t="s">
        <v>209</v>
      </c>
    </row>
    <row r="60" spans="1:13" x14ac:dyDescent="0.15">
      <c r="A60" s="77" t="s">
        <v>199</v>
      </c>
      <c r="B60" s="78">
        <f>floors!$C$2</f>
        <v>39007</v>
      </c>
      <c r="C60" s="79" t="str">
        <f ca="1">VLOOKUP($B60,OFFSET([2]quests!$A$1,0,0,COUNTA([2]quests!$A:$A),MATCH(C$1,[2]quests!$1:$1,0)-MATCH($B$1,[2]quests!$1:$1,0)+1),MATCH(C$1,[2]quests!$1:$1,0)-MATCH($B$1,[2]quests!$1:$1,0)+1,FALSE)</f>
        <v>ニムダ（台）</v>
      </c>
      <c r="D60" s="79" t="str">
        <f ca="1">VLOOKUP($B60,OFFSET([2]quests!$A$1,0,0,COUNTA([2]quests!$A:$A),MATCH(D$1,[2]quests!$1:$1,0)-MATCH($B$1,[2]quests!$1:$1,0)+1),MATCH(D$1,[2]quests!$1:$1,0)-MATCH($B$1,[2]quests!$1:$1,0)+1,FALSE)</f>
        <v>コラボクエスト</v>
      </c>
      <c r="E60" s="83" t="s">
        <v>214</v>
      </c>
      <c r="F60" s="79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79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1">
        <v>0</v>
      </c>
      <c r="I60" s="92">
        <v>3</v>
      </c>
      <c r="J60" s="80" t="s">
        <v>196</v>
      </c>
      <c r="K60" s="89" t="str">
        <f>VLOOKUP(I60,[7]stage_hints!$A:$C,3,FALSE)</f>
        <v>ターゲット</v>
      </c>
      <c r="L60" s="90" t="str">
        <f>VLOOKUP(I60,[7]stage_hints!$A:$D,4,FALSE)</f>
        <v>敵ユニットをタップすると_x000D_その敵を狙い撃ちできます</v>
      </c>
      <c r="M60" s="52" t="s">
        <v>209</v>
      </c>
    </row>
    <row r="61" spans="1:13" x14ac:dyDescent="0.15">
      <c r="A61" s="77" t="s">
        <v>199</v>
      </c>
      <c r="B61" s="78">
        <f>floors!$C$2</f>
        <v>39007</v>
      </c>
      <c r="C61" s="79" t="str">
        <f ca="1">VLOOKUP($B61,OFFSET([2]quests!$A$1,0,0,COUNTA([2]quests!$A:$A),MATCH(C$1,[2]quests!$1:$1,0)-MATCH($B$1,[2]quests!$1:$1,0)+1),MATCH(C$1,[2]quests!$1:$1,0)-MATCH($B$1,[2]quests!$1:$1,0)+1,FALSE)</f>
        <v>ニムダ（台）</v>
      </c>
      <c r="D61" s="79" t="str">
        <f ca="1">VLOOKUP($B61,OFFSET([2]quests!$A$1,0,0,COUNTA([2]quests!$A:$A),MATCH(D$1,[2]quests!$1:$1,0)-MATCH($B$1,[2]quests!$1:$1,0)+1),MATCH(D$1,[2]quests!$1:$1,0)-MATCH($B$1,[2]quests!$1:$1,0)+1,FALSE)</f>
        <v>コラボクエスト</v>
      </c>
      <c r="E61" s="83" t="s">
        <v>214</v>
      </c>
      <c r="F61" s="79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79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1">
        <v>0</v>
      </c>
      <c r="I61" s="92">
        <v>6</v>
      </c>
      <c r="J61" s="80" t="s">
        <v>196</v>
      </c>
      <c r="K61" s="89" t="str">
        <f>VLOOKUP(I61,[7]stage_hints!$A:$C,3,FALSE)</f>
        <v>ユニット強化の属性ボーナス</v>
      </c>
      <c r="L61" s="90" t="str">
        <f>VLOOKUP(I61,[7]stage_hints!$A:$D,4,FALSE)</f>
        <v>同属性ユニットを強化素材にすると_x000D_経験値が多くもらえます</v>
      </c>
      <c r="M61" s="52" t="s">
        <v>209</v>
      </c>
    </row>
    <row r="62" spans="1:13" x14ac:dyDescent="0.15">
      <c r="A62" s="77" t="s">
        <v>199</v>
      </c>
      <c r="B62" s="78">
        <f>floors!$C$2</f>
        <v>39007</v>
      </c>
      <c r="C62" s="79" t="str">
        <f ca="1">VLOOKUP($B62,OFFSET([2]quests!$A$1,0,0,COUNTA([2]quests!$A:$A),MATCH(C$1,[2]quests!$1:$1,0)-MATCH($B$1,[2]quests!$1:$1,0)+1),MATCH(C$1,[2]quests!$1:$1,0)-MATCH($B$1,[2]quests!$1:$1,0)+1,FALSE)</f>
        <v>ニムダ（台）</v>
      </c>
      <c r="D62" s="79" t="str">
        <f ca="1">VLOOKUP($B62,OFFSET([2]quests!$A$1,0,0,COUNTA([2]quests!$A:$A),MATCH(D$1,[2]quests!$1:$1,0)-MATCH($B$1,[2]quests!$1:$1,0)+1),MATCH(D$1,[2]quests!$1:$1,0)-MATCH($B$1,[2]quests!$1:$1,0)+1,FALSE)</f>
        <v>コラボクエスト</v>
      </c>
      <c r="E62" s="83" t="s">
        <v>214</v>
      </c>
      <c r="F62" s="79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79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1">
        <v>0</v>
      </c>
      <c r="I62" s="92">
        <v>7</v>
      </c>
      <c r="J62" s="80" t="s">
        <v>196</v>
      </c>
      <c r="K62" s="89" t="str">
        <f>VLOOKUP(I62,[7]stage_hints!$A:$C,3,FALSE)</f>
        <v>メタルダックで経験値を獲得</v>
      </c>
      <c r="L62" s="90" t="str">
        <f>VLOOKUP(I62,[7]stage_hints!$A:$D,4,FALSE)</f>
        <v>「メタルなアヒル」を強化素材にすると_x000D_大量の経験値がもらえます</v>
      </c>
      <c r="M62" s="52" t="s">
        <v>209</v>
      </c>
    </row>
    <row r="63" spans="1:13" x14ac:dyDescent="0.15">
      <c r="A63" s="77" t="s">
        <v>199</v>
      </c>
      <c r="B63" s="78">
        <f>floors!$C$2</f>
        <v>39007</v>
      </c>
      <c r="C63" s="79" t="str">
        <f ca="1">VLOOKUP($B63,OFFSET([2]quests!$A$1,0,0,COUNTA([2]quests!$A:$A),MATCH(C$1,[2]quests!$1:$1,0)-MATCH($B$1,[2]quests!$1:$1,0)+1),MATCH(C$1,[2]quests!$1:$1,0)-MATCH($B$1,[2]quests!$1:$1,0)+1,FALSE)</f>
        <v>ニムダ（台）</v>
      </c>
      <c r="D63" s="79" t="str">
        <f ca="1">VLOOKUP($B63,OFFSET([2]quests!$A$1,0,0,COUNTA([2]quests!$A:$A),MATCH(D$1,[2]quests!$1:$1,0)-MATCH($B$1,[2]quests!$1:$1,0)+1),MATCH(D$1,[2]quests!$1:$1,0)-MATCH($B$1,[2]quests!$1:$1,0)+1,FALSE)</f>
        <v>コラボクエスト</v>
      </c>
      <c r="E63" s="83" t="s">
        <v>214</v>
      </c>
      <c r="F63" s="79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79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1">
        <v>0</v>
      </c>
      <c r="I63" s="92">
        <v>8</v>
      </c>
      <c r="J63" s="80" t="s">
        <v>196</v>
      </c>
      <c r="K63" s="89" t="str">
        <f>VLOOKUP(I63,[7]stage_hints!$A:$C,3,FALSE)</f>
        <v>ゲリラクエストは要チェック</v>
      </c>
      <c r="L63" s="90" t="str">
        <f>VLOOKUP(I63,[7]stage_hints!$A:$D,4,FALSE)</f>
        <v>時間限定の「アヒル捕獲作戦」では_x000D_経験値素材ユニットが多く手に入ります</v>
      </c>
      <c r="M63" s="52" t="s">
        <v>209</v>
      </c>
    </row>
    <row r="64" spans="1:13" x14ac:dyDescent="0.15">
      <c r="A64" s="77" t="s">
        <v>199</v>
      </c>
      <c r="B64" s="78">
        <f>floors!$C$2</f>
        <v>39007</v>
      </c>
      <c r="C64" s="79" t="str">
        <f ca="1">VLOOKUP($B64,OFFSET([2]quests!$A$1,0,0,COUNTA([2]quests!$A:$A),MATCH(C$1,[2]quests!$1:$1,0)-MATCH($B$1,[2]quests!$1:$1,0)+1),MATCH(C$1,[2]quests!$1:$1,0)-MATCH($B$1,[2]quests!$1:$1,0)+1,FALSE)</f>
        <v>ニムダ（台）</v>
      </c>
      <c r="D64" s="79" t="str">
        <f ca="1">VLOOKUP($B64,OFFSET([2]quests!$A$1,0,0,COUNTA([2]quests!$A:$A),MATCH(D$1,[2]quests!$1:$1,0)-MATCH($B$1,[2]quests!$1:$1,0)+1),MATCH(D$1,[2]quests!$1:$1,0)-MATCH($B$1,[2]quests!$1:$1,0)+1,FALSE)</f>
        <v>コラボクエスト</v>
      </c>
      <c r="E64" s="83" t="s">
        <v>214</v>
      </c>
      <c r="F64" s="79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79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1">
        <v>0</v>
      </c>
      <c r="I64" s="92">
        <v>9</v>
      </c>
      <c r="J64" s="80" t="s">
        <v>196</v>
      </c>
      <c r="K64" s="89" t="str">
        <f>VLOOKUP(I64,[7]stage_hints!$A:$C,3,FALSE)</f>
        <v>ゴールドダックでビットを獲得</v>
      </c>
      <c r="L64" s="90" t="str">
        <f>VLOOKUP(I64,[7]stage_hints!$A:$D,4,FALSE)</f>
        <v>「ゴールドなアヒル」を売却すると_x000D_大量のビットがもらえます</v>
      </c>
      <c r="M64" s="52" t="s">
        <v>209</v>
      </c>
    </row>
    <row r="65" spans="1:13" x14ac:dyDescent="0.15">
      <c r="A65" s="77" t="s">
        <v>199</v>
      </c>
      <c r="B65" s="78">
        <f>floors!$C$2</f>
        <v>39007</v>
      </c>
      <c r="C65" s="79" t="str">
        <f ca="1">VLOOKUP($B65,OFFSET([2]quests!$A$1,0,0,COUNTA([2]quests!$A:$A),MATCH(C$1,[2]quests!$1:$1,0)-MATCH($B$1,[2]quests!$1:$1,0)+1),MATCH(C$1,[2]quests!$1:$1,0)-MATCH($B$1,[2]quests!$1:$1,0)+1,FALSE)</f>
        <v>ニムダ（台）</v>
      </c>
      <c r="D65" s="79" t="str">
        <f ca="1">VLOOKUP($B65,OFFSET([2]quests!$A$1,0,0,COUNTA([2]quests!$A:$A),MATCH(D$1,[2]quests!$1:$1,0)-MATCH($B$1,[2]quests!$1:$1,0)+1),MATCH(D$1,[2]quests!$1:$1,0)-MATCH($B$1,[2]quests!$1:$1,0)+1,FALSE)</f>
        <v>コラボクエスト</v>
      </c>
      <c r="E65" s="83" t="s">
        <v>214</v>
      </c>
      <c r="F65" s="79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79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1">
        <v>0</v>
      </c>
      <c r="I65" s="92">
        <v>10</v>
      </c>
      <c r="J65" s="80" t="s">
        <v>196</v>
      </c>
      <c r="K65" s="89" t="str">
        <f>VLOOKUP(I65,[7]stage_hints!$A:$C,3,FALSE)</f>
        <v>土日に大量のビットを獲得</v>
      </c>
      <c r="L65" s="90" t="str">
        <f>VLOOKUP(I65,[7]stage_hints!$A:$D,4,FALSE)</f>
        <v>土日限定の「ゴールドカジノ」では_x000D_売却素材ユニットが多く手に入ります</v>
      </c>
      <c r="M65" s="52" t="s">
        <v>209</v>
      </c>
    </row>
    <row r="66" spans="1:13" x14ac:dyDescent="0.15">
      <c r="A66" s="77" t="s">
        <v>199</v>
      </c>
      <c r="B66" s="78">
        <f>floors!$C$2</f>
        <v>39007</v>
      </c>
      <c r="C66" s="79" t="str">
        <f ca="1">VLOOKUP($B66,OFFSET([2]quests!$A$1,0,0,COUNTA([2]quests!$A:$A),MATCH(C$1,[2]quests!$1:$1,0)-MATCH($B$1,[2]quests!$1:$1,0)+1),MATCH(C$1,[2]quests!$1:$1,0)-MATCH($B$1,[2]quests!$1:$1,0)+1,FALSE)</f>
        <v>ニムダ（台）</v>
      </c>
      <c r="D66" s="79" t="str">
        <f ca="1">VLOOKUP($B66,OFFSET([2]quests!$A$1,0,0,COUNTA([2]quests!$A:$A),MATCH(D$1,[2]quests!$1:$1,0)-MATCH($B$1,[2]quests!$1:$1,0)+1),MATCH(D$1,[2]quests!$1:$1,0)-MATCH($B$1,[2]quests!$1:$1,0)+1,FALSE)</f>
        <v>コラボクエスト</v>
      </c>
      <c r="E66" s="83" t="s">
        <v>214</v>
      </c>
      <c r="F66" s="79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79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1">
        <v>0</v>
      </c>
      <c r="I66" s="92">
        <v>11</v>
      </c>
      <c r="J66" s="80" t="s">
        <v>196</v>
      </c>
      <c r="K66" s="89" t="str">
        <f>VLOOKUP(I66,[7]stage_hints!$A:$C,3,FALSE)</f>
        <v>ランク解放クエスト</v>
      </c>
      <c r="L66" s="90" t="str">
        <f>VLOOKUP(I66,[7]stage_hints!$A:$D,4,FALSE)</f>
        <v>一定ランクに到達すると_x000D_報酬付きのランク開放クエストが現れます</v>
      </c>
      <c r="M66" s="52" t="s">
        <v>209</v>
      </c>
    </row>
    <row r="67" spans="1:13" x14ac:dyDescent="0.15">
      <c r="A67" s="77" t="s">
        <v>199</v>
      </c>
      <c r="B67" s="78">
        <f>floors!$C$2</f>
        <v>39007</v>
      </c>
      <c r="C67" s="79" t="str">
        <f ca="1">VLOOKUP($B67,OFFSET([2]quests!$A$1,0,0,COUNTA([2]quests!$A:$A),MATCH(C$1,[2]quests!$1:$1,0)-MATCH($B$1,[2]quests!$1:$1,0)+1),MATCH(C$1,[2]quests!$1:$1,0)-MATCH($B$1,[2]quests!$1:$1,0)+1,FALSE)</f>
        <v>ニムダ（台）</v>
      </c>
      <c r="D67" s="79" t="str">
        <f ca="1">VLOOKUP($B67,OFFSET([2]quests!$A$1,0,0,COUNTA([2]quests!$A:$A),MATCH(D$1,[2]quests!$1:$1,0)-MATCH($B$1,[2]quests!$1:$1,0)+1),MATCH(D$1,[2]quests!$1:$1,0)-MATCH($B$1,[2]quests!$1:$1,0)+1,FALSE)</f>
        <v>コラボクエスト</v>
      </c>
      <c r="E67" s="83" t="s">
        <v>214</v>
      </c>
      <c r="F67" s="79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79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1">
        <v>0</v>
      </c>
      <c r="I67" s="92">
        <v>12</v>
      </c>
      <c r="J67" s="80" t="s">
        <v>196</v>
      </c>
      <c r="K67" s="89" t="str">
        <f>VLOOKUP(I67,[7]stage_hints!$A:$C,3,FALSE)</f>
        <v>ユニットのお気に入り登録</v>
      </c>
      <c r="L67" s="90" t="str">
        <f>VLOOKUP(I67,[7]stage_hints!$A:$D,4,FALSE)</f>
        <v>大事なユニットを誤って消さないように_x000D_フォルダから「お気に入り登録」しましょう</v>
      </c>
      <c r="M67" s="52" t="s">
        <v>209</v>
      </c>
    </row>
    <row r="68" spans="1:13" x14ac:dyDescent="0.15">
      <c r="A68" s="77" t="s">
        <v>199</v>
      </c>
      <c r="B68" s="78">
        <f>floors!$C$2</f>
        <v>39007</v>
      </c>
      <c r="C68" s="79" t="str">
        <f ca="1">VLOOKUP($B68,OFFSET([2]quests!$A$1,0,0,COUNTA([2]quests!$A:$A),MATCH(C$1,[2]quests!$1:$1,0)-MATCH($B$1,[2]quests!$1:$1,0)+1),MATCH(C$1,[2]quests!$1:$1,0)-MATCH($B$1,[2]quests!$1:$1,0)+1,FALSE)</f>
        <v>ニムダ（台）</v>
      </c>
      <c r="D68" s="79" t="str">
        <f ca="1">VLOOKUP($B68,OFFSET([2]quests!$A$1,0,0,COUNTA([2]quests!$A:$A),MATCH(D$1,[2]quests!$1:$1,0)-MATCH($B$1,[2]quests!$1:$1,0)+1),MATCH(D$1,[2]quests!$1:$1,0)-MATCH($B$1,[2]quests!$1:$1,0)+1,FALSE)</f>
        <v>コラボクエスト</v>
      </c>
      <c r="E68" s="83" t="s">
        <v>214</v>
      </c>
      <c r="F68" s="79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79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1">
        <v>0</v>
      </c>
      <c r="I68" s="92">
        <v>13</v>
      </c>
      <c r="J68" s="80" t="s">
        <v>196</v>
      </c>
      <c r="K68" s="89" t="str">
        <f>VLOOKUP(I68,[7]stage_hints!$A:$C,3,FALSE)</f>
        <v>ユニットの覚醒</v>
      </c>
      <c r="L68" s="90" t="str">
        <f>VLOOKUP(I68,[7]stage_hints!$A:$D,4,FALSE)</f>
        <v>ユニットを覚醒させると_x000D_比べものにならない強さが手に入ります</v>
      </c>
      <c r="M68" s="52" t="s">
        <v>209</v>
      </c>
    </row>
    <row r="69" spans="1:13" x14ac:dyDescent="0.15">
      <c r="A69" s="77" t="s">
        <v>199</v>
      </c>
      <c r="B69" s="78">
        <f>floors!$C$2</f>
        <v>39007</v>
      </c>
      <c r="C69" s="79" t="str">
        <f ca="1">VLOOKUP($B69,OFFSET([2]quests!$A$1,0,0,COUNTA([2]quests!$A:$A),MATCH(C$1,[2]quests!$1:$1,0)-MATCH($B$1,[2]quests!$1:$1,0)+1),MATCH(C$1,[2]quests!$1:$1,0)-MATCH($B$1,[2]quests!$1:$1,0)+1,FALSE)</f>
        <v>ニムダ（台）</v>
      </c>
      <c r="D69" s="79" t="str">
        <f ca="1">VLOOKUP($B69,OFFSET([2]quests!$A$1,0,0,COUNTA([2]quests!$A:$A),MATCH(D$1,[2]quests!$1:$1,0)-MATCH($B$1,[2]quests!$1:$1,0)+1),MATCH(D$1,[2]quests!$1:$1,0)-MATCH($B$1,[2]quests!$1:$1,0)+1,FALSE)</f>
        <v>コラボクエスト</v>
      </c>
      <c r="E69" s="83" t="s">
        <v>214</v>
      </c>
      <c r="F69" s="79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79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1">
        <v>0</v>
      </c>
      <c r="I69" s="92">
        <v>14</v>
      </c>
      <c r="J69" s="80" t="s">
        <v>196</v>
      </c>
      <c r="K69" s="89" t="str">
        <f>VLOOKUP(I69,[7]stage_hints!$A:$C,3,FALSE)</f>
        <v>覚醒するにはレベルを最大に</v>
      </c>
      <c r="L69" s="90" t="str">
        <f>VLOOKUP(I69,[7]stage_hints!$A:$D,4,FALSE)</f>
        <v>覚醒するにはユニットのレベルを_x000D_最大まで上げる必要があります</v>
      </c>
      <c r="M69" s="52" t="s">
        <v>209</v>
      </c>
    </row>
    <row r="70" spans="1:13" x14ac:dyDescent="0.15">
      <c r="A70" s="77" t="s">
        <v>199</v>
      </c>
      <c r="B70" s="78">
        <f>floors!$C$2</f>
        <v>39007</v>
      </c>
      <c r="C70" s="79" t="str">
        <f ca="1">VLOOKUP($B70,OFFSET([2]quests!$A$1,0,0,COUNTA([2]quests!$A:$A),MATCH(C$1,[2]quests!$1:$1,0)-MATCH($B$1,[2]quests!$1:$1,0)+1),MATCH(C$1,[2]quests!$1:$1,0)-MATCH($B$1,[2]quests!$1:$1,0)+1,FALSE)</f>
        <v>ニムダ（台）</v>
      </c>
      <c r="D70" s="79" t="str">
        <f ca="1">VLOOKUP($B70,OFFSET([2]quests!$A$1,0,0,COUNTA([2]quests!$A:$A),MATCH(D$1,[2]quests!$1:$1,0)-MATCH($B$1,[2]quests!$1:$1,0)+1),MATCH(D$1,[2]quests!$1:$1,0)-MATCH($B$1,[2]quests!$1:$1,0)+1,FALSE)</f>
        <v>コラボクエスト</v>
      </c>
      <c r="E70" s="83" t="s">
        <v>214</v>
      </c>
      <c r="F70" s="79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79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1">
        <v>0</v>
      </c>
      <c r="I70" s="92">
        <v>15</v>
      </c>
      <c r="J70" s="80" t="s">
        <v>196</v>
      </c>
      <c r="K70" s="89" t="str">
        <f>VLOOKUP(I70,[7]stage_hints!$A:$C,3,FALSE)</f>
        <v>覚醒素材を獲得</v>
      </c>
      <c r="L70" s="90" t="str">
        <f>VLOOKUP(I70,[7]stage_hints!$A:$D,4,FALSE)</f>
        <v>「曜日クエスト」では_x000D_ユニットの覚醒に必要な素材が手に入ります</v>
      </c>
      <c r="M70" s="52" t="s">
        <v>209</v>
      </c>
    </row>
    <row r="71" spans="1:13" x14ac:dyDescent="0.15">
      <c r="A71" s="77" t="s">
        <v>199</v>
      </c>
      <c r="B71" s="78">
        <f>floors!$C$2</f>
        <v>39007</v>
      </c>
      <c r="C71" s="79" t="str">
        <f ca="1">VLOOKUP($B71,OFFSET([2]quests!$A$1,0,0,COUNTA([2]quests!$A:$A),MATCH(C$1,[2]quests!$1:$1,0)-MATCH($B$1,[2]quests!$1:$1,0)+1),MATCH(C$1,[2]quests!$1:$1,0)-MATCH($B$1,[2]quests!$1:$1,0)+1,FALSE)</f>
        <v>ニムダ（台）</v>
      </c>
      <c r="D71" s="79" t="str">
        <f ca="1">VLOOKUP($B71,OFFSET([2]quests!$A$1,0,0,COUNTA([2]quests!$A:$A),MATCH(D$1,[2]quests!$1:$1,0)-MATCH($B$1,[2]quests!$1:$1,0)+1),MATCH(D$1,[2]quests!$1:$1,0)-MATCH($B$1,[2]quests!$1:$1,0)+1,FALSE)</f>
        <v>コラボクエスト</v>
      </c>
      <c r="E71" s="83" t="s">
        <v>214</v>
      </c>
      <c r="F71" s="79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79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1">
        <v>0</v>
      </c>
      <c r="I71" s="92">
        <v>16</v>
      </c>
      <c r="J71" s="80" t="s">
        <v>196</v>
      </c>
      <c r="K71" s="89" t="str">
        <f>VLOOKUP(I71,[7]stage_hints!$A:$C,3,FALSE)</f>
        <v>マルチプレイのメリット（その1）</v>
      </c>
      <c r="L71" s="90" t="str">
        <f>VLOOKUP(I71,[7]stage_hints!$A:$D,4,FALSE)</f>
        <v>他のプレイヤーとマルチプレイで遊ぶと_x000D_ポリゴンがもらえます（100人まで）</v>
      </c>
      <c r="M71" s="52" t="s">
        <v>209</v>
      </c>
    </row>
    <row r="72" spans="1:13" x14ac:dyDescent="0.15">
      <c r="A72" s="77" t="s">
        <v>199</v>
      </c>
      <c r="B72" s="78">
        <f>floors!$C$2</f>
        <v>39007</v>
      </c>
      <c r="C72" s="79" t="str">
        <f ca="1">VLOOKUP($B72,OFFSET([2]quests!$A$1,0,0,COUNTA([2]quests!$A:$A),MATCH(C$1,[2]quests!$1:$1,0)-MATCH($B$1,[2]quests!$1:$1,0)+1),MATCH(C$1,[2]quests!$1:$1,0)-MATCH($B$1,[2]quests!$1:$1,0)+1,FALSE)</f>
        <v>ニムダ（台）</v>
      </c>
      <c r="D72" s="79" t="str">
        <f ca="1">VLOOKUP($B72,OFFSET([2]quests!$A$1,0,0,COUNTA([2]quests!$A:$A),MATCH(D$1,[2]quests!$1:$1,0)-MATCH($B$1,[2]quests!$1:$1,0)+1),MATCH(D$1,[2]quests!$1:$1,0)-MATCH($B$1,[2]quests!$1:$1,0)+1,FALSE)</f>
        <v>コラボクエスト</v>
      </c>
      <c r="E72" s="83" t="s">
        <v>214</v>
      </c>
      <c r="F72" s="79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79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1">
        <v>0</v>
      </c>
      <c r="I72" s="92">
        <v>17</v>
      </c>
      <c r="J72" s="80" t="s">
        <v>196</v>
      </c>
      <c r="K72" s="89" t="str">
        <f>VLOOKUP(I72,[7]stage_hints!$A:$C,3,FALSE)</f>
        <v>リンクガチャ</v>
      </c>
      <c r="L72" s="90" t="str">
        <f>VLOOKUP(I72,[7]stage_hints!$A:$D,4,FALSE)</f>
        <v>無料のリンクガチャを回して_x000D_経験値素材や売却素材を獲得しましょう</v>
      </c>
      <c r="M72" s="52" t="s">
        <v>209</v>
      </c>
    </row>
    <row r="73" spans="1:13" x14ac:dyDescent="0.15">
      <c r="A73" s="77" t="s">
        <v>199</v>
      </c>
      <c r="B73" s="78">
        <f>floors!$C$2</f>
        <v>39007</v>
      </c>
      <c r="C73" s="79" t="str">
        <f ca="1">VLOOKUP($B73,OFFSET([2]quests!$A$1,0,0,COUNTA([2]quests!$A:$A),MATCH(C$1,[2]quests!$1:$1,0)-MATCH($B$1,[2]quests!$1:$1,0)+1),MATCH(C$1,[2]quests!$1:$1,0)-MATCH($B$1,[2]quests!$1:$1,0)+1,FALSE)</f>
        <v>ニムダ（台）</v>
      </c>
      <c r="D73" s="79" t="str">
        <f ca="1">VLOOKUP($B73,OFFSET([2]quests!$A$1,0,0,COUNTA([2]quests!$A:$A),MATCH(D$1,[2]quests!$1:$1,0)-MATCH($B$1,[2]quests!$1:$1,0)+1),MATCH(D$1,[2]quests!$1:$1,0)-MATCH($B$1,[2]quests!$1:$1,0)+1,FALSE)</f>
        <v>コラボクエスト</v>
      </c>
      <c r="E73" s="83" t="s">
        <v>214</v>
      </c>
      <c r="F73" s="79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79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1">
        <v>0</v>
      </c>
      <c r="I73" s="92">
        <v>18</v>
      </c>
      <c r="J73" s="80" t="s">
        <v>196</v>
      </c>
      <c r="K73" s="89" t="str">
        <f>VLOOKUP(I73,[7]stage_hints!$A:$C,3,FALSE)</f>
        <v>マルチプレイのメリット（その2）</v>
      </c>
      <c r="L73" s="90" t="str">
        <f>VLOOKUP(I73,[7]stage_hints!$A:$D,4,FALSE)</f>
        <v>マルチプレイならリンクが2倍もらえます_x000D_リンクガチャをたくさん回しましょう</v>
      </c>
      <c r="M73" s="52" t="s">
        <v>209</v>
      </c>
    </row>
    <row r="74" spans="1:13" x14ac:dyDescent="0.15">
      <c r="A74" s="77" t="s">
        <v>199</v>
      </c>
      <c r="B74" s="78">
        <f>floors!$C$2</f>
        <v>39007</v>
      </c>
      <c r="C74" s="79" t="str">
        <f ca="1">VLOOKUP($B74,OFFSET([2]quests!$A$1,0,0,COUNTA([2]quests!$A:$A),MATCH(C$1,[2]quests!$1:$1,0)-MATCH($B$1,[2]quests!$1:$1,0)+1),MATCH(C$1,[2]quests!$1:$1,0)-MATCH($B$1,[2]quests!$1:$1,0)+1,FALSE)</f>
        <v>ニムダ（台）</v>
      </c>
      <c r="D74" s="79" t="str">
        <f ca="1">VLOOKUP($B74,OFFSET([2]quests!$A$1,0,0,COUNTA([2]quests!$A:$A),MATCH(D$1,[2]quests!$1:$1,0)-MATCH($B$1,[2]quests!$1:$1,0)+1),MATCH(D$1,[2]quests!$1:$1,0)-MATCH($B$1,[2]quests!$1:$1,0)+1,FALSE)</f>
        <v>コラボクエスト</v>
      </c>
      <c r="E74" s="83" t="s">
        <v>214</v>
      </c>
      <c r="F74" s="79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79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1">
        <v>0</v>
      </c>
      <c r="I74" s="92">
        <v>19</v>
      </c>
      <c r="J74" s="80" t="s">
        <v>196</v>
      </c>
      <c r="K74" s="89" t="str">
        <f>VLOOKUP(I74,[7]stage_hints!$A:$C,3,FALSE)</f>
        <v>ソロ専用チャレンジタワー</v>
      </c>
      <c r="L74" s="90" t="str">
        <f>VLOOKUP(I74,[7]stage_hints!$A:$D,4,FALSE)</f>
        <v>ソロ専用の「チャレンジタワー」では_x000D_各フロアごとにクリア報酬がもらえます</v>
      </c>
      <c r="M74" s="52" t="s">
        <v>209</v>
      </c>
    </row>
    <row r="75" spans="1:13" x14ac:dyDescent="0.15">
      <c r="A75" s="77" t="s">
        <v>199</v>
      </c>
      <c r="B75" s="78">
        <f>floors!$C$2</f>
        <v>39007</v>
      </c>
      <c r="C75" s="79" t="str">
        <f ca="1">VLOOKUP($B75,OFFSET([2]quests!$A$1,0,0,COUNTA([2]quests!$A:$A),MATCH(C$1,[2]quests!$1:$1,0)-MATCH($B$1,[2]quests!$1:$1,0)+1),MATCH(C$1,[2]quests!$1:$1,0)-MATCH($B$1,[2]quests!$1:$1,0)+1,FALSE)</f>
        <v>ニムダ（台）</v>
      </c>
      <c r="D75" s="79" t="str">
        <f ca="1">VLOOKUP($B75,OFFSET([2]quests!$A$1,0,0,COUNTA([2]quests!$A:$A),MATCH(D$1,[2]quests!$1:$1,0)-MATCH($B$1,[2]quests!$1:$1,0)+1),MATCH(D$1,[2]quests!$1:$1,0)-MATCH($B$1,[2]quests!$1:$1,0)+1,FALSE)</f>
        <v>コラボクエスト</v>
      </c>
      <c r="E75" s="83" t="s">
        <v>214</v>
      </c>
      <c r="F75" s="79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79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1">
        <v>0</v>
      </c>
      <c r="I75" s="92">
        <v>20</v>
      </c>
      <c r="J75" s="80" t="s">
        <v>196</v>
      </c>
      <c r="K75" s="89" t="str">
        <f>VLOOKUP(I75,[7]stage_hints!$A:$C,3,FALSE)</f>
        <v>マルチプレイのメリット（その3）</v>
      </c>
      <c r="L75" s="90" t="str">
        <f>VLOOKUP(I75,[7]stage_hints!$A:$D,4,FALSE)</f>
        <v>マルチプレイへの参加はエナジー消費ゼロ_x000D_いつでも好きなだけ遊ぶことができます</v>
      </c>
      <c r="M75" s="52" t="s">
        <v>209</v>
      </c>
    </row>
    <row r="76" spans="1:13" x14ac:dyDescent="0.15">
      <c r="A76" s="77" t="s">
        <v>199</v>
      </c>
      <c r="B76" s="78">
        <f>floors!$C$2</f>
        <v>39007</v>
      </c>
      <c r="C76" s="79" t="str">
        <f ca="1">VLOOKUP($B76,OFFSET([2]quests!$A$1,0,0,COUNTA([2]quests!$A:$A),MATCH(C$1,[2]quests!$1:$1,0)-MATCH($B$1,[2]quests!$1:$1,0)+1),MATCH(C$1,[2]quests!$1:$1,0)-MATCH($B$1,[2]quests!$1:$1,0)+1,FALSE)</f>
        <v>ニムダ（台）</v>
      </c>
      <c r="D76" s="79" t="str">
        <f ca="1">VLOOKUP($B76,OFFSET([2]quests!$A$1,0,0,COUNTA([2]quests!$A:$A),MATCH(D$1,[2]quests!$1:$1,0)-MATCH($B$1,[2]quests!$1:$1,0)+1),MATCH(D$1,[2]quests!$1:$1,0)-MATCH($B$1,[2]quests!$1:$1,0)+1,FALSE)</f>
        <v>コラボクエスト</v>
      </c>
      <c r="E76" s="83" t="s">
        <v>214</v>
      </c>
      <c r="F76" s="79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79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1">
        <v>0</v>
      </c>
      <c r="I76" s="92">
        <v>21</v>
      </c>
      <c r="J76" s="80" t="s">
        <v>196</v>
      </c>
      <c r="K76" s="89" t="str">
        <f>VLOOKUP(I76,[7]stage_hints!$A:$C,3,FALSE)</f>
        <v>スキルを有効に</v>
      </c>
      <c r="L76" s="90" t="str">
        <f>VLOOKUP(I76,[7]stage_hints!$A:$D,4,FALSE)</f>
        <v>ターン経過でユニットのスキルが使えます_x000D_強力スキルでバトルを有利に進めましょう</v>
      </c>
      <c r="M76" s="52" t="s">
        <v>209</v>
      </c>
    </row>
    <row r="77" spans="1:13" x14ac:dyDescent="0.15">
      <c r="A77" s="77" t="s">
        <v>199</v>
      </c>
      <c r="B77" s="78">
        <f>floors!$C$2</f>
        <v>39007</v>
      </c>
      <c r="C77" s="79" t="str">
        <f ca="1">VLOOKUP($B77,OFFSET([2]quests!$A$1,0,0,COUNTA([2]quests!$A:$A),MATCH(C$1,[2]quests!$1:$1,0)-MATCH($B$1,[2]quests!$1:$1,0)+1),MATCH(C$1,[2]quests!$1:$1,0)-MATCH($B$1,[2]quests!$1:$1,0)+1,FALSE)</f>
        <v>ニムダ（台）</v>
      </c>
      <c r="D77" s="79" t="str">
        <f ca="1">VLOOKUP($B77,OFFSET([2]quests!$A$1,0,0,COUNTA([2]quests!$A:$A),MATCH(D$1,[2]quests!$1:$1,0)-MATCH($B$1,[2]quests!$1:$1,0)+1),MATCH(D$1,[2]quests!$1:$1,0)-MATCH($B$1,[2]quests!$1:$1,0)+1,FALSE)</f>
        <v>コラボクエスト</v>
      </c>
      <c r="E77" s="83" t="s">
        <v>214</v>
      </c>
      <c r="F77" s="79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79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1">
        <v>0</v>
      </c>
      <c r="I77" s="92">
        <v>22</v>
      </c>
      <c r="J77" s="80" t="s">
        <v>196</v>
      </c>
      <c r="K77" s="89" t="str">
        <f>VLOOKUP(I77,[7]stage_hints!$A:$C,3,FALSE)</f>
        <v>フィーバーで一発逆転（その1）</v>
      </c>
      <c r="L77" s="90" t="str">
        <f>VLOOKUP(I77,[7]stage_hints!$A:$D,4,FALSE)</f>
        <v>フィーバーは攻撃と回復を兼ね備えます_x000D_ピンチからの一発逆転を狙いましょう</v>
      </c>
      <c r="M77" s="52" t="s">
        <v>209</v>
      </c>
    </row>
    <row r="78" spans="1:13" x14ac:dyDescent="0.15">
      <c r="A78" s="77" t="s">
        <v>199</v>
      </c>
      <c r="B78" s="78">
        <f>floors!$C$2</f>
        <v>39007</v>
      </c>
      <c r="C78" s="79" t="str">
        <f ca="1">VLOOKUP($B78,OFFSET([2]quests!$A$1,0,0,COUNTA([2]quests!$A:$A),MATCH(C$1,[2]quests!$1:$1,0)-MATCH($B$1,[2]quests!$1:$1,0)+1),MATCH(C$1,[2]quests!$1:$1,0)-MATCH($B$1,[2]quests!$1:$1,0)+1,FALSE)</f>
        <v>ニムダ（台）</v>
      </c>
      <c r="D78" s="79" t="str">
        <f ca="1">VLOOKUP($B78,OFFSET([2]quests!$A$1,0,0,COUNTA([2]quests!$A:$A),MATCH(D$1,[2]quests!$1:$1,0)-MATCH($B$1,[2]quests!$1:$1,0)+1),MATCH(D$1,[2]quests!$1:$1,0)-MATCH($B$1,[2]quests!$1:$1,0)+1,FALSE)</f>
        <v>コラボクエスト</v>
      </c>
      <c r="E78" s="83" t="s">
        <v>214</v>
      </c>
      <c r="F78" s="79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79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1">
        <v>0</v>
      </c>
      <c r="I78" s="92">
        <v>23</v>
      </c>
      <c r="J78" s="80" t="s">
        <v>196</v>
      </c>
      <c r="K78" s="89" t="str">
        <f>VLOOKUP(I78,[7]stage_hints!$A:$C,3,FALSE)</f>
        <v>フィーバーで一発逆転（その2）</v>
      </c>
      <c r="L78" s="90" t="str">
        <f>VLOOKUP(I78,[7]stage_hints!$A:$D,4,FALSE)</f>
        <v>フィーバー中は虹色のボムパネルを狙って_x000D_画面上のパネルを一気に破壊しましょう</v>
      </c>
      <c r="M78" s="52" t="s">
        <v>209</v>
      </c>
    </row>
    <row r="79" spans="1:13" x14ac:dyDescent="0.15">
      <c r="A79" s="77" t="s">
        <v>199</v>
      </c>
      <c r="B79" s="78">
        <f>floors!$C$2</f>
        <v>39007</v>
      </c>
      <c r="C79" s="79" t="str">
        <f ca="1">VLOOKUP($B79,OFFSET([2]quests!$A$1,0,0,COUNTA([2]quests!$A:$A),MATCH(C$1,[2]quests!$1:$1,0)-MATCH($B$1,[2]quests!$1:$1,0)+1),MATCH(C$1,[2]quests!$1:$1,0)-MATCH($B$1,[2]quests!$1:$1,0)+1,FALSE)</f>
        <v>ニムダ（台）</v>
      </c>
      <c r="D79" s="79" t="str">
        <f ca="1">VLOOKUP($B79,OFFSET([2]quests!$A$1,0,0,COUNTA([2]quests!$A:$A),MATCH(D$1,[2]quests!$1:$1,0)-MATCH($B$1,[2]quests!$1:$1,0)+1),MATCH(D$1,[2]quests!$1:$1,0)-MATCH($B$1,[2]quests!$1:$1,0)+1,FALSE)</f>
        <v>コラボクエスト</v>
      </c>
      <c r="E79" s="83" t="s">
        <v>214</v>
      </c>
      <c r="F79" s="79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79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1">
        <v>0</v>
      </c>
      <c r="I79" s="92">
        <v>24</v>
      </c>
      <c r="J79" s="80" t="s">
        <v>196</v>
      </c>
      <c r="K79" s="89" t="str">
        <f>VLOOKUP(I79,[7]stage_hints!$A:$C,3,FALSE)</f>
        <v>りんごを使って限界突破</v>
      </c>
      <c r="L79" s="90" t="str">
        <f>VLOOKUP(I79,[7]stage_hints!$A:$D,4,FALSE)</f>
        <v>赤りんご(攻撃力) 青りんご(回復力)_x000D_緑りんご(体力)をユニット強化に使うと_x000D_ステータスが限界突破します（計99個迄）</v>
      </c>
      <c r="M79" s="52" t="s">
        <v>209</v>
      </c>
    </row>
    <row r="80" spans="1:13" x14ac:dyDescent="0.15">
      <c r="A80" s="77" t="s">
        <v>199</v>
      </c>
      <c r="B80" s="78">
        <f>floors!$C$2</f>
        <v>39007</v>
      </c>
      <c r="C80" s="79" t="str">
        <f ca="1">VLOOKUP($B80,OFFSET([2]quests!$A$1,0,0,COUNTA([2]quests!$A:$A),MATCH(C$1,[2]quests!$1:$1,0)-MATCH($B$1,[2]quests!$1:$1,0)+1),MATCH(C$1,[2]quests!$1:$1,0)-MATCH($B$1,[2]quests!$1:$1,0)+1,FALSE)</f>
        <v>ニムダ（台）</v>
      </c>
      <c r="D80" s="79" t="str">
        <f ca="1">VLOOKUP($B80,OFFSET([2]quests!$A$1,0,0,COUNTA([2]quests!$A:$A),MATCH(D$1,[2]quests!$1:$1,0)-MATCH($B$1,[2]quests!$1:$1,0)+1),MATCH(D$1,[2]quests!$1:$1,0)-MATCH($B$1,[2]quests!$1:$1,0)+1,FALSE)</f>
        <v>コラボクエスト</v>
      </c>
      <c r="E80" s="83" t="s">
        <v>214</v>
      </c>
      <c r="F80" s="79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79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1">
        <v>0</v>
      </c>
      <c r="I80" s="92">
        <v>25</v>
      </c>
      <c r="J80" s="80" t="s">
        <v>196</v>
      </c>
      <c r="K80" s="89" t="str">
        <f>VLOOKUP(I80,[7]stage_hints!$A:$C,3,FALSE)</f>
        <v>スキルレベルアップ</v>
      </c>
      <c r="L80" s="90" t="str">
        <f>VLOOKUP(I80,[7]stage_hints!$A:$D,4,FALSE)</f>
        <v>「クリスタルのりんご」を強化に使うと_x000D_スキルレベルを上げることができます</v>
      </c>
      <c r="M80" s="52" t="s">
        <v>209</v>
      </c>
    </row>
    <row r="81" spans="1:13" x14ac:dyDescent="0.15">
      <c r="A81" s="77" t="s">
        <v>199</v>
      </c>
      <c r="B81" s="78">
        <f>floors!$C$2</f>
        <v>39007</v>
      </c>
      <c r="C81" s="79" t="str">
        <f ca="1">VLOOKUP($B81,OFFSET([2]quests!$A$1,0,0,COUNTA([2]quests!$A:$A),MATCH(C$1,[2]quests!$1:$1,0)-MATCH($B$1,[2]quests!$1:$1,0)+1),MATCH(C$1,[2]quests!$1:$1,0)-MATCH($B$1,[2]quests!$1:$1,0)+1,FALSE)</f>
        <v>ニムダ（台）</v>
      </c>
      <c r="D81" s="79" t="str">
        <f ca="1">VLOOKUP($B81,OFFSET([2]quests!$A$1,0,0,COUNTA([2]quests!$A:$A),MATCH(D$1,[2]quests!$1:$1,0)-MATCH($B$1,[2]quests!$1:$1,0)+1),MATCH(D$1,[2]quests!$1:$1,0)-MATCH($B$1,[2]quests!$1:$1,0)+1,FALSE)</f>
        <v>コラボクエスト</v>
      </c>
      <c r="E81" s="83" t="s">
        <v>214</v>
      </c>
      <c r="F81" s="79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79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1">
        <v>0</v>
      </c>
      <c r="I81" s="92">
        <v>26</v>
      </c>
      <c r="J81" s="80" t="s">
        <v>196</v>
      </c>
      <c r="K81" s="89" t="str">
        <f>VLOOKUP(I81,[7]stage_hints!$A:$C,3,FALSE)</f>
        <v>スキルレベルの効果</v>
      </c>
      <c r="L81" s="90" t="str">
        <f>VLOOKUP(I81,[7]stage_hints!$A:$D,4,FALSE)</f>
        <v>スキルレベルが上がると_x000D_短いターンでスキルを使うことができます</v>
      </c>
      <c r="M81" s="52" t="s">
        <v>209</v>
      </c>
    </row>
    <row r="82" spans="1:13" x14ac:dyDescent="0.15">
      <c r="A82" s="77" t="s">
        <v>199</v>
      </c>
      <c r="B82" s="78">
        <f>floors!$C$2</f>
        <v>39007</v>
      </c>
      <c r="C82" s="79" t="str">
        <f ca="1">VLOOKUP($B82,OFFSET([2]quests!$A$1,0,0,COUNTA([2]quests!$A:$A),MATCH(C$1,[2]quests!$1:$1,0)-MATCH($B$1,[2]quests!$1:$1,0)+1),MATCH(C$1,[2]quests!$1:$1,0)-MATCH($B$1,[2]quests!$1:$1,0)+1,FALSE)</f>
        <v>ニムダ（台）</v>
      </c>
      <c r="D82" s="79" t="str">
        <f ca="1">VLOOKUP($B82,OFFSET([2]quests!$A$1,0,0,COUNTA([2]quests!$A:$A),MATCH(D$1,[2]quests!$1:$1,0)-MATCH($B$1,[2]quests!$1:$1,0)+1),MATCH(D$1,[2]quests!$1:$1,0)-MATCH($B$1,[2]quests!$1:$1,0)+1,FALSE)</f>
        <v>コラボクエスト</v>
      </c>
      <c r="E82" s="83" t="s">
        <v>214</v>
      </c>
      <c r="F82" s="79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79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1">
        <v>0</v>
      </c>
      <c r="I82" s="92">
        <v>27</v>
      </c>
      <c r="J82" s="80" t="s">
        <v>196</v>
      </c>
      <c r="K82" s="89" t="str">
        <f>VLOOKUP(I82,[7]stage_hints!$A:$C,3,FALSE)</f>
        <v>ホーム画面からデッキを編成</v>
      </c>
      <c r="L82" s="90" t="str">
        <f>VLOOKUP(I82,[7]stage_hints!$A:$D,4,FALSE)</f>
        <v>ホーム画面でユニットを長押しすると_x000D_すぐにパーティ編成に移動できます</v>
      </c>
      <c r="M82" s="52" t="s">
        <v>209</v>
      </c>
    </row>
    <row r="83" spans="1:13" x14ac:dyDescent="0.15">
      <c r="A83" s="77" t="s">
        <v>199</v>
      </c>
      <c r="B83" s="78">
        <f>floors!$C$2</f>
        <v>39007</v>
      </c>
      <c r="C83" s="79" t="str">
        <f ca="1">VLOOKUP($B83,OFFSET([2]quests!$A$1,0,0,COUNTA([2]quests!$A:$A),MATCH(C$1,[2]quests!$1:$1,0)-MATCH($B$1,[2]quests!$1:$1,0)+1),MATCH(C$1,[2]quests!$1:$1,0)-MATCH($B$1,[2]quests!$1:$1,0)+1,FALSE)</f>
        <v>ニムダ（台）</v>
      </c>
      <c r="D83" s="79" t="str">
        <f ca="1">VLOOKUP($B83,OFFSET([2]quests!$A$1,0,0,COUNTA([2]quests!$A:$A),MATCH(D$1,[2]quests!$1:$1,0)-MATCH($B$1,[2]quests!$1:$1,0)+1),MATCH(D$1,[2]quests!$1:$1,0)-MATCH($B$1,[2]quests!$1:$1,0)+1,FALSE)</f>
        <v>コラボクエスト</v>
      </c>
      <c r="E83" s="83" t="s">
        <v>214</v>
      </c>
      <c r="F83" s="79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79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1">
        <v>0</v>
      </c>
      <c r="I83" s="92">
        <v>28</v>
      </c>
      <c r="J83" s="80" t="s">
        <v>196</v>
      </c>
      <c r="K83" s="89" t="str">
        <f>VLOOKUP(I83,[7]stage_hints!$A:$C,3,FALSE)</f>
        <v>ステータス情報は長押しで</v>
      </c>
      <c r="L83" s="90" t="str">
        <f>VLOOKUP(I83,[7]stage_hints!$A:$D,4,FALSE)</f>
        <v>ユニットのアイコンを長押しすると_x000D_ステータス情報を確認することができます</v>
      </c>
      <c r="M83" s="52" t="s">
        <v>209</v>
      </c>
    </row>
    <row r="84" spans="1:13" x14ac:dyDescent="0.15">
      <c r="A84" s="77" t="s">
        <v>199</v>
      </c>
      <c r="B84" s="78">
        <f>floors!$C$2</f>
        <v>39007</v>
      </c>
      <c r="C84" s="79" t="str">
        <f ca="1">VLOOKUP($B84,OFFSET([2]quests!$A$1,0,0,COUNTA([2]quests!$A:$A),MATCH(C$1,[2]quests!$1:$1,0)-MATCH($B$1,[2]quests!$1:$1,0)+1),MATCH(C$1,[2]quests!$1:$1,0)-MATCH($B$1,[2]quests!$1:$1,0)+1,FALSE)</f>
        <v>ニムダ（台）</v>
      </c>
      <c r="D84" s="79" t="str">
        <f ca="1">VLOOKUP($B84,OFFSET([2]quests!$A$1,0,0,COUNTA([2]quests!$A:$A),MATCH(D$1,[2]quests!$1:$1,0)-MATCH($B$1,[2]quests!$1:$1,0)+1),MATCH(D$1,[2]quests!$1:$1,0)-MATCH($B$1,[2]quests!$1:$1,0)+1,FALSE)</f>
        <v>コラボクエスト</v>
      </c>
      <c r="E84" s="83" t="s">
        <v>214</v>
      </c>
      <c r="F84" s="79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79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1">
        <v>0</v>
      </c>
      <c r="I84" s="92">
        <v>29</v>
      </c>
      <c r="J84" s="80" t="s">
        <v>196</v>
      </c>
      <c r="K84" s="89" t="str">
        <f>VLOOKUP(I84,[7]stage_hints!$A:$C,3,FALSE)</f>
        <v>「バグ」のメリット</v>
      </c>
      <c r="L84" s="90" t="str">
        <f>VLOOKUP(I84,[7]stage_hints!$A:$D,4,FALSE)</f>
        <v>ユニットの「バグ」を増やすと_x000D_報酬をもらえる確率がアップします</v>
      </c>
      <c r="M84" s="52" t="s">
        <v>209</v>
      </c>
    </row>
    <row r="85" spans="1:13" x14ac:dyDescent="0.15">
      <c r="A85" s="77" t="s">
        <v>199</v>
      </c>
      <c r="B85" s="78">
        <f>floors!$C$2</f>
        <v>39007</v>
      </c>
      <c r="C85" s="79" t="str">
        <f ca="1">VLOOKUP($B85,OFFSET([2]quests!$A$1,0,0,COUNTA([2]quests!$A:$A),MATCH(C$1,[2]quests!$1:$1,0)-MATCH($B$1,[2]quests!$1:$1,0)+1),MATCH(C$1,[2]quests!$1:$1,0)-MATCH($B$1,[2]quests!$1:$1,0)+1,FALSE)</f>
        <v>ニムダ（台）</v>
      </c>
      <c r="D85" s="79" t="str">
        <f ca="1">VLOOKUP($B85,OFFSET([2]quests!$A$1,0,0,COUNTA([2]quests!$A:$A),MATCH(D$1,[2]quests!$1:$1,0)-MATCH($B$1,[2]quests!$1:$1,0)+1),MATCH(D$1,[2]quests!$1:$1,0)-MATCH($B$1,[2]quests!$1:$1,0)+1,FALSE)</f>
        <v>コラボクエスト</v>
      </c>
      <c r="E85" s="83" t="s">
        <v>214</v>
      </c>
      <c r="F85" s="79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79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1">
        <v>0</v>
      </c>
      <c r="I85" s="92">
        <v>30</v>
      </c>
      <c r="J85" s="80" t="s">
        <v>196</v>
      </c>
      <c r="K85" s="89" t="str">
        <f>VLOOKUP(I85,[7]stage_hints!$A:$C,3,FALSE)</f>
        <v>「バグ」の増やし方</v>
      </c>
      <c r="L85" s="90" t="str">
        <f>VLOOKUP(I85,[7]stage_hints!$A:$D,4,FALSE)</f>
        <v>同じユニット同士を強化で合成すると_x000D_「バグ」を増やすことができます</v>
      </c>
      <c r="M85" s="52" t="s">
        <v>209</v>
      </c>
    </row>
    <row r="86" spans="1:13" x14ac:dyDescent="0.15">
      <c r="A86" s="77" t="s">
        <v>199</v>
      </c>
      <c r="B86" s="78">
        <f>floors!$C$2</f>
        <v>39007</v>
      </c>
      <c r="C86" s="79" t="str">
        <f ca="1">VLOOKUP($B86,OFFSET([2]quests!$A$1,0,0,COUNTA([2]quests!$A:$A),MATCH(C$1,[2]quests!$1:$1,0)-MATCH($B$1,[2]quests!$1:$1,0)+1),MATCH(C$1,[2]quests!$1:$1,0)-MATCH($B$1,[2]quests!$1:$1,0)+1,FALSE)</f>
        <v>ニムダ（台）</v>
      </c>
      <c r="D86" s="79" t="str">
        <f ca="1">VLOOKUP($B86,OFFSET([2]quests!$A$1,0,0,COUNTA([2]quests!$A:$A),MATCH(D$1,[2]quests!$1:$1,0)-MATCH($B$1,[2]quests!$1:$1,0)+1),MATCH(D$1,[2]quests!$1:$1,0)-MATCH($B$1,[2]quests!$1:$1,0)+1,FALSE)</f>
        <v>コラボクエスト</v>
      </c>
      <c r="E86" s="83" t="s">
        <v>214</v>
      </c>
      <c r="F86" s="79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79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1">
        <v>0</v>
      </c>
      <c r="I86" s="92">
        <v>31</v>
      </c>
      <c r="J86" s="80" t="s">
        <v>196</v>
      </c>
      <c r="K86" s="89" t="str">
        <f>VLOOKUP(I86,[7]stage_hints!$A:$C,3,FALSE)</f>
        <v>イベントはお知らせでチェック</v>
      </c>
      <c r="L86" s="90" t="str">
        <f>VLOOKUP(I86,[7]stage_hints!$A:$D,4,FALSE)</f>
        <v>イベント限定ユニットを取り忘れないように_x000D_お知らせをこまめにチェックしましょう</v>
      </c>
      <c r="M86" s="52" t="s">
        <v>209</v>
      </c>
    </row>
    <row r="87" spans="1:13" x14ac:dyDescent="0.15">
      <c r="A87" s="77" t="s">
        <v>199</v>
      </c>
      <c r="B87" s="78">
        <f>floors!$C$2</f>
        <v>39007</v>
      </c>
      <c r="C87" s="79" t="str">
        <f ca="1">VLOOKUP($B87,OFFSET([2]quests!$A$1,0,0,COUNTA([2]quests!$A:$A),MATCH(C$1,[2]quests!$1:$1,0)-MATCH($B$1,[2]quests!$1:$1,0)+1),MATCH(C$1,[2]quests!$1:$1,0)-MATCH($B$1,[2]quests!$1:$1,0)+1,FALSE)</f>
        <v>ニムダ（台）</v>
      </c>
      <c r="D87" s="79" t="str">
        <f ca="1">VLOOKUP($B87,OFFSET([2]quests!$A$1,0,0,COUNTA([2]quests!$A:$A),MATCH(D$1,[2]quests!$1:$1,0)-MATCH($B$1,[2]quests!$1:$1,0)+1),MATCH(D$1,[2]quests!$1:$1,0)-MATCH($B$1,[2]quests!$1:$1,0)+1,FALSE)</f>
        <v>コラボクエスト</v>
      </c>
      <c r="E87" s="83" t="s">
        <v>214</v>
      </c>
      <c r="F87" s="79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79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1">
        <v>0</v>
      </c>
      <c r="I87" s="92">
        <v>32</v>
      </c>
      <c r="J87" s="80" t="s">
        <v>196</v>
      </c>
      <c r="K87" s="89" t="str">
        <f>VLOOKUP(I87,[7]stage_hints!$A:$C,3,FALSE)</f>
        <v>敵の連続攻撃には</v>
      </c>
      <c r="L87" s="90" t="str">
        <f>VLOOKUP(I87,[7]stage_hints!$A:$D,4,FALSE)</f>
        <v>カウンタースキルを持つユニットがいれば_x000D_ダメージ回数分の反撃ができます</v>
      </c>
      <c r="M87" s="52" t="s">
        <v>209</v>
      </c>
    </row>
    <row r="88" spans="1:13" x14ac:dyDescent="0.15">
      <c r="A88" s="77" t="s">
        <v>199</v>
      </c>
      <c r="B88" s="78">
        <f>floors!$C$2</f>
        <v>39007</v>
      </c>
      <c r="C88" s="79" t="str">
        <f ca="1">VLOOKUP($B88,OFFSET([2]quests!$A$1,0,0,COUNTA([2]quests!$A:$A),MATCH(C$1,[2]quests!$1:$1,0)-MATCH($B$1,[2]quests!$1:$1,0)+1),MATCH(C$1,[2]quests!$1:$1,0)-MATCH($B$1,[2]quests!$1:$1,0)+1,FALSE)</f>
        <v>ニムダ（台）</v>
      </c>
      <c r="D88" s="79" t="str">
        <f ca="1">VLOOKUP($B88,OFFSET([2]quests!$A$1,0,0,COUNTA([2]quests!$A:$A),MATCH(D$1,[2]quests!$1:$1,0)-MATCH($B$1,[2]quests!$1:$1,0)+1),MATCH(D$1,[2]quests!$1:$1,0)-MATCH($B$1,[2]quests!$1:$1,0)+1,FALSE)</f>
        <v>コラボクエスト</v>
      </c>
      <c r="E88" s="83" t="s">
        <v>214</v>
      </c>
      <c r="F88" s="79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79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1">
        <v>0</v>
      </c>
      <c r="I88" s="92">
        <v>33</v>
      </c>
      <c r="J88" s="80" t="s">
        <v>196</v>
      </c>
      <c r="K88" s="89" t="str">
        <f>VLOOKUP(I88,[7]stage_hints!$A:$C,3,FALSE)</f>
        <v>敵のカウンター攻撃には</v>
      </c>
      <c r="L88" s="90" t="str">
        <f>VLOOKUP(I88,[7]stage_hints!$A:$D,4,FALSE)</f>
        <v>カウンターブレイクスキルを持っていれば_x000D_敵のカウンターを解除して攻撃ができます</v>
      </c>
      <c r="M88" s="52" t="s">
        <v>209</v>
      </c>
    </row>
    <row r="89" spans="1:13" x14ac:dyDescent="0.15">
      <c r="A89" s="77" t="s">
        <v>199</v>
      </c>
      <c r="B89" s="78">
        <f>floors!$C$2</f>
        <v>39007</v>
      </c>
      <c r="C89" s="79" t="str">
        <f ca="1">VLOOKUP($B89,OFFSET([2]quests!$A$1,0,0,COUNTA([2]quests!$A:$A),MATCH(C$1,[2]quests!$1:$1,0)-MATCH($B$1,[2]quests!$1:$1,0)+1),MATCH(C$1,[2]quests!$1:$1,0)-MATCH($B$1,[2]quests!$1:$1,0)+1,FALSE)</f>
        <v>ニムダ（台）</v>
      </c>
      <c r="D89" s="79" t="str">
        <f ca="1">VLOOKUP($B89,OFFSET([2]quests!$A$1,0,0,COUNTA([2]quests!$A:$A),MATCH(D$1,[2]quests!$1:$1,0)-MATCH($B$1,[2]quests!$1:$1,0)+1),MATCH(D$1,[2]quests!$1:$1,0)-MATCH($B$1,[2]quests!$1:$1,0)+1,FALSE)</f>
        <v>コラボクエスト</v>
      </c>
      <c r="E89" s="83" t="s">
        <v>214</v>
      </c>
      <c r="F89" s="79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79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1">
        <v>0</v>
      </c>
      <c r="I89" s="92">
        <v>34</v>
      </c>
      <c r="J89" s="80" t="s">
        <v>196</v>
      </c>
      <c r="K89" s="89" t="str">
        <f>VLOOKUP(I89,[7]stage_hints!$A:$C,3,FALSE)</f>
        <v>ステータスをスキルで下げられたら</v>
      </c>
      <c r="L89" s="90" t="str">
        <f>VLOOKUP(I89,[7]stage_hints!$A:$D,4,FALSE)</f>
        <v>ステータスダウンのスキルを受けたら_x000D_ステータスアップスキルで上書きしましょう</v>
      </c>
      <c r="M89" s="52" t="s">
        <v>209</v>
      </c>
    </row>
    <row r="90" spans="1:13" x14ac:dyDescent="0.15">
      <c r="A90" s="77" t="s">
        <v>199</v>
      </c>
      <c r="B90" s="78">
        <f>floors!$C$2</f>
        <v>39007</v>
      </c>
      <c r="C90" s="79" t="str">
        <f ca="1">VLOOKUP($B90,OFFSET([2]quests!$A$1,0,0,COUNTA([2]quests!$A:$A),MATCH(C$1,[2]quests!$1:$1,0)-MATCH($B$1,[2]quests!$1:$1,0)+1),MATCH(C$1,[2]quests!$1:$1,0)-MATCH($B$1,[2]quests!$1:$1,0)+1,FALSE)</f>
        <v>ニムダ（台）</v>
      </c>
      <c r="D90" s="79" t="str">
        <f ca="1">VLOOKUP($B90,OFFSET([2]quests!$A$1,0,0,COUNTA([2]quests!$A:$A),MATCH(D$1,[2]quests!$1:$1,0)-MATCH($B$1,[2]quests!$1:$1,0)+1),MATCH(D$1,[2]quests!$1:$1,0)-MATCH($B$1,[2]quests!$1:$1,0)+1,FALSE)</f>
        <v>コラボクエスト</v>
      </c>
      <c r="E90" s="83" t="s">
        <v>214</v>
      </c>
      <c r="F90" s="79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79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1">
        <v>0</v>
      </c>
      <c r="I90" s="92">
        <v>35</v>
      </c>
      <c r="J90" s="80" t="s">
        <v>196</v>
      </c>
      <c r="K90" s="89" t="str">
        <f>VLOOKUP(I90,[7]stage_hints!$A:$C,3,FALSE)</f>
        <v>敵のステータスがスキルで上がったら</v>
      </c>
      <c r="L90" s="90" t="str">
        <f>VLOOKUP(I90,[7]stage_hints!$A:$D,4,FALSE)</f>
        <v>敵のステータスがスキルでアップしたときは_x000D_ステータスダウンスキルで上書きしましょう</v>
      </c>
      <c r="M90" s="52" t="s">
        <v>209</v>
      </c>
    </row>
    <row r="91" spans="1:13" x14ac:dyDescent="0.15">
      <c r="A91" s="77" t="s">
        <v>199</v>
      </c>
      <c r="B91" s="78">
        <f>floors!$C$2</f>
        <v>39007</v>
      </c>
      <c r="C91" s="79" t="str">
        <f ca="1">VLOOKUP($B91,OFFSET([2]quests!$A$1,0,0,COUNTA([2]quests!$A:$A),MATCH(C$1,[2]quests!$1:$1,0)-MATCH($B$1,[2]quests!$1:$1,0)+1),MATCH(C$1,[2]quests!$1:$1,0)-MATCH($B$1,[2]quests!$1:$1,0)+1,FALSE)</f>
        <v>ニムダ（台）</v>
      </c>
      <c r="D91" s="79" t="str">
        <f ca="1">VLOOKUP($B91,OFFSET([2]quests!$A$1,0,0,COUNTA([2]quests!$A:$A),MATCH(D$1,[2]quests!$1:$1,0)-MATCH($B$1,[2]quests!$1:$1,0)+1),MATCH(D$1,[2]quests!$1:$1,0)-MATCH($B$1,[2]quests!$1:$1,0)+1,FALSE)</f>
        <v>コラボクエスト</v>
      </c>
      <c r="E91" s="83" t="s">
        <v>214</v>
      </c>
      <c r="F91" s="79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79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1">
        <v>0</v>
      </c>
      <c r="I91" s="92">
        <v>36</v>
      </c>
      <c r="J91" s="80" t="s">
        <v>196</v>
      </c>
      <c r="K91" s="89" t="str">
        <f>VLOOKUP(I91,[7]stage_hints!$A:$C,3,FALSE)</f>
        <v>チャレンジタワーのボス</v>
      </c>
      <c r="L91" s="90" t="str">
        <f>VLOOKUP(I91,[7]stage_hints!$A:$D,4,FALSE)</f>
        <v>チャレンジタワーでのみ登場するボスは_x000D_一定確率で獲得することができます</v>
      </c>
      <c r="M91" s="52" t="s">
        <v>209</v>
      </c>
    </row>
    <row r="92" spans="1:13" x14ac:dyDescent="0.15">
      <c r="A92" s="77" t="s">
        <v>199</v>
      </c>
      <c r="B92" s="78">
        <f>floors!$C$2</f>
        <v>39007</v>
      </c>
      <c r="C92" s="79" t="str">
        <f ca="1">VLOOKUP($B92,OFFSET([2]quests!$A$1,0,0,COUNTA([2]quests!$A:$A),MATCH(C$1,[2]quests!$1:$1,0)-MATCH($B$1,[2]quests!$1:$1,0)+1),MATCH(C$1,[2]quests!$1:$1,0)-MATCH($B$1,[2]quests!$1:$1,0)+1,FALSE)</f>
        <v>ニムダ（台）</v>
      </c>
      <c r="D92" s="79" t="str">
        <f ca="1">VLOOKUP($B92,OFFSET([2]quests!$A$1,0,0,COUNTA([2]quests!$A:$A),MATCH(D$1,[2]quests!$1:$1,0)-MATCH($B$1,[2]quests!$1:$1,0)+1),MATCH(D$1,[2]quests!$1:$1,0)-MATCH($B$1,[2]quests!$1:$1,0)+1,FALSE)</f>
        <v>コラボクエスト</v>
      </c>
      <c r="E92" s="83" t="s">
        <v>214</v>
      </c>
      <c r="F92" s="79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79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1">
        <v>0</v>
      </c>
      <c r="I92" s="92">
        <v>37</v>
      </c>
      <c r="J92" s="80" t="s">
        <v>196</v>
      </c>
      <c r="K92" s="89" t="str">
        <f>VLOOKUP(I92,[7]stage_hints!$A:$C,3,FALSE)</f>
        <v>限界突破値の引き継ぎ</v>
      </c>
      <c r="L92" s="90" t="str">
        <f>VLOOKUP(I92,[7]stage_hints!$A:$D,4,FALSE)</f>
        <v>同じユニットを強化で合成すると_x000D_限界突破値を引き継げます（覚醒前後も可）</v>
      </c>
      <c r="M92" s="52" t="s">
        <v>209</v>
      </c>
    </row>
    <row r="93" spans="1:13" x14ac:dyDescent="0.15">
      <c r="A93" s="77" t="s">
        <v>199</v>
      </c>
      <c r="B93" s="78">
        <f>floors!$C$2</f>
        <v>39007</v>
      </c>
      <c r="C93" s="79" t="str">
        <f ca="1">VLOOKUP($B93,OFFSET([2]quests!$A$1,0,0,COUNTA([2]quests!$A:$A),MATCH(C$1,[2]quests!$1:$1,0)-MATCH($B$1,[2]quests!$1:$1,0)+1),MATCH(C$1,[2]quests!$1:$1,0)-MATCH($B$1,[2]quests!$1:$1,0)+1,FALSE)</f>
        <v>ニムダ（台）</v>
      </c>
      <c r="D93" s="79" t="str">
        <f ca="1">VLOOKUP($B93,OFFSET([2]quests!$A$1,0,0,COUNTA([2]quests!$A:$A),MATCH(D$1,[2]quests!$1:$1,0)-MATCH($B$1,[2]quests!$1:$1,0)+1),MATCH(D$1,[2]quests!$1:$1,0)-MATCH($B$1,[2]quests!$1:$1,0)+1,FALSE)</f>
        <v>コラボクエスト</v>
      </c>
      <c r="E93" s="83" t="s">
        <v>214</v>
      </c>
      <c r="F93" s="79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79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1">
        <v>0</v>
      </c>
      <c r="I93" s="92">
        <v>39</v>
      </c>
      <c r="J93" s="80" t="s">
        <v>196</v>
      </c>
      <c r="K93" s="89" t="str">
        <f>VLOOKUP(I93,[7]stage_hints!$A:$C,3,FALSE)</f>
        <v>システム適合者を確認</v>
      </c>
      <c r="L93" s="90" t="str">
        <f>VLOOKUP(I93,[7]stage_hints!$A:$D,4,FALSE)</f>
        <v>ALICEが 「アナタ」を呼んでいます</v>
      </c>
      <c r="M93" s="52" t="s">
        <v>209</v>
      </c>
    </row>
    <row r="94" spans="1:13" x14ac:dyDescent="0.15">
      <c r="A94" s="77" t="s">
        <v>199</v>
      </c>
      <c r="B94" s="78">
        <f>floors!$C$2</f>
        <v>39007</v>
      </c>
      <c r="C94" s="79" t="str">
        <f ca="1">VLOOKUP($B94,OFFSET([2]quests!$A$1,0,0,COUNTA([2]quests!$A:$A),MATCH(C$1,[2]quests!$1:$1,0)-MATCH($B$1,[2]quests!$1:$1,0)+1),MATCH(C$1,[2]quests!$1:$1,0)-MATCH($B$1,[2]quests!$1:$1,0)+1,FALSE)</f>
        <v>ニムダ（台）</v>
      </c>
      <c r="D94" s="79" t="str">
        <f ca="1">VLOOKUP($B94,OFFSET([2]quests!$A$1,0,0,COUNTA([2]quests!$A:$A),MATCH(D$1,[2]quests!$1:$1,0)-MATCH($B$1,[2]quests!$1:$1,0)+1),MATCH(D$1,[2]quests!$1:$1,0)-MATCH($B$1,[2]quests!$1:$1,0)+1,FALSE)</f>
        <v>コラボクエスト</v>
      </c>
      <c r="E94" s="83" t="s">
        <v>215</v>
      </c>
      <c r="F94" s="79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79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1">
        <v>0</v>
      </c>
      <c r="I94">
        <v>12</v>
      </c>
      <c r="J94" s="80" t="s">
        <v>196</v>
      </c>
      <c r="K94" s="89" t="str">
        <f>VLOOKUP(I94,[7]stage_hints!$A:$C,3,FALSE)</f>
        <v>ユニットのお気に入り登録</v>
      </c>
      <c r="L94" s="90" t="str">
        <f>VLOOKUP(I94,[7]stage_hints!$A:$D,4,FALSE)</f>
        <v>大事なユニットを誤って消さないように_x000D_フォルダから「お気に入り登録」しましょう</v>
      </c>
      <c r="M94" s="52" t="s">
        <v>209</v>
      </c>
    </row>
    <row r="95" spans="1:13" x14ac:dyDescent="0.15">
      <c r="A95" s="77" t="s">
        <v>199</v>
      </c>
      <c r="B95" s="78">
        <f>floors!$C$2</f>
        <v>39007</v>
      </c>
      <c r="C95" s="79" t="str">
        <f ca="1">VLOOKUP($B95,OFFSET([2]quests!$A$1,0,0,COUNTA([2]quests!$A:$A),MATCH(C$1,[2]quests!$1:$1,0)-MATCH($B$1,[2]quests!$1:$1,0)+1),MATCH(C$1,[2]quests!$1:$1,0)-MATCH($B$1,[2]quests!$1:$1,0)+1,FALSE)</f>
        <v>ニムダ（台）</v>
      </c>
      <c r="D95" s="79" t="str">
        <f ca="1">VLOOKUP($B95,OFFSET([2]quests!$A$1,0,0,COUNTA([2]quests!$A:$A),MATCH(D$1,[2]quests!$1:$1,0)-MATCH($B$1,[2]quests!$1:$1,0)+1),MATCH(D$1,[2]quests!$1:$1,0)-MATCH($B$1,[2]quests!$1:$1,0)+1,FALSE)</f>
        <v>コラボクエスト</v>
      </c>
      <c r="E95" s="83" t="s">
        <v>215</v>
      </c>
      <c r="F95" s="79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79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1">
        <v>0</v>
      </c>
      <c r="I95">
        <v>17</v>
      </c>
      <c r="J95" s="80" t="s">
        <v>196</v>
      </c>
      <c r="K95" s="89" t="str">
        <f>VLOOKUP(I95,[7]stage_hints!$A:$C,3,FALSE)</f>
        <v>リンクガチャ</v>
      </c>
      <c r="L95" s="90" t="str">
        <f>VLOOKUP(I95,[7]stage_hints!$A:$D,4,FALSE)</f>
        <v>無料のリンクガチャを回して_x000D_経験値素材や売却素材を獲得しましょう</v>
      </c>
      <c r="M95" s="52" t="s">
        <v>209</v>
      </c>
    </row>
    <row r="96" spans="1:13" x14ac:dyDescent="0.15">
      <c r="A96" s="77" t="s">
        <v>199</v>
      </c>
      <c r="B96" s="78">
        <f>floors!$C$2</f>
        <v>39007</v>
      </c>
      <c r="C96" s="79" t="str">
        <f ca="1">VLOOKUP($B96,OFFSET([2]quests!$A$1,0,0,COUNTA([2]quests!$A:$A),MATCH(C$1,[2]quests!$1:$1,0)-MATCH($B$1,[2]quests!$1:$1,0)+1),MATCH(C$1,[2]quests!$1:$1,0)-MATCH($B$1,[2]quests!$1:$1,0)+1,FALSE)</f>
        <v>ニムダ（台）</v>
      </c>
      <c r="D96" s="79" t="str">
        <f ca="1">VLOOKUP($B96,OFFSET([2]quests!$A$1,0,0,COUNTA([2]quests!$A:$A),MATCH(D$1,[2]quests!$1:$1,0)-MATCH($B$1,[2]quests!$1:$1,0)+1),MATCH(D$1,[2]quests!$1:$1,0)-MATCH($B$1,[2]quests!$1:$1,0)+1,FALSE)</f>
        <v>コラボクエスト</v>
      </c>
      <c r="E96" s="83" t="s">
        <v>215</v>
      </c>
      <c r="F96" s="79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79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1">
        <v>0</v>
      </c>
      <c r="I96">
        <v>19</v>
      </c>
      <c r="J96" s="80" t="s">
        <v>196</v>
      </c>
      <c r="K96" s="89" t="str">
        <f>VLOOKUP(I96,[7]stage_hints!$A:$C,3,FALSE)</f>
        <v>ソロ専用チャレンジタワー</v>
      </c>
      <c r="L96" s="90" t="str">
        <f>VLOOKUP(I96,[7]stage_hints!$A:$D,4,FALSE)</f>
        <v>ソロ専用の「チャレンジタワー」では_x000D_各フロアごとにクリア報酬がもらえます</v>
      </c>
      <c r="M96" s="52" t="s">
        <v>209</v>
      </c>
    </row>
    <row r="97" spans="1:13" x14ac:dyDescent="0.15">
      <c r="A97" s="77" t="s">
        <v>199</v>
      </c>
      <c r="B97" s="78">
        <f>floors!$C$2</f>
        <v>39007</v>
      </c>
      <c r="C97" s="79" t="str">
        <f ca="1">VLOOKUP($B97,OFFSET([2]quests!$A$1,0,0,COUNTA([2]quests!$A:$A),MATCH(C$1,[2]quests!$1:$1,0)-MATCH($B$1,[2]quests!$1:$1,0)+1),MATCH(C$1,[2]quests!$1:$1,0)-MATCH($B$1,[2]quests!$1:$1,0)+1,FALSE)</f>
        <v>ニムダ（台）</v>
      </c>
      <c r="D97" s="79" t="str">
        <f ca="1">VLOOKUP($B97,OFFSET([2]quests!$A$1,0,0,COUNTA([2]quests!$A:$A),MATCH(D$1,[2]quests!$1:$1,0)-MATCH($B$1,[2]quests!$1:$1,0)+1),MATCH(D$1,[2]quests!$1:$1,0)-MATCH($B$1,[2]quests!$1:$1,0)+1,FALSE)</f>
        <v>コラボクエスト</v>
      </c>
      <c r="E97" s="83" t="s">
        <v>215</v>
      </c>
      <c r="F97" s="79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79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1">
        <v>0</v>
      </c>
      <c r="I97">
        <v>21</v>
      </c>
      <c r="J97" s="80" t="s">
        <v>196</v>
      </c>
      <c r="K97" s="89" t="str">
        <f>VLOOKUP(I97,[7]stage_hints!$A:$C,3,FALSE)</f>
        <v>スキルを有効に</v>
      </c>
      <c r="L97" s="90" t="str">
        <f>VLOOKUP(I97,[7]stage_hints!$A:$D,4,FALSE)</f>
        <v>ターン経過でユニットのスキルが使えます_x000D_強力スキルでバトルを有利に進めましょう</v>
      </c>
      <c r="M97" s="52" t="s">
        <v>209</v>
      </c>
    </row>
    <row r="98" spans="1:13" x14ac:dyDescent="0.15">
      <c r="A98" s="77" t="s">
        <v>199</v>
      </c>
      <c r="B98" s="78">
        <f>floors!$C$2</f>
        <v>39007</v>
      </c>
      <c r="C98" s="79" t="str">
        <f ca="1">VLOOKUP($B98,OFFSET([2]quests!$A$1,0,0,COUNTA([2]quests!$A:$A),MATCH(C$1,[2]quests!$1:$1,0)-MATCH($B$1,[2]quests!$1:$1,0)+1),MATCH(C$1,[2]quests!$1:$1,0)-MATCH($B$1,[2]quests!$1:$1,0)+1,FALSE)</f>
        <v>ニムダ（台）</v>
      </c>
      <c r="D98" s="79" t="str">
        <f ca="1">VLOOKUP($B98,OFFSET([2]quests!$A$1,0,0,COUNTA([2]quests!$A:$A),MATCH(D$1,[2]quests!$1:$1,0)-MATCH($B$1,[2]quests!$1:$1,0)+1),MATCH(D$1,[2]quests!$1:$1,0)-MATCH($B$1,[2]quests!$1:$1,0)+1,FALSE)</f>
        <v>コラボクエスト</v>
      </c>
      <c r="E98" s="83" t="s">
        <v>215</v>
      </c>
      <c r="F98" s="79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79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1">
        <v>0</v>
      </c>
      <c r="I98">
        <v>27</v>
      </c>
      <c r="J98" s="80" t="s">
        <v>196</v>
      </c>
      <c r="K98" s="89" t="str">
        <f>VLOOKUP(I98,[7]stage_hints!$A:$C,3,FALSE)</f>
        <v>ホーム画面からデッキを編成</v>
      </c>
      <c r="L98" s="90" t="str">
        <f>VLOOKUP(I98,[7]stage_hints!$A:$D,4,FALSE)</f>
        <v>ホーム画面でユニットを長押しすると_x000D_すぐにパーティ編成に移動できます</v>
      </c>
      <c r="M98" s="52" t="s">
        <v>209</v>
      </c>
    </row>
    <row r="99" spans="1:13" x14ac:dyDescent="0.15">
      <c r="A99" s="77" t="s">
        <v>199</v>
      </c>
      <c r="B99" s="78">
        <f>floors!$C$2</f>
        <v>39007</v>
      </c>
      <c r="C99" s="79" t="str">
        <f ca="1">VLOOKUP($B99,OFFSET([2]quests!$A$1,0,0,COUNTA([2]quests!$A:$A),MATCH(C$1,[2]quests!$1:$1,0)-MATCH($B$1,[2]quests!$1:$1,0)+1),MATCH(C$1,[2]quests!$1:$1,0)-MATCH($B$1,[2]quests!$1:$1,0)+1,FALSE)</f>
        <v>ニムダ（台）</v>
      </c>
      <c r="D99" s="79" t="str">
        <f ca="1">VLOOKUP($B99,OFFSET([2]quests!$A$1,0,0,COUNTA([2]quests!$A:$A),MATCH(D$1,[2]quests!$1:$1,0)-MATCH($B$1,[2]quests!$1:$1,0)+1),MATCH(D$1,[2]quests!$1:$1,0)-MATCH($B$1,[2]quests!$1:$1,0)+1,FALSE)</f>
        <v>コラボクエスト</v>
      </c>
      <c r="E99" s="83" t="s">
        <v>215</v>
      </c>
      <c r="F99" s="79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79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1">
        <v>0</v>
      </c>
      <c r="I99">
        <v>28</v>
      </c>
      <c r="J99" s="80" t="s">
        <v>196</v>
      </c>
      <c r="K99" s="89" t="str">
        <f>VLOOKUP(I99,[7]stage_hints!$A:$C,3,FALSE)</f>
        <v>ステータス情報は長押しで</v>
      </c>
      <c r="L99" s="90" t="str">
        <f>VLOOKUP(I99,[7]stage_hints!$A:$D,4,FALSE)</f>
        <v>ユニットのアイコンを長押しすると_x000D_ステータス情報を確認することができます</v>
      </c>
      <c r="M99" s="52" t="s">
        <v>209</v>
      </c>
    </row>
    <row r="100" spans="1:13" x14ac:dyDescent="0.15">
      <c r="A100" s="77" t="s">
        <v>199</v>
      </c>
      <c r="B100" s="78">
        <f>floors!$C$2</f>
        <v>39007</v>
      </c>
      <c r="C100" s="79" t="str">
        <f ca="1">VLOOKUP($B100,OFFSET([2]quests!$A$1,0,0,COUNTA([2]quests!$A:$A),MATCH(C$1,[2]quests!$1:$1,0)-MATCH($B$1,[2]quests!$1:$1,0)+1),MATCH(C$1,[2]quests!$1:$1,0)-MATCH($B$1,[2]quests!$1:$1,0)+1,FALSE)</f>
        <v>ニムダ（台）</v>
      </c>
      <c r="D100" s="79" t="str">
        <f ca="1">VLOOKUP($B100,OFFSET([2]quests!$A$1,0,0,COUNTA([2]quests!$A:$A),MATCH(D$1,[2]quests!$1:$1,0)-MATCH($B$1,[2]quests!$1:$1,0)+1),MATCH(D$1,[2]quests!$1:$1,0)-MATCH($B$1,[2]quests!$1:$1,0)+1,FALSE)</f>
        <v>コラボクエスト</v>
      </c>
      <c r="E100" s="83" t="s">
        <v>215</v>
      </c>
      <c r="F100" s="79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79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1">
        <v>0</v>
      </c>
      <c r="I100">
        <v>29</v>
      </c>
      <c r="J100" s="80" t="s">
        <v>196</v>
      </c>
      <c r="K100" s="89" t="str">
        <f>VLOOKUP(I100,[7]stage_hints!$A:$C,3,FALSE)</f>
        <v>「バグ」のメリット</v>
      </c>
      <c r="L100" s="90" t="str">
        <f>VLOOKUP(I100,[7]stage_hints!$A:$D,4,FALSE)</f>
        <v>ユニットの「バグ」を増やすと_x000D_報酬をもらえる確率がアップします</v>
      </c>
      <c r="M100" s="52" t="s">
        <v>209</v>
      </c>
    </row>
    <row r="101" spans="1:13" x14ac:dyDescent="0.15">
      <c r="A101" s="77" t="s">
        <v>199</v>
      </c>
      <c r="B101" s="78">
        <f>floors!$C$2</f>
        <v>39007</v>
      </c>
      <c r="C101" s="79" t="str">
        <f ca="1">VLOOKUP($B101,OFFSET([2]quests!$A$1,0,0,COUNTA([2]quests!$A:$A),MATCH(C$1,[2]quests!$1:$1,0)-MATCH($B$1,[2]quests!$1:$1,0)+1),MATCH(C$1,[2]quests!$1:$1,0)-MATCH($B$1,[2]quests!$1:$1,0)+1,FALSE)</f>
        <v>ニムダ（台）</v>
      </c>
      <c r="D101" s="79" t="str">
        <f ca="1">VLOOKUP($B101,OFFSET([2]quests!$A$1,0,0,COUNTA([2]quests!$A:$A),MATCH(D$1,[2]quests!$1:$1,0)-MATCH($B$1,[2]quests!$1:$1,0)+1),MATCH(D$1,[2]quests!$1:$1,0)-MATCH($B$1,[2]quests!$1:$1,0)+1,FALSE)</f>
        <v>コラボクエスト</v>
      </c>
      <c r="E101" s="83" t="s">
        <v>215</v>
      </c>
      <c r="F101" s="79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79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1">
        <v>0</v>
      </c>
      <c r="I101">
        <v>30</v>
      </c>
      <c r="J101" s="80" t="s">
        <v>196</v>
      </c>
      <c r="K101" s="89" t="str">
        <f>VLOOKUP(I101,[7]stage_hints!$A:$C,3,FALSE)</f>
        <v>「バグ」の増やし方</v>
      </c>
      <c r="L101" s="90" t="str">
        <f>VLOOKUP(I101,[7]stage_hints!$A:$D,4,FALSE)</f>
        <v>同じユニット同士を強化で合成すると_x000D_「バグ」を増やすことができます</v>
      </c>
      <c r="M101" s="52" t="s">
        <v>209</v>
      </c>
    </row>
    <row r="102" spans="1:13" x14ac:dyDescent="0.15">
      <c r="A102" s="77" t="s">
        <v>199</v>
      </c>
      <c r="B102" s="78">
        <f>floors!$C$2</f>
        <v>39007</v>
      </c>
      <c r="C102" s="79" t="str">
        <f ca="1">VLOOKUP($B102,OFFSET([2]quests!$A$1,0,0,COUNTA([2]quests!$A:$A),MATCH(C$1,[2]quests!$1:$1,0)-MATCH($B$1,[2]quests!$1:$1,0)+1),MATCH(C$1,[2]quests!$1:$1,0)-MATCH($B$1,[2]quests!$1:$1,0)+1,FALSE)</f>
        <v>ニムダ（台）</v>
      </c>
      <c r="D102" s="79" t="str">
        <f ca="1">VLOOKUP($B102,OFFSET([2]quests!$A$1,0,0,COUNTA([2]quests!$A:$A),MATCH(D$1,[2]quests!$1:$1,0)-MATCH($B$1,[2]quests!$1:$1,0)+1),MATCH(D$1,[2]quests!$1:$1,0)-MATCH($B$1,[2]quests!$1:$1,0)+1,FALSE)</f>
        <v>コラボクエスト</v>
      </c>
      <c r="E102" s="83" t="s">
        <v>215</v>
      </c>
      <c r="F102" s="79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79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1">
        <v>0</v>
      </c>
      <c r="I102">
        <v>32</v>
      </c>
      <c r="J102" s="80" t="s">
        <v>196</v>
      </c>
      <c r="K102" s="89" t="str">
        <f>VLOOKUP(I102,[7]stage_hints!$A:$C,3,FALSE)</f>
        <v>敵の連続攻撃には</v>
      </c>
      <c r="L102" s="90" t="str">
        <f>VLOOKUP(I102,[7]stage_hints!$A:$D,4,FALSE)</f>
        <v>カウンタースキルを持つユニットがいれば_x000D_ダメージ回数分の反撃ができます</v>
      </c>
      <c r="M102" s="52" t="s">
        <v>209</v>
      </c>
    </row>
    <row r="103" spans="1:13" x14ac:dyDescent="0.15">
      <c r="A103" s="77" t="s">
        <v>199</v>
      </c>
      <c r="B103" s="78">
        <f>floors!$C$2</f>
        <v>39007</v>
      </c>
      <c r="C103" s="79" t="str">
        <f ca="1">VLOOKUP($B103,OFFSET([2]quests!$A$1,0,0,COUNTA([2]quests!$A:$A),MATCH(C$1,[2]quests!$1:$1,0)-MATCH($B$1,[2]quests!$1:$1,0)+1),MATCH(C$1,[2]quests!$1:$1,0)-MATCH($B$1,[2]quests!$1:$1,0)+1,FALSE)</f>
        <v>ニムダ（台）</v>
      </c>
      <c r="D103" s="79" t="str">
        <f ca="1">VLOOKUP($B103,OFFSET([2]quests!$A$1,0,0,COUNTA([2]quests!$A:$A),MATCH(D$1,[2]quests!$1:$1,0)-MATCH($B$1,[2]quests!$1:$1,0)+1),MATCH(D$1,[2]quests!$1:$1,0)-MATCH($B$1,[2]quests!$1:$1,0)+1,FALSE)</f>
        <v>コラボクエスト</v>
      </c>
      <c r="E103" s="83" t="s">
        <v>215</v>
      </c>
      <c r="F103" s="79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79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1">
        <v>0</v>
      </c>
      <c r="I103">
        <v>33</v>
      </c>
      <c r="J103" s="80" t="s">
        <v>196</v>
      </c>
      <c r="K103" s="89" t="str">
        <f>VLOOKUP(I103,[7]stage_hints!$A:$C,3,FALSE)</f>
        <v>敵のカウンター攻撃には</v>
      </c>
      <c r="L103" s="90" t="str">
        <f>VLOOKUP(I103,[7]stage_hints!$A:$D,4,FALSE)</f>
        <v>カウンターブレイクスキルを持っていれば_x000D_敵のカウンターを解除して攻撃ができます</v>
      </c>
      <c r="M103" s="52" t="s">
        <v>209</v>
      </c>
    </row>
    <row r="104" spans="1:13" x14ac:dyDescent="0.15">
      <c r="A104" s="77" t="s">
        <v>199</v>
      </c>
      <c r="B104" s="78">
        <f>floors!$C$2</f>
        <v>39007</v>
      </c>
      <c r="C104" s="79" t="str">
        <f ca="1">VLOOKUP($B104,OFFSET([2]quests!$A$1,0,0,COUNTA([2]quests!$A:$A),MATCH(C$1,[2]quests!$1:$1,0)-MATCH($B$1,[2]quests!$1:$1,0)+1),MATCH(C$1,[2]quests!$1:$1,0)-MATCH($B$1,[2]quests!$1:$1,0)+1,FALSE)</f>
        <v>ニムダ（台）</v>
      </c>
      <c r="D104" s="79" t="str">
        <f ca="1">VLOOKUP($B104,OFFSET([2]quests!$A$1,0,0,COUNTA([2]quests!$A:$A),MATCH(D$1,[2]quests!$1:$1,0)-MATCH($B$1,[2]quests!$1:$1,0)+1),MATCH(D$1,[2]quests!$1:$1,0)-MATCH($B$1,[2]quests!$1:$1,0)+1,FALSE)</f>
        <v>コラボクエスト</v>
      </c>
      <c r="E104" s="83" t="s">
        <v>215</v>
      </c>
      <c r="F104" s="79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79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1">
        <v>0</v>
      </c>
      <c r="I104">
        <v>34</v>
      </c>
      <c r="J104" s="80" t="s">
        <v>196</v>
      </c>
      <c r="K104" s="89" t="str">
        <f>VLOOKUP(I104,[7]stage_hints!$A:$C,3,FALSE)</f>
        <v>ステータスをスキルで下げられたら</v>
      </c>
      <c r="L104" s="90" t="str">
        <f>VLOOKUP(I104,[7]stage_hints!$A:$D,4,FALSE)</f>
        <v>ステータスダウンのスキルを受けたら_x000D_ステータスアップスキルで上書きしましょう</v>
      </c>
      <c r="M104" s="52" t="s">
        <v>209</v>
      </c>
    </row>
    <row r="105" spans="1:13" x14ac:dyDescent="0.15">
      <c r="A105" s="77" t="s">
        <v>199</v>
      </c>
      <c r="B105" s="78">
        <f>floors!$C$2</f>
        <v>39007</v>
      </c>
      <c r="C105" s="79" t="str">
        <f ca="1">VLOOKUP($B105,OFFSET([2]quests!$A$1,0,0,COUNTA([2]quests!$A:$A),MATCH(C$1,[2]quests!$1:$1,0)-MATCH($B$1,[2]quests!$1:$1,0)+1),MATCH(C$1,[2]quests!$1:$1,0)-MATCH($B$1,[2]quests!$1:$1,0)+1,FALSE)</f>
        <v>ニムダ（台）</v>
      </c>
      <c r="D105" s="79" t="str">
        <f ca="1">VLOOKUP($B105,OFFSET([2]quests!$A$1,0,0,COUNTA([2]quests!$A:$A),MATCH(D$1,[2]quests!$1:$1,0)-MATCH($B$1,[2]quests!$1:$1,0)+1),MATCH(D$1,[2]quests!$1:$1,0)-MATCH($B$1,[2]quests!$1:$1,0)+1,FALSE)</f>
        <v>コラボクエスト</v>
      </c>
      <c r="E105" s="83" t="s">
        <v>215</v>
      </c>
      <c r="F105" s="79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79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1">
        <v>0</v>
      </c>
      <c r="I105">
        <v>35</v>
      </c>
      <c r="J105" s="80" t="s">
        <v>196</v>
      </c>
      <c r="K105" s="89" t="str">
        <f>VLOOKUP(I105,[7]stage_hints!$A:$C,3,FALSE)</f>
        <v>敵のステータスがスキルで上がったら</v>
      </c>
      <c r="L105" s="90" t="str">
        <f>VLOOKUP(I105,[7]stage_hints!$A:$D,4,FALSE)</f>
        <v>敵のステータスがスキルでアップしたときは_x000D_ステータスダウンスキルで上書きしましょう</v>
      </c>
      <c r="M105" s="52" t="s">
        <v>209</v>
      </c>
    </row>
    <row r="106" spans="1:13" x14ac:dyDescent="0.15">
      <c r="A106" s="77" t="s">
        <v>199</v>
      </c>
      <c r="B106" s="78">
        <f>floors!$C$2</f>
        <v>39007</v>
      </c>
      <c r="C106" s="79" t="str">
        <f ca="1">VLOOKUP($B106,OFFSET([2]quests!$A$1,0,0,COUNTA([2]quests!$A:$A),MATCH(C$1,[2]quests!$1:$1,0)-MATCH($B$1,[2]quests!$1:$1,0)+1),MATCH(C$1,[2]quests!$1:$1,0)-MATCH($B$1,[2]quests!$1:$1,0)+1,FALSE)</f>
        <v>ニムダ（台）</v>
      </c>
      <c r="D106" s="79" t="str">
        <f ca="1">VLOOKUP($B106,OFFSET([2]quests!$A$1,0,0,COUNTA([2]quests!$A:$A),MATCH(D$1,[2]quests!$1:$1,0)-MATCH($B$1,[2]quests!$1:$1,0)+1),MATCH(D$1,[2]quests!$1:$1,0)-MATCH($B$1,[2]quests!$1:$1,0)+1,FALSE)</f>
        <v>コラボクエスト</v>
      </c>
      <c r="E106" s="83" t="s">
        <v>215</v>
      </c>
      <c r="F106" s="79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79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1">
        <v>0</v>
      </c>
      <c r="I106">
        <v>36</v>
      </c>
      <c r="J106" s="80" t="s">
        <v>196</v>
      </c>
      <c r="K106" s="89" t="str">
        <f>VLOOKUP(I106,[7]stage_hints!$A:$C,3,FALSE)</f>
        <v>チャレンジタワーのボス</v>
      </c>
      <c r="L106" s="90" t="str">
        <f>VLOOKUP(I106,[7]stage_hints!$A:$D,4,FALSE)</f>
        <v>チャレンジタワーでのみ登場するボスは_x000D_一定確率で獲得することができます</v>
      </c>
      <c r="M106" s="52" t="s">
        <v>209</v>
      </c>
    </row>
    <row r="107" spans="1:13" x14ac:dyDescent="0.15">
      <c r="A107" s="77" t="s">
        <v>199</v>
      </c>
      <c r="B107" s="78">
        <f>floors!$C$2</f>
        <v>39007</v>
      </c>
      <c r="C107" s="79" t="str">
        <f ca="1">VLOOKUP($B107,OFFSET([2]quests!$A$1,0,0,COUNTA([2]quests!$A:$A),MATCH(C$1,[2]quests!$1:$1,0)-MATCH($B$1,[2]quests!$1:$1,0)+1),MATCH(C$1,[2]quests!$1:$1,0)-MATCH($B$1,[2]quests!$1:$1,0)+1,FALSE)</f>
        <v>ニムダ（台）</v>
      </c>
      <c r="D107" s="79" t="str">
        <f ca="1">VLOOKUP($B107,OFFSET([2]quests!$A$1,0,0,COUNTA([2]quests!$A:$A),MATCH(D$1,[2]quests!$1:$1,0)-MATCH($B$1,[2]quests!$1:$1,0)+1),MATCH(D$1,[2]quests!$1:$1,0)-MATCH($B$1,[2]quests!$1:$1,0)+1,FALSE)</f>
        <v>コラボクエスト</v>
      </c>
      <c r="E107" s="83" t="s">
        <v>215</v>
      </c>
      <c r="F107" s="79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79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1">
        <v>0</v>
      </c>
      <c r="I107">
        <v>37</v>
      </c>
      <c r="J107" s="80" t="s">
        <v>196</v>
      </c>
      <c r="K107" s="89" t="str">
        <f>VLOOKUP(I107,[7]stage_hints!$A:$C,3,FALSE)</f>
        <v>限界突破値の引き継ぎ</v>
      </c>
      <c r="L107" s="90" t="str">
        <f>VLOOKUP(I107,[7]stage_hints!$A:$D,4,FALSE)</f>
        <v>同じユニットを強化で合成すると_x000D_限界突破値を引き継げます（覚醒前後も可）</v>
      </c>
      <c r="M107" s="52" t="s">
        <v>209</v>
      </c>
    </row>
    <row r="108" spans="1:13" x14ac:dyDescent="0.15">
      <c r="A108" s="77" t="s">
        <v>199</v>
      </c>
      <c r="B108" s="78">
        <f>floors!$C$2</f>
        <v>39007</v>
      </c>
      <c r="C108" s="79" t="str">
        <f ca="1">VLOOKUP($B108,OFFSET([2]quests!$A$1,0,0,COUNTA([2]quests!$A:$A),MATCH(C$1,[2]quests!$1:$1,0)-MATCH($B$1,[2]quests!$1:$1,0)+1),MATCH(C$1,[2]quests!$1:$1,0)-MATCH($B$1,[2]quests!$1:$1,0)+1,FALSE)</f>
        <v>ニムダ（台）</v>
      </c>
      <c r="D108" s="79" t="str">
        <f ca="1">VLOOKUP($B108,OFFSET([2]quests!$A$1,0,0,COUNTA([2]quests!$A:$A),MATCH(D$1,[2]quests!$1:$1,0)-MATCH($B$1,[2]quests!$1:$1,0)+1),MATCH(D$1,[2]quests!$1:$1,0)-MATCH($B$1,[2]quests!$1:$1,0)+1,FALSE)</f>
        <v>コラボクエスト</v>
      </c>
      <c r="E108" s="83" t="s">
        <v>215</v>
      </c>
      <c r="F108" s="79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79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1">
        <v>0</v>
      </c>
      <c r="I108">
        <v>39</v>
      </c>
      <c r="J108" s="80" t="s">
        <v>196</v>
      </c>
      <c r="K108" s="89" t="str">
        <f>VLOOKUP(I108,[7]stage_hints!$A:$C,3,FALSE)</f>
        <v>システム適合者を確認</v>
      </c>
      <c r="L108" s="90" t="str">
        <f>VLOOKUP(I108,[7]stage_hints!$A:$D,4,FALSE)</f>
        <v>ALICEが 「アナタ」を呼んでいます</v>
      </c>
      <c r="M108" s="52" t="s">
        <v>209</v>
      </c>
    </row>
  </sheetData>
  <phoneticPr fontId="5"/>
  <dataValidations count="1">
    <dataValidation type="list" allowBlank="1" showInputMessage="1" showErrorMessage="1" sqref="A2:A108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33"/>
  <sheetViews>
    <sheetView showGridLines="0" workbookViewId="0">
      <pane ySplit="1" topLeftCell="A23" activePane="bottomLeft" state="frozen"/>
      <selection pane="bottomLeft" activeCell="J9" sqref="J9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2" t="s">
        <v>186</v>
      </c>
      <c r="B1" s="69" t="s">
        <v>148</v>
      </c>
      <c r="C1" s="73" t="s">
        <v>188</v>
      </c>
      <c r="D1" s="73" t="s">
        <v>33</v>
      </c>
      <c r="E1" s="69" t="s">
        <v>189</v>
      </c>
      <c r="F1" s="73" t="s">
        <v>18</v>
      </c>
      <c r="G1" s="73" t="s">
        <v>33</v>
      </c>
      <c r="H1" s="69" t="s">
        <v>191</v>
      </c>
      <c r="I1" s="85" t="s">
        <v>192</v>
      </c>
      <c r="J1" s="87" t="s">
        <v>193</v>
      </c>
      <c r="K1" s="75" t="s">
        <v>125</v>
      </c>
      <c r="L1" s="74" t="s">
        <v>184</v>
      </c>
      <c r="M1" s="88" t="s">
        <v>183</v>
      </c>
      <c r="N1" s="76" t="s">
        <v>194</v>
      </c>
    </row>
    <row r="2" spans="1:14" ht="42" x14ac:dyDescent="0.15">
      <c r="A2" s="77" t="s">
        <v>195</v>
      </c>
      <c r="B2" s="78">
        <v>39007</v>
      </c>
      <c r="C2" s="79" t="str">
        <f ca="1">VLOOKUP($B2,OFFSET([2]quests!$A$1,0,0,COUNTA([2]quests!$A:$A),MATCH(C$1,[2]quests!$1:$1,0)-MATCH($B$1,[2]quests!$1:$1,0)+1),MATCH(C$1,[2]quests!$1:$1,0)-MATCH($B$1,[2]quests!$1:$1,0)+1,FALSE)</f>
        <v>ニムダ（台）</v>
      </c>
      <c r="D2" s="79" t="str">
        <f ca="1">VLOOKUP($B2,OFFSET([2]quests!$A$1,0,0,COUNTA([2]quests!$A:$A),MATCH(D$1,[2]quests!$1:$1,0)-MATCH($B$1,[2]quests!$1:$1,0)+1),MATCH(D$1,[2]quests!$1:$1,0)-MATCH($B$1,[2]quests!$1:$1,0)+1,FALSE)</f>
        <v>コラボクエスト</v>
      </c>
      <c r="E2" s="80">
        <v>1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【初級】ニムダ（台）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</v>
      </c>
      <c r="H2" s="81">
        <v>1</v>
      </c>
      <c r="I2" s="86">
        <f>ROW()-1</f>
        <v>1</v>
      </c>
      <c r="J2" s="82" t="str">
        <f>B2&amp;TEXT(I2,"00")</f>
        <v>3900701</v>
      </c>
      <c r="K2" s="80" t="s">
        <v>196</v>
      </c>
      <c r="L2" s="83" t="s">
        <v>197</v>
      </c>
      <c r="M2" s="155" t="s">
        <v>430</v>
      </c>
      <c r="N2" s="52" t="s">
        <v>198</v>
      </c>
    </row>
    <row r="3" spans="1:14" ht="42" x14ac:dyDescent="0.15">
      <c r="A3" s="77" t="s">
        <v>195</v>
      </c>
      <c r="B3" s="78">
        <v>39007</v>
      </c>
      <c r="E3" s="80">
        <v>1</v>
      </c>
      <c r="H3" s="81">
        <v>2</v>
      </c>
      <c r="I3" s="86">
        <f t="shared" ref="I3:I33" si="0">ROW()-1</f>
        <v>2</v>
      </c>
      <c r="J3" s="82" t="str">
        <f t="shared" ref="J3:J33" si="1">B3&amp;TEXT(I3,"00")</f>
        <v>3900702</v>
      </c>
      <c r="K3" s="80" t="s">
        <v>196</v>
      </c>
      <c r="L3" s="83" t="s">
        <v>197</v>
      </c>
      <c r="M3" s="155" t="s">
        <v>431</v>
      </c>
      <c r="N3" s="52" t="s">
        <v>198</v>
      </c>
    </row>
    <row r="4" spans="1:14" ht="28" x14ac:dyDescent="0.15">
      <c r="A4" s="77" t="s">
        <v>195</v>
      </c>
      <c r="B4" s="78">
        <v>39007</v>
      </c>
      <c r="E4" s="80">
        <v>1</v>
      </c>
      <c r="H4" s="81">
        <v>3</v>
      </c>
      <c r="I4" s="86">
        <f t="shared" si="0"/>
        <v>3</v>
      </c>
      <c r="J4" s="82" t="str">
        <f t="shared" si="1"/>
        <v>3900703</v>
      </c>
      <c r="K4" s="80" t="s">
        <v>196</v>
      </c>
      <c r="L4" s="83" t="s">
        <v>197</v>
      </c>
      <c r="M4" s="155" t="s">
        <v>432</v>
      </c>
      <c r="N4" s="52" t="s">
        <v>198</v>
      </c>
    </row>
    <row r="5" spans="1:14" ht="42" x14ac:dyDescent="0.15">
      <c r="A5" s="77" t="s">
        <v>195</v>
      </c>
      <c r="B5" s="78">
        <v>39007</v>
      </c>
      <c r="E5" s="80">
        <v>1</v>
      </c>
      <c r="H5" s="81">
        <v>4</v>
      </c>
      <c r="I5" s="86">
        <f t="shared" si="0"/>
        <v>4</v>
      </c>
      <c r="J5" s="82" t="str">
        <f t="shared" si="1"/>
        <v>3900704</v>
      </c>
      <c r="K5" s="80" t="s">
        <v>196</v>
      </c>
      <c r="L5" s="83" t="s">
        <v>197</v>
      </c>
      <c r="M5" s="155" t="s">
        <v>433</v>
      </c>
      <c r="N5" s="52" t="s">
        <v>198</v>
      </c>
    </row>
    <row r="6" spans="1:14" ht="42" x14ac:dyDescent="0.15">
      <c r="A6" s="77" t="s">
        <v>195</v>
      </c>
      <c r="B6" s="78">
        <v>39007</v>
      </c>
      <c r="E6" s="80">
        <v>2</v>
      </c>
      <c r="H6" s="81">
        <v>1</v>
      </c>
      <c r="I6" s="86">
        <f t="shared" si="0"/>
        <v>5</v>
      </c>
      <c r="J6" s="82" t="str">
        <f t="shared" si="1"/>
        <v>3900705</v>
      </c>
      <c r="K6" s="80" t="s">
        <v>196</v>
      </c>
      <c r="L6" s="83" t="s">
        <v>197</v>
      </c>
      <c r="M6" s="155" t="s">
        <v>430</v>
      </c>
      <c r="N6" s="52" t="s">
        <v>198</v>
      </c>
    </row>
    <row r="7" spans="1:14" ht="42" x14ac:dyDescent="0.15">
      <c r="A7" s="77" t="s">
        <v>195</v>
      </c>
      <c r="B7" s="78">
        <v>39007</v>
      </c>
      <c r="E7" s="80">
        <v>2</v>
      </c>
      <c r="H7" s="81">
        <v>2</v>
      </c>
      <c r="I7" s="86">
        <f t="shared" si="0"/>
        <v>6</v>
      </c>
      <c r="J7" s="82" t="str">
        <f t="shared" si="1"/>
        <v>3900706</v>
      </c>
      <c r="K7" s="80" t="s">
        <v>196</v>
      </c>
      <c r="L7" s="83" t="s">
        <v>197</v>
      </c>
      <c r="M7" s="155" t="s">
        <v>431</v>
      </c>
      <c r="N7" s="52" t="s">
        <v>198</v>
      </c>
    </row>
    <row r="8" spans="1:14" ht="28" x14ac:dyDescent="0.15">
      <c r="A8" s="77" t="s">
        <v>195</v>
      </c>
      <c r="B8" s="78">
        <v>39007</v>
      </c>
      <c r="E8" s="80">
        <v>2</v>
      </c>
      <c r="H8" s="81">
        <v>3</v>
      </c>
      <c r="I8" s="86">
        <f t="shared" si="0"/>
        <v>7</v>
      </c>
      <c r="J8" s="82" t="str">
        <f t="shared" si="1"/>
        <v>3900707</v>
      </c>
      <c r="K8" s="80" t="s">
        <v>196</v>
      </c>
      <c r="L8" s="83" t="s">
        <v>197</v>
      </c>
      <c r="M8" s="155" t="s">
        <v>432</v>
      </c>
      <c r="N8" s="52" t="s">
        <v>198</v>
      </c>
    </row>
    <row r="9" spans="1:14" ht="42" x14ac:dyDescent="0.15">
      <c r="A9" s="77" t="s">
        <v>195</v>
      </c>
      <c r="B9" s="78">
        <v>39007</v>
      </c>
      <c r="E9" s="80">
        <v>2</v>
      </c>
      <c r="H9" s="81">
        <v>4</v>
      </c>
      <c r="I9" s="86">
        <f t="shared" si="0"/>
        <v>8</v>
      </c>
      <c r="J9" s="82" t="str">
        <f t="shared" si="1"/>
        <v>3900708</v>
      </c>
      <c r="K9" s="80" t="s">
        <v>196</v>
      </c>
      <c r="L9" s="83" t="s">
        <v>197</v>
      </c>
      <c r="M9" s="155" t="s">
        <v>433</v>
      </c>
      <c r="N9" s="52" t="s">
        <v>198</v>
      </c>
    </row>
    <row r="10" spans="1:14" ht="42" x14ac:dyDescent="0.15">
      <c r="A10" s="77" t="s">
        <v>195</v>
      </c>
      <c r="B10" s="78">
        <v>39007</v>
      </c>
      <c r="E10" s="80">
        <v>3</v>
      </c>
      <c r="H10" s="81">
        <v>1</v>
      </c>
      <c r="I10" s="86">
        <f t="shared" si="0"/>
        <v>9</v>
      </c>
      <c r="J10" s="82" t="str">
        <f t="shared" si="1"/>
        <v>3900709</v>
      </c>
      <c r="K10" s="80" t="s">
        <v>196</v>
      </c>
      <c r="L10" s="83" t="s">
        <v>197</v>
      </c>
      <c r="M10" s="155" t="s">
        <v>430</v>
      </c>
      <c r="N10" s="52" t="s">
        <v>198</v>
      </c>
    </row>
    <row r="11" spans="1:14" ht="42" x14ac:dyDescent="0.15">
      <c r="A11" s="77" t="s">
        <v>195</v>
      </c>
      <c r="B11" s="78">
        <v>39007</v>
      </c>
      <c r="E11" s="80">
        <v>3</v>
      </c>
      <c r="H11" s="81">
        <v>2</v>
      </c>
      <c r="I11" s="86">
        <f t="shared" si="0"/>
        <v>10</v>
      </c>
      <c r="J11" s="82" t="str">
        <f t="shared" si="1"/>
        <v>3900710</v>
      </c>
      <c r="K11" s="80" t="s">
        <v>196</v>
      </c>
      <c r="L11" s="83" t="s">
        <v>197</v>
      </c>
      <c r="M11" s="155" t="s">
        <v>431</v>
      </c>
      <c r="N11" s="52" t="s">
        <v>198</v>
      </c>
    </row>
    <row r="12" spans="1:14" ht="28" x14ac:dyDescent="0.15">
      <c r="A12" s="77" t="s">
        <v>195</v>
      </c>
      <c r="B12" s="78">
        <v>39007</v>
      </c>
      <c r="E12" s="80">
        <v>3</v>
      </c>
      <c r="H12" s="81">
        <v>3</v>
      </c>
      <c r="I12" s="86">
        <f t="shared" si="0"/>
        <v>11</v>
      </c>
      <c r="J12" s="82" t="str">
        <f t="shared" si="1"/>
        <v>3900711</v>
      </c>
      <c r="K12" s="80" t="s">
        <v>196</v>
      </c>
      <c r="L12" s="83" t="s">
        <v>197</v>
      </c>
      <c r="M12" s="155" t="s">
        <v>432</v>
      </c>
      <c r="N12" s="52" t="s">
        <v>198</v>
      </c>
    </row>
    <row r="13" spans="1:14" ht="42" x14ac:dyDescent="0.15">
      <c r="A13" s="77" t="s">
        <v>195</v>
      </c>
      <c r="B13" s="78">
        <v>39007</v>
      </c>
      <c r="E13" s="80">
        <v>3</v>
      </c>
      <c r="H13" s="81">
        <v>4</v>
      </c>
      <c r="I13" s="86">
        <f t="shared" si="0"/>
        <v>12</v>
      </c>
      <c r="J13" s="82" t="str">
        <f t="shared" si="1"/>
        <v>3900712</v>
      </c>
      <c r="K13" s="80" t="s">
        <v>196</v>
      </c>
      <c r="L13" s="83" t="s">
        <v>197</v>
      </c>
      <c r="M13" s="155" t="s">
        <v>433</v>
      </c>
      <c r="N13" s="52" t="s">
        <v>198</v>
      </c>
    </row>
    <row r="14" spans="1:14" ht="42" x14ac:dyDescent="0.15">
      <c r="A14" s="77" t="s">
        <v>195</v>
      </c>
      <c r="B14" s="78">
        <v>39007</v>
      </c>
      <c r="E14" s="80">
        <v>4</v>
      </c>
      <c r="H14" s="81">
        <v>1</v>
      </c>
      <c r="I14" s="86">
        <f t="shared" si="0"/>
        <v>13</v>
      </c>
      <c r="J14" s="82" t="str">
        <f t="shared" si="1"/>
        <v>3900713</v>
      </c>
      <c r="K14" s="80" t="s">
        <v>196</v>
      </c>
      <c r="L14" s="83" t="s">
        <v>197</v>
      </c>
      <c r="M14" s="155" t="s">
        <v>430</v>
      </c>
      <c r="N14" s="52" t="s">
        <v>198</v>
      </c>
    </row>
    <row r="15" spans="1:14" ht="42" x14ac:dyDescent="0.15">
      <c r="A15" s="77" t="s">
        <v>195</v>
      </c>
      <c r="B15" s="78">
        <v>39007</v>
      </c>
      <c r="E15" s="80">
        <v>4</v>
      </c>
      <c r="H15" s="81">
        <v>2</v>
      </c>
      <c r="I15" s="86">
        <f t="shared" si="0"/>
        <v>14</v>
      </c>
      <c r="J15" s="82" t="str">
        <f t="shared" si="1"/>
        <v>3900714</v>
      </c>
      <c r="K15" s="80" t="s">
        <v>196</v>
      </c>
      <c r="L15" s="83" t="s">
        <v>197</v>
      </c>
      <c r="M15" s="155" t="s">
        <v>431</v>
      </c>
      <c r="N15" s="52" t="s">
        <v>198</v>
      </c>
    </row>
    <row r="16" spans="1:14" ht="28" x14ac:dyDescent="0.15">
      <c r="A16" s="77" t="s">
        <v>195</v>
      </c>
      <c r="B16" s="78">
        <v>39007</v>
      </c>
      <c r="E16" s="80">
        <v>4</v>
      </c>
      <c r="H16" s="81">
        <v>3</v>
      </c>
      <c r="I16" s="86">
        <f t="shared" si="0"/>
        <v>15</v>
      </c>
      <c r="J16" s="82" t="str">
        <f t="shared" si="1"/>
        <v>3900715</v>
      </c>
      <c r="K16" s="80" t="s">
        <v>196</v>
      </c>
      <c r="L16" s="83" t="s">
        <v>197</v>
      </c>
      <c r="M16" s="155" t="s">
        <v>432</v>
      </c>
      <c r="N16" s="52" t="s">
        <v>198</v>
      </c>
    </row>
    <row r="17" spans="1:14" ht="42" x14ac:dyDescent="0.15">
      <c r="A17" s="77" t="s">
        <v>195</v>
      </c>
      <c r="B17" s="78">
        <v>39007</v>
      </c>
      <c r="E17" s="80">
        <v>4</v>
      </c>
      <c r="H17" s="81">
        <v>4</v>
      </c>
      <c r="I17" s="86">
        <f t="shared" si="0"/>
        <v>16</v>
      </c>
      <c r="J17" s="82" t="str">
        <f t="shared" si="1"/>
        <v>3900716</v>
      </c>
      <c r="K17" s="80" t="s">
        <v>196</v>
      </c>
      <c r="L17" s="83" t="s">
        <v>197</v>
      </c>
      <c r="M17" s="155" t="s">
        <v>433</v>
      </c>
      <c r="N17" s="52" t="s">
        <v>198</v>
      </c>
    </row>
    <row r="18" spans="1:14" ht="42" x14ac:dyDescent="0.15">
      <c r="A18" s="77" t="s">
        <v>199</v>
      </c>
      <c r="B18" s="78">
        <v>39007</v>
      </c>
      <c r="E18" s="80">
        <v>1</v>
      </c>
      <c r="H18" s="81">
        <v>0</v>
      </c>
      <c r="I18" s="86">
        <f t="shared" si="0"/>
        <v>17</v>
      </c>
      <c r="J18" s="82" t="str">
        <f t="shared" si="1"/>
        <v>3900717</v>
      </c>
      <c r="K18" s="80" t="s">
        <v>196</v>
      </c>
      <c r="L18" s="89" t="s">
        <v>426</v>
      </c>
      <c r="M18" s="156" t="s">
        <v>434</v>
      </c>
      <c r="N18" s="52" t="s">
        <v>198</v>
      </c>
    </row>
    <row r="19" spans="1:14" ht="28" x14ac:dyDescent="0.15">
      <c r="A19" s="77" t="s">
        <v>199</v>
      </c>
      <c r="B19" s="78">
        <v>39007</v>
      </c>
      <c r="E19" s="80">
        <v>1</v>
      </c>
      <c r="H19" s="81">
        <v>0</v>
      </c>
      <c r="I19" s="86">
        <f t="shared" si="0"/>
        <v>18</v>
      </c>
      <c r="J19" s="82" t="str">
        <f t="shared" si="1"/>
        <v>3900718</v>
      </c>
      <c r="K19" s="80" t="s">
        <v>196</v>
      </c>
      <c r="L19" s="89" t="s">
        <v>427</v>
      </c>
      <c r="M19" s="156" t="s">
        <v>435</v>
      </c>
      <c r="N19" s="52" t="s">
        <v>198</v>
      </c>
    </row>
    <row r="20" spans="1:14" ht="42" x14ac:dyDescent="0.15">
      <c r="A20" s="77" t="s">
        <v>199</v>
      </c>
      <c r="B20" s="78">
        <v>39007</v>
      </c>
      <c r="E20" s="80">
        <v>1</v>
      </c>
      <c r="H20" s="81">
        <v>0</v>
      </c>
      <c r="I20" s="86">
        <f t="shared" si="0"/>
        <v>19</v>
      </c>
      <c r="J20" s="82" t="str">
        <f t="shared" si="1"/>
        <v>3900719</v>
      </c>
      <c r="K20" s="80" t="s">
        <v>196</v>
      </c>
      <c r="L20" s="89" t="s">
        <v>428</v>
      </c>
      <c r="M20" s="156" t="s">
        <v>436</v>
      </c>
      <c r="N20" s="52" t="s">
        <v>198</v>
      </c>
    </row>
    <row r="21" spans="1:14" ht="42" x14ac:dyDescent="0.15">
      <c r="A21" s="77" t="s">
        <v>199</v>
      </c>
      <c r="B21" s="78">
        <v>39007</v>
      </c>
      <c r="E21" s="80">
        <v>1</v>
      </c>
      <c r="H21" s="81">
        <v>0</v>
      </c>
      <c r="I21" s="86">
        <f t="shared" si="0"/>
        <v>20</v>
      </c>
      <c r="J21" s="82" t="str">
        <f t="shared" si="1"/>
        <v>3900720</v>
      </c>
      <c r="K21" s="80" t="s">
        <v>196</v>
      </c>
      <c r="L21" s="89" t="s">
        <v>429</v>
      </c>
      <c r="M21" s="156" t="s">
        <v>437</v>
      </c>
      <c r="N21" s="52" t="s">
        <v>198</v>
      </c>
    </row>
    <row r="22" spans="1:14" ht="42" x14ac:dyDescent="0.15">
      <c r="A22" s="77" t="s">
        <v>199</v>
      </c>
      <c r="B22" s="78">
        <v>39007</v>
      </c>
      <c r="E22" s="80">
        <v>2</v>
      </c>
      <c r="H22" s="81">
        <v>0</v>
      </c>
      <c r="I22" s="86">
        <f t="shared" si="0"/>
        <v>21</v>
      </c>
      <c r="J22" s="82" t="str">
        <f t="shared" si="1"/>
        <v>3900721</v>
      </c>
      <c r="K22" s="80" t="s">
        <v>196</v>
      </c>
      <c r="L22" s="89" t="s">
        <v>426</v>
      </c>
      <c r="M22" s="156" t="s">
        <v>434</v>
      </c>
      <c r="N22" s="52" t="s">
        <v>198</v>
      </c>
    </row>
    <row r="23" spans="1:14" ht="28" x14ac:dyDescent="0.15">
      <c r="A23" s="77" t="s">
        <v>199</v>
      </c>
      <c r="B23" s="78">
        <v>39007</v>
      </c>
      <c r="E23" s="80">
        <v>2</v>
      </c>
      <c r="H23" s="81">
        <v>0</v>
      </c>
      <c r="I23" s="86">
        <f t="shared" si="0"/>
        <v>22</v>
      </c>
      <c r="J23" s="82" t="str">
        <f t="shared" si="1"/>
        <v>3900722</v>
      </c>
      <c r="K23" s="80" t="s">
        <v>196</v>
      </c>
      <c r="L23" s="89" t="s">
        <v>427</v>
      </c>
      <c r="M23" s="156" t="s">
        <v>435</v>
      </c>
      <c r="N23" s="52" t="s">
        <v>198</v>
      </c>
    </row>
    <row r="24" spans="1:14" ht="42" x14ac:dyDescent="0.15">
      <c r="A24" s="77" t="s">
        <v>199</v>
      </c>
      <c r="B24" s="78">
        <v>39007</v>
      </c>
      <c r="E24" s="80">
        <v>2</v>
      </c>
      <c r="H24" s="81">
        <v>0</v>
      </c>
      <c r="I24" s="86">
        <f t="shared" si="0"/>
        <v>23</v>
      </c>
      <c r="J24" s="82" t="str">
        <f t="shared" si="1"/>
        <v>3900723</v>
      </c>
      <c r="K24" s="80" t="s">
        <v>196</v>
      </c>
      <c r="L24" s="89" t="s">
        <v>428</v>
      </c>
      <c r="M24" s="156" t="s">
        <v>436</v>
      </c>
      <c r="N24" s="52" t="s">
        <v>198</v>
      </c>
    </row>
    <row r="25" spans="1:14" ht="42" x14ac:dyDescent="0.15">
      <c r="A25" s="77" t="s">
        <v>199</v>
      </c>
      <c r="B25" s="78">
        <v>39007</v>
      </c>
      <c r="E25" s="80">
        <v>2</v>
      </c>
      <c r="H25" s="81">
        <v>0</v>
      </c>
      <c r="I25" s="86">
        <f t="shared" si="0"/>
        <v>24</v>
      </c>
      <c r="J25" s="82" t="str">
        <f t="shared" si="1"/>
        <v>3900724</v>
      </c>
      <c r="K25" s="80" t="s">
        <v>196</v>
      </c>
      <c r="L25" s="89" t="s">
        <v>429</v>
      </c>
      <c r="M25" s="156" t="s">
        <v>437</v>
      </c>
      <c r="N25" s="52" t="s">
        <v>198</v>
      </c>
    </row>
    <row r="26" spans="1:14" ht="42" x14ac:dyDescent="0.15">
      <c r="A26" s="77" t="s">
        <v>199</v>
      </c>
      <c r="B26" s="78">
        <v>39007</v>
      </c>
      <c r="E26" s="80">
        <v>3</v>
      </c>
      <c r="H26" s="81">
        <v>0</v>
      </c>
      <c r="I26" s="86">
        <f t="shared" si="0"/>
        <v>25</v>
      </c>
      <c r="J26" s="82" t="str">
        <f t="shared" si="1"/>
        <v>3900725</v>
      </c>
      <c r="K26" s="80" t="s">
        <v>196</v>
      </c>
      <c r="L26" s="89" t="s">
        <v>426</v>
      </c>
      <c r="M26" s="156" t="s">
        <v>434</v>
      </c>
      <c r="N26" s="52" t="s">
        <v>198</v>
      </c>
    </row>
    <row r="27" spans="1:14" ht="28" x14ac:dyDescent="0.15">
      <c r="A27" s="77" t="s">
        <v>199</v>
      </c>
      <c r="B27" s="78">
        <v>39007</v>
      </c>
      <c r="E27" s="80">
        <v>3</v>
      </c>
      <c r="H27" s="81">
        <v>0</v>
      </c>
      <c r="I27" s="86">
        <f t="shared" si="0"/>
        <v>26</v>
      </c>
      <c r="J27" s="82" t="str">
        <f t="shared" si="1"/>
        <v>3900726</v>
      </c>
      <c r="K27" s="80" t="s">
        <v>196</v>
      </c>
      <c r="L27" s="89" t="s">
        <v>427</v>
      </c>
      <c r="M27" s="156" t="s">
        <v>438</v>
      </c>
      <c r="N27" s="52" t="s">
        <v>439</v>
      </c>
    </row>
    <row r="28" spans="1:14" ht="42" x14ac:dyDescent="0.15">
      <c r="A28" s="77" t="s">
        <v>199</v>
      </c>
      <c r="B28" s="78">
        <v>39007</v>
      </c>
      <c r="E28" s="80">
        <v>3</v>
      </c>
      <c r="H28" s="81">
        <v>0</v>
      </c>
      <c r="I28" s="86">
        <f t="shared" si="0"/>
        <v>27</v>
      </c>
      <c r="J28" s="82" t="str">
        <f t="shared" si="1"/>
        <v>3900727</v>
      </c>
      <c r="K28" s="80" t="s">
        <v>196</v>
      </c>
      <c r="L28" s="89" t="s">
        <v>428</v>
      </c>
      <c r="M28" s="156" t="s">
        <v>440</v>
      </c>
      <c r="N28" s="52" t="s">
        <v>439</v>
      </c>
    </row>
    <row r="29" spans="1:14" ht="42" x14ac:dyDescent="0.15">
      <c r="A29" s="77" t="s">
        <v>199</v>
      </c>
      <c r="B29" s="78">
        <v>39007</v>
      </c>
      <c r="E29" s="80">
        <v>3</v>
      </c>
      <c r="H29" s="81">
        <v>0</v>
      </c>
      <c r="I29" s="86">
        <f t="shared" si="0"/>
        <v>28</v>
      </c>
      <c r="J29" s="82" t="str">
        <f t="shared" si="1"/>
        <v>3900728</v>
      </c>
      <c r="K29" s="80" t="s">
        <v>196</v>
      </c>
      <c r="L29" s="89" t="s">
        <v>429</v>
      </c>
      <c r="M29" s="156" t="s">
        <v>441</v>
      </c>
      <c r="N29" s="52" t="s">
        <v>439</v>
      </c>
    </row>
    <row r="30" spans="1:14" ht="42" x14ac:dyDescent="0.15">
      <c r="A30" s="77" t="s">
        <v>199</v>
      </c>
      <c r="B30" s="78">
        <v>39007</v>
      </c>
      <c r="E30" s="80">
        <v>4</v>
      </c>
      <c r="H30" s="81">
        <v>0</v>
      </c>
      <c r="I30" s="86">
        <f t="shared" si="0"/>
        <v>29</v>
      </c>
      <c r="J30" s="82" t="str">
        <f t="shared" si="1"/>
        <v>3900729</v>
      </c>
      <c r="K30" s="80" t="s">
        <v>196</v>
      </c>
      <c r="L30" s="89" t="s">
        <v>426</v>
      </c>
      <c r="M30" s="156" t="s">
        <v>442</v>
      </c>
      <c r="N30" s="52" t="s">
        <v>439</v>
      </c>
    </row>
    <row r="31" spans="1:14" ht="28" x14ac:dyDescent="0.15">
      <c r="A31" s="77" t="s">
        <v>199</v>
      </c>
      <c r="B31" s="78">
        <v>39007</v>
      </c>
      <c r="E31" s="80">
        <v>4</v>
      </c>
      <c r="H31" s="81">
        <v>0</v>
      </c>
      <c r="I31" s="86">
        <f t="shared" si="0"/>
        <v>30</v>
      </c>
      <c r="J31" s="82" t="str">
        <f t="shared" si="1"/>
        <v>3900730</v>
      </c>
      <c r="K31" s="80" t="s">
        <v>196</v>
      </c>
      <c r="L31" s="89" t="s">
        <v>427</v>
      </c>
      <c r="M31" s="156" t="s">
        <v>438</v>
      </c>
      <c r="N31" s="52" t="s">
        <v>439</v>
      </c>
    </row>
    <row r="32" spans="1:14" ht="42" x14ac:dyDescent="0.15">
      <c r="A32" s="77" t="s">
        <v>199</v>
      </c>
      <c r="B32" s="78">
        <v>39007</v>
      </c>
      <c r="E32" s="80">
        <v>4</v>
      </c>
      <c r="H32" s="81">
        <v>0</v>
      </c>
      <c r="I32" s="86">
        <f t="shared" si="0"/>
        <v>31</v>
      </c>
      <c r="J32" s="82" t="str">
        <f t="shared" si="1"/>
        <v>3900731</v>
      </c>
      <c r="K32" s="80" t="s">
        <v>196</v>
      </c>
      <c r="L32" s="89" t="s">
        <v>428</v>
      </c>
      <c r="M32" s="156" t="s">
        <v>440</v>
      </c>
      <c r="N32" s="52" t="s">
        <v>439</v>
      </c>
    </row>
    <row r="33" spans="1:14" ht="42" x14ac:dyDescent="0.15">
      <c r="A33" s="77" t="s">
        <v>199</v>
      </c>
      <c r="B33" s="78">
        <v>39007</v>
      </c>
      <c r="E33" s="80">
        <v>4</v>
      </c>
      <c r="H33" s="81">
        <v>0</v>
      </c>
      <c r="I33" s="86">
        <f t="shared" si="0"/>
        <v>32</v>
      </c>
      <c r="J33" s="82" t="str">
        <f t="shared" si="1"/>
        <v>3900732</v>
      </c>
      <c r="K33" s="80" t="s">
        <v>196</v>
      </c>
      <c r="L33" s="89" t="s">
        <v>429</v>
      </c>
      <c r="M33" s="156" t="s">
        <v>441</v>
      </c>
      <c r="N33" s="52" t="s">
        <v>439</v>
      </c>
    </row>
  </sheetData>
  <phoneticPr fontId="5"/>
  <dataValidations count="1">
    <dataValidation type="list" allowBlank="1" showInputMessage="1" showErrorMessage="1" sqref="A2:A3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F27" sqref="F27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216</v>
      </c>
      <c r="B1" s="94" t="s">
        <v>217</v>
      </c>
      <c r="C1" s="73" t="s">
        <v>218</v>
      </c>
      <c r="D1" s="73" t="s">
        <v>33</v>
      </c>
      <c r="E1" s="94" t="s">
        <v>219</v>
      </c>
      <c r="F1" s="73" t="s">
        <v>220</v>
      </c>
      <c r="G1" s="73" t="s">
        <v>33</v>
      </c>
      <c r="H1" s="94" t="s">
        <v>221</v>
      </c>
      <c r="I1" s="94" t="s">
        <v>222</v>
      </c>
      <c r="J1" s="94" t="s">
        <v>223</v>
      </c>
      <c r="K1" s="69" t="s">
        <v>224</v>
      </c>
      <c r="L1" s="69" t="s">
        <v>225</v>
      </c>
      <c r="M1" s="69" t="s">
        <v>154</v>
      </c>
      <c r="N1" s="73" t="s">
        <v>16</v>
      </c>
      <c r="O1" s="69" t="s">
        <v>226</v>
      </c>
      <c r="P1" s="69" t="s">
        <v>57</v>
      </c>
      <c r="Q1" s="69" t="s">
        <v>227</v>
      </c>
      <c r="R1" s="69" t="s">
        <v>38</v>
      </c>
      <c r="S1" s="69" t="s">
        <v>40</v>
      </c>
      <c r="T1" s="69" t="s">
        <v>42</v>
      </c>
      <c r="U1" s="69" t="s">
        <v>44</v>
      </c>
      <c r="V1" s="69" t="s">
        <v>46</v>
      </c>
      <c r="W1" s="69" t="s">
        <v>228</v>
      </c>
      <c r="X1" s="69" t="s">
        <v>229</v>
      </c>
    </row>
    <row r="2" spans="1:24" x14ac:dyDescent="0.15">
      <c r="A2" s="95" t="str">
        <f>B2&amp;"_"&amp;E2&amp;"_"&amp;H2&amp;"_"&amp;I2&amp;"_"&amp;J2</f>
        <v>65535_7_everyone_clear_1</v>
      </c>
      <c r="B2" s="78">
        <v>65535</v>
      </c>
      <c r="C2" s="79" t="str">
        <f ca="1">VLOOKUP($B2,OFFSET([2]quests!$A$1,0,0,COUNTA([2]quests!$A:$A),MATCH(C$1,[2]quests!$1:$1,0)-MATCH($B$1,[2]quests!$1:$1,0)+1),MATCH(C$1,[2]quests!$1:$1,0)-MATCH($B$1,[2]quests!$1:$1,0)+1,FALSE)</f>
        <v>検証クエスト</v>
      </c>
      <c r="D2" s="79" t="str">
        <f ca="1">VLOOKUP($B2,OFFSET([2]quests!$A$1,0,0,COUNTA([2]quests!$A:$A),MATCH(D$1,[2]quests!$1:$1,0)-MATCH($B$1,[2]quests!$1:$1,0)+1),MATCH(D$1,[2]quests!$1:$1,0)-MATCH($B$1,[2]quests!$1:$1,0)+1,FALSE)</f>
        <v>検証</v>
      </c>
      <c r="E2" s="80">
        <v>7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爆風ジャンヌ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検証</v>
      </c>
      <c r="H2" s="81" t="s">
        <v>230</v>
      </c>
      <c r="I2" s="80" t="s">
        <v>231</v>
      </c>
      <c r="J2" s="80">
        <v>1</v>
      </c>
      <c r="K2" s="80">
        <v>610</v>
      </c>
      <c r="L2" s="80" t="s">
        <v>232</v>
      </c>
      <c r="M2" s="80">
        <v>334</v>
      </c>
      <c r="N2" s="9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2" s="80">
        <v>1</v>
      </c>
      <c r="P2" s="80">
        <v>1</v>
      </c>
      <c r="Q2" s="80">
        <v>1</v>
      </c>
      <c r="R2" s="80">
        <v>0</v>
      </c>
      <c r="S2" s="80">
        <v>0</v>
      </c>
      <c r="T2" s="80">
        <v>0</v>
      </c>
      <c r="U2" s="80">
        <v>0</v>
      </c>
      <c r="V2" s="80">
        <v>1</v>
      </c>
      <c r="W2" s="97" t="s">
        <v>233</v>
      </c>
      <c r="X2" s="98" t="s">
        <v>234</v>
      </c>
    </row>
    <row r="3" spans="1:24" x14ac:dyDescent="0.15">
      <c r="A3" s="95" t="str">
        <f>B3&amp;"_"&amp;E3&amp;"_"&amp;H3&amp;"_"&amp;I3&amp;"_"&amp;J3</f>
        <v>65535_7_everyone_no_continue_1</v>
      </c>
      <c r="B3" s="78">
        <v>65535</v>
      </c>
      <c r="C3" s="79" t="str">
        <f ca="1">VLOOKUP($B3,OFFSET([2]quests!$A$1,0,0,COUNTA([2]quests!$A:$A),MATCH(C$1,[2]quests!$1:$1,0)-MATCH($B$1,[2]quests!$1:$1,0)+1),MATCH(C$1,[2]quests!$1:$1,0)-MATCH($B$1,[2]quests!$1:$1,0)+1,FALSE)</f>
        <v>検証クエスト</v>
      </c>
      <c r="D3" s="79" t="str">
        <f ca="1">VLOOKUP($B3,OFFSET([2]quests!$A$1,0,0,COUNTA([2]quests!$A:$A),MATCH(D$1,[2]quests!$1:$1,0)-MATCH($B$1,[2]quests!$1:$1,0)+1),MATCH(D$1,[2]quests!$1:$1,0)-MATCH($B$1,[2]quests!$1:$1,0)+1,FALSE)</f>
        <v>検証</v>
      </c>
      <c r="E3" s="80">
        <v>7</v>
      </c>
      <c r="F3" s="79" t="str">
        <f ca="1">VLOOKUP($B3&amp;"_"&amp;$E3,OFFSET([2]stages!$A$1,0,0,COUNTA([2]stages!$A:$A),MATCH(F$1,[2]stages!$2:$2,0)-MATCH("temp_stage",[2]stages!$2:$2,0)+1),MATCH(F$1,[2]stages!$2:$2,0)-MATCH("temp_stage",[2]stages!$2:$2,0)+1,FALSE)</f>
        <v>爆風ジャンヌ</v>
      </c>
      <c r="G3" s="79" t="str">
        <f ca="1">VLOOKUP($B3&amp;"_"&amp;$E3,OFFSET([2]stages!$A$1,0,0,COUNTA([2]stages!$A:$A),MATCH(G$1,[2]stages!$2:$2,0)-MATCH("temp_stage",[2]stages!$2:$2,0)+1),MATCH(G$1,[2]stages!$2:$2,0)-MATCH("temp_stage",[2]stages!$2:$2,0)+1,FALSE)</f>
        <v>検証</v>
      </c>
      <c r="H3" s="81" t="s">
        <v>230</v>
      </c>
      <c r="I3" s="80" t="s">
        <v>235</v>
      </c>
      <c r="J3" s="80">
        <v>1</v>
      </c>
      <c r="K3" s="80">
        <v>610</v>
      </c>
      <c r="L3" s="80" t="s">
        <v>232</v>
      </c>
      <c r="M3" s="80">
        <v>334</v>
      </c>
      <c r="N3" s="96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3" s="80">
        <v>1</v>
      </c>
      <c r="P3" s="80">
        <v>1</v>
      </c>
      <c r="Q3" s="80">
        <v>1</v>
      </c>
      <c r="R3" s="80">
        <v>0</v>
      </c>
      <c r="S3" s="80">
        <v>0</v>
      </c>
      <c r="T3" s="80">
        <v>0</v>
      </c>
      <c r="U3" s="80">
        <v>0</v>
      </c>
      <c r="V3" s="80">
        <v>1</v>
      </c>
      <c r="W3" s="97" t="s">
        <v>233</v>
      </c>
      <c r="X3" s="98" t="s">
        <v>234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2016-08-16T05:38:44Z</dcterms:modified>
</cp:coreProperties>
</file>