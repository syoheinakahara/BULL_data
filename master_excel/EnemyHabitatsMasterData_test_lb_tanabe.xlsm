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4080" yWindow="860" windowWidth="31840" windowHeight="19540" tabRatio="740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4" i="1" l="1"/>
  <c r="AF4" i="1"/>
  <c r="AI4" i="1"/>
  <c r="AG4" i="1"/>
  <c r="AE4" i="1"/>
  <c r="AC4" i="1"/>
  <c r="X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AD3" i="1"/>
  <c r="AF3" i="1"/>
  <c r="AI3" i="1"/>
  <c r="AG3" i="1"/>
  <c r="AE3" i="1"/>
  <c r="AC3" i="1"/>
  <c r="X3" i="1"/>
  <c r="V3" i="1"/>
  <c r="T3" i="1"/>
  <c r="Q3" i="1"/>
  <c r="P3" i="1"/>
  <c r="O3" i="1"/>
  <c r="N3" i="1"/>
  <c r="M3" i="1"/>
  <c r="H3" i="1"/>
  <c r="J3" i="1"/>
  <c r="I3" i="1"/>
  <c r="D3" i="1"/>
  <c r="F3" i="1"/>
  <c r="E3" i="1"/>
  <c r="A3" i="1"/>
  <c r="B3" i="21"/>
  <c r="C3" i="21"/>
  <c r="D3" i="21"/>
  <c r="F3" i="21"/>
  <c r="G3" i="21"/>
  <c r="I3" i="21"/>
  <c r="J3" i="21"/>
  <c r="B4" i="21"/>
  <c r="C4" i="21"/>
  <c r="D4" i="21"/>
  <c r="F4" i="21"/>
  <c r="G4" i="21"/>
  <c r="I4" i="21"/>
  <c r="J4" i="21"/>
  <c r="B5" i="21"/>
  <c r="C5" i="21"/>
  <c r="D5" i="21"/>
  <c r="F5" i="21"/>
  <c r="G5" i="21"/>
  <c r="I5" i="21"/>
  <c r="J5" i="21"/>
  <c r="B6" i="21"/>
  <c r="C6" i="21"/>
  <c r="D6" i="21"/>
  <c r="F6" i="21"/>
  <c r="G6" i="21"/>
  <c r="I6" i="21"/>
  <c r="J6" i="21"/>
  <c r="B7" i="21"/>
  <c r="C7" i="21"/>
  <c r="D7" i="21"/>
  <c r="F7" i="21"/>
  <c r="G7" i="21"/>
  <c r="I7" i="21"/>
  <c r="J7" i="21"/>
  <c r="B8" i="21"/>
  <c r="C8" i="21"/>
  <c r="D8" i="21"/>
  <c r="F8" i="21"/>
  <c r="G8" i="21"/>
  <c r="I8" i="21"/>
  <c r="J8" i="21"/>
  <c r="B9" i="21"/>
  <c r="C9" i="21"/>
  <c r="D9" i="21"/>
  <c r="F9" i="21"/>
  <c r="G9" i="21"/>
  <c r="I9" i="21"/>
  <c r="J9" i="21"/>
  <c r="B10" i="21"/>
  <c r="C10" i="21"/>
  <c r="D10" i="21"/>
  <c r="F10" i="21"/>
  <c r="G10" i="21"/>
  <c r="I10" i="21"/>
  <c r="J10" i="21"/>
  <c r="B11" i="21"/>
  <c r="C11" i="21"/>
  <c r="D11" i="21"/>
  <c r="F11" i="21"/>
  <c r="G11" i="21"/>
  <c r="I11" i="21"/>
  <c r="J11" i="21"/>
  <c r="B12" i="21"/>
  <c r="C12" i="21"/>
  <c r="D12" i="21"/>
  <c r="F12" i="21"/>
  <c r="G12" i="21"/>
  <c r="I12" i="21"/>
  <c r="J12" i="21"/>
  <c r="B13" i="21"/>
  <c r="C13" i="21"/>
  <c r="D13" i="21"/>
  <c r="F13" i="21"/>
  <c r="G13" i="21"/>
  <c r="I13" i="21"/>
  <c r="J13" i="21"/>
  <c r="B14" i="21"/>
  <c r="C14" i="21"/>
  <c r="D14" i="21"/>
  <c r="F14" i="21"/>
  <c r="G14" i="21"/>
  <c r="I14" i="21"/>
  <c r="J14" i="21"/>
  <c r="B15" i="21"/>
  <c r="C15" i="21"/>
  <c r="D15" i="21"/>
  <c r="F15" i="21"/>
  <c r="G15" i="21"/>
  <c r="I15" i="21"/>
  <c r="J15" i="21"/>
  <c r="B16" i="21"/>
  <c r="C16" i="21"/>
  <c r="D16" i="21"/>
  <c r="F16" i="21"/>
  <c r="G16" i="21"/>
  <c r="I16" i="21"/>
  <c r="J16" i="21"/>
  <c r="B17" i="21"/>
  <c r="C17" i="21"/>
  <c r="D17" i="21"/>
  <c r="F17" i="21"/>
  <c r="G17" i="21"/>
  <c r="I17" i="21"/>
  <c r="J17" i="21"/>
  <c r="B18" i="21"/>
  <c r="C18" i="21"/>
  <c r="D18" i="21"/>
  <c r="F18" i="21"/>
  <c r="G18" i="21"/>
  <c r="I18" i="21"/>
  <c r="J18" i="21"/>
  <c r="B19" i="21"/>
  <c r="C19" i="21"/>
  <c r="D19" i="21"/>
  <c r="F19" i="21"/>
  <c r="G19" i="21"/>
  <c r="I19" i="21"/>
  <c r="J19" i="21"/>
  <c r="B20" i="21"/>
  <c r="C20" i="21"/>
  <c r="D20" i="21"/>
  <c r="F20" i="21"/>
  <c r="G20" i="21"/>
  <c r="I20" i="21"/>
  <c r="J20" i="21"/>
  <c r="B21" i="21"/>
  <c r="C21" i="21"/>
  <c r="D21" i="21"/>
  <c r="F21" i="21"/>
  <c r="G21" i="21"/>
  <c r="I21" i="21"/>
  <c r="J21" i="21"/>
  <c r="B22" i="21"/>
  <c r="C22" i="21"/>
  <c r="D22" i="21"/>
  <c r="F22" i="21"/>
  <c r="G22" i="21"/>
  <c r="I22" i="21"/>
  <c r="J22" i="21"/>
  <c r="B23" i="21"/>
  <c r="C23" i="21"/>
  <c r="D23" i="21"/>
  <c r="F23" i="21"/>
  <c r="G23" i="21"/>
  <c r="I23" i="21"/>
  <c r="J23" i="21"/>
  <c r="B24" i="21"/>
  <c r="C24" i="21"/>
  <c r="D24" i="21"/>
  <c r="F24" i="21"/>
  <c r="G24" i="21"/>
  <c r="I24" i="21"/>
  <c r="J24" i="21"/>
  <c r="B25" i="21"/>
  <c r="C25" i="21"/>
  <c r="D25" i="21"/>
  <c r="F25" i="21"/>
  <c r="G25" i="21"/>
  <c r="I25" i="21"/>
  <c r="J25" i="21"/>
  <c r="B26" i="21"/>
  <c r="C26" i="21"/>
  <c r="D26" i="21"/>
  <c r="F26" i="21"/>
  <c r="G26" i="21"/>
  <c r="I26" i="21"/>
  <c r="J26" i="21"/>
  <c r="B27" i="21"/>
  <c r="C27" i="21"/>
  <c r="D27" i="21"/>
  <c r="F27" i="21"/>
  <c r="G27" i="21"/>
  <c r="I27" i="21"/>
  <c r="J27" i="21"/>
  <c r="B28" i="21"/>
  <c r="C28" i="21"/>
  <c r="D28" i="21"/>
  <c r="F28" i="21"/>
  <c r="G28" i="21"/>
  <c r="I28" i="21"/>
  <c r="J28" i="21"/>
  <c r="B29" i="21"/>
  <c r="C29" i="21"/>
  <c r="D29" i="21"/>
  <c r="F29" i="21"/>
  <c r="G29" i="21"/>
  <c r="I29" i="21"/>
  <c r="J29" i="21"/>
  <c r="B30" i="21"/>
  <c r="C30" i="21"/>
  <c r="D30" i="21"/>
  <c r="F30" i="21"/>
  <c r="G30" i="21"/>
  <c r="I30" i="21"/>
  <c r="J30" i="21"/>
  <c r="B31" i="21"/>
  <c r="C31" i="21"/>
  <c r="D31" i="21"/>
  <c r="F31" i="21"/>
  <c r="G31" i="21"/>
  <c r="I31" i="21"/>
  <c r="J31" i="21"/>
  <c r="B32" i="21"/>
  <c r="C32" i="21"/>
  <c r="D32" i="21"/>
  <c r="F32" i="21"/>
  <c r="G32" i="21"/>
  <c r="I32" i="21"/>
  <c r="J32" i="21"/>
  <c r="B33" i="21"/>
  <c r="C33" i="21"/>
  <c r="D33" i="21"/>
  <c r="F33" i="21"/>
  <c r="G33" i="21"/>
  <c r="I33" i="21"/>
  <c r="J33" i="21"/>
  <c r="B34" i="21"/>
  <c r="C34" i="21"/>
  <c r="D34" i="21"/>
  <c r="F34" i="21"/>
  <c r="G34" i="21"/>
  <c r="I34" i="21"/>
  <c r="J34" i="21"/>
  <c r="B35" i="21"/>
  <c r="C35" i="21"/>
  <c r="D35" i="21"/>
  <c r="F35" i="21"/>
  <c r="G35" i="21"/>
  <c r="I35" i="21"/>
  <c r="J35" i="21"/>
  <c r="B36" i="21"/>
  <c r="C36" i="21"/>
  <c r="D36" i="21"/>
  <c r="F36" i="21"/>
  <c r="G36" i="21"/>
  <c r="I36" i="21"/>
  <c r="J36" i="21"/>
  <c r="B37" i="21"/>
  <c r="C37" i="21"/>
  <c r="D37" i="21"/>
  <c r="F37" i="21"/>
  <c r="G37" i="21"/>
  <c r="I37" i="21"/>
  <c r="J37" i="21"/>
  <c r="B38" i="21"/>
  <c r="C38" i="21"/>
  <c r="D38" i="21"/>
  <c r="F38" i="21"/>
  <c r="G38" i="21"/>
  <c r="I38" i="21"/>
  <c r="J38" i="21"/>
  <c r="B39" i="21"/>
  <c r="C39" i="21"/>
  <c r="D39" i="21"/>
  <c r="F39" i="21"/>
  <c r="G39" i="21"/>
  <c r="I39" i="21"/>
  <c r="J39" i="21"/>
  <c r="B40" i="21"/>
  <c r="C40" i="21"/>
  <c r="D40" i="21"/>
  <c r="F40" i="21"/>
  <c r="G40" i="21"/>
  <c r="I40" i="21"/>
  <c r="J40" i="21"/>
  <c r="B41" i="21"/>
  <c r="C41" i="21"/>
  <c r="D41" i="21"/>
  <c r="F41" i="21"/>
  <c r="G41" i="21"/>
  <c r="I41" i="21"/>
  <c r="J41" i="21"/>
  <c r="B42" i="21"/>
  <c r="C42" i="21"/>
  <c r="D42" i="21"/>
  <c r="F42" i="21"/>
  <c r="G42" i="21"/>
  <c r="I42" i="21"/>
  <c r="J42" i="21"/>
  <c r="B43" i="21"/>
  <c r="C43" i="21"/>
  <c r="D43" i="21"/>
  <c r="F43" i="21"/>
  <c r="G43" i="21"/>
  <c r="I43" i="21"/>
  <c r="J43" i="21"/>
  <c r="B44" i="21"/>
  <c r="C44" i="21"/>
  <c r="D44" i="21"/>
  <c r="F44" i="21"/>
  <c r="G44" i="21"/>
  <c r="I44" i="21"/>
  <c r="J44" i="21"/>
  <c r="B45" i="21"/>
  <c r="C45" i="21"/>
  <c r="D45" i="21"/>
  <c r="F45" i="21"/>
  <c r="G45" i="21"/>
  <c r="I45" i="21"/>
  <c r="J45" i="21"/>
  <c r="B46" i="21"/>
  <c r="C46" i="21"/>
  <c r="D46" i="21"/>
  <c r="F46" i="21"/>
  <c r="G46" i="21"/>
  <c r="I46" i="21"/>
  <c r="J46" i="21"/>
  <c r="B47" i="21"/>
  <c r="C47" i="21"/>
  <c r="D47" i="21"/>
  <c r="F47" i="21"/>
  <c r="G47" i="21"/>
  <c r="I47" i="21"/>
  <c r="J47" i="21"/>
  <c r="B48" i="21"/>
  <c r="C48" i="21"/>
  <c r="D48" i="21"/>
  <c r="F48" i="21"/>
  <c r="G48" i="21"/>
  <c r="I48" i="21"/>
  <c r="J48" i="21"/>
  <c r="B49" i="21"/>
  <c r="C49" i="21"/>
  <c r="D49" i="21"/>
  <c r="F49" i="21"/>
  <c r="G49" i="21"/>
  <c r="I49" i="21"/>
  <c r="J49" i="21"/>
  <c r="B50" i="21"/>
  <c r="C50" i="21"/>
  <c r="D50" i="21"/>
  <c r="F50" i="21"/>
  <c r="G50" i="21"/>
  <c r="I50" i="21"/>
  <c r="J50" i="21"/>
  <c r="B51" i="21"/>
  <c r="C51" i="21"/>
  <c r="D51" i="21"/>
  <c r="F51" i="21"/>
  <c r="G51" i="21"/>
  <c r="I51" i="21"/>
  <c r="J51" i="21"/>
  <c r="B52" i="21"/>
  <c r="C52" i="21"/>
  <c r="D52" i="21"/>
  <c r="F52" i="21"/>
  <c r="G52" i="21"/>
  <c r="I52" i="21"/>
  <c r="J52" i="21"/>
  <c r="B53" i="21"/>
  <c r="C53" i="21"/>
  <c r="D53" i="21"/>
  <c r="F53" i="21"/>
  <c r="G53" i="21"/>
  <c r="I53" i="21"/>
  <c r="J53" i="21"/>
  <c r="B54" i="21"/>
  <c r="C54" i="21"/>
  <c r="D54" i="21"/>
  <c r="F54" i="21"/>
  <c r="G54" i="21"/>
  <c r="I54" i="21"/>
  <c r="J54" i="21"/>
  <c r="B55" i="21"/>
  <c r="C55" i="21"/>
  <c r="D55" i="21"/>
  <c r="F55" i="21"/>
  <c r="G55" i="21"/>
  <c r="I55" i="21"/>
  <c r="J55" i="21"/>
  <c r="B56" i="21"/>
  <c r="C56" i="21"/>
  <c r="D56" i="21"/>
  <c r="F56" i="21"/>
  <c r="G56" i="21"/>
  <c r="I56" i="21"/>
  <c r="J56" i="21"/>
  <c r="B57" i="21"/>
  <c r="C57" i="21"/>
  <c r="D57" i="21"/>
  <c r="F57" i="21"/>
  <c r="G57" i="21"/>
  <c r="I57" i="21"/>
  <c r="J57" i="21"/>
  <c r="B58" i="21"/>
  <c r="C58" i="21"/>
  <c r="D58" i="21"/>
  <c r="F58" i="21"/>
  <c r="G58" i="21"/>
  <c r="I58" i="21"/>
  <c r="J58" i="21"/>
  <c r="B59" i="21"/>
  <c r="C59" i="21"/>
  <c r="D59" i="21"/>
  <c r="F59" i="21"/>
  <c r="G59" i="21"/>
  <c r="I59" i="21"/>
  <c r="J59" i="21"/>
  <c r="B60" i="21"/>
  <c r="C60" i="21"/>
  <c r="D60" i="21"/>
  <c r="F60" i="21"/>
  <c r="G60" i="21"/>
  <c r="I60" i="21"/>
  <c r="J60" i="21"/>
  <c r="B61" i="21"/>
  <c r="C61" i="21"/>
  <c r="D61" i="21"/>
  <c r="F61" i="21"/>
  <c r="G61" i="21"/>
  <c r="I61" i="21"/>
  <c r="J61" i="21"/>
  <c r="B62" i="21"/>
  <c r="C62" i="21"/>
  <c r="D62" i="21"/>
  <c r="F62" i="21"/>
  <c r="G62" i="21"/>
  <c r="I62" i="21"/>
  <c r="J62" i="21"/>
  <c r="B63" i="21"/>
  <c r="C63" i="21"/>
  <c r="D63" i="21"/>
  <c r="F63" i="21"/>
  <c r="G63" i="21"/>
  <c r="I63" i="21"/>
  <c r="J63" i="21"/>
  <c r="B64" i="21"/>
  <c r="C64" i="21"/>
  <c r="D64" i="21"/>
  <c r="F64" i="21"/>
  <c r="G64" i="21"/>
  <c r="I64" i="21"/>
  <c r="J64" i="21"/>
  <c r="B65" i="21"/>
  <c r="C65" i="21"/>
  <c r="D65" i="21"/>
  <c r="F65" i="21"/>
  <c r="G65" i="21"/>
  <c r="I65" i="21"/>
  <c r="J65" i="21"/>
  <c r="B66" i="21"/>
  <c r="C66" i="21"/>
  <c r="D66" i="21"/>
  <c r="F66" i="21"/>
  <c r="G66" i="21"/>
  <c r="I66" i="21"/>
  <c r="J66" i="21"/>
  <c r="B67" i="21"/>
  <c r="C67" i="21"/>
  <c r="D67" i="21"/>
  <c r="F67" i="21"/>
  <c r="G67" i="21"/>
  <c r="I67" i="21"/>
  <c r="J67" i="21"/>
  <c r="B68" i="21"/>
  <c r="C68" i="21"/>
  <c r="D68" i="21"/>
  <c r="F68" i="21"/>
  <c r="G68" i="21"/>
  <c r="I68" i="21"/>
  <c r="J68" i="21"/>
  <c r="B69" i="21"/>
  <c r="C69" i="21"/>
  <c r="D69" i="21"/>
  <c r="F69" i="21"/>
  <c r="G69" i="21"/>
  <c r="I69" i="21"/>
  <c r="J69" i="21"/>
  <c r="B70" i="21"/>
  <c r="C70" i="21"/>
  <c r="D70" i="21"/>
  <c r="F70" i="21"/>
  <c r="G70" i="21"/>
  <c r="I70" i="21"/>
  <c r="J70" i="21"/>
  <c r="B71" i="21"/>
  <c r="C71" i="21"/>
  <c r="D71" i="21"/>
  <c r="F71" i="21"/>
  <c r="G71" i="21"/>
  <c r="I71" i="21"/>
  <c r="J71" i="21"/>
  <c r="B72" i="21"/>
  <c r="C72" i="21"/>
  <c r="D72" i="21"/>
  <c r="F72" i="21"/>
  <c r="G72" i="21"/>
  <c r="I72" i="21"/>
  <c r="J72" i="21"/>
  <c r="B73" i="21"/>
  <c r="C73" i="21"/>
  <c r="D73" i="21"/>
  <c r="F73" i="21"/>
  <c r="G73" i="21"/>
  <c r="I73" i="21"/>
  <c r="J73" i="21"/>
  <c r="B74" i="21"/>
  <c r="C74" i="21"/>
  <c r="D74" i="21"/>
  <c r="F74" i="21"/>
  <c r="G74" i="21"/>
  <c r="I74" i="21"/>
  <c r="J74" i="21"/>
  <c r="B75" i="21"/>
  <c r="C75" i="21"/>
  <c r="D75" i="21"/>
  <c r="F75" i="21"/>
  <c r="G75" i="21"/>
  <c r="I75" i="21"/>
  <c r="J75" i="21"/>
  <c r="B76" i="21"/>
  <c r="C76" i="21"/>
  <c r="D76" i="21"/>
  <c r="F76" i="21"/>
  <c r="G76" i="21"/>
  <c r="I76" i="21"/>
  <c r="J76" i="21"/>
  <c r="B77" i="21"/>
  <c r="C77" i="21"/>
  <c r="D77" i="21"/>
  <c r="F77" i="21"/>
  <c r="G77" i="21"/>
  <c r="I77" i="21"/>
  <c r="J77" i="21"/>
  <c r="B78" i="21"/>
  <c r="C78" i="21"/>
  <c r="D78" i="21"/>
  <c r="F78" i="21"/>
  <c r="G78" i="21"/>
  <c r="I78" i="21"/>
  <c r="J78" i="21"/>
  <c r="B79" i="21"/>
  <c r="C79" i="21"/>
  <c r="D79" i="21"/>
  <c r="F79" i="21"/>
  <c r="G79" i="21"/>
  <c r="I79" i="21"/>
  <c r="J79" i="21"/>
  <c r="B80" i="21"/>
  <c r="C80" i="21"/>
  <c r="D80" i="21"/>
  <c r="F80" i="21"/>
  <c r="G80" i="21"/>
  <c r="I80" i="21"/>
  <c r="J80" i="21"/>
  <c r="B81" i="21"/>
  <c r="C81" i="21"/>
  <c r="D81" i="21"/>
  <c r="F81" i="21"/>
  <c r="G81" i="21"/>
  <c r="I81" i="21"/>
  <c r="J81" i="21"/>
  <c r="B82" i="21"/>
  <c r="C82" i="21"/>
  <c r="D82" i="21"/>
  <c r="F82" i="21"/>
  <c r="G82" i="21"/>
  <c r="I82" i="21"/>
  <c r="J82" i="21"/>
  <c r="B83" i="21"/>
  <c r="C83" i="21"/>
  <c r="D83" i="21"/>
  <c r="F83" i="21"/>
  <c r="G83" i="21"/>
  <c r="I83" i="21"/>
  <c r="J83" i="21"/>
  <c r="B84" i="21"/>
  <c r="C84" i="21"/>
  <c r="D84" i="21"/>
  <c r="F84" i="21"/>
  <c r="G84" i="21"/>
  <c r="I84" i="21"/>
  <c r="J84" i="21"/>
  <c r="B85" i="21"/>
  <c r="C85" i="21"/>
  <c r="D85" i="21"/>
  <c r="F85" i="21"/>
  <c r="G85" i="21"/>
  <c r="I85" i="21"/>
  <c r="J85" i="21"/>
  <c r="B86" i="21"/>
  <c r="C86" i="21"/>
  <c r="D86" i="21"/>
  <c r="F86" i="21"/>
  <c r="G86" i="21"/>
  <c r="I86" i="21"/>
  <c r="J86" i="21"/>
  <c r="B87" i="21"/>
  <c r="C87" i="21"/>
  <c r="D87" i="21"/>
  <c r="F87" i="21"/>
  <c r="G87" i="21"/>
  <c r="I87" i="21"/>
  <c r="J87" i="21"/>
  <c r="B88" i="21"/>
  <c r="C88" i="21"/>
  <c r="D88" i="21"/>
  <c r="F88" i="21"/>
  <c r="G88" i="21"/>
  <c r="I88" i="21"/>
  <c r="J88" i="21"/>
  <c r="B89" i="21"/>
  <c r="C89" i="21"/>
  <c r="D89" i="21"/>
  <c r="F89" i="21"/>
  <c r="G89" i="21"/>
  <c r="I89" i="21"/>
  <c r="J89" i="21"/>
  <c r="B90" i="21"/>
  <c r="C90" i="21"/>
  <c r="D90" i="21"/>
  <c r="F90" i="21"/>
  <c r="G90" i="21"/>
  <c r="I90" i="21"/>
  <c r="J90" i="21"/>
  <c r="B91" i="21"/>
  <c r="C91" i="21"/>
  <c r="D91" i="21"/>
  <c r="F91" i="21"/>
  <c r="G91" i="21"/>
  <c r="I91" i="21"/>
  <c r="J91" i="21"/>
  <c r="B92" i="21"/>
  <c r="C92" i="21"/>
  <c r="D92" i="21"/>
  <c r="F92" i="21"/>
  <c r="G92" i="21"/>
  <c r="I92" i="21"/>
  <c r="J92" i="21"/>
  <c r="B93" i="21"/>
  <c r="C93" i="21"/>
  <c r="D93" i="21"/>
  <c r="F93" i="21"/>
  <c r="G93" i="21"/>
  <c r="I93" i="21"/>
  <c r="J93" i="21"/>
  <c r="B94" i="21"/>
  <c r="C94" i="21"/>
  <c r="D94" i="21"/>
  <c r="F94" i="21"/>
  <c r="G94" i="21"/>
  <c r="I94" i="21"/>
  <c r="J94" i="21"/>
  <c r="B95" i="21"/>
  <c r="C95" i="21"/>
  <c r="D95" i="21"/>
  <c r="F95" i="21"/>
  <c r="G95" i="21"/>
  <c r="I95" i="21"/>
  <c r="J95" i="21"/>
  <c r="B96" i="21"/>
  <c r="C96" i="21"/>
  <c r="D96" i="21"/>
  <c r="F96" i="21"/>
  <c r="G96" i="21"/>
  <c r="I96" i="21"/>
  <c r="J96" i="21"/>
  <c r="B97" i="21"/>
  <c r="C97" i="21"/>
  <c r="D97" i="21"/>
  <c r="F97" i="21"/>
  <c r="G97" i="21"/>
  <c r="I97" i="21"/>
  <c r="J97" i="21"/>
  <c r="B98" i="21"/>
  <c r="C98" i="21"/>
  <c r="D98" i="21"/>
  <c r="F98" i="21"/>
  <c r="G98" i="21"/>
  <c r="I98" i="21"/>
  <c r="J98" i="21"/>
  <c r="B99" i="21"/>
  <c r="C99" i="21"/>
  <c r="D99" i="21"/>
  <c r="F99" i="21"/>
  <c r="G99" i="21"/>
  <c r="I99" i="21"/>
  <c r="J99" i="21"/>
  <c r="B100" i="21"/>
  <c r="C100" i="21"/>
  <c r="D100" i="21"/>
  <c r="F100" i="21"/>
  <c r="G100" i="21"/>
  <c r="I100" i="21"/>
  <c r="J100" i="21"/>
  <c r="B101" i="21"/>
  <c r="C101" i="21"/>
  <c r="D101" i="21"/>
  <c r="F101" i="21"/>
  <c r="G101" i="21"/>
  <c r="I101" i="21"/>
  <c r="J101" i="21"/>
  <c r="B102" i="21"/>
  <c r="C102" i="21"/>
  <c r="D102" i="21"/>
  <c r="F102" i="21"/>
  <c r="G102" i="21"/>
  <c r="I102" i="21"/>
  <c r="J102" i="21"/>
  <c r="B103" i="21"/>
  <c r="C103" i="21"/>
  <c r="D103" i="21"/>
  <c r="F103" i="21"/>
  <c r="G103" i="21"/>
  <c r="I103" i="21"/>
  <c r="J103" i="21"/>
  <c r="B104" i="21"/>
  <c r="C104" i="21"/>
  <c r="D104" i="21"/>
  <c r="F104" i="21"/>
  <c r="G104" i="21"/>
  <c r="I104" i="21"/>
  <c r="J104" i="21"/>
  <c r="B105" i="21"/>
  <c r="C105" i="21"/>
  <c r="D105" i="21"/>
  <c r="F105" i="21"/>
  <c r="G105" i="21"/>
  <c r="I105" i="21"/>
  <c r="J105" i="21"/>
  <c r="B106" i="21"/>
  <c r="C106" i="21"/>
  <c r="D106" i="21"/>
  <c r="F106" i="21"/>
  <c r="G106" i="21"/>
  <c r="I106" i="21"/>
  <c r="J106" i="21"/>
  <c r="A3" i="9"/>
  <c r="D3" i="9"/>
  <c r="E3" i="9"/>
  <c r="G3" i="9"/>
  <c r="H3" i="9"/>
  <c r="I3" i="9"/>
  <c r="J3" i="9"/>
  <c r="K3" i="9"/>
  <c r="L3" i="9"/>
  <c r="M3" i="9"/>
  <c r="N3" i="9"/>
  <c r="J3" i="11"/>
  <c r="O3" i="9"/>
  <c r="A4" i="9"/>
  <c r="D4" i="9"/>
  <c r="E4" i="9"/>
  <c r="G4" i="9"/>
  <c r="H4" i="9"/>
  <c r="I4" i="9"/>
  <c r="J4" i="9"/>
  <c r="K4" i="9"/>
  <c r="L4" i="9"/>
  <c r="M4" i="9"/>
  <c r="N4" i="9"/>
  <c r="J4" i="11"/>
  <c r="O4" i="9"/>
  <c r="A5" i="9"/>
  <c r="D5" i="9"/>
  <c r="E5" i="9"/>
  <c r="G5" i="9"/>
  <c r="H5" i="9"/>
  <c r="I5" i="9"/>
  <c r="J5" i="9"/>
  <c r="K5" i="9"/>
  <c r="L5" i="9"/>
  <c r="M5" i="9"/>
  <c r="N5" i="9"/>
  <c r="J5" i="11"/>
  <c r="O5" i="9"/>
  <c r="A6" i="9"/>
  <c r="D6" i="9"/>
  <c r="E6" i="9"/>
  <c r="G6" i="9"/>
  <c r="H6" i="9"/>
  <c r="I6" i="9"/>
  <c r="J6" i="9"/>
  <c r="K6" i="9"/>
  <c r="L6" i="9"/>
  <c r="M6" i="9"/>
  <c r="N6" i="9"/>
  <c r="J6" i="11"/>
  <c r="O6" i="9"/>
  <c r="A7" i="9"/>
  <c r="D7" i="9"/>
  <c r="E7" i="9"/>
  <c r="G7" i="9"/>
  <c r="H7" i="9"/>
  <c r="I7" i="9"/>
  <c r="J7" i="9"/>
  <c r="K7" i="9"/>
  <c r="L7" i="9"/>
  <c r="M7" i="9"/>
  <c r="N7" i="9"/>
  <c r="J7" i="11"/>
  <c r="O7" i="9"/>
  <c r="A8" i="9"/>
  <c r="D8" i="9"/>
  <c r="E8" i="9"/>
  <c r="G8" i="9"/>
  <c r="H8" i="9"/>
  <c r="I8" i="9"/>
  <c r="J8" i="9"/>
  <c r="K8" i="9"/>
  <c r="L8" i="9"/>
  <c r="M8" i="9"/>
  <c r="N8" i="9"/>
  <c r="J8" i="11"/>
  <c r="O8" i="9"/>
  <c r="A9" i="9"/>
  <c r="D9" i="9"/>
  <c r="E9" i="9"/>
  <c r="G9" i="9"/>
  <c r="H9" i="9"/>
  <c r="I9" i="9"/>
  <c r="J9" i="9"/>
  <c r="K9" i="9"/>
  <c r="L9" i="9"/>
  <c r="M9" i="9"/>
  <c r="N9" i="9"/>
  <c r="J9" i="11"/>
  <c r="O9" i="9"/>
  <c r="A10" i="9"/>
  <c r="D10" i="9"/>
  <c r="E10" i="9"/>
  <c r="G10" i="9"/>
  <c r="H10" i="9"/>
  <c r="I10" i="9"/>
  <c r="J10" i="9"/>
  <c r="K10" i="9"/>
  <c r="L10" i="9"/>
  <c r="M10" i="9"/>
  <c r="N10" i="9"/>
  <c r="J10" i="11"/>
  <c r="O10" i="9"/>
  <c r="A11" i="9"/>
  <c r="D11" i="9"/>
  <c r="E11" i="9"/>
  <c r="G11" i="9"/>
  <c r="H11" i="9"/>
  <c r="I11" i="9"/>
  <c r="J11" i="9"/>
  <c r="K11" i="9"/>
  <c r="L11" i="9"/>
  <c r="M11" i="9"/>
  <c r="N11" i="9"/>
  <c r="J11" i="11"/>
  <c r="O11" i="9"/>
  <c r="A12" i="9"/>
  <c r="D12" i="9"/>
  <c r="E12" i="9"/>
  <c r="G12" i="9"/>
  <c r="H12" i="9"/>
  <c r="I12" i="9"/>
  <c r="J12" i="9"/>
  <c r="K12" i="9"/>
  <c r="L12" i="9"/>
  <c r="M12" i="9"/>
  <c r="N12" i="9"/>
  <c r="J12" i="11"/>
  <c r="O12" i="9"/>
  <c r="A13" i="9"/>
  <c r="D13" i="9"/>
  <c r="E13" i="9"/>
  <c r="G13" i="9"/>
  <c r="H13" i="9"/>
  <c r="I13" i="9"/>
  <c r="J13" i="9"/>
  <c r="K13" i="9"/>
  <c r="L13" i="9"/>
  <c r="M13" i="9"/>
  <c r="N13" i="9"/>
  <c r="J13" i="11"/>
  <c r="O13" i="9"/>
  <c r="A14" i="9"/>
  <c r="D14" i="9"/>
  <c r="E14" i="9"/>
  <c r="G14" i="9"/>
  <c r="H14" i="9"/>
  <c r="I14" i="9"/>
  <c r="J14" i="9"/>
  <c r="K14" i="9"/>
  <c r="L14" i="9"/>
  <c r="M14" i="9"/>
  <c r="N14" i="9"/>
  <c r="J14" i="11"/>
  <c r="O14" i="9"/>
  <c r="A15" i="9"/>
  <c r="D15" i="9"/>
  <c r="E15" i="9"/>
  <c r="G15" i="9"/>
  <c r="H15" i="9"/>
  <c r="I15" i="9"/>
  <c r="J15" i="9"/>
  <c r="K15" i="9"/>
  <c r="L15" i="9"/>
  <c r="M15" i="9"/>
  <c r="N15" i="9"/>
  <c r="J15" i="11"/>
  <c r="O15" i="9"/>
  <c r="A16" i="9"/>
  <c r="D16" i="9"/>
  <c r="E16" i="9"/>
  <c r="G16" i="9"/>
  <c r="H16" i="9"/>
  <c r="I16" i="9"/>
  <c r="J16" i="9"/>
  <c r="K16" i="9"/>
  <c r="L16" i="9"/>
  <c r="M16" i="9"/>
  <c r="N16" i="9"/>
  <c r="J16" i="11"/>
  <c r="O16" i="9"/>
  <c r="A17" i="9"/>
  <c r="D17" i="9"/>
  <c r="E17" i="9"/>
  <c r="G17" i="9"/>
  <c r="H17" i="9"/>
  <c r="I17" i="9"/>
  <c r="J17" i="9"/>
  <c r="K17" i="9"/>
  <c r="L17" i="9"/>
  <c r="M17" i="9"/>
  <c r="N17" i="9"/>
  <c r="J17" i="11"/>
  <c r="O17" i="9"/>
  <c r="A18" i="9"/>
  <c r="D18" i="9"/>
  <c r="E18" i="9"/>
  <c r="G18" i="9"/>
  <c r="H18" i="9"/>
  <c r="I18" i="9"/>
  <c r="J18" i="9"/>
  <c r="K18" i="9"/>
  <c r="L18" i="9"/>
  <c r="M18" i="9"/>
  <c r="N18" i="9"/>
  <c r="J18" i="11"/>
  <c r="O18" i="9"/>
  <c r="A19" i="9"/>
  <c r="D19" i="9"/>
  <c r="E19" i="9"/>
  <c r="G19" i="9"/>
  <c r="H19" i="9"/>
  <c r="I19" i="9"/>
  <c r="J19" i="9"/>
  <c r="K19" i="9"/>
  <c r="L19" i="9"/>
  <c r="M19" i="9"/>
  <c r="N19" i="9"/>
  <c r="J19" i="11"/>
  <c r="O19" i="9"/>
  <c r="A20" i="9"/>
  <c r="D20" i="9"/>
  <c r="E20" i="9"/>
  <c r="G20" i="9"/>
  <c r="H20" i="9"/>
  <c r="I20" i="9"/>
  <c r="J20" i="9"/>
  <c r="K20" i="9"/>
  <c r="L20" i="9"/>
  <c r="M20" i="9"/>
  <c r="N20" i="9"/>
  <c r="J20" i="11"/>
  <c r="O20" i="9"/>
  <c r="A21" i="9"/>
  <c r="D21" i="9"/>
  <c r="E21" i="9"/>
  <c r="G21" i="9"/>
  <c r="H21" i="9"/>
  <c r="I21" i="9"/>
  <c r="J21" i="9"/>
  <c r="K21" i="9"/>
  <c r="L21" i="9"/>
  <c r="M21" i="9"/>
  <c r="N21" i="9"/>
  <c r="J21" i="11"/>
  <c r="O21" i="9"/>
  <c r="A22" i="9"/>
  <c r="D22" i="9"/>
  <c r="E22" i="9"/>
  <c r="G22" i="9"/>
  <c r="H22" i="9"/>
  <c r="I22" i="9"/>
  <c r="J22" i="9"/>
  <c r="K22" i="9"/>
  <c r="L22" i="9"/>
  <c r="M22" i="9"/>
  <c r="N22" i="9"/>
  <c r="J22" i="11"/>
  <c r="O22" i="9"/>
  <c r="A23" i="9"/>
  <c r="D23" i="9"/>
  <c r="E23" i="9"/>
  <c r="G23" i="9"/>
  <c r="H23" i="9"/>
  <c r="I23" i="9"/>
  <c r="J23" i="9"/>
  <c r="K23" i="9"/>
  <c r="L23" i="9"/>
  <c r="M23" i="9"/>
  <c r="N23" i="9"/>
  <c r="J23" i="11"/>
  <c r="O23" i="9"/>
  <c r="A24" i="9"/>
  <c r="D24" i="9"/>
  <c r="E24" i="9"/>
  <c r="G24" i="9"/>
  <c r="H24" i="9"/>
  <c r="I24" i="9"/>
  <c r="J24" i="9"/>
  <c r="K24" i="9"/>
  <c r="L24" i="9"/>
  <c r="M24" i="9"/>
  <c r="N24" i="9"/>
  <c r="J24" i="11"/>
  <c r="O24" i="9"/>
  <c r="A25" i="9"/>
  <c r="D25" i="9"/>
  <c r="E25" i="9"/>
  <c r="G25" i="9"/>
  <c r="H25" i="9"/>
  <c r="I25" i="9"/>
  <c r="J25" i="9"/>
  <c r="K25" i="9"/>
  <c r="L25" i="9"/>
  <c r="M25" i="9"/>
  <c r="N25" i="9"/>
  <c r="J25" i="11"/>
  <c r="O25" i="9"/>
  <c r="A26" i="9"/>
  <c r="D26" i="9"/>
  <c r="E26" i="9"/>
  <c r="G26" i="9"/>
  <c r="H26" i="9"/>
  <c r="I26" i="9"/>
  <c r="J26" i="9"/>
  <c r="K26" i="9"/>
  <c r="L26" i="9"/>
  <c r="M26" i="9"/>
  <c r="N26" i="9"/>
  <c r="J26" i="11"/>
  <c r="O26" i="9"/>
  <c r="A27" i="9"/>
  <c r="D27" i="9"/>
  <c r="E27" i="9"/>
  <c r="G27" i="9"/>
  <c r="H27" i="9"/>
  <c r="I27" i="9"/>
  <c r="J27" i="9"/>
  <c r="K27" i="9"/>
  <c r="L27" i="9"/>
  <c r="M27" i="9"/>
  <c r="N27" i="9"/>
  <c r="J27" i="11"/>
  <c r="O27" i="9"/>
  <c r="A28" i="9"/>
  <c r="D28" i="9"/>
  <c r="E28" i="9"/>
  <c r="G28" i="9"/>
  <c r="H28" i="9"/>
  <c r="I28" i="9"/>
  <c r="J28" i="9"/>
  <c r="K28" i="9"/>
  <c r="L28" i="9"/>
  <c r="M28" i="9"/>
  <c r="N28" i="9"/>
  <c r="J28" i="11"/>
  <c r="O28" i="9"/>
  <c r="A29" i="9"/>
  <c r="D29" i="9"/>
  <c r="E29" i="9"/>
  <c r="G29" i="9"/>
  <c r="H29" i="9"/>
  <c r="I29" i="9"/>
  <c r="J29" i="9"/>
  <c r="K29" i="9"/>
  <c r="L29" i="9"/>
  <c r="M29" i="9"/>
  <c r="N29" i="9"/>
  <c r="J29" i="11"/>
  <c r="O29" i="9"/>
  <c r="A30" i="9"/>
  <c r="D30" i="9"/>
  <c r="E30" i="9"/>
  <c r="G30" i="9"/>
  <c r="H30" i="9"/>
  <c r="I30" i="9"/>
  <c r="J30" i="9"/>
  <c r="K30" i="9"/>
  <c r="L30" i="9"/>
  <c r="M30" i="9"/>
  <c r="N30" i="9"/>
  <c r="J30" i="11"/>
  <c r="O30" i="9"/>
  <c r="A31" i="9"/>
  <c r="D31" i="9"/>
  <c r="E31" i="9"/>
  <c r="G31" i="9"/>
  <c r="H31" i="9"/>
  <c r="I31" i="9"/>
  <c r="J31" i="9"/>
  <c r="K31" i="9"/>
  <c r="L31" i="9"/>
  <c r="M31" i="9"/>
  <c r="N31" i="9"/>
  <c r="J31" i="11"/>
  <c r="O31" i="9"/>
  <c r="A32" i="9"/>
  <c r="D32" i="9"/>
  <c r="E32" i="9"/>
  <c r="G32" i="9"/>
  <c r="H32" i="9"/>
  <c r="I32" i="9"/>
  <c r="J32" i="9"/>
  <c r="K32" i="9"/>
  <c r="L32" i="9"/>
  <c r="M32" i="9"/>
  <c r="N32" i="9"/>
  <c r="J32" i="11"/>
  <c r="O32" i="9"/>
  <c r="A33" i="9"/>
  <c r="D33" i="9"/>
  <c r="E33" i="9"/>
  <c r="G33" i="9"/>
  <c r="H33" i="9"/>
  <c r="I33" i="9"/>
  <c r="J33" i="9"/>
  <c r="K33" i="9"/>
  <c r="L33" i="9"/>
  <c r="M33" i="9"/>
  <c r="N33" i="9"/>
  <c r="J33" i="11"/>
  <c r="O33" i="9"/>
  <c r="A34" i="9"/>
  <c r="D34" i="9"/>
  <c r="E34" i="9"/>
  <c r="G34" i="9"/>
  <c r="H34" i="9"/>
  <c r="I34" i="9"/>
  <c r="J34" i="9"/>
  <c r="K34" i="9"/>
  <c r="L34" i="9"/>
  <c r="M34" i="9"/>
  <c r="N34" i="9"/>
  <c r="J34" i="11"/>
  <c r="O34" i="9"/>
  <c r="A35" i="9"/>
  <c r="D35" i="9"/>
  <c r="E35" i="9"/>
  <c r="G35" i="9"/>
  <c r="H35" i="9"/>
  <c r="I35" i="9"/>
  <c r="J35" i="9"/>
  <c r="K35" i="9"/>
  <c r="L35" i="9"/>
  <c r="M35" i="9"/>
  <c r="N35" i="9"/>
  <c r="J35" i="11"/>
  <c r="O35" i="9"/>
  <c r="A36" i="9"/>
  <c r="D36" i="9"/>
  <c r="E36" i="9"/>
  <c r="G36" i="9"/>
  <c r="H36" i="9"/>
  <c r="I36" i="9"/>
  <c r="J36" i="9"/>
  <c r="K36" i="9"/>
  <c r="L36" i="9"/>
  <c r="M36" i="9"/>
  <c r="N36" i="9"/>
  <c r="J36" i="11"/>
  <c r="O36" i="9"/>
  <c r="A37" i="9"/>
  <c r="D37" i="9"/>
  <c r="E37" i="9"/>
  <c r="G37" i="9"/>
  <c r="H37" i="9"/>
  <c r="I37" i="9"/>
  <c r="J37" i="9"/>
  <c r="K37" i="9"/>
  <c r="L37" i="9"/>
  <c r="M37" i="9"/>
  <c r="N37" i="9"/>
  <c r="J37" i="11"/>
  <c r="O37" i="9"/>
  <c r="A38" i="9"/>
  <c r="D38" i="9"/>
  <c r="E38" i="9"/>
  <c r="G38" i="9"/>
  <c r="H38" i="9"/>
  <c r="I38" i="9"/>
  <c r="J38" i="9"/>
  <c r="K38" i="9"/>
  <c r="L38" i="9"/>
  <c r="M38" i="9"/>
  <c r="N38" i="9"/>
  <c r="J38" i="11"/>
  <c r="O38" i="9"/>
  <c r="A39" i="9"/>
  <c r="D39" i="9"/>
  <c r="E39" i="9"/>
  <c r="G39" i="9"/>
  <c r="H39" i="9"/>
  <c r="I39" i="9"/>
  <c r="J39" i="9"/>
  <c r="K39" i="9"/>
  <c r="L39" i="9"/>
  <c r="M39" i="9"/>
  <c r="N39" i="9"/>
  <c r="J39" i="11"/>
  <c r="O39" i="9"/>
  <c r="A40" i="9"/>
  <c r="D40" i="9"/>
  <c r="E40" i="9"/>
  <c r="G40" i="9"/>
  <c r="H40" i="9"/>
  <c r="I40" i="9"/>
  <c r="J40" i="9"/>
  <c r="K40" i="9"/>
  <c r="L40" i="9"/>
  <c r="M40" i="9"/>
  <c r="N40" i="9"/>
  <c r="J40" i="11"/>
  <c r="O40" i="9"/>
  <c r="A41" i="9"/>
  <c r="D41" i="9"/>
  <c r="E41" i="9"/>
  <c r="G41" i="9"/>
  <c r="H41" i="9"/>
  <c r="I41" i="9"/>
  <c r="J41" i="9"/>
  <c r="K41" i="9"/>
  <c r="L41" i="9"/>
  <c r="M41" i="9"/>
  <c r="N41" i="9"/>
  <c r="J41" i="11"/>
  <c r="O41" i="9"/>
  <c r="A42" i="9"/>
  <c r="D42" i="9"/>
  <c r="E42" i="9"/>
  <c r="G42" i="9"/>
  <c r="H42" i="9"/>
  <c r="I42" i="9"/>
  <c r="J42" i="9"/>
  <c r="K42" i="9"/>
  <c r="L42" i="9"/>
  <c r="M42" i="9"/>
  <c r="N42" i="9"/>
  <c r="J42" i="11"/>
  <c r="O42" i="9"/>
  <c r="A43" i="9"/>
  <c r="D43" i="9"/>
  <c r="E43" i="9"/>
  <c r="G43" i="9"/>
  <c r="H43" i="9"/>
  <c r="I43" i="9"/>
  <c r="J43" i="9"/>
  <c r="K43" i="9"/>
  <c r="L43" i="9"/>
  <c r="M43" i="9"/>
  <c r="N43" i="9"/>
  <c r="J43" i="11"/>
  <c r="O43" i="9"/>
  <c r="A44" i="9"/>
  <c r="D44" i="9"/>
  <c r="E44" i="9"/>
  <c r="G44" i="9"/>
  <c r="H44" i="9"/>
  <c r="I44" i="9"/>
  <c r="J44" i="9"/>
  <c r="K44" i="9"/>
  <c r="L44" i="9"/>
  <c r="M44" i="9"/>
  <c r="N44" i="9"/>
  <c r="J44" i="11"/>
  <c r="O44" i="9"/>
  <c r="A45" i="9"/>
  <c r="D45" i="9"/>
  <c r="E45" i="9"/>
  <c r="G45" i="9"/>
  <c r="H45" i="9"/>
  <c r="I45" i="9"/>
  <c r="J45" i="9"/>
  <c r="K45" i="9"/>
  <c r="L45" i="9"/>
  <c r="M45" i="9"/>
  <c r="N45" i="9"/>
  <c r="J45" i="11"/>
  <c r="O45" i="9"/>
  <c r="A46" i="9"/>
  <c r="D46" i="9"/>
  <c r="E46" i="9"/>
  <c r="G46" i="9"/>
  <c r="H46" i="9"/>
  <c r="I46" i="9"/>
  <c r="J46" i="9"/>
  <c r="K46" i="9"/>
  <c r="L46" i="9"/>
  <c r="M46" i="9"/>
  <c r="N46" i="9"/>
  <c r="J46" i="11"/>
  <c r="O46" i="9"/>
  <c r="A47" i="9"/>
  <c r="D47" i="9"/>
  <c r="E47" i="9"/>
  <c r="G47" i="9"/>
  <c r="H47" i="9"/>
  <c r="I47" i="9"/>
  <c r="J47" i="9"/>
  <c r="K47" i="9"/>
  <c r="L47" i="9"/>
  <c r="M47" i="9"/>
  <c r="N47" i="9"/>
  <c r="J47" i="11"/>
  <c r="O47" i="9"/>
  <c r="A48" i="9"/>
  <c r="D48" i="9"/>
  <c r="E48" i="9"/>
  <c r="G48" i="9"/>
  <c r="H48" i="9"/>
  <c r="I48" i="9"/>
  <c r="J48" i="9"/>
  <c r="K48" i="9"/>
  <c r="L48" i="9"/>
  <c r="M48" i="9"/>
  <c r="N48" i="9"/>
  <c r="J48" i="11"/>
  <c r="O48" i="9"/>
  <c r="A49" i="9"/>
  <c r="D49" i="9"/>
  <c r="E49" i="9"/>
  <c r="G49" i="9"/>
  <c r="H49" i="9"/>
  <c r="I49" i="9"/>
  <c r="J49" i="9"/>
  <c r="K49" i="9"/>
  <c r="L49" i="9"/>
  <c r="M49" i="9"/>
  <c r="N49" i="9"/>
  <c r="J49" i="11"/>
  <c r="O49" i="9"/>
  <c r="A50" i="9"/>
  <c r="D50" i="9"/>
  <c r="E50" i="9"/>
  <c r="G50" i="9"/>
  <c r="H50" i="9"/>
  <c r="I50" i="9"/>
  <c r="J50" i="9"/>
  <c r="K50" i="9"/>
  <c r="L50" i="9"/>
  <c r="M50" i="9"/>
  <c r="N50" i="9"/>
  <c r="J50" i="11"/>
  <c r="O50" i="9"/>
  <c r="A51" i="9"/>
  <c r="D51" i="9"/>
  <c r="E51" i="9"/>
  <c r="G51" i="9"/>
  <c r="H51" i="9"/>
  <c r="I51" i="9"/>
  <c r="J51" i="9"/>
  <c r="K51" i="9"/>
  <c r="L51" i="9"/>
  <c r="M51" i="9"/>
  <c r="N51" i="9"/>
  <c r="J51" i="11"/>
  <c r="O51" i="9"/>
  <c r="A52" i="9"/>
  <c r="D52" i="9"/>
  <c r="E52" i="9"/>
  <c r="G52" i="9"/>
  <c r="H52" i="9"/>
  <c r="I52" i="9"/>
  <c r="J52" i="9"/>
  <c r="K52" i="9"/>
  <c r="L52" i="9"/>
  <c r="M52" i="9"/>
  <c r="N52" i="9"/>
  <c r="J52" i="11"/>
  <c r="O52" i="9"/>
  <c r="A53" i="9"/>
  <c r="D53" i="9"/>
  <c r="E53" i="9"/>
  <c r="G53" i="9"/>
  <c r="H53" i="9"/>
  <c r="I53" i="9"/>
  <c r="J53" i="9"/>
  <c r="K53" i="9"/>
  <c r="L53" i="9"/>
  <c r="M53" i="9"/>
  <c r="N53" i="9"/>
  <c r="J53" i="11"/>
  <c r="O53" i="9"/>
  <c r="A54" i="9"/>
  <c r="D54" i="9"/>
  <c r="E54" i="9"/>
  <c r="G54" i="9"/>
  <c r="H54" i="9"/>
  <c r="I54" i="9"/>
  <c r="J54" i="9"/>
  <c r="K54" i="9"/>
  <c r="L54" i="9"/>
  <c r="M54" i="9"/>
  <c r="N54" i="9"/>
  <c r="J54" i="11"/>
  <c r="O54" i="9"/>
  <c r="A55" i="9"/>
  <c r="D55" i="9"/>
  <c r="E55" i="9"/>
  <c r="G55" i="9"/>
  <c r="H55" i="9"/>
  <c r="I55" i="9"/>
  <c r="J55" i="9"/>
  <c r="K55" i="9"/>
  <c r="L55" i="9"/>
  <c r="M55" i="9"/>
  <c r="N55" i="9"/>
  <c r="J55" i="11"/>
  <c r="O55" i="9"/>
  <c r="A56" i="9"/>
  <c r="D56" i="9"/>
  <c r="E56" i="9"/>
  <c r="G56" i="9"/>
  <c r="H56" i="9"/>
  <c r="I56" i="9"/>
  <c r="J56" i="9"/>
  <c r="K56" i="9"/>
  <c r="L56" i="9"/>
  <c r="M56" i="9"/>
  <c r="N56" i="9"/>
  <c r="J56" i="11"/>
  <c r="O56" i="9"/>
  <c r="J57" i="11"/>
  <c r="J58" i="11"/>
  <c r="J59" i="11"/>
  <c r="J60" i="11"/>
  <c r="J61" i="11"/>
  <c r="J62" i="11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W2" i="7"/>
  <c r="U2" i="7"/>
  <c r="V2" i="1"/>
  <c r="T2" i="1"/>
  <c r="N3" i="22"/>
  <c r="G3" i="22"/>
  <c r="F3" i="22"/>
  <c r="D3" i="22"/>
  <c r="C3" i="22"/>
  <c r="A3" i="22"/>
  <c r="E13" i="16"/>
  <c r="N2" i="22"/>
  <c r="G2" i="22"/>
  <c r="F2" i="22"/>
  <c r="D2" i="22"/>
  <c r="C2" i="22"/>
  <c r="A2" i="22"/>
  <c r="B2" i="21"/>
  <c r="I2" i="21"/>
  <c r="J2" i="21"/>
  <c r="G2" i="21"/>
  <c r="F2" i="21"/>
  <c r="D2" i="21"/>
  <c r="C2" i="21"/>
  <c r="E12" i="16"/>
  <c r="E11" i="16"/>
  <c r="E10" i="16"/>
  <c r="A2" i="18"/>
  <c r="C2" i="18"/>
  <c r="D2" i="18"/>
  <c r="J2" i="11"/>
  <c r="O2" i="9"/>
  <c r="N2" i="9"/>
  <c r="M2" i="9"/>
  <c r="L2" i="9"/>
  <c r="K2" i="9"/>
  <c r="J2" i="9"/>
  <c r="I2" i="9"/>
  <c r="H2" i="9"/>
  <c r="G2" i="9"/>
  <c r="E2" i="9"/>
  <c r="D2" i="9"/>
  <c r="AA2" i="7"/>
  <c r="E9" i="16"/>
  <c r="Z2" i="7"/>
  <c r="Y2" i="7"/>
  <c r="X2" i="1"/>
  <c r="R2" i="7"/>
  <c r="Q2" i="7"/>
  <c r="P2" i="7"/>
  <c r="O2" i="7"/>
  <c r="N2" i="7"/>
  <c r="AD2" i="1"/>
  <c r="AG2" i="1"/>
  <c r="AF2" i="1"/>
  <c r="AE2" i="1"/>
  <c r="AC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H2" i="7"/>
  <c r="G2" i="2"/>
  <c r="A2" i="2"/>
  <c r="J2" i="7"/>
  <c r="E8" i="16"/>
  <c r="E7" i="16"/>
  <c r="E6" i="16"/>
  <c r="E5" i="16"/>
  <c r="E4" i="16"/>
  <c r="E3" i="16"/>
  <c r="E2" i="16"/>
  <c r="A2" i="1"/>
  <c r="A2" i="9"/>
  <c r="A2" i="7"/>
  <c r="I2" i="7"/>
  <c r="D2" i="7"/>
  <c r="F2" i="7"/>
  <c r="E2" i="7"/>
  <c r="H2" i="1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<sst xmlns="http://schemas.openxmlformats.org/spreadsheetml/2006/main" count="1439" uniqueCount="374">
  <si>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</si>
  <si>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</si>
  <si>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</si>
  <si>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</si>
  <si>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</si>
  <si>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</si>
  <si>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</si>
  <si>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</si>
  <si>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</si>
  <si>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</si>
  <si>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</si>
  <si>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</si>
  <si>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</si>
  <si>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</si>
  <si>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</si>
  <si>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</si>
  <si>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</si>
  <si>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</si>
  <si>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</si>
  <si>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</si>
  <si>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</si>
  <si>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</si>
  <si>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</si>
  <si>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</si>
  <si>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</si>
  <si>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</si>
  <si>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</si>
  <si>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</si>
  <si>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</si>
  <si>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</si>
  <si>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</si>
  <si>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</si>
  <si>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</si>
  <si>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</si>
  <si>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</si>
  <si>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</si>
  <si>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</si>
  <si>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</si>
  <si>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</si>
  <si>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</si>
  <si>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</si>
  <si>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</si>
  <si>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</si>
  <si>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</si>
  <si>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</si>
  <si>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</si>
  <si>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</si>
  <si>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</si>
  <si>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</si>
  <si>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</si>
  <si>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</si>
  <si>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</si>
  <si>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</si>
  <si>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</si>
  <si>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</si>
  <si>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</si>
  <si>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</si>
  <si>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</si>
  <si>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</si>
  <si>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</si>
  <si>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</si>
  <si>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</si>
  <si>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</si>
  <si>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</si>
  <si>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</si>
  <si>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</si>
  <si>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</si>
  <si>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</si>
  <si>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</si>
  <si>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</si>
  <si>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</si>
  <si>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</si>
  <si>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</si>
  <si>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</si>
  <si>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</si>
  <si>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</si>
  <si>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</si>
  <si>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</si>
  <si>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</si>
  <si>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</si>
  <si>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</si>
  <si>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</si>
  <si>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</si>
  <si>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</si>
  <si>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回復</t>
    <rPh sb="0" eb="2">
      <t>カイフク</t>
    </rPh>
    <phoneticPr fontId="5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</si>
  <si>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</si>
  <si>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</si>
  <si>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</si>
  <si>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</si>
  <si>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</si>
  <si>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</si>
  <si>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</si>
  <si>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</si>
  <si>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</si>
  <si>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</si>
  <si>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</si>
  <si>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</si>
  <si>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</si>
  <si>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</si>
  <si>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</si>
  <si>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</si>
  <si>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</si>
  <si>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</si>
  <si>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</si>
  <si>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</si>
  <si>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</si>
  <si>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</si>
  <si>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</si>
  <si>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</si>
  <si>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</si>
  <si>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</si>
  <si>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</si>
  <si>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</si>
  <si>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</si>
  <si>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</si>
  <si>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</si>
  <si>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</si>
  <si>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</si>
  <si>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</si>
  <si>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</si>
  <si>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</si>
  <si>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</si>
  <si>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</si>
  <si>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</si>
  <si>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</si>
  <si>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</si>
  <si>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</si>
  <si>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</si>
  <si>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</si>
  <si>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</si>
  <si>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</si>
  <si>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</si>
  <si>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</si>
  <si>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</si>
  <si>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</si>
  <si>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</si>
  <si>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</si>
  <si>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</si>
  <si>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</si>
  <si>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</si>
  <si>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</si>
  <si>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</si>
  <si>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</si>
  <si>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</si>
  <si>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</si>
  <si>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</si>
  <si>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</si>
  <si>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</si>
  <si>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</si>
  <si>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</si>
  <si>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</si>
  <si>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</si>
  <si>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</si>
  <si>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</si>
  <si>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</si>
  <si>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</si>
  <si>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</si>
  <si>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</si>
  <si>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</si>
  <si>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</si>
  <si>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</si>
  <si>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</si>
  <si>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</si>
  <si>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</si>
  <si>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</si>
  <si>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</si>
  <si>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</si>
  <si>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</si>
  <si>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</si>
  <si>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</si>
  <si>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</si>
  <si>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</si>
  <si>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</si>
  <si>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</si>
  <si>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</si>
  <si>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</si>
  <si>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</si>
  <si>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</si>
  <si>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</si>
  <si>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</si>
  <si>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</si>
  <si>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</si>
  <si>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</si>
  <si>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</si>
  <si>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</si>
  <si>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</si>
  <si>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</si>
  <si>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</si>
  <si>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</si>
  <si>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</si>
  <si>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</si>
  <si>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</si>
  <si>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</si>
  <si>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</si>
  <si>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</si>
  <si>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</si>
  <si>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</si>
  <si>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</si>
  <si>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</si>
  <si>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</si>
  <si>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</si>
  <si>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</si>
  <si>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</si>
  <si>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</si>
  <si>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敵が強すぎます</t>
    <rPh sb="0" eb="2">
      <t>テk</t>
    </rPh>
    <rPh sb="2" eb="7">
      <t>ツヨs</t>
    </rPh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</si>
  <si>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</si>
  <si>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</si>
  <si>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</si>
  <si>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</si>
  <si>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</si>
  <si>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</si>
  <si>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</si>
  <si>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</si>
  <si>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</si>
  <si>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</si>
  <si>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</si>
  <si>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</si>
  <si>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</si>
  <si>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</si>
  <si>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</si>
  <si>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</si>
  <si>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</si>
  <si>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</si>
  <si>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</si>
  <si>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</si>
  <si>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</si>
  <si>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</si>
  <si>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</si>
  <si>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</si>
  <si>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</si>
  <si>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</si>
  <si>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clear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</si>
  <si>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</si>
  <si>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</si>
  <si>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</si>
  <si>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</si>
  <si>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</si>
  <si>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</si>
  <si>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</si>
  <si>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</si>
  <si>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</si>
  <si>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</si>
  <si>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</si>
  <si>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</si>
  <si>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</si>
  <si>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</si>
  <si>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</si>
  <si>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</si>
  <si>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</si>
  <si>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</si>
  <si>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</si>
  <si>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</si>
  <si>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</si>
  <si>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</si>
  <si>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</si>
  <si>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</si>
  <si>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</si>
  <si>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skip</t>
    <phoneticPr fontId="7"/>
  </si>
  <si>
    <t>hp</t>
    <phoneticPr fontId="5"/>
  </si>
  <si>
    <t>attack</t>
    <phoneticPr fontId="5"/>
  </si>
  <si>
    <t>null</t>
    <phoneticPr fontId="5"/>
  </si>
  <si>
    <t>null</t>
    <phoneticPr fontId="5"/>
  </si>
  <si>
    <t>old</t>
    <phoneticPr fontId="5"/>
  </si>
  <si>
    <t>old</t>
    <phoneticPr fontId="5"/>
  </si>
  <si>
    <t>敵</t>
    <rPh sb="0" eb="1">
      <t>テk</t>
    </rPh>
    <phoneticPr fontId="5"/>
  </si>
  <si>
    <t>クリティカル</t>
  </si>
  <si>
    <t>回復</t>
  </si>
  <si>
    <t>攻撃力UP</t>
  </si>
  <si>
    <t>防御力UP</t>
  </si>
  <si>
    <t>行動頻度UP</t>
  </si>
  <si>
    <t>予防</t>
  </si>
  <si>
    <t>カウンター</t>
  </si>
  <si>
    <t>バリア</t>
  </si>
  <si>
    <t>ユニット回復力DOWN</t>
  </si>
  <si>
    <t>ユニットタップ数DOWN</t>
  </si>
  <si>
    <t>タップ時間制限</t>
  </si>
  <si>
    <t>ディスハート</t>
  </si>
  <si>
    <t>ディスレッド</t>
  </si>
  <si>
    <t>ディスブルー</t>
  </si>
  <si>
    <t>ディスグリーン</t>
  </si>
  <si>
    <t>ディスイエロー</t>
  </si>
  <si>
    <t>暗闇</t>
  </si>
  <si>
    <t>パネル変換不可</t>
  </si>
  <si>
    <t>属性変更赤</t>
  </si>
  <si>
    <t>属性変更緑</t>
  </si>
  <si>
    <t>属性変更青</t>
  </si>
  <si>
    <t>属性変更黄</t>
  </si>
  <si>
    <t>プロテクトドロップ</t>
  </si>
  <si>
    <t>CP無効</t>
  </si>
  <si>
    <t>ウィルス</t>
  </si>
  <si>
    <t>スリープ01</t>
  </si>
  <si>
    <t>スリープ02</t>
  </si>
  <si>
    <t>スリープ03</t>
  </si>
  <si>
    <t>スリープ04</t>
  </si>
  <si>
    <t>スキルバインド01</t>
  </si>
  <si>
    <t>スキルバインド02</t>
  </si>
  <si>
    <t>スキルバインド03</t>
  </si>
  <si>
    <t>スキルバインド04</t>
  </si>
  <si>
    <t>いてつくはどう</t>
  </si>
  <si>
    <t>フィーバーゲージDOWN</t>
  </si>
  <si>
    <t>フィーバーゲージUP03</t>
  </si>
  <si>
    <t>フィーバーゲージUP04</t>
  </si>
  <si>
    <t>自傷</t>
  </si>
  <si>
    <t>パネル変換</t>
  </si>
  <si>
    <t>ダメージ軽減01</t>
  </si>
  <si>
    <t>ダメージ軽減02</t>
  </si>
  <si>
    <t>ダメージ軽減03</t>
  </si>
  <si>
    <t>ダメージ軽減04</t>
  </si>
  <si>
    <t>出現率変化</t>
  </si>
  <si>
    <t>ボムドロップ</t>
  </si>
  <si>
    <t>CPドロップ</t>
  </si>
  <si>
    <t>お邪魔ドロップ</t>
  </si>
  <si>
    <t>時限式ドロップ</t>
  </si>
  <si>
    <t>カラーブレイクドロップ</t>
  </si>
  <si>
    <t>CP生成短縮03</t>
  </si>
  <si>
    <t>CP生成短縮04</t>
  </si>
  <si>
    <t>CP生成短縮05</t>
  </si>
  <si>
    <t>CP生成延長</t>
  </si>
  <si>
    <t>ボム爆風UP</t>
  </si>
  <si>
    <t>ボム爆風DOWN</t>
  </si>
  <si>
    <t>[effect:heal, target:myself, val:0, animation:enemy_heal],[effect:enemy_message, val1:0.1, val2:0]</t>
  </si>
  <si>
    <t>[effect:heal, target:myself, val:0, animation:enemy_enhance_attack],[effect:enemy_message, val1:0.1, val2:0]</t>
  </si>
  <si>
    <t>[effect:heal, target:myself, val:0, animation:enemy_enhance_defense],[effect:enemy_message, val1:0.1, val2:0]</t>
  </si>
  <si>
    <t>[effect:heal, target:myself, val:0, animation:enemy_freq_turn],[effect:enemy_message, val1:0.1, val2:0]</t>
  </si>
  <si>
    <t>[effect:heal, target:myself, val:0, enemy_tolerance],[effect:enemy_message, val1:0.1, val2:0]</t>
  </si>
  <si>
    <t>[effect:heal, target:myself, val:0, animation:enemy_counter],[effect:enemy_message, val1:0.1, val2:0]</t>
  </si>
  <si>
    <t>[effect:heal, target:myself, val:0, animation:crash_panel_reduce04_unit02],[effect:enemy_message, val1:0.1, val2:0]</t>
  </si>
  <si>
    <t>[effect:heal, target:myself, val:0, animation:enemy_tap_down],[effect:enemy_message, val1:0.1, val2:0]</t>
  </si>
  <si>
    <t>[effect:heal, target:myself, val:0, animation:enemy_time_limit],[effect:enemy_message, val1:0.1, val2:0]</t>
  </si>
  <si>
    <t>[effect:heal, target:myself, val:0, animation:enemy_dis_heart],[effect:enemy_message, val1:0.1, val2:0]</t>
  </si>
  <si>
    <t>[effect:heal, target:myself, val:0, animation:enemy_dis_red],[effect:enemy_message, val1:0.1, val2:0]</t>
  </si>
  <si>
    <t>[effect:heal, target:myself, val:0, animation:enemy_dis_blue],[effect:enemy_message, val1:0.1, val2:0]</t>
  </si>
  <si>
    <t>[effect:heal, target:myself, val:0, animation:enemy_dis_green],[effect:enemy_message, val1:0.1, val2:0]</t>
  </si>
  <si>
    <t>[effect:heal, target:myself, val:0, animation:enemy_dis_yellow],[effect:enemy_message, val1:0.1, val2:0]</t>
  </si>
  <si>
    <t>[effect:heal, target:myself, val:0, animation:enemy_dark],[effect:enemy_message, val1:0.1, val2:0]</t>
  </si>
  <si>
    <t>[effect:heal, target:myself, val:0, animation:panel_conversion_off],[effect:enemy_message, val1:0.1, val2:0]</t>
  </si>
  <si>
    <t>[effect:heal, target:myself, val:0, animation:change_attribute_red],[effect:enemy_message, val1:0.1, val2:0]</t>
  </si>
  <si>
    <t>[effect:heal, target:myself, val:0, animation:change_attribute_green],[effect:enemy_message, val1:0.1, val2:0]</t>
  </si>
  <si>
    <t>[effect:heal, target:myself, val:0, animation:change_attribute_blue],[effect:enemy_message, val1:0.1, val2:0]</t>
  </si>
  <si>
    <t>[effect:heal, target:myself, val:0, animation:change_attribute_yellow],[effect:enemy_message, val1:0.1, val2:0]</t>
  </si>
  <si>
    <t>[effect:heal, target:myself, val:0, animation:drop_protect],[effect:enemy_message, val1:0.1, val2:0]</t>
  </si>
  <si>
    <t>[effect:heal, target:myself, val:0, animation:enemy_dis_crashPanel],[effect:enemy_message, val1:0.1, val2:0]</t>
  </si>
  <si>
    <t>[effect:heal, target:myself, val:0, animation:enemy_virus],[effect:enemy_message, val1:0.1, val2:0]</t>
  </si>
  <si>
    <t>[effect:heal, target:myself, val:0, animation:sleep01],[effect:enemy_message, val1:0.1, val2:0]</t>
  </si>
  <si>
    <t>[effect:heal, target:myself, val:0, animation:sleep02],[effect:enemy_message, val1:0.1, val2:0]</t>
  </si>
  <si>
    <t>[effect:heal, target:myself, val:0, animation:sleep03],[effect:enemy_message, val1:0.1, val2:0]</t>
  </si>
  <si>
    <t>[effect:heal, target:myself, val:0, animation:sleep04],[effect:enemy_message, val1:0.1, val2:0]</t>
  </si>
  <si>
    <t>[effect:heal, target:myself, val:0, animation:hungup01],[effect:enemy_message, val1:0.1, val2:0]</t>
  </si>
  <si>
    <t>[effect:heal, target:myself, val:0, animation:hungup02],[effect:enemy_message, val1:0.1, val2:0]</t>
  </si>
  <si>
    <t>[effect:heal, target:myself, val:0, animation:hungup03],[effect:enemy_message, val1:0.1, val2:0]</t>
  </si>
  <si>
    <t>[effect:heal, target:myself, val:0, animation:hungup04],[effect:enemy_message, val1:0.1, val2:0]</t>
  </si>
  <si>
    <t>[effect:heal, target:myself, val:0, animation:frozen_wave],[effect:enemy_message, val1:0.1, val2:0]</t>
  </si>
  <si>
    <t>[effect:heal, target:myself, val:0, animation:fevergauge_down],[effect:enemy_message, val1:0.1, val2:0]</t>
  </si>
  <si>
    <t>[effect:heal, target:myself, val:0, animation:fevergauge_up03],[effect:enemy_message, val1:0.1, val2:0]</t>
  </si>
  <si>
    <t>[effect:heal, target:myself, val:0, animation:fevergauge_up04],[effect:enemy_message, val1:0.1, val2:0]</t>
  </si>
  <si>
    <t>[effect:heal, target:myself, val:0, animation:enemy_suicide,[effect:enemy_message, val1:0.1, val2:0]</t>
  </si>
  <si>
    <t>[effect:heal, target:myself, val:0, animation:change_block],[effect:enemy_message, val1:0.1, val2:0]</t>
  </si>
  <si>
    <t>[effect:heal, target:myself, val:0, animation:reduction_one01],[effect:enemy_message, val1:0.1, val2:0]</t>
  </si>
  <si>
    <t>[effect:heal, target:myself, val:0, animation:reduction_one02],[effect:enemy_message, val1:0.1, val2:0]</t>
  </si>
  <si>
    <t>[effect:heal, target:myself, val:0, animation:reduction_one03],[effect:enemy_message, val1:0.1, val2:0]</t>
  </si>
  <si>
    <t>[effect:heal, target:myself, val:0, animation:reduction_one04],[effect:enemy_message, val1:0.1, val2:0]</t>
  </si>
  <si>
    <t>[effect:heal, target:myself, val:0, animation:block_incidence04],[effect:enemy_message, val1:0.1, val2:0]</t>
  </si>
  <si>
    <t>[effect:heal, target:myself, val:0, animation:bomb_influence04],[effect:enemy_message, val1:0.1, val2:0]</t>
  </si>
  <si>
    <t>[effect:heal, target:myself, val:0, animation:crash_influence04],[effect:enemy_message, val1:0.1, val2:0]</t>
  </si>
  <si>
    <t>[effect:heal, target:myself, val:0, animation:jammer_influence04],[effect:enemy_message, val1:0.1, val2:0]</t>
  </si>
  <si>
    <t>[effect:heal, target:myself, val:0, animation:time_bomb_influence04],[effect:enemy_message, val1:0.1, val2:0]</t>
  </si>
  <si>
    <t>[effect:heal, target:myself, val:0, animation:color_break_influence04],[effect:enemy_message, val1:0.1, val2:0]</t>
  </si>
  <si>
    <t>[effect:heal, target:myself, val:0, animation:crash_panel_reduce03],[effect:enemy_message, val1:0.1, val2:0]</t>
  </si>
  <si>
    <t>[effect:heal, target:myself, val:0, animation:crash_panel_reduce04],[effect:enemy_message, val1:0.1, val2:0]</t>
  </si>
  <si>
    <t>[effect:heal, target:myself, val:0, animation:crash_panel_reduce05],[effect:enemy_message, val1:0.1, val2:0]</t>
  </si>
  <si>
    <t>[effect:heal, target:myself, val:0, animation:enemy_crash_extend],[effect:enemy_message, val1:0.1, val2:0]</t>
  </si>
  <si>
    <t>[effect:heal, target:myself, val:0, animation:bomb_big],[effect:enemy_message, val1:0.1, val2:0]</t>
  </si>
  <si>
    <t>[effect:heal, target:myself, val:0, animation:bomb_small],[effect:enemy_message, val1:0.1, val2:0]</t>
  </si>
  <si>
    <t>[effect:heal, target:myself, val:0, animation:enemy_critical],[effect:enemy_message, val1:0.1, val2:0]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</si>
</sst>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07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38" fontId="16" fillId="0" borderId="7" xfId="628" applyFont="1" applyFill="1" applyBorder="1" applyAlignment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24" fillId="0" borderId="7" xfId="615" applyFont="1" applyBorder="1"/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41001</v>
          </cell>
        </row>
        <row r="247">
          <cell r="A247">
            <v>41002</v>
          </cell>
        </row>
        <row r="248">
          <cell r="A248">
            <v>41003</v>
          </cell>
        </row>
        <row r="249">
          <cell r="A249">
            <v>41004</v>
          </cell>
        </row>
        <row r="250">
          <cell r="A250">
            <v>41005</v>
          </cell>
        </row>
        <row r="251">
          <cell r="A251">
            <v>41006</v>
          </cell>
        </row>
        <row r="252">
          <cell r="A252">
            <v>41007</v>
          </cell>
        </row>
        <row r="253">
          <cell r="A253">
            <v>41008</v>
          </cell>
        </row>
        <row r="254">
          <cell r="A254">
            <v>41009</v>
          </cell>
        </row>
        <row r="255">
          <cell r="A255">
            <v>41010</v>
          </cell>
        </row>
        <row r="256">
          <cell r="A256">
            <v>41011</v>
          </cell>
        </row>
        <row r="257">
          <cell r="A257">
            <v>41012</v>
          </cell>
        </row>
        <row r="258">
          <cell r="A258">
            <v>41013</v>
          </cell>
        </row>
        <row r="259">
          <cell r="A259">
            <v>41014</v>
          </cell>
        </row>
        <row r="260">
          <cell r="A260">
            <v>41015</v>
          </cell>
        </row>
        <row r="261">
          <cell r="A261">
            <v>47001</v>
          </cell>
        </row>
        <row r="262">
          <cell r="A262">
            <v>47002</v>
          </cell>
        </row>
        <row r="263">
          <cell r="A263">
            <v>47003</v>
          </cell>
        </row>
        <row r="264">
          <cell r="A264">
            <v>47004</v>
          </cell>
        </row>
        <row r="265">
          <cell r="A265">
            <v>47005</v>
          </cell>
        </row>
        <row r="266">
          <cell r="A266">
            <v>47006</v>
          </cell>
        </row>
        <row r="267">
          <cell r="A267">
            <v>47007</v>
          </cell>
        </row>
        <row r="268">
          <cell r="A268">
            <v>47008</v>
          </cell>
        </row>
        <row r="269">
          <cell r="A269">
            <v>47009</v>
          </cell>
        </row>
        <row r="270">
          <cell r="A270">
            <v>47010</v>
          </cell>
        </row>
        <row r="271">
          <cell r="A271">
            <v>47011</v>
          </cell>
        </row>
        <row r="272">
          <cell r="A272">
            <v>49001</v>
          </cell>
        </row>
        <row r="273">
          <cell r="A273">
            <v>49002</v>
          </cell>
        </row>
        <row r="274">
          <cell r="A274">
            <v>49003</v>
          </cell>
        </row>
        <row r="275">
          <cell r="A275">
            <v>49004</v>
          </cell>
        </row>
        <row r="276">
          <cell r="A276">
            <v>49005</v>
          </cell>
        </row>
        <row r="277">
          <cell r="A277">
            <v>49006</v>
          </cell>
        </row>
        <row r="278">
          <cell r="A278">
            <v>49007</v>
          </cell>
        </row>
        <row r="279">
          <cell r="A279">
            <v>49008</v>
          </cell>
        </row>
        <row r="280">
          <cell r="A280">
            <v>49009</v>
          </cell>
        </row>
        <row r="281">
          <cell r="A281">
            <v>49010</v>
          </cell>
        </row>
        <row r="282">
          <cell r="A282">
            <v>49011</v>
          </cell>
        </row>
        <row r="283">
          <cell r="A283">
            <v>49012</v>
          </cell>
        </row>
        <row r="284">
          <cell r="A284">
            <v>49013</v>
          </cell>
        </row>
        <row r="285">
          <cell r="A285">
            <v>49014</v>
          </cell>
        </row>
        <row r="286">
          <cell r="A286">
            <v>50001</v>
          </cell>
        </row>
        <row r="287">
          <cell r="A287">
            <v>50002</v>
          </cell>
        </row>
        <row r="288">
          <cell r="A288">
            <v>50003</v>
          </cell>
        </row>
        <row r="289">
          <cell r="A289">
            <v>50004</v>
          </cell>
        </row>
        <row r="290">
          <cell r="A290">
            <v>50005</v>
          </cell>
        </row>
        <row r="291">
          <cell r="A291">
            <v>50006</v>
          </cell>
        </row>
        <row r="292">
          <cell r="A292">
            <v>50007</v>
          </cell>
        </row>
        <row r="293">
          <cell r="A293">
            <v>50008</v>
          </cell>
        </row>
        <row r="294">
          <cell r="A294">
            <v>50009</v>
          </cell>
        </row>
        <row r="295">
          <cell r="A295">
            <v>50010</v>
          </cell>
        </row>
        <row r="296">
          <cell r="A296">
            <v>50011</v>
          </cell>
        </row>
        <row r="297">
          <cell r="A297">
            <v>50012</v>
          </cell>
        </row>
        <row r="298">
          <cell r="A298">
            <v>50013</v>
          </cell>
        </row>
        <row r="299">
          <cell r="A299">
            <v>50014</v>
          </cell>
        </row>
        <row r="300">
          <cell r="A300">
            <v>51001</v>
          </cell>
        </row>
        <row r="301">
          <cell r="A301">
            <v>51002</v>
          </cell>
        </row>
        <row r="302">
          <cell r="A302">
            <v>58001</v>
          </cell>
        </row>
        <row r="303">
          <cell r="A303">
            <v>59001</v>
          </cell>
        </row>
        <row r="304">
          <cell r="A304">
            <v>59002</v>
          </cell>
        </row>
        <row r="305">
          <cell r="A305">
            <v>60001</v>
          </cell>
        </row>
        <row r="306">
          <cell r="A306">
            <v>60002</v>
          </cell>
        </row>
        <row r="307">
          <cell r="A307">
            <v>60003</v>
          </cell>
        </row>
        <row r="308">
          <cell r="A308">
            <v>60004</v>
          </cell>
        </row>
        <row r="309">
          <cell r="A309">
            <v>60005</v>
          </cell>
        </row>
        <row r="310">
          <cell r="A310">
            <v>60006</v>
          </cell>
        </row>
        <row r="311">
          <cell r="A311">
            <v>60007</v>
          </cell>
        </row>
        <row r="312">
          <cell r="A312">
            <v>60010</v>
          </cell>
        </row>
        <row r="313">
          <cell r="A313">
            <v>60011</v>
          </cell>
        </row>
        <row r="314">
          <cell r="A314">
            <v>61011</v>
          </cell>
        </row>
        <row r="315">
          <cell r="A315">
            <v>60012</v>
          </cell>
        </row>
        <row r="316">
          <cell r="A316">
            <v>60013</v>
          </cell>
        </row>
        <row r="317">
          <cell r="A317">
            <v>60014</v>
          </cell>
        </row>
        <row r="318">
          <cell r="A318">
            <v>60015</v>
          </cell>
        </row>
        <row r="319">
          <cell r="A319">
            <v>60016</v>
          </cell>
        </row>
        <row r="320">
          <cell r="A320">
            <v>60017</v>
          </cell>
        </row>
        <row r="321">
          <cell r="A321">
            <v>60018</v>
          </cell>
        </row>
        <row r="322">
          <cell r="A322">
            <v>60019</v>
          </cell>
        </row>
        <row r="323">
          <cell r="A323">
            <v>60020</v>
          </cell>
        </row>
        <row r="324">
          <cell r="A324">
            <v>60025</v>
          </cell>
        </row>
        <row r="325">
          <cell r="A325">
            <v>60026</v>
          </cell>
        </row>
        <row r="326">
          <cell r="A326">
            <v>60027</v>
          </cell>
        </row>
        <row r="327">
          <cell r="A327">
            <v>60028</v>
          </cell>
        </row>
        <row r="328">
          <cell r="A328">
            <v>65525</v>
          </cell>
        </row>
        <row r="329">
          <cell r="A329">
            <v>65526</v>
          </cell>
        </row>
        <row r="330">
          <cell r="A330">
            <v>65527</v>
          </cell>
        </row>
        <row r="331">
          <cell r="A331">
            <v>65528</v>
          </cell>
        </row>
        <row r="332">
          <cell r="A332">
            <v>65529</v>
          </cell>
        </row>
        <row r="333">
          <cell r="A333">
            <v>65530</v>
          </cell>
        </row>
        <row r="334">
          <cell r="A334">
            <v>65531</v>
          </cell>
        </row>
        <row r="335">
          <cell r="A335">
            <v>65532</v>
          </cell>
        </row>
        <row r="336">
          <cell r="A336">
            <v>65533</v>
          </cell>
        </row>
        <row r="337">
          <cell r="A337">
            <v>65534</v>
          </cell>
        </row>
        <row r="338">
          <cell r="A338">
            <v>65535</v>
          </cell>
        </row>
        <row r="339">
          <cell r="A339">
            <v>60021</v>
          </cell>
        </row>
        <row r="340">
          <cell r="A340">
            <v>60022</v>
          </cell>
        </row>
        <row r="341">
          <cell r="A341">
            <v>60023</v>
          </cell>
        </row>
        <row r="342">
          <cell r="A342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49001_1</v>
          </cell>
        </row>
        <row r="875">
          <cell r="A875" t="str">
            <v>49002_1</v>
          </cell>
        </row>
        <row r="876">
          <cell r="A876" t="str">
            <v>49002_2</v>
          </cell>
        </row>
        <row r="877">
          <cell r="A877" t="str">
            <v>49003_1</v>
          </cell>
        </row>
        <row r="878">
          <cell r="A878" t="str">
            <v>49003_2</v>
          </cell>
        </row>
        <row r="879">
          <cell r="A879" t="str">
            <v>49004_1</v>
          </cell>
        </row>
        <row r="880">
          <cell r="A880" t="str">
            <v>49004_2</v>
          </cell>
        </row>
        <row r="881">
          <cell r="A881" t="str">
            <v>49004_3</v>
          </cell>
        </row>
        <row r="882">
          <cell r="A882" t="str">
            <v>49005_1</v>
          </cell>
        </row>
        <row r="883">
          <cell r="A883" t="str">
            <v>49006_1</v>
          </cell>
        </row>
        <row r="884">
          <cell r="A884" t="str">
            <v>49006_2</v>
          </cell>
        </row>
        <row r="885">
          <cell r="A885" t="str">
            <v>49007_1</v>
          </cell>
        </row>
        <row r="886">
          <cell r="A886" t="str">
            <v>49007_2</v>
          </cell>
        </row>
        <row r="887">
          <cell r="A887" t="str">
            <v>49007_3</v>
          </cell>
        </row>
        <row r="888">
          <cell r="A888" t="str">
            <v>49008_1</v>
          </cell>
        </row>
        <row r="889">
          <cell r="A889" t="str">
            <v>49009_1</v>
          </cell>
        </row>
        <row r="890">
          <cell r="A890" t="str">
            <v>49010_1</v>
          </cell>
        </row>
        <row r="891">
          <cell r="A891" t="str">
            <v>49011_1</v>
          </cell>
        </row>
        <row r="892">
          <cell r="A892" t="str">
            <v>49012_1</v>
          </cell>
        </row>
        <row r="893">
          <cell r="A893" t="str">
            <v>49013_1</v>
          </cell>
        </row>
        <row r="894">
          <cell r="A894" t="str">
            <v>49014_1</v>
          </cell>
        </row>
        <row r="895">
          <cell r="A895" t="str">
            <v>49014_2</v>
          </cell>
        </row>
        <row r="896">
          <cell r="A896" t="str">
            <v>50001_1</v>
          </cell>
        </row>
        <row r="897">
          <cell r="A897" t="str">
            <v>50002_1</v>
          </cell>
        </row>
        <row r="898">
          <cell r="A898" t="str">
            <v>50003_1</v>
          </cell>
        </row>
        <row r="899">
          <cell r="A899" t="str">
            <v>50004_1</v>
          </cell>
        </row>
        <row r="900">
          <cell r="A900" t="str">
            <v>50005_1</v>
          </cell>
        </row>
        <row r="901">
          <cell r="A901" t="str">
            <v>50006_1</v>
          </cell>
        </row>
        <row r="902">
          <cell r="A902" t="str">
            <v>50007_1</v>
          </cell>
        </row>
        <row r="903">
          <cell r="A903" t="str">
            <v>50008_1</v>
          </cell>
        </row>
        <row r="904">
          <cell r="A904" t="str">
            <v>50009_1</v>
          </cell>
        </row>
        <row r="905">
          <cell r="A905" t="str">
            <v>50010_1</v>
          </cell>
        </row>
        <row r="906">
          <cell r="A906" t="str">
            <v>50011_1</v>
          </cell>
        </row>
        <row r="907">
          <cell r="A907" t="str">
            <v>50012_1</v>
          </cell>
        </row>
        <row r="908">
          <cell r="A908" t="str">
            <v>50013_1</v>
          </cell>
        </row>
        <row r="909">
          <cell r="A909" t="str">
            <v>50014_1</v>
          </cell>
        </row>
        <row r="910">
          <cell r="A910" t="str">
            <v>51001_1</v>
          </cell>
        </row>
        <row r="911">
          <cell r="A911" t="str">
            <v>51002_1</v>
          </cell>
        </row>
        <row r="912">
          <cell r="A912" t="str">
            <v>58001_1</v>
          </cell>
        </row>
        <row r="913">
          <cell r="A913" t="str">
            <v>59001_1</v>
          </cell>
        </row>
        <row r="914">
          <cell r="A914" t="str">
            <v>59002_1</v>
          </cell>
        </row>
        <row r="915">
          <cell r="A915" t="str">
            <v>60001_1</v>
          </cell>
        </row>
        <row r="916">
          <cell r="A916" t="str">
            <v>60002_1</v>
          </cell>
        </row>
        <row r="917">
          <cell r="A917" t="str">
            <v>60002_2</v>
          </cell>
        </row>
        <row r="918">
          <cell r="A918" t="str">
            <v>60003_1</v>
          </cell>
        </row>
        <row r="919">
          <cell r="A919" t="str">
            <v>60003_2</v>
          </cell>
        </row>
        <row r="920">
          <cell r="A920" t="str">
            <v>60003_3</v>
          </cell>
        </row>
        <row r="921">
          <cell r="A921" t="str">
            <v>60004_1</v>
          </cell>
        </row>
        <row r="922">
          <cell r="A922" t="str">
            <v>60005_1</v>
          </cell>
        </row>
        <row r="923">
          <cell r="A923" t="str">
            <v>60006_1</v>
          </cell>
        </row>
        <row r="924">
          <cell r="A924" t="str">
            <v>60006_2</v>
          </cell>
        </row>
        <row r="925">
          <cell r="A925" t="str">
            <v>60006_3</v>
          </cell>
        </row>
        <row r="926">
          <cell r="A926" t="str">
            <v>60007_1</v>
          </cell>
        </row>
        <row r="927">
          <cell r="A927" t="str">
            <v>60007_2</v>
          </cell>
        </row>
        <row r="928">
          <cell r="A928" t="str">
            <v>60007_3</v>
          </cell>
        </row>
        <row r="929">
          <cell r="A929" t="str">
            <v>60010_1</v>
          </cell>
        </row>
        <row r="930">
          <cell r="A930" t="str">
            <v>60011_1</v>
          </cell>
        </row>
        <row r="931">
          <cell r="A931" t="str">
            <v>60011_2</v>
          </cell>
        </row>
        <row r="932">
          <cell r="A932" t="str">
            <v>60012_1</v>
          </cell>
        </row>
        <row r="933">
          <cell r="A933" t="str">
            <v>60013_1</v>
          </cell>
        </row>
        <row r="934">
          <cell r="A934" t="str">
            <v>60013_2</v>
          </cell>
        </row>
        <row r="935">
          <cell r="A935" t="str">
            <v>60013_3</v>
          </cell>
        </row>
        <row r="936">
          <cell r="A936" t="str">
            <v>60014_1</v>
          </cell>
        </row>
        <row r="937">
          <cell r="A937" t="str">
            <v>60015_1</v>
          </cell>
        </row>
        <row r="938">
          <cell r="A938" t="str">
            <v>60016_1</v>
          </cell>
        </row>
        <row r="939">
          <cell r="A939" t="str">
            <v>60017_1</v>
          </cell>
        </row>
        <row r="940">
          <cell r="A940" t="str">
            <v>60018_1</v>
          </cell>
        </row>
        <row r="941">
          <cell r="A941" t="str">
            <v>60019_1</v>
          </cell>
        </row>
        <row r="942">
          <cell r="A942" t="str">
            <v>60020_1</v>
          </cell>
        </row>
        <row r="943">
          <cell r="A943" t="str">
            <v>60021_3</v>
          </cell>
        </row>
        <row r="944">
          <cell r="A944" t="str">
            <v>60022_3</v>
          </cell>
        </row>
        <row r="945">
          <cell r="A945" t="str">
            <v>60023_3</v>
          </cell>
        </row>
        <row r="946">
          <cell r="A946" t="str">
            <v>60024_3</v>
          </cell>
        </row>
        <row r="947">
          <cell r="A947" t="str">
            <v>60025_1</v>
          </cell>
        </row>
        <row r="948">
          <cell r="A948" t="str">
            <v>60026_1</v>
          </cell>
        </row>
        <row r="949">
          <cell r="A949" t="str">
            <v>61011_1</v>
          </cell>
        </row>
        <row r="950">
          <cell r="A950" t="str">
            <v>60027_1</v>
          </cell>
        </row>
        <row r="951">
          <cell r="A951" t="str">
            <v>60028_1</v>
          </cell>
        </row>
        <row r="952">
          <cell r="A952" t="str">
            <v>65525_1</v>
          </cell>
        </row>
        <row r="953">
          <cell r="A953" t="str">
            <v>65526_1</v>
          </cell>
        </row>
        <row r="954">
          <cell r="A954" t="str">
            <v>65526_2</v>
          </cell>
        </row>
        <row r="955">
          <cell r="A955" t="str">
            <v>65527_1</v>
          </cell>
        </row>
        <row r="956">
          <cell r="A956" t="str">
            <v>65528_1</v>
          </cell>
        </row>
        <row r="957">
          <cell r="A957" t="str">
            <v>65529_1</v>
          </cell>
        </row>
        <row r="958">
          <cell r="A958" t="str">
            <v>65530_1</v>
          </cell>
        </row>
        <row r="959">
          <cell r="A959" t="str">
            <v>65531_1</v>
          </cell>
        </row>
        <row r="960">
          <cell r="A960" t="str">
            <v>65531_2</v>
          </cell>
        </row>
        <row r="961">
          <cell r="A961" t="str">
            <v>65532_1</v>
          </cell>
        </row>
        <row r="962">
          <cell r="A962" t="str">
            <v>65532_2</v>
          </cell>
        </row>
        <row r="963">
          <cell r="A963" t="str">
            <v>65533_1</v>
          </cell>
        </row>
        <row r="964">
          <cell r="A964" t="str">
            <v>65533_2</v>
          </cell>
        </row>
        <row r="965">
          <cell r="A965" t="str">
            <v>65534_1</v>
          </cell>
        </row>
        <row r="966">
          <cell r="A966" t="str">
            <v>65534_2</v>
          </cell>
        </row>
        <row r="967">
          <cell r="A967" t="str">
            <v>65535_1</v>
          </cell>
        </row>
        <row r="968">
          <cell r="A968" t="str">
            <v>65535_2</v>
          </cell>
        </row>
        <row r="969">
          <cell r="A969" t="str">
            <v>65535_3</v>
          </cell>
        </row>
        <row r="970">
          <cell r="A970" t="str">
            <v>65535_4</v>
          </cell>
        </row>
        <row r="971">
          <cell r="A971" t="str">
            <v>65535_5</v>
          </cell>
        </row>
        <row r="972">
          <cell r="A972" t="str">
            <v>65535_6</v>
          </cell>
        </row>
        <row r="973">
          <cell r="A973" t="str">
            <v>65535_7</v>
          </cell>
        </row>
        <row r="974">
          <cell r="A974" t="str">
            <v>65535_8</v>
          </cell>
        </row>
        <row r="975">
          <cell r="A975" t="str">
            <v>65535_9</v>
          </cell>
        </row>
        <row r="976">
          <cell r="A976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1504</v>
          </cell>
        </row>
        <row r="1341">
          <cell r="A1341">
            <v>1505</v>
          </cell>
        </row>
        <row r="1342">
          <cell r="A1342">
            <v>1506</v>
          </cell>
        </row>
        <row r="1343">
          <cell r="A1343">
            <v>1507</v>
          </cell>
        </row>
        <row r="1344">
          <cell r="A1344">
            <v>1508</v>
          </cell>
        </row>
        <row r="1345">
          <cell r="A1345">
            <v>1509</v>
          </cell>
        </row>
        <row r="1346">
          <cell r="A1346">
            <v>1510</v>
          </cell>
        </row>
        <row r="1347">
          <cell r="A1347">
            <v>1511</v>
          </cell>
        </row>
        <row r="1348">
          <cell r="A1348">
            <v>1512</v>
          </cell>
        </row>
        <row r="1349">
          <cell r="A1349">
            <v>1523</v>
          </cell>
        </row>
        <row r="1350">
          <cell r="A1350">
            <v>1524</v>
          </cell>
        </row>
        <row r="1351">
          <cell r="A1351">
            <v>1525</v>
          </cell>
        </row>
        <row r="1352">
          <cell r="A1352">
            <v>1526</v>
          </cell>
        </row>
        <row r="1353">
          <cell r="A1353">
            <v>5001</v>
          </cell>
        </row>
        <row r="1354">
          <cell r="A1354">
            <v>5002</v>
          </cell>
        </row>
        <row r="1355">
          <cell r="A1355">
            <v>5003</v>
          </cell>
        </row>
        <row r="1356">
          <cell r="A1356">
            <v>5004</v>
          </cell>
        </row>
        <row r="1357">
          <cell r="A1357">
            <v>5005</v>
          </cell>
        </row>
        <row r="1358">
          <cell r="A1358">
            <v>5006</v>
          </cell>
        </row>
        <row r="1359">
          <cell r="A1359">
            <v>5007</v>
          </cell>
        </row>
        <row r="1360">
          <cell r="A1360">
            <v>5008</v>
          </cell>
        </row>
        <row r="1361">
          <cell r="A1361">
            <v>6001</v>
          </cell>
        </row>
        <row r="1362">
          <cell r="A1362">
            <v>6002</v>
          </cell>
        </row>
        <row r="1363">
          <cell r="A1363">
            <v>6003</v>
          </cell>
        </row>
        <row r="1364">
          <cell r="A1364">
            <v>6004</v>
          </cell>
        </row>
        <row r="1365">
          <cell r="A1365">
            <v>6005</v>
          </cell>
        </row>
        <row r="1366">
          <cell r="A1366">
            <v>6006</v>
          </cell>
        </row>
        <row r="1367">
          <cell r="A1367">
            <v>6007</v>
          </cell>
        </row>
        <row r="1368">
          <cell r="A1368">
            <v>6008</v>
          </cell>
        </row>
        <row r="1369">
          <cell r="A1369">
            <v>6009</v>
          </cell>
        </row>
        <row r="1370">
          <cell r="A1370">
            <v>6010</v>
          </cell>
        </row>
        <row r="1371">
          <cell r="A1371">
            <v>6011</v>
          </cell>
        </row>
        <row r="1372">
          <cell r="A1372">
            <v>6012</v>
          </cell>
        </row>
        <row r="1373">
          <cell r="A1373">
            <v>6013</v>
          </cell>
        </row>
        <row r="1374">
          <cell r="A1374">
            <v>6014</v>
          </cell>
        </row>
        <row r="1375">
          <cell r="A1375">
            <v>6015</v>
          </cell>
        </row>
        <row r="1376">
          <cell r="A1376">
            <v>6016</v>
          </cell>
        </row>
        <row r="1377">
          <cell r="A1377">
            <v>6017</v>
          </cell>
        </row>
        <row r="1378">
          <cell r="A1378">
            <v>6018</v>
          </cell>
        </row>
        <row r="1379">
          <cell r="A1379">
            <v>6019</v>
          </cell>
        </row>
        <row r="1380">
          <cell r="A1380">
            <v>6020</v>
          </cell>
        </row>
        <row r="1381">
          <cell r="A1381">
            <v>8001</v>
          </cell>
        </row>
        <row r="1382">
          <cell r="A1382">
            <v>8002</v>
          </cell>
        </row>
        <row r="1383">
          <cell r="A1383">
            <v>8003</v>
          </cell>
        </row>
        <row r="1384">
          <cell r="A1384">
            <v>8004</v>
          </cell>
        </row>
        <row r="1385">
          <cell r="A1385">
            <v>8005</v>
          </cell>
        </row>
        <row r="1386">
          <cell r="A1386">
            <v>8006</v>
          </cell>
        </row>
        <row r="1387">
          <cell r="A1387">
            <v>8007</v>
          </cell>
        </row>
        <row r="1388">
          <cell r="A1388">
            <v>8008</v>
          </cell>
        </row>
        <row r="1389">
          <cell r="A1389">
            <v>8009</v>
          </cell>
        </row>
        <row r="1390">
          <cell r="A1390">
            <v>8010</v>
          </cell>
        </row>
        <row r="1391">
          <cell r="A1391">
            <v>8011</v>
          </cell>
        </row>
        <row r="1392">
          <cell r="A1392">
            <v>8012</v>
          </cell>
        </row>
        <row r="1393">
          <cell r="A1393">
            <v>8013</v>
          </cell>
        </row>
        <row r="1394">
          <cell r="A1394">
            <v>8014</v>
          </cell>
        </row>
        <row r="1395">
          <cell r="A1395">
            <v>8015</v>
          </cell>
        </row>
        <row r="1396">
          <cell r="A1396">
            <v>8016</v>
          </cell>
        </row>
        <row r="1397">
          <cell r="A1397">
            <v>8017</v>
          </cell>
        </row>
        <row r="1398">
          <cell r="A1398">
            <v>8018</v>
          </cell>
        </row>
        <row r="1399">
          <cell r="A1399">
            <v>8019</v>
          </cell>
        </row>
        <row r="1400">
          <cell r="A1400">
            <v>8020</v>
          </cell>
        </row>
        <row r="1401">
          <cell r="A1401">
            <v>8021</v>
          </cell>
        </row>
        <row r="1402">
          <cell r="A1402">
            <v>8022</v>
          </cell>
        </row>
        <row r="1403">
          <cell r="A1403">
            <v>8023</v>
          </cell>
        </row>
        <row r="1404">
          <cell r="A1404">
            <v>8024</v>
          </cell>
        </row>
        <row r="1405">
          <cell r="A1405">
            <v>8025</v>
          </cell>
        </row>
        <row r="1406">
          <cell r="A1406">
            <v>8026</v>
          </cell>
        </row>
        <row r="1407">
          <cell r="A1407">
            <v>8027</v>
          </cell>
        </row>
        <row r="1408">
          <cell r="A1408">
            <v>8028</v>
          </cell>
        </row>
        <row r="1409">
          <cell r="A1409">
            <v>8029</v>
          </cell>
        </row>
        <row r="1410">
          <cell r="A1410">
            <v>8030</v>
          </cell>
        </row>
        <row r="1411">
          <cell r="A1411">
            <v>8031</v>
          </cell>
        </row>
        <row r="1412">
          <cell r="A1412">
            <v>8032</v>
          </cell>
        </row>
        <row r="1413">
          <cell r="A1413">
            <v>8033</v>
          </cell>
        </row>
        <row r="1414">
          <cell r="A1414">
            <v>8034</v>
          </cell>
        </row>
        <row r="1415">
          <cell r="A1415">
            <v>8035</v>
          </cell>
        </row>
        <row r="1416">
          <cell r="A1416">
            <v>8036</v>
          </cell>
        </row>
        <row r="1417">
          <cell r="A1417">
            <v>8037</v>
          </cell>
        </row>
        <row r="1418">
          <cell r="A1418">
            <v>8038</v>
          </cell>
        </row>
        <row r="1419">
          <cell r="A1419">
            <v>8039</v>
          </cell>
        </row>
        <row r="1420">
          <cell r="A1420">
            <v>8040</v>
          </cell>
        </row>
        <row r="1421">
          <cell r="A1421">
            <v>8041</v>
          </cell>
        </row>
        <row r="1422">
          <cell r="A1422">
            <v>8042</v>
          </cell>
        </row>
        <row r="1423">
          <cell r="A1423">
            <v>8043</v>
          </cell>
        </row>
        <row r="1424">
          <cell r="A1424">
            <v>8044</v>
          </cell>
        </row>
        <row r="1425">
          <cell r="A1425">
            <v>8045</v>
          </cell>
        </row>
        <row r="1426">
          <cell r="A1426">
            <v>8046</v>
          </cell>
        </row>
        <row r="1427">
          <cell r="A1427">
            <v>8047</v>
          </cell>
        </row>
        <row r="1428">
          <cell r="A1428">
            <v>8048</v>
          </cell>
        </row>
        <row r="1429">
          <cell r="A1429">
            <v>8049</v>
          </cell>
        </row>
        <row r="1430">
          <cell r="A1430">
            <v>8050</v>
          </cell>
        </row>
        <row r="1431">
          <cell r="A1431">
            <v>8051</v>
          </cell>
        </row>
        <row r="1432">
          <cell r="A1432">
            <v>8052</v>
          </cell>
        </row>
        <row r="1433">
          <cell r="A1433">
            <v>8053</v>
          </cell>
        </row>
        <row r="1434">
          <cell r="A1434">
            <v>8054</v>
          </cell>
        </row>
        <row r="1435">
          <cell r="A1435">
            <v>8055</v>
          </cell>
        </row>
        <row r="1436">
          <cell r="A1436">
            <v>8056</v>
          </cell>
        </row>
        <row r="1437">
          <cell r="A1437">
            <v>8057</v>
          </cell>
        </row>
        <row r="1438">
          <cell r="A1438">
            <v>8058</v>
          </cell>
        </row>
        <row r="1439">
          <cell r="A1439">
            <v>8059</v>
          </cell>
        </row>
        <row r="1440">
          <cell r="A1440">
            <v>8060</v>
          </cell>
        </row>
        <row r="1441">
          <cell r="A1441">
            <v>8061</v>
          </cell>
        </row>
        <row r="1442">
          <cell r="A1442">
            <v>8062</v>
          </cell>
        </row>
        <row r="1443">
          <cell r="A1443">
            <v>8063</v>
          </cell>
        </row>
        <row r="1444">
          <cell r="A1444">
            <v>8064</v>
          </cell>
        </row>
        <row r="1445">
          <cell r="A1445">
            <v>8065</v>
          </cell>
        </row>
        <row r="1446">
          <cell r="A1446">
            <v>8066</v>
          </cell>
        </row>
        <row r="1447">
          <cell r="A1447">
            <v>8067</v>
          </cell>
        </row>
        <row r="1448">
          <cell r="A1448">
            <v>8068</v>
          </cell>
        </row>
        <row r="1449">
          <cell r="A1449">
            <v>8069</v>
          </cell>
        </row>
        <row r="1450">
          <cell r="A1450">
            <v>8070</v>
          </cell>
        </row>
        <row r="1451">
          <cell r="A1451">
            <v>8071</v>
          </cell>
        </row>
        <row r="1452">
          <cell r="A1452">
            <v>8072</v>
          </cell>
        </row>
        <row r="1453">
          <cell r="A1453">
            <v>8073</v>
          </cell>
        </row>
        <row r="1454">
          <cell r="A1454">
            <v>8074</v>
          </cell>
        </row>
        <row r="1455">
          <cell r="A1455">
            <v>8077</v>
          </cell>
        </row>
        <row r="1456">
          <cell r="A1456">
            <v>8078</v>
          </cell>
        </row>
        <row r="1457">
          <cell r="A1457">
            <v>8079</v>
          </cell>
        </row>
        <row r="1458">
          <cell r="A1458">
            <v>8080</v>
          </cell>
        </row>
        <row r="1459">
          <cell r="A1459">
            <v>8081</v>
          </cell>
        </row>
        <row r="1460">
          <cell r="A1460">
            <v>8082</v>
          </cell>
        </row>
        <row r="1461">
          <cell r="A1461">
            <v>8083</v>
          </cell>
        </row>
        <row r="1462">
          <cell r="A1462">
            <v>8084</v>
          </cell>
        </row>
        <row r="1463">
          <cell r="A1463">
            <v>8087</v>
          </cell>
        </row>
        <row r="1464">
          <cell r="A1464">
            <v>8088</v>
          </cell>
        </row>
        <row r="1465">
          <cell r="A1465">
            <v>8089</v>
          </cell>
        </row>
        <row r="1466">
          <cell r="A1466">
            <v>8090</v>
          </cell>
        </row>
        <row r="1467">
          <cell r="A1467">
            <v>8095</v>
          </cell>
        </row>
        <row r="1468">
          <cell r="A1468">
            <v>8096</v>
          </cell>
        </row>
        <row r="1469">
          <cell r="A1469">
            <v>8097</v>
          </cell>
        </row>
        <row r="1470">
          <cell r="A1470">
            <v>8098</v>
          </cell>
        </row>
        <row r="1471">
          <cell r="A1471">
            <v>8099</v>
          </cell>
        </row>
        <row r="1472">
          <cell r="A1472">
            <v>9001</v>
          </cell>
        </row>
        <row r="1473">
          <cell r="A1473">
            <v>9002</v>
          </cell>
        </row>
        <row r="1474">
          <cell r="A1474">
            <v>9003</v>
          </cell>
        </row>
        <row r="1475">
          <cell r="A1475">
            <v>9004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1433</v>
          </cell>
        </row>
        <row r="1401">
          <cell r="A1401">
            <v>1434</v>
          </cell>
        </row>
        <row r="1402">
          <cell r="A1402">
            <v>1435</v>
          </cell>
        </row>
        <row r="1403">
          <cell r="A1403">
            <v>1458</v>
          </cell>
        </row>
        <row r="1404">
          <cell r="A1404">
            <v>1459</v>
          </cell>
        </row>
        <row r="1405">
          <cell r="A1405">
            <v>1460</v>
          </cell>
        </row>
        <row r="1406">
          <cell r="A1406">
            <v>1461</v>
          </cell>
        </row>
        <row r="1407">
          <cell r="A1407">
            <v>1462</v>
          </cell>
        </row>
        <row r="1408">
          <cell r="A1408">
            <v>1463</v>
          </cell>
        </row>
        <row r="1409">
          <cell r="A1409">
            <v>1464</v>
          </cell>
        </row>
        <row r="1410">
          <cell r="A1410">
            <v>1465</v>
          </cell>
        </row>
        <row r="1411">
          <cell r="A1411">
            <v>1466</v>
          </cell>
        </row>
        <row r="1412">
          <cell r="A1412">
            <v>1467</v>
          </cell>
        </row>
        <row r="1413">
          <cell r="A1413">
            <v>1468</v>
          </cell>
        </row>
        <row r="1414">
          <cell r="A1414">
            <v>1469</v>
          </cell>
        </row>
        <row r="1415">
          <cell r="A1415">
            <v>1470</v>
          </cell>
        </row>
        <row r="1416">
          <cell r="A1416">
            <v>1504</v>
          </cell>
        </row>
        <row r="1417">
          <cell r="A1417">
            <v>1505</v>
          </cell>
        </row>
        <row r="1418">
          <cell r="A1418">
            <v>1506</v>
          </cell>
        </row>
        <row r="1419">
          <cell r="A1419">
            <v>1507</v>
          </cell>
        </row>
        <row r="1420">
          <cell r="A1420">
            <v>1508</v>
          </cell>
        </row>
        <row r="1421">
          <cell r="A1421">
            <v>1509</v>
          </cell>
        </row>
        <row r="1422">
          <cell r="A1422">
            <v>1510</v>
          </cell>
        </row>
        <row r="1423">
          <cell r="A1423">
            <v>1511</v>
          </cell>
        </row>
        <row r="1424">
          <cell r="A1424">
            <v>1512</v>
          </cell>
        </row>
        <row r="1425">
          <cell r="A1425">
            <v>1513</v>
          </cell>
        </row>
        <row r="1426">
          <cell r="A1426">
            <v>1514</v>
          </cell>
        </row>
        <row r="1427">
          <cell r="A1427">
            <v>1515</v>
          </cell>
        </row>
        <row r="1428">
          <cell r="A1428">
            <v>1516</v>
          </cell>
        </row>
        <row r="1429">
          <cell r="A1429">
            <v>1517</v>
          </cell>
        </row>
        <row r="1430">
          <cell r="A1430">
            <v>1518</v>
          </cell>
        </row>
        <row r="1431">
          <cell r="A1431">
            <v>1519</v>
          </cell>
        </row>
        <row r="1432">
          <cell r="A1432">
            <v>1520</v>
          </cell>
        </row>
        <row r="1433">
          <cell r="A1433">
            <v>1521</v>
          </cell>
        </row>
        <row r="1434">
          <cell r="A1434">
            <v>1522</v>
          </cell>
        </row>
        <row r="1435">
          <cell r="A1435">
            <v>1523</v>
          </cell>
        </row>
        <row r="1436">
          <cell r="A1436">
            <v>1524</v>
          </cell>
        </row>
        <row r="1437">
          <cell r="A1437">
            <v>1525</v>
          </cell>
        </row>
        <row r="1438">
          <cell r="A1438">
            <v>1526</v>
          </cell>
        </row>
        <row r="1439">
          <cell r="A1439">
            <v>1527</v>
          </cell>
        </row>
        <row r="1440">
          <cell r="A1440">
            <v>1528</v>
          </cell>
        </row>
        <row r="1441">
          <cell r="A1441">
            <v>1529</v>
          </cell>
        </row>
        <row r="1442">
          <cell r="A1442">
            <v>1530</v>
          </cell>
        </row>
        <row r="1443">
          <cell r="A1443">
            <v>1531</v>
          </cell>
        </row>
        <row r="1444">
          <cell r="A1444">
            <v>1532</v>
          </cell>
        </row>
        <row r="1445">
          <cell r="A1445">
            <v>1533</v>
          </cell>
        </row>
        <row r="1446">
          <cell r="A1446">
            <v>1534</v>
          </cell>
        </row>
        <row r="1447">
          <cell r="A1447">
            <v>1535</v>
          </cell>
        </row>
        <row r="1448">
          <cell r="A1448">
            <v>1536</v>
          </cell>
        </row>
        <row r="1449">
          <cell r="A1449">
            <v>1537</v>
          </cell>
        </row>
        <row r="1450">
          <cell r="A1450">
            <v>1538</v>
          </cell>
        </row>
        <row r="1451">
          <cell r="A1451">
            <v>1539</v>
          </cell>
        </row>
        <row r="1452">
          <cell r="A1452">
            <v>1540</v>
          </cell>
        </row>
        <row r="1453">
          <cell r="A1453">
            <v>1541</v>
          </cell>
        </row>
        <row r="1454">
          <cell r="A1454">
            <v>1542</v>
          </cell>
        </row>
        <row r="1455">
          <cell r="A1455">
            <v>1543</v>
          </cell>
        </row>
        <row r="1456">
          <cell r="A1456">
            <v>1544</v>
          </cell>
        </row>
        <row r="1457">
          <cell r="A1457">
            <v>1545</v>
          </cell>
        </row>
        <row r="1458">
          <cell r="A1458">
            <v>1546</v>
          </cell>
        </row>
        <row r="1459">
          <cell r="A1459">
            <v>1547</v>
          </cell>
        </row>
        <row r="1460">
          <cell r="A1460">
            <v>1548</v>
          </cell>
        </row>
        <row r="1461">
          <cell r="A1461">
            <v>1549</v>
          </cell>
        </row>
        <row r="1462">
          <cell r="A1462">
            <v>1550</v>
          </cell>
        </row>
        <row r="1463">
          <cell r="A1463">
            <v>5001</v>
          </cell>
        </row>
        <row r="1464">
          <cell r="A1464">
            <v>5002</v>
          </cell>
        </row>
        <row r="1465">
          <cell r="A1465">
            <v>5003</v>
          </cell>
        </row>
        <row r="1466">
          <cell r="A1466">
            <v>5004</v>
          </cell>
        </row>
        <row r="1467">
          <cell r="A1467">
            <v>5005</v>
          </cell>
        </row>
        <row r="1468">
          <cell r="A1468">
            <v>5006</v>
          </cell>
        </row>
        <row r="1469">
          <cell r="A1469">
            <v>5007</v>
          </cell>
        </row>
        <row r="1470">
          <cell r="A1470">
            <v>5008</v>
          </cell>
        </row>
        <row r="1471">
          <cell r="A1471">
            <v>6001</v>
          </cell>
        </row>
        <row r="1472">
          <cell r="A1472">
            <v>6002</v>
          </cell>
        </row>
        <row r="1473">
          <cell r="A1473">
            <v>6003</v>
          </cell>
        </row>
        <row r="1474">
          <cell r="A1474">
            <v>6004</v>
          </cell>
        </row>
        <row r="1475">
          <cell r="A1475">
            <v>6005</v>
          </cell>
        </row>
        <row r="1476">
          <cell r="A1476">
            <v>6006</v>
          </cell>
        </row>
        <row r="1477">
          <cell r="A1477">
            <v>6007</v>
          </cell>
        </row>
        <row r="1478">
          <cell r="A1478">
            <v>6008</v>
          </cell>
        </row>
        <row r="1479">
          <cell r="A1479">
            <v>6009</v>
          </cell>
        </row>
        <row r="1480">
          <cell r="A1480">
            <v>6010</v>
          </cell>
        </row>
        <row r="1481">
          <cell r="A1481">
            <v>6011</v>
          </cell>
        </row>
        <row r="1482">
          <cell r="A1482">
            <v>6012</v>
          </cell>
        </row>
        <row r="1483">
          <cell r="A1483">
            <v>6013</v>
          </cell>
        </row>
        <row r="1484">
          <cell r="A1484">
            <v>6014</v>
          </cell>
        </row>
        <row r="1485">
          <cell r="A1485">
            <v>6015</v>
          </cell>
        </row>
        <row r="1486">
          <cell r="A1486">
            <v>6016</v>
          </cell>
        </row>
        <row r="1487">
          <cell r="A1487">
            <v>6017</v>
          </cell>
        </row>
        <row r="1488">
          <cell r="A1488">
            <v>6018</v>
          </cell>
        </row>
        <row r="1489">
          <cell r="A1489">
            <v>6019</v>
          </cell>
        </row>
        <row r="1490">
          <cell r="A1490">
            <v>6020</v>
          </cell>
        </row>
        <row r="1491">
          <cell r="A1491">
            <v>8001</v>
          </cell>
        </row>
        <row r="1492">
          <cell r="A1492">
            <v>8002</v>
          </cell>
        </row>
        <row r="1493">
          <cell r="A1493">
            <v>8003</v>
          </cell>
        </row>
        <row r="1494">
          <cell r="A1494">
            <v>8004</v>
          </cell>
        </row>
        <row r="1495">
          <cell r="A1495">
            <v>8005</v>
          </cell>
        </row>
        <row r="1496">
          <cell r="A1496">
            <v>8006</v>
          </cell>
        </row>
        <row r="1497">
          <cell r="A1497">
            <v>8007</v>
          </cell>
        </row>
        <row r="1498">
          <cell r="A1498">
            <v>8008</v>
          </cell>
        </row>
        <row r="1499">
          <cell r="A1499">
            <v>8009</v>
          </cell>
        </row>
        <row r="1500">
          <cell r="A1500">
            <v>8010</v>
          </cell>
        </row>
        <row r="1501">
          <cell r="A1501">
            <v>8011</v>
          </cell>
        </row>
        <row r="1502">
          <cell r="A1502">
            <v>8012</v>
          </cell>
        </row>
        <row r="1503">
          <cell r="A1503">
            <v>8013</v>
          </cell>
        </row>
        <row r="1504">
          <cell r="A1504">
            <v>8014</v>
          </cell>
        </row>
        <row r="1505">
          <cell r="A1505">
            <v>8015</v>
          </cell>
        </row>
        <row r="1506">
          <cell r="A1506">
            <v>8016</v>
          </cell>
        </row>
        <row r="1507">
          <cell r="A1507">
            <v>8017</v>
          </cell>
        </row>
        <row r="1508">
          <cell r="A1508">
            <v>8018</v>
          </cell>
        </row>
        <row r="1509">
          <cell r="A1509">
            <v>8019</v>
          </cell>
        </row>
        <row r="1510">
          <cell r="A1510">
            <v>8020</v>
          </cell>
        </row>
        <row r="1511">
          <cell r="A1511">
            <v>8021</v>
          </cell>
        </row>
        <row r="1512">
          <cell r="A1512">
            <v>8022</v>
          </cell>
        </row>
        <row r="1513">
          <cell r="A1513">
            <v>8023</v>
          </cell>
        </row>
        <row r="1514">
          <cell r="A1514">
            <v>8024</v>
          </cell>
        </row>
        <row r="1515">
          <cell r="A1515">
            <v>8025</v>
          </cell>
        </row>
        <row r="1516">
          <cell r="A1516">
            <v>8026</v>
          </cell>
        </row>
        <row r="1517">
          <cell r="A1517">
            <v>8027</v>
          </cell>
        </row>
        <row r="1518">
          <cell r="A1518">
            <v>8028</v>
          </cell>
        </row>
        <row r="1519">
          <cell r="A1519">
            <v>8029</v>
          </cell>
        </row>
        <row r="1520">
          <cell r="A1520">
            <v>8030</v>
          </cell>
        </row>
        <row r="1521">
          <cell r="A1521">
            <v>8031</v>
          </cell>
        </row>
        <row r="1522">
          <cell r="A1522">
            <v>8032</v>
          </cell>
        </row>
        <row r="1523">
          <cell r="A1523">
            <v>8033</v>
          </cell>
        </row>
        <row r="1524">
          <cell r="A1524">
            <v>8034</v>
          </cell>
        </row>
        <row r="1525">
          <cell r="A1525">
            <v>8035</v>
          </cell>
        </row>
        <row r="1526">
          <cell r="A1526">
            <v>8036</v>
          </cell>
        </row>
        <row r="1527">
          <cell r="A1527">
            <v>8037</v>
          </cell>
        </row>
        <row r="1528">
          <cell r="A1528">
            <v>8038</v>
          </cell>
        </row>
        <row r="1529">
          <cell r="A1529">
            <v>8039</v>
          </cell>
        </row>
        <row r="1530">
          <cell r="A1530">
            <v>8040</v>
          </cell>
        </row>
        <row r="1531">
          <cell r="A1531">
            <v>8041</v>
          </cell>
        </row>
        <row r="1532">
          <cell r="A1532">
            <v>8042</v>
          </cell>
        </row>
        <row r="1533">
          <cell r="A1533">
            <v>8043</v>
          </cell>
        </row>
        <row r="1534">
          <cell r="A1534">
            <v>8044</v>
          </cell>
        </row>
        <row r="1535">
          <cell r="A1535">
            <v>8045</v>
          </cell>
        </row>
        <row r="1536">
          <cell r="A1536">
            <v>8046</v>
          </cell>
        </row>
        <row r="1537">
          <cell r="A1537">
            <v>8047</v>
          </cell>
        </row>
        <row r="1538">
          <cell r="A1538">
            <v>8048</v>
          </cell>
        </row>
        <row r="1539">
          <cell r="A1539">
            <v>8049</v>
          </cell>
        </row>
        <row r="1540">
          <cell r="A1540">
            <v>8050</v>
          </cell>
        </row>
        <row r="1541">
          <cell r="A1541">
            <v>8051</v>
          </cell>
        </row>
        <row r="1542">
          <cell r="A1542">
            <v>8052</v>
          </cell>
        </row>
        <row r="1543">
          <cell r="A1543">
            <v>8053</v>
          </cell>
        </row>
        <row r="1544">
          <cell r="A1544">
            <v>8054</v>
          </cell>
        </row>
        <row r="1545">
          <cell r="A1545">
            <v>8055</v>
          </cell>
        </row>
        <row r="1546">
          <cell r="A1546">
            <v>8056</v>
          </cell>
        </row>
        <row r="1547">
          <cell r="A1547">
            <v>8057</v>
          </cell>
        </row>
        <row r="1548">
          <cell r="A1548">
            <v>8058</v>
          </cell>
        </row>
        <row r="1549">
          <cell r="A1549">
            <v>8059</v>
          </cell>
        </row>
        <row r="1550">
          <cell r="A1550">
            <v>8060</v>
          </cell>
        </row>
        <row r="1551">
          <cell r="A1551">
            <v>8061</v>
          </cell>
        </row>
        <row r="1552">
          <cell r="A1552">
            <v>8062</v>
          </cell>
        </row>
        <row r="1553">
          <cell r="A1553">
            <v>8063</v>
          </cell>
        </row>
        <row r="1554">
          <cell r="A1554">
            <v>8064</v>
          </cell>
        </row>
        <row r="1555">
          <cell r="A1555">
            <v>8065</v>
          </cell>
        </row>
        <row r="1556">
          <cell r="A1556">
            <v>8066</v>
          </cell>
        </row>
        <row r="1557">
          <cell r="A1557">
            <v>8067</v>
          </cell>
        </row>
        <row r="1558">
          <cell r="A1558">
            <v>8068</v>
          </cell>
        </row>
        <row r="1559">
          <cell r="A1559">
            <v>8069</v>
          </cell>
        </row>
        <row r="1560">
          <cell r="A1560">
            <v>8070</v>
          </cell>
        </row>
        <row r="1561">
          <cell r="A1561">
            <v>8071</v>
          </cell>
        </row>
        <row r="1562">
          <cell r="A1562">
            <v>8072</v>
          </cell>
        </row>
        <row r="1563">
          <cell r="A1563">
            <v>8073</v>
          </cell>
        </row>
        <row r="1564">
          <cell r="A1564">
            <v>8074</v>
          </cell>
        </row>
        <row r="1565">
          <cell r="A1565">
            <v>8075</v>
          </cell>
        </row>
        <row r="1566">
          <cell r="A1566">
            <v>8076</v>
          </cell>
        </row>
        <row r="1567">
          <cell r="A1567">
            <v>8077</v>
          </cell>
        </row>
        <row r="1568">
          <cell r="A1568">
            <v>8078</v>
          </cell>
        </row>
        <row r="1569">
          <cell r="A1569">
            <v>8079</v>
          </cell>
        </row>
        <row r="1570">
          <cell r="A1570">
            <v>8080</v>
          </cell>
        </row>
        <row r="1571">
          <cell r="A1571">
            <v>8081</v>
          </cell>
        </row>
        <row r="1572">
          <cell r="A1572">
            <v>8082</v>
          </cell>
        </row>
        <row r="1573">
          <cell r="A1573">
            <v>8083</v>
          </cell>
        </row>
        <row r="1574">
          <cell r="A1574">
            <v>8084</v>
          </cell>
        </row>
        <row r="1575">
          <cell r="A1575">
            <v>8087</v>
          </cell>
        </row>
        <row r="1576">
          <cell r="A1576">
            <v>8088</v>
          </cell>
        </row>
        <row r="1577">
          <cell r="A1577">
            <v>8089</v>
          </cell>
        </row>
        <row r="1578">
          <cell r="A1578">
            <v>8090</v>
          </cell>
        </row>
        <row r="1579">
          <cell r="A1579">
            <v>8095</v>
          </cell>
        </row>
        <row r="1580">
          <cell r="A1580">
            <v>8096</v>
          </cell>
        </row>
        <row r="1581">
          <cell r="A1581">
            <v>8097</v>
          </cell>
        </row>
        <row r="1582">
          <cell r="A1582">
            <v>8098</v>
          </cell>
        </row>
        <row r="1583">
          <cell r="A1583">
            <v>8099</v>
          </cell>
        </row>
        <row r="1584">
          <cell r="A1584">
            <v>9001</v>
          </cell>
        </row>
        <row r="1585">
          <cell r="A1585">
            <v>9002</v>
          </cell>
        </row>
        <row r="1586">
          <cell r="A1586">
            <v>9003</v>
          </cell>
        </row>
        <row r="1587">
          <cell r="A1587">
            <v>9004</v>
          </cell>
        </row>
        <row r="1588">
          <cell r="A1588">
            <v>10001</v>
          </cell>
        </row>
        <row r="1589">
          <cell r="A1589">
            <v>10002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tabSelected="1" workbookViewId="0">
      <selection activeCell="A11" sqref="A11"/>
    </sheetView>
  </sheetViews>
  <sheetFormatPr baseColWidth="12" defaultRowHeight="15" x14ac:dyDescent="0.15"/>
  <cols>
    <col min="2" max="2" width="18.5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132</v>
      </c>
      <c r="B1" s="55" t="s">
        <v>102</v>
      </c>
      <c r="C1" s="55" t="s">
        <v>103</v>
      </c>
      <c r="D1" s="55" t="s">
        <v>104</v>
      </c>
      <c r="E1" s="55" t="s">
        <v>105</v>
      </c>
      <c r="F1" s="55" t="s">
        <v>106</v>
      </c>
      <c r="G1" s="55" t="s">
        <v>107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262</v>
      </c>
      <c r="B2" s="57" t="s">
        <v>108</v>
      </c>
      <c r="C2" s="62">
        <v>65525</v>
      </c>
      <c r="D2" s="57" t="s">
        <v>109</v>
      </c>
      <c r="E2" s="56" t="str">
        <f>B2&amp;C2&amp;D2</f>
        <v>floors_65525.tmp</v>
      </c>
      <c r="F2" s="57" t="s">
        <v>110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262</v>
      </c>
      <c r="B3" s="57" t="s">
        <v>111</v>
      </c>
      <c r="C3" s="62">
        <v>65525</v>
      </c>
      <c r="D3" s="57" t="s">
        <v>109</v>
      </c>
      <c r="E3" s="56" t="str">
        <f>B3&amp;C3&amp;D3</f>
        <v>enemy_habitats_65525.tmp</v>
      </c>
      <c r="F3" s="57" t="s">
        <v>112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181</v>
      </c>
    </row>
    <row r="4" spans="1:30" x14ac:dyDescent="0.15">
      <c r="A4" s="61" t="s">
        <v>262</v>
      </c>
      <c r="B4" s="57" t="s">
        <v>113</v>
      </c>
      <c r="C4" s="62">
        <v>65525</v>
      </c>
      <c r="D4" s="57" t="s">
        <v>109</v>
      </c>
      <c r="E4" s="56" t="str">
        <f>B4&amp;C4&amp;D4</f>
        <v>enemy_habitat_S_65525.tmp</v>
      </c>
      <c r="F4" s="57" t="s">
        <v>114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262</v>
      </c>
      <c r="B5" s="57" t="s">
        <v>115</v>
      </c>
      <c r="C5" s="62">
        <v>65525</v>
      </c>
      <c r="D5" s="57" t="s">
        <v>109</v>
      </c>
      <c r="E5" s="56" t="str">
        <f>B5&amp;C5&amp;D5</f>
        <v>enemy_skill_sets_65525.tmp</v>
      </c>
      <c r="F5" s="57" t="s">
        <v>116</v>
      </c>
      <c r="G5" s="59" t="s">
        <v>22</v>
      </c>
      <c r="H5" s="59" t="s">
        <v>101</v>
      </c>
      <c r="I5" s="59" t="s">
        <v>96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262</v>
      </c>
      <c r="B6" s="57" t="s">
        <v>117</v>
      </c>
      <c r="C6" s="62">
        <v>65525</v>
      </c>
      <c r="D6" s="57" t="s">
        <v>118</v>
      </c>
      <c r="E6" s="56" t="str">
        <f t="shared" ref="E6:E10" si="0">B6&amp;C6&amp;D6</f>
        <v>enemy_skills_tmp_65525.tmp</v>
      </c>
      <c r="F6" s="57" t="s">
        <v>92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262</v>
      </c>
      <c r="B7" s="57" t="s">
        <v>119</v>
      </c>
      <c r="C7" s="62">
        <v>65525</v>
      </c>
      <c r="D7" s="57" t="s">
        <v>109</v>
      </c>
      <c r="E7" s="56" t="str">
        <f>B7&amp;C7&amp;D7</f>
        <v>enemy_skills_i18n_65525.tmp</v>
      </c>
      <c r="F7" s="57" t="s">
        <v>120</v>
      </c>
      <c r="G7" s="58" t="s">
        <v>79</v>
      </c>
      <c r="H7" s="58" t="s">
        <v>93</v>
      </c>
      <c r="I7" s="58" t="s">
        <v>94</v>
      </c>
      <c r="J7" s="58" t="s">
        <v>95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262</v>
      </c>
      <c r="B8" s="57" t="s">
        <v>121</v>
      </c>
      <c r="C8" s="62">
        <v>65525</v>
      </c>
      <c r="D8" s="57" t="s">
        <v>122</v>
      </c>
      <c r="E8" s="56" t="str">
        <f t="shared" si="0"/>
        <v>enemy_skill_triggers_65525.tmp</v>
      </c>
      <c r="F8" s="57" t="s">
        <v>123</v>
      </c>
      <c r="G8" s="58" t="s">
        <v>96</v>
      </c>
      <c r="H8" s="58" t="s">
        <v>97</v>
      </c>
      <c r="I8" s="58" t="s">
        <v>98</v>
      </c>
      <c r="J8" s="58" t="s">
        <v>99</v>
      </c>
      <c r="K8" s="58" t="s">
        <v>124</v>
      </c>
      <c r="L8" s="58" t="s">
        <v>100</v>
      </c>
      <c r="M8" s="58" t="s">
        <v>125</v>
      </c>
      <c r="N8" s="58" t="s">
        <v>126</v>
      </c>
      <c r="O8" s="58" t="s">
        <v>127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190</v>
      </c>
      <c r="B9" s="67" t="s">
        <v>180</v>
      </c>
      <c r="C9" s="62">
        <v>65525</v>
      </c>
      <c r="D9" s="67" t="s">
        <v>174</v>
      </c>
      <c r="E9" s="68" t="str">
        <f t="shared" si="0"/>
        <v>stage_bug_bonuses_65525.tmp</v>
      </c>
      <c r="F9" s="67" t="s">
        <v>175</v>
      </c>
      <c r="G9" s="64" t="s">
        <v>152</v>
      </c>
      <c r="H9" s="64" t="s">
        <v>176</v>
      </c>
      <c r="I9" s="64" t="s">
        <v>177</v>
      </c>
      <c r="J9" s="66" t="s">
        <v>178</v>
      </c>
      <c r="K9" s="64" t="s">
        <v>179</v>
      </c>
      <c r="L9" s="64" t="s">
        <v>158</v>
      </c>
      <c r="M9" s="64" t="s">
        <v>159</v>
      </c>
      <c r="N9" s="64" t="s">
        <v>160</v>
      </c>
      <c r="O9" s="64" t="s">
        <v>161</v>
      </c>
      <c r="P9" s="64" t="s">
        <v>162</v>
      </c>
      <c r="Q9" s="64" t="s">
        <v>163</v>
      </c>
      <c r="R9" s="64" t="s">
        <v>164</v>
      </c>
      <c r="S9" s="64" t="s">
        <v>165</v>
      </c>
      <c r="T9" s="64" t="s">
        <v>166</v>
      </c>
      <c r="U9" s="64" t="s">
        <v>167</v>
      </c>
      <c r="V9" s="64" t="s">
        <v>168</v>
      </c>
      <c r="W9" s="64" t="s">
        <v>169</v>
      </c>
      <c r="X9" s="57"/>
      <c r="Y9" s="57"/>
      <c r="Z9" s="57"/>
      <c r="AA9" s="57"/>
      <c r="AB9" s="57"/>
      <c r="AC9" s="57"/>
      <c r="AD9" s="57"/>
    </row>
    <row r="10" spans="1:30" s="75" customFormat="1" x14ac:dyDescent="0.15">
      <c r="A10" s="61" t="s">
        <v>262</v>
      </c>
      <c r="B10" s="67" t="s">
        <v>205</v>
      </c>
      <c r="C10" s="62">
        <v>65525</v>
      </c>
      <c r="D10" s="67" t="s">
        <v>183</v>
      </c>
      <c r="E10" s="68" t="str">
        <f t="shared" si="0"/>
        <v>stage_hints_data_c_65525.tmp</v>
      </c>
      <c r="F10" s="67" t="s">
        <v>213</v>
      </c>
      <c r="G10" s="73" t="s">
        <v>184</v>
      </c>
      <c r="H10" s="73" t="s">
        <v>176</v>
      </c>
      <c r="I10" s="74" t="s">
        <v>185</v>
      </c>
      <c r="J10" s="66" t="s">
        <v>186</v>
      </c>
      <c r="K10" s="66" t="s">
        <v>187</v>
      </c>
      <c r="L10" s="101"/>
      <c r="M10" s="101"/>
      <c r="N10" s="101"/>
      <c r="O10" s="101"/>
      <c r="P10" s="101"/>
      <c r="Q10" s="101"/>
      <c r="R10" s="101"/>
      <c r="S10" s="101"/>
      <c r="T10" s="101"/>
      <c r="U10" s="101"/>
      <c r="V10" s="101"/>
      <c r="W10" s="101"/>
      <c r="X10" s="101"/>
      <c r="Y10" s="101"/>
      <c r="Z10" s="101"/>
      <c r="AA10" s="101"/>
      <c r="AB10" s="101"/>
      <c r="AC10" s="101"/>
      <c r="AD10" s="101"/>
    </row>
    <row r="11" spans="1:30" s="75" customFormat="1" x14ac:dyDescent="0.15">
      <c r="A11" s="61" t="s">
        <v>263</v>
      </c>
      <c r="B11" s="67" t="s">
        <v>206</v>
      </c>
      <c r="C11" s="62">
        <v>65525</v>
      </c>
      <c r="D11" s="67" t="s">
        <v>174</v>
      </c>
      <c r="E11" s="68" t="str">
        <f t="shared" ref="E11:E13" si="1">B11&amp;C11&amp;D11</f>
        <v>stage_hints_data_f_65525.tmp</v>
      </c>
      <c r="F11" s="67" t="s">
        <v>214</v>
      </c>
      <c r="G11" s="73" t="s">
        <v>184</v>
      </c>
      <c r="H11" s="73" t="s">
        <v>176</v>
      </c>
      <c r="I11" s="74" t="s">
        <v>185</v>
      </c>
      <c r="J11" s="66" t="s">
        <v>186</v>
      </c>
      <c r="K11" s="66" t="s">
        <v>187</v>
      </c>
      <c r="L11" s="101"/>
      <c r="M11" s="101"/>
      <c r="N11" s="101"/>
      <c r="O11" s="101"/>
      <c r="P11" s="101"/>
      <c r="Q11" s="101"/>
      <c r="R11" s="101"/>
      <c r="S11" s="101"/>
      <c r="T11" s="101"/>
      <c r="U11" s="101"/>
      <c r="V11" s="101"/>
      <c r="W11" s="101"/>
      <c r="X11" s="101"/>
      <c r="Y11" s="101"/>
      <c r="Z11" s="101"/>
      <c r="AA11" s="101"/>
      <c r="AB11" s="101"/>
      <c r="AC11" s="101"/>
      <c r="AD11" s="101"/>
    </row>
    <row r="12" spans="1:30" s="75" customFormat="1" x14ac:dyDescent="0.15">
      <c r="A12" s="106" t="s">
        <v>263</v>
      </c>
      <c r="B12" s="67" t="s">
        <v>207</v>
      </c>
      <c r="C12" s="62">
        <v>65525</v>
      </c>
      <c r="D12" s="67" t="s">
        <v>174</v>
      </c>
      <c r="E12" s="68" t="str">
        <f t="shared" si="1"/>
        <v>stage_hints_i18n_65525.tmp</v>
      </c>
      <c r="F12" s="67" t="s">
        <v>215</v>
      </c>
      <c r="G12" s="74" t="s">
        <v>208</v>
      </c>
      <c r="H12" s="94" t="s">
        <v>209</v>
      </c>
      <c r="I12" s="73" t="s">
        <v>210</v>
      </c>
      <c r="J12" s="102" t="s">
        <v>211</v>
      </c>
      <c r="K12" s="66" t="s">
        <v>212</v>
      </c>
      <c r="L12" s="101"/>
      <c r="M12" s="101"/>
      <c r="N12" s="101"/>
      <c r="O12" s="101"/>
      <c r="P12" s="101"/>
      <c r="Q12" s="101"/>
      <c r="R12" s="101"/>
      <c r="S12" s="101"/>
      <c r="T12" s="101"/>
      <c r="U12" s="101"/>
      <c r="V12" s="101"/>
      <c r="W12" s="101"/>
      <c r="X12" s="101"/>
      <c r="Y12" s="101"/>
      <c r="Z12" s="101"/>
      <c r="AA12" s="101"/>
      <c r="AB12" s="101"/>
      <c r="AC12" s="101"/>
      <c r="AD12" s="101"/>
    </row>
    <row r="13" spans="1:30" s="75" customFormat="1" x14ac:dyDescent="0.15">
      <c r="A13" s="67" t="s">
        <v>257</v>
      </c>
      <c r="B13" s="67" t="s">
        <v>256</v>
      </c>
      <c r="C13" s="62">
        <v>65525</v>
      </c>
      <c r="D13" s="67" t="s">
        <v>237</v>
      </c>
      <c r="E13" s="68" t="str">
        <f t="shared" si="1"/>
        <v>stage_bonuses_65525.tmp</v>
      </c>
      <c r="F13" s="67" t="s">
        <v>236</v>
      </c>
      <c r="G13" s="73" t="s">
        <v>238</v>
      </c>
      <c r="H13" s="73" t="s">
        <v>239</v>
      </c>
      <c r="I13" s="73" t="s">
        <v>240</v>
      </c>
      <c r="J13" s="73" t="s">
        <v>241</v>
      </c>
      <c r="K13" s="73" t="s">
        <v>242</v>
      </c>
      <c r="L13" s="73" t="s">
        <v>243</v>
      </c>
      <c r="M13" s="73" t="s">
        <v>244</v>
      </c>
      <c r="N13" s="73" t="s">
        <v>245</v>
      </c>
      <c r="O13" s="73" t="s">
        <v>246</v>
      </c>
      <c r="P13" s="73" t="s">
        <v>247</v>
      </c>
      <c r="Q13" s="73" t="s">
        <v>248</v>
      </c>
      <c r="R13" s="73" t="s">
        <v>249</v>
      </c>
      <c r="S13" s="73" t="s">
        <v>250</v>
      </c>
      <c r="T13" s="73" t="s">
        <v>251</v>
      </c>
      <c r="U13" s="73" t="s">
        <v>252</v>
      </c>
      <c r="V13" s="73" t="s">
        <v>253</v>
      </c>
      <c r="W13" s="73" t="s">
        <v>254</v>
      </c>
      <c r="X13" s="73" t="s">
        <v>255</v>
      </c>
      <c r="Y13" s="101"/>
      <c r="Z13" s="101"/>
      <c r="AA13" s="101"/>
      <c r="AB13" s="101"/>
      <c r="AC13" s="101"/>
      <c r="AD13" s="101"/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2"/>
  <sheetViews>
    <sheetView showGridLines="0" workbookViewId="0">
      <pane ySplit="1" topLeftCell="A2" activePane="bottomLeft" state="frozen"/>
      <selection activeCell="V2" sqref="V2:X34"/>
      <selection pane="bottomLeft" activeCell="C3" sqref="C3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65525_1-1</v>
      </c>
      <c r="B2" s="16" t="str">
        <f>IF(COUNTIF(enemy_habitats!$H:$H,A2),"OK","NG")</f>
        <v>OK</v>
      </c>
      <c r="C2" s="7">
        <v>65525</v>
      </c>
      <c r="D2" s="11" t="str">
        <f ca="1">VLOOKUP($C2,OFFSET([2]quests!$A$1,0,0,COUNTA([2]quests!$A:$A),MATCH(D$1,[2]quests!$1:$1,0)-MATCH($C$1,[2]quests!$1:$1,0)+1),MATCH(D$1,[2]quests!$1:$1,0)-MATCH($C$1,[2]quests!$1:$1,0)+1,FALSE)</f>
        <v>【LB田邉】検証クエスト</v>
      </c>
      <c r="E2" s="18" t="str">
        <f ca="1">VLOOKUP($C2,OFFSET([2]quests!$A$1,0,0,COUNTA([2]quests!$A:$A),MATCH(E$1,[2]quests!$1:$1,0)-MATCH($C$1,[2]quests!$1:$1,0)+1),MATCH(E$1,[2]quests!$1:$1,0)-MATCH($C$1,[2]quests!$1:$1,0)+1,FALSE)</f>
        <v>検証</v>
      </c>
      <c r="F2" s="21">
        <v>1</v>
      </c>
      <c r="G2" s="23" t="str">
        <f>C2&amp;"_"&amp;F2</f>
        <v>65525_1</v>
      </c>
      <c r="H2" s="15" t="str">
        <f ca="1">VLOOKUP($G2,OFFSET([2]stages!$A$1,0,0,COUNTA([2]stages!$A:$A),MATCH(H$1,[2]stages!$2:$2,0)-MATCH($G$1,[2]stages!$2:$2,0)+1),MATCH(H$1,[2]stages!$2:$2,0)-MATCH($G$1,[2]stages!$2:$2,0)+1,FALSE)</f>
        <v>【LB田邉】アニメーション検証</v>
      </c>
      <c r="I2" s="21">
        <v>1</v>
      </c>
      <c r="J2" s="12">
        <v>15</v>
      </c>
      <c r="K2" s="12">
        <v>15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4"/>
  <sheetViews>
    <sheetView showGridLines="0" zoomScale="75" zoomScaleNormal="75" zoomScalePageLayoutView="75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Y2" sqref="Y2:Y4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105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3" t="s">
        <v>258</v>
      </c>
      <c r="U1" s="26" t="s">
        <v>50</v>
      </c>
      <c r="V1" s="103" t="s">
        <v>259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182</v>
      </c>
    </row>
    <row r="2" spans="1:42" ht="21" customHeight="1" x14ac:dyDescent="0.15">
      <c r="A2" s="16" t="str">
        <f ca="1">B2&amp;"_"&amp;C2&amp;"-"&amp;G2&amp;"/"&amp;L2&amp;"&lt;lv"&amp;R2&amp;"&gt;s"&amp;AC2</f>
        <v>65525_1-1/1293&lt;lv49&gt;s3</v>
      </c>
      <c r="B2" s="22">
        <v>65525</v>
      </c>
      <c r="C2" s="21">
        <v>1</v>
      </c>
      <c r="D2" s="2" t="str">
        <f>B2&amp;"_"&amp;C2</f>
        <v>65525_1</v>
      </c>
      <c r="E2" s="4" t="str">
        <f ca="1">VLOOKUP($B2,OFFSET([2]quests!$A$1,0,0,COUNTA([2]quests!$A:$A),MATCH(E$1,[2]quests!$1:$1,0)-MATCH($B$1,[2]quests!$1:$1,0)+1),MATCH(E$1,[2]quests!$1:$1,0)-MATCH($B$1,[2]quests!$1:$1,0)+1,FALSE)</f>
        <v>【LB田邉】検証クエスト</v>
      </c>
      <c r="F2" s="4" t="str">
        <f ca="1">VLOOKUP($D2,OFFSET([2]stages!$A$1,0,0,COUNTA([2]stages!$A:$A),MATCH(F$1,[2]stages!$2:$2,0)-MATCH($D$1,[2]stages!$2:$2,0)+1),MATCH(F$1,[2]stages!$2:$2,0)-MATCH($D$1,[2]stages!$2:$2,0)+1,FALSE)</f>
        <v>【LB田邉】アニメーション検証</v>
      </c>
      <c r="G2" s="21">
        <v>1</v>
      </c>
      <c r="H2" s="15" t="str">
        <f>B2&amp;"_"&amp;C2&amp;"-"&amp;G2</f>
        <v>65525_1-1</v>
      </c>
      <c r="I2" s="4">
        <f ca="1">VLOOKUP($H2,OFFSET(floors!$A$1,0,0,COUNTA(floors!$A:$A),MATCH(I$1,floors!$1:$1,0)-MATCH($H$1,floors!$1:$1,0)+1),MATCH(I$1,floors!$1:$1,0)-MATCH($H$1,floors!$1:$1,0)+1,FALSE)</f>
        <v>15</v>
      </c>
      <c r="J2" s="4">
        <f ca="1">VLOOKUP($H2,OFFSET(floors!$A$1,0,0,COUNTA(floors!$A:$A),MATCH(J$1,floors!$1:$1,0)-MATCH($H$1,floors!$1:$1,0)+1),MATCH(J$1,floors!$1:$1,0)-MATCH($H$1,floors!$1:$1,0)+1,FALSE)</f>
        <v>15</v>
      </c>
      <c r="K2" s="38" t="s">
        <v>53</v>
      </c>
      <c r="L2" s="20">
        <v>1293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トトリ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DropWizS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7">
        <f ca="1">VLOOKUP($L2,OFFSET([3]enemies!$A$1,0,0,COUNTA([3]enemies!$A:$A),MATCH(Q$1,[3]enemies!$1:$1,0)-MATCH($L$1,[3]enemies!$1:$1,0)+1),MATCH(Q$1,[3]enemies!$1:$1,0)-MATCH($L$1,[3]enemies!$1:$1,0)+1,FALSE)</f>
        <v>60</v>
      </c>
      <c r="R2" s="5">
        <v>49</v>
      </c>
      <c r="S2" s="25">
        <v>1</v>
      </c>
      <c r="T2" s="104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80699</v>
      </c>
      <c r="U2" s="25">
        <v>1</v>
      </c>
      <c r="V2" s="104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7406</v>
      </c>
      <c r="W2" s="5">
        <v>0</v>
      </c>
      <c r="X2" s="4" t="e">
        <f ca="1">VLOOKUP($Y2,OFFSET([5]enemy_skill_sets!$B$1,0,0,COUNTA([5]enemy_skill_sets!$B:$B),MATCH(M$1,[5]enemy_skill_sets!$1:$1,0)-MATCH($Y$1,[5]enemy_skill_sets!$1:$1,0)+2),MATCH(M$1,[5]enemy_skill_sets!$1:$1,0)-MATCH($Y$1,[5]enemy_skill_sets!$1:$1,0)+2,FALSE)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2" s="47">
        <v>65525100</v>
      </c>
      <c r="Z2" s="6">
        <v>0</v>
      </c>
      <c r="AA2" s="6">
        <v>100</v>
      </c>
      <c r="AB2" s="6">
        <v>0</v>
      </c>
      <c r="AC2" s="17">
        <f ca="1">VLOOKUP($L2,OFFSET([3]enemies!$A$1,0,0,COUNTA([3]enemies!$A:$A),MATCH(AC$1,[3]enemies!$1:$1,0)-MATCH($L$1,[3]enemies!$1:$1,0)+1),MATCH(AC$1,[3]enemies!$1:$1,0)-MATCH($L$1,[3]enemies!$1:$1,0)+1,FALSE)</f>
        <v>3</v>
      </c>
      <c r="AD2" s="24">
        <f>L2</f>
        <v>1293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トトリ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5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2" s="7">
        <v>1</v>
      </c>
      <c r="AI2" s="24">
        <f ca="1">AF2</f>
        <v>5</v>
      </c>
      <c r="AJ2" s="8">
        <v>60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9">
        <v>1</v>
      </c>
    </row>
    <row r="3" spans="1:42" ht="21" customHeight="1" x14ac:dyDescent="0.15">
      <c r="A3" s="16" t="str">
        <f ca="1">B3&amp;"_"&amp;C3&amp;"-"&amp;G3&amp;"/"&amp;L3&amp;"&lt;lv"&amp;R3&amp;"&gt;s"&amp;AC3</f>
        <v>65525_1-2/1293&lt;lv50&gt;s3</v>
      </c>
      <c r="B3" s="22">
        <v>65525</v>
      </c>
      <c r="C3" s="21">
        <v>1</v>
      </c>
      <c r="D3" s="2" t="str">
        <f>B3&amp;"_"&amp;C3</f>
        <v>65525_1</v>
      </c>
      <c r="E3" s="4" t="str">
        <f ca="1">VLOOKUP($B3,OFFSET([2]quests!$A$1,0,0,COUNTA([2]quests!$A:$A),MATCH(E$1,[2]quests!$1:$1,0)-MATCH($B$1,[2]quests!$1:$1,0)+1),MATCH(E$1,[2]quests!$1:$1,0)-MATCH($B$1,[2]quests!$1:$1,0)+1,FALSE)</f>
        <v>【LB田邉】検証クエスト</v>
      </c>
      <c r="F3" s="4" t="str">
        <f ca="1">VLOOKUP($D3,OFFSET([2]stages!$A$1,0,0,COUNTA([2]stages!$A:$A),MATCH(F$1,[2]stages!$2:$2,0)-MATCH($D$1,[2]stages!$2:$2,0)+1),MATCH(F$1,[2]stages!$2:$2,0)-MATCH($D$1,[2]stages!$2:$2,0)+1,FALSE)</f>
        <v>【LB田邉】アニメーション検証</v>
      </c>
      <c r="G3" s="21">
        <v>2</v>
      </c>
      <c r="H3" s="15" t="str">
        <f>B3&amp;"_"&amp;C3&amp;"-"&amp;G3</f>
        <v>65525_1-2</v>
      </c>
      <c r="I3" s="4" t="e">
        <f ca="1">VLOOKUP($H3,OFFSET(floors!$A$1,0,0,COUNTA(floors!$A:$A),MATCH(I$1,floors!$1:$1,0)-MATCH($H$1,floors!$1:$1,0)+1),MATCH(I$1,floors!$1:$1,0)-MATCH($H$1,floors!$1:$1,0)+1,FALSE)</f>
        <v>#N/A</v>
      </c>
      <c r="J3" s="4" t="e">
        <f ca="1">VLOOKUP($H3,OFFSET(floors!$A$1,0,0,COUNTA(floors!$A:$A),MATCH(J$1,floors!$1:$1,0)-MATCH($H$1,floors!$1:$1,0)+1),MATCH(J$1,floors!$1:$1,0)-MATCH($H$1,floors!$1:$1,0)+1,FALSE)</f>
        <v>#N/A</v>
      </c>
      <c r="K3" s="38" t="s">
        <v>53</v>
      </c>
      <c r="L3" s="20">
        <v>1293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トトリ</v>
      </c>
      <c r="N3" s="17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DropWizS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7">
        <f ca="1">VLOOKUP($L3,OFFSET([3]enemies!$A$1,0,0,COUNTA([3]enemies!$A:$A),MATCH(Q$1,[3]enemies!$1:$1,0)-MATCH($L$1,[3]enemies!$1:$1,0)+1),MATCH(Q$1,[3]enemies!$1:$1,0)-MATCH($L$1,[3]enemies!$1:$1,0)+1,FALSE)</f>
        <v>60</v>
      </c>
      <c r="R3" s="5">
        <v>50</v>
      </c>
      <c r="S3" s="25">
        <v>1</v>
      </c>
      <c r="T3" s="104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82297</v>
      </c>
      <c r="U3" s="25">
        <v>1</v>
      </c>
      <c r="V3" s="104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7553</v>
      </c>
      <c r="W3" s="5">
        <v>0</v>
      </c>
      <c r="X3" s="4" t="e">
        <f ca="1">VLOOKUP($Y3,OFFSET([5]enemy_skill_sets!$B$1,0,0,COUNTA([5]enemy_skill_sets!$B:$B),MATCH(M$1,[5]enemy_skill_sets!$1:$1,0)-MATCH($Y$1,[5]enemy_skill_sets!$1:$1,0)+2),MATCH(M$1,[5]enemy_skill_sets!$1:$1,0)-MATCH($Y$1,[5]enemy_skill_sets!$1:$1,0)+2,FALSE)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3" s="47">
        <v>65525100</v>
      </c>
      <c r="Z3" s="6">
        <v>0</v>
      </c>
      <c r="AA3" s="6">
        <v>100</v>
      </c>
      <c r="AB3" s="6">
        <v>0</v>
      </c>
      <c r="AC3" s="17">
        <f ca="1">VLOOKUP($L3,OFFSET([3]enemies!$A$1,0,0,COUNTA([3]enemies!$A:$A),MATCH(AC$1,[3]enemies!$1:$1,0)-MATCH($L$1,[3]enemies!$1:$1,0)+1),MATCH(AC$1,[3]enemies!$1:$1,0)-MATCH($L$1,[3]enemies!$1:$1,0)+1,FALSE)</f>
        <v>3</v>
      </c>
      <c r="AD3" s="24">
        <f>L3</f>
        <v>1293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トトリ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5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3" s="7">
        <v>1</v>
      </c>
      <c r="AI3" s="24">
        <f ca="1">AF3</f>
        <v>5</v>
      </c>
      <c r="AJ3" s="8">
        <v>60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9">
        <v>1</v>
      </c>
    </row>
    <row r="4" spans="1:42" ht="21" customHeight="1" x14ac:dyDescent="0.15">
      <c r="A4" s="16" t="str">
        <f ca="1">B4&amp;"_"&amp;C4&amp;"-"&amp;G4&amp;"/"&amp;L4&amp;"&lt;lv"&amp;R4&amp;"&gt;s"&amp;AC4</f>
        <v>65525_1-3/1293&lt;lv51&gt;s3</v>
      </c>
      <c r="B4" s="22">
        <v>65525</v>
      </c>
      <c r="C4" s="21">
        <v>1</v>
      </c>
      <c r="D4" s="2" t="str">
        <f>B4&amp;"_"&amp;C4</f>
        <v>65525_1</v>
      </c>
      <c r="E4" s="4" t="str">
        <f ca="1">VLOOKUP($B4,OFFSET([2]quests!$A$1,0,0,COUNTA([2]quests!$A:$A),MATCH(E$1,[2]quests!$1:$1,0)-MATCH($B$1,[2]quests!$1:$1,0)+1),MATCH(E$1,[2]quests!$1:$1,0)-MATCH($B$1,[2]quests!$1:$1,0)+1,FALSE)</f>
        <v>【LB田邉】検証クエスト</v>
      </c>
      <c r="F4" s="4" t="str">
        <f ca="1">VLOOKUP($D4,OFFSET([2]stages!$A$1,0,0,COUNTA([2]stages!$A:$A),MATCH(F$1,[2]stages!$2:$2,0)-MATCH($D$1,[2]stages!$2:$2,0)+1),MATCH(F$1,[2]stages!$2:$2,0)-MATCH($D$1,[2]stages!$2:$2,0)+1,FALSE)</f>
        <v>【LB田邉】アニメーション検証</v>
      </c>
      <c r="G4" s="21">
        <v>3</v>
      </c>
      <c r="H4" s="15" t="str">
        <f>B4&amp;"_"&amp;C4&amp;"-"&amp;G4</f>
        <v>65525_1-3</v>
      </c>
      <c r="I4" s="4" t="e">
        <f ca="1">VLOOKUP($H4,OFFSET(floors!$A$1,0,0,COUNTA(floors!$A:$A),MATCH(I$1,floors!$1:$1,0)-MATCH($H$1,floors!$1:$1,0)+1),MATCH(I$1,floors!$1:$1,0)-MATCH($H$1,floors!$1:$1,0)+1,FALSE)</f>
        <v>#N/A</v>
      </c>
      <c r="J4" s="4" t="e">
        <f ca="1">VLOOKUP($H4,OFFSET(floors!$A$1,0,0,COUNTA(floors!$A:$A),MATCH(J$1,floors!$1:$1,0)-MATCH($H$1,floors!$1:$1,0)+1),MATCH(J$1,floors!$1:$1,0)-MATCH($H$1,floors!$1:$1,0)+1,FALSE)</f>
        <v>#N/A</v>
      </c>
      <c r="K4" s="38" t="s">
        <v>53</v>
      </c>
      <c r="L4" s="20">
        <v>1293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トトリ</v>
      </c>
      <c r="N4" s="17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DropWizS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7">
        <f ca="1">VLOOKUP($L4,OFFSET([3]enemies!$A$1,0,0,COUNTA([3]enemies!$A:$A),MATCH(Q$1,[3]enemies!$1:$1,0)-MATCH($L$1,[3]enemies!$1:$1,0)+1),MATCH(Q$1,[3]enemies!$1:$1,0)-MATCH($L$1,[3]enemies!$1:$1,0)+1,FALSE)</f>
        <v>60</v>
      </c>
      <c r="R4" s="5">
        <v>51</v>
      </c>
      <c r="S4" s="25">
        <v>1</v>
      </c>
      <c r="T4" s="104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83895</v>
      </c>
      <c r="U4" s="25">
        <v>1</v>
      </c>
      <c r="V4" s="104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7700</v>
      </c>
      <c r="W4" s="5">
        <v>0</v>
      </c>
      <c r="X4" s="4" t="e">
        <f ca="1">VLOOKUP($Y4,OFFSET([5]enemy_skill_sets!$B$1,0,0,COUNTA([5]enemy_skill_sets!$B:$B),MATCH(M$1,[5]enemy_skill_sets!$1:$1,0)-MATCH($Y$1,[5]enemy_skill_sets!$1:$1,0)+2),MATCH(M$1,[5]enemy_skill_sets!$1:$1,0)-MATCH($Y$1,[5]enemy_skill_sets!$1:$1,0)+2,FALSE)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4" s="47">
        <v>65525100</v>
      </c>
      <c r="Z4" s="6">
        <v>0</v>
      </c>
      <c r="AA4" s="6">
        <v>100</v>
      </c>
      <c r="AB4" s="6">
        <v>0</v>
      </c>
      <c r="AC4" s="17">
        <f ca="1">VLOOKUP($L4,OFFSET([3]enemies!$A$1,0,0,COUNTA([3]enemies!$A:$A),MATCH(AC$1,[3]enemies!$1:$1,0)-MATCH($L$1,[3]enemies!$1:$1,0)+1),MATCH(AC$1,[3]enemies!$1:$1,0)-MATCH($L$1,[3]enemies!$1:$1,0)+1,FALSE)</f>
        <v>3</v>
      </c>
      <c r="AD4" s="24">
        <f>L4</f>
        <v>1293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トトリ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5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4" s="7">
        <v>1</v>
      </c>
      <c r="AI4" s="24">
        <f ca="1">AF4</f>
        <v>5</v>
      </c>
      <c r="AJ4" s="8">
        <v>60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9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2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B3" sqref="B3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3" t="s">
        <v>258</v>
      </c>
      <c r="V1" s="26" t="s">
        <v>50</v>
      </c>
      <c r="W1" s="103" t="s">
        <v>259</v>
      </c>
      <c r="X1" s="26" t="s">
        <v>52</v>
      </c>
      <c r="Y1" s="28" t="s">
        <v>131</v>
      </c>
      <c r="Z1" s="29" t="s">
        <v>130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65525_1-1/2&lt;lv1&gt;sq1st2</v>
      </c>
      <c r="B2" s="22">
        <v>65525</v>
      </c>
      <c r="C2" s="21">
        <v>1</v>
      </c>
      <c r="D2" s="2" t="str">
        <f>B2&amp;"_"&amp;C2</f>
        <v>65525_1</v>
      </c>
      <c r="E2" s="4" t="str">
        <f ca="1">VLOOKUP($B2,OFFSET([2]quests!$A$1,0,0,COUNTA([2]quests!$A:$A),MATCH(E$1,[2]quests!$1:$1,0)-MATCH($B$1,[2]quests!$1:$1,0)+1),MATCH(E$1,[2]quests!$1:$1,0)-MATCH($B$1,[2]quests!$1:$1,0)+1,FALSE)</f>
        <v>【LB田邉】検証クエスト</v>
      </c>
      <c r="F2" s="4" t="str">
        <f ca="1">VLOOKUP($D2,OFFSET([2]stages!$A$1,0,0,COUNTA([2]stages!$A:$A),MATCH(F$1,[2]stages!$2:$2,0)-MATCH($D$1,[2]stages!$2:$2,0)+1),MATCH(F$1,[2]stages!$2:$2,0)-MATCH($D$1,[2]stages!$2:$2,0)+1,FALSE)</f>
        <v>【LB田邉】アニメーション検証</v>
      </c>
      <c r="G2" s="21">
        <v>1</v>
      </c>
      <c r="H2" s="15" t="str">
        <f>B2&amp;"_"&amp;C2&amp;"-"&amp;G2</f>
        <v>65525_1-1</v>
      </c>
      <c r="I2" s="4">
        <f ca="1">VLOOKUP($H2,OFFSET(floors!$A$1,0,0,COUNTA(floors!$A:$A),MATCH(I$1,floors!$1:$1,0)-MATCH($H$1,floors!$1:$1,0)+1),MATCH(I$1,floors!$1:$1,0)-MATCH($H$1,floors!$1:$1,0)+1,FALSE)</f>
        <v>15</v>
      </c>
      <c r="J2" s="4">
        <f ca="1">VLOOKUP($H2,OFFSET(floors!$A$1,0,0,COUNTA(floors!$A:$A),MATCH(J$1,floors!$1:$1,0)-MATCH($H$1,floors!$1:$1,0)+1),MATCH(J$1,floors!$1:$1,0)-MATCH($H$1,floors!$1:$1,0)+1,FALSE)</f>
        <v>15</v>
      </c>
      <c r="K2" s="38">
        <v>1</v>
      </c>
      <c r="L2" s="38">
        <v>2</v>
      </c>
      <c r="M2" s="20">
        <v>2</v>
      </c>
      <c r="N2" s="17" t="str">
        <f ca="1">VLOOKUP($M2,OFFSET([3]enemies!$A$1,0,0,COUNTA([3]enemies!$A:$A),MATCH(N$1,[3]enemies!$1:$1,0)-MATCH($M$1,[3]enemies!$1:$1,0)+1),MATCH(N$1,[3]enemies!$1:$1,0)-MATCH($M$1,[3]enemies!$1:$1,0)+1,FALSE)</f>
        <v>イレギュラー・ジェリー</v>
      </c>
      <c r="O2" s="17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Drop1T</v>
      </c>
      <c r="Q2" s="17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17">
        <f ca="1">VLOOKUP($M2,OFFSET([3]enemies!$A$1,0,0,COUNTA([3]enemies!$A:$A),MATCH(R$1,[3]enemies!$1:$1,0)-MATCH($M$1,[3]enemies!$1:$1,0)+1),MATCH(R$1,[3]enemies!$1:$1,0)-MATCH($M$1,[3]enemies!$1:$1,0)+1,FALSE)</f>
        <v>15</v>
      </c>
      <c r="S2" s="5">
        <v>1</v>
      </c>
      <c r="T2" s="25">
        <v>1</v>
      </c>
      <c r="U2" s="104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500</v>
      </c>
      <c r="V2" s="25">
        <v>1</v>
      </c>
      <c r="W2" s="104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203</v>
      </c>
      <c r="X2" s="5">
        <v>0</v>
      </c>
      <c r="Y2" s="4" t="str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なし</v>
      </c>
      <c r="Z2" s="4">
        <f ca="1">VLOOKUP($M2,OFFSET([3]enemies!$A$1,0,0,COUNTA([3]enemies!$A:$A),MATCH(Z$1,[3]enemies!$1:$1,0)-MATCH($M$1,[3]enemies!$1:$1,0)+1),MATCH(Z$1,[3]enemies!$1:$1,0)-MATCH($M$1,[3]enemies!$1:$1,0)+1,FALSE)</f>
        <v>0</v>
      </c>
      <c r="AA2" s="70">
        <f ca="1">VLOOKUP($M2,OFFSET([3]enemies!$A$1,0,0,COUNTA([3]enemies!$A:$A),MATCH(AA$1,[3]enemies!$1:$1,0)-MATCH($M$1,[3]enemies!$1:$1,0)+1),MATCH(AA$1,[3]enemies!$1:$1,0)-MATCH($M$1,[3]enemies!$1:$1,0)+1,FALSE)</f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56"/>
  <sheetViews>
    <sheetView showGridLines="0" workbookViewId="0">
      <pane xSplit="5" ySplit="1" topLeftCell="F33" activePane="bottomRight" state="frozen"/>
      <selection pane="topRight"/>
      <selection pane="bottomLeft"/>
      <selection pane="bottomRight" activeCell="B2" sqref="B2:B56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65525100_65525000</v>
      </c>
      <c r="B2" s="47">
        <v>65525100</v>
      </c>
      <c r="C2" s="47">
        <v>65525000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クリティカル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回復</v>
      </c>
      <c r="F2" s="47">
        <v>65525000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56" si="1">B3&amp;"_"&amp;C3</f>
        <v>65525100_65525001</v>
      </c>
      <c r="B3" s="47">
        <v>65525100</v>
      </c>
      <c r="C3" s="47">
        <v>65525001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回復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回復</v>
      </c>
      <c r="F3" s="47">
        <v>65525001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1"/>
        <v>65525100_65525002</v>
      </c>
      <c r="B4" s="47">
        <v>65525100</v>
      </c>
      <c r="C4" s="47">
        <v>65525002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攻撃力UP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回復</v>
      </c>
      <c r="F4" s="47">
        <v>65525002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1"/>
        <v>65525100_65525003</v>
      </c>
      <c r="B5" s="47">
        <v>65525100</v>
      </c>
      <c r="C5" s="47">
        <v>65525003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防御力UP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回復</v>
      </c>
      <c r="F5" s="47">
        <v>65525003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1"/>
        <v>65525100_65525004</v>
      </c>
      <c r="B6" s="47">
        <v>65525100</v>
      </c>
      <c r="C6" s="47">
        <v>65525004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行動頻度UP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回復</v>
      </c>
      <c r="F6" s="47">
        <v>65525004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1"/>
        <v>65525100_65525005</v>
      </c>
      <c r="B7" s="47">
        <v>65525100</v>
      </c>
      <c r="C7" s="47">
        <v>65525005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予防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回復</v>
      </c>
      <c r="F7" s="47">
        <v>65525005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1"/>
        <v>65525100_65525006</v>
      </c>
      <c r="B8" s="47">
        <v>65525100</v>
      </c>
      <c r="C8" s="47">
        <v>65525006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カウンター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回復</v>
      </c>
      <c r="F8" s="47">
        <v>65525006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1"/>
        <v>65525100_65525007</v>
      </c>
      <c r="B9" s="47">
        <v>65525100</v>
      </c>
      <c r="C9" s="47">
        <v>65525007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バリア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回復</v>
      </c>
      <c r="F9" s="47">
        <v>65525007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1"/>
        <v>65525100_65525008</v>
      </c>
      <c r="B10" s="47">
        <v>65525100</v>
      </c>
      <c r="C10" s="47">
        <v>65525008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ユニット回復力DOWN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回復</v>
      </c>
      <c r="F10" s="47">
        <v>65525008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1"/>
        <v>65525100_65525009</v>
      </c>
      <c r="B11" s="47">
        <v>65525100</v>
      </c>
      <c r="C11" s="47">
        <v>65525009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ユニットタップ数DOWN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回復</v>
      </c>
      <c r="F11" s="47">
        <v>65525009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1"/>
        <v>65525100_65525010</v>
      </c>
      <c r="B12" s="47">
        <v>65525100</v>
      </c>
      <c r="C12" s="47">
        <v>65525010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タップ時間制限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回復</v>
      </c>
      <c r="F12" s="47">
        <v>65525010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1"/>
        <v>65525100_65525011</v>
      </c>
      <c r="B13" s="47">
        <v>65525100</v>
      </c>
      <c r="C13" s="47">
        <v>65525011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ディスハート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回復</v>
      </c>
      <c r="F13" s="47">
        <v>65525011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1"/>
        <v>65525100_65525012</v>
      </c>
      <c r="B14" s="47">
        <v>65525100</v>
      </c>
      <c r="C14" s="47">
        <v>65525012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ディスレッド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回復</v>
      </c>
      <c r="F14" s="47">
        <v>65525012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1"/>
        <v>65525100_65525013</v>
      </c>
      <c r="B15" s="47">
        <v>65525100</v>
      </c>
      <c r="C15" s="47">
        <v>65525013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ディスブルー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回復</v>
      </c>
      <c r="F15" s="47">
        <v>65525013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1"/>
        <v>65525100_65525014</v>
      </c>
      <c r="B16" s="47">
        <v>65525100</v>
      </c>
      <c r="C16" s="47">
        <v>65525014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ディスグリーン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回復</v>
      </c>
      <c r="F16" s="47">
        <v>65525014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1"/>
        <v>65525100_65525015</v>
      </c>
      <c r="B17" s="47">
        <v>65525100</v>
      </c>
      <c r="C17" s="47">
        <v>65525015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ディスイエロー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回復</v>
      </c>
      <c r="F17" s="47">
        <v>65525015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1"/>
        <v>65525100_65525016</v>
      </c>
      <c r="B18" s="47">
        <v>65525100</v>
      </c>
      <c r="C18" s="47">
        <v>65525016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暗闇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回復</v>
      </c>
      <c r="F18" s="47">
        <v>65525016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1"/>
        <v>65525100_65525017</v>
      </c>
      <c r="B19" s="47">
        <v>65525100</v>
      </c>
      <c r="C19" s="47">
        <v>65525017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パネル変換不可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回復</v>
      </c>
      <c r="F19" s="47">
        <v>65525017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1"/>
        <v>65525100_65525018</v>
      </c>
      <c r="B20" s="47">
        <v>65525100</v>
      </c>
      <c r="C20" s="47">
        <v>65525018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属性変更赤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回復</v>
      </c>
      <c r="F20" s="47">
        <v>65525018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 t="str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1"/>
        <v>65525100_65525019</v>
      </c>
      <c r="B21" s="47">
        <v>65525100</v>
      </c>
      <c r="C21" s="47">
        <v>65525019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属性変更緑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回復</v>
      </c>
      <c r="F21" s="47">
        <v>65525019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1"/>
        <v>65525100_65525020</v>
      </c>
      <c r="B22" s="47">
        <v>65525100</v>
      </c>
      <c r="C22" s="47">
        <v>65525020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属性変更青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回復</v>
      </c>
      <c r="F22" s="47">
        <v>65525020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 t="str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1"/>
        <v>65525100_65525021</v>
      </c>
      <c r="B23" s="47">
        <v>65525100</v>
      </c>
      <c r="C23" s="47">
        <v>65525021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属性変更黄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回復</v>
      </c>
      <c r="F23" s="47">
        <v>65525021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 t="str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1"/>
        <v>65525100_65525022</v>
      </c>
      <c r="B24" s="47">
        <v>65525100</v>
      </c>
      <c r="C24" s="47">
        <v>65525022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プロテクトドロップ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回復</v>
      </c>
      <c r="F24" s="47">
        <v>65525022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1"/>
        <v>65525100_65525023</v>
      </c>
      <c r="B25" s="47">
        <v>65525100</v>
      </c>
      <c r="C25" s="47">
        <v>65525023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CP無効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回復</v>
      </c>
      <c r="F25" s="47">
        <v>65525023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1"/>
        <v>65525100_65525024</v>
      </c>
      <c r="B26" s="47">
        <v>65525100</v>
      </c>
      <c r="C26" s="47">
        <v>65525024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ウィルス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回復</v>
      </c>
      <c r="F26" s="47">
        <v>65525024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 t="str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1"/>
        <v>65525100_65525025</v>
      </c>
      <c r="B27" s="47">
        <v>65525100</v>
      </c>
      <c r="C27" s="47">
        <v>65525025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スリープ01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回復</v>
      </c>
      <c r="F27" s="47">
        <v>65525025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 t="str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1"/>
        <v>65525100_65525026</v>
      </c>
      <c r="B28" s="47">
        <v>65525100</v>
      </c>
      <c r="C28" s="47">
        <v>65525026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スリープ02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回復</v>
      </c>
      <c r="F28" s="47">
        <v>65525026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 t="str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1"/>
        <v>65525100_65525027</v>
      </c>
      <c r="B29" s="47">
        <v>65525100</v>
      </c>
      <c r="C29" s="47">
        <v>65525027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スリープ03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回復</v>
      </c>
      <c r="F29" s="47">
        <v>65525027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 t="str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1"/>
        <v>65525100_65525028</v>
      </c>
      <c r="B30" s="47">
        <v>65525100</v>
      </c>
      <c r="C30" s="47">
        <v>65525028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スリープ04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回復</v>
      </c>
      <c r="F30" s="47">
        <v>65525028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 t="str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1"/>
        <v>65525100_65525029</v>
      </c>
      <c r="B31" s="47">
        <v>65525100</v>
      </c>
      <c r="C31" s="47">
        <v>65525029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スキルバインド01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回復</v>
      </c>
      <c r="F31" s="47">
        <v>65525029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 t="str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1"/>
        <v>65525100_65525030</v>
      </c>
      <c r="B32" s="47">
        <v>65525100</v>
      </c>
      <c r="C32" s="47">
        <v>65525030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スキルバインド02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回復</v>
      </c>
      <c r="F32" s="47">
        <v>65525030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 t="str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1"/>
        <v>65525100_65525031</v>
      </c>
      <c r="B33" s="47">
        <v>65525100</v>
      </c>
      <c r="C33" s="47">
        <v>65525031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スキルバインド03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回復</v>
      </c>
      <c r="F33" s="47">
        <v>65525031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 t="str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1"/>
        <v>65525100_65525032</v>
      </c>
      <c r="B34" s="47">
        <v>65525100</v>
      </c>
      <c r="C34" s="47">
        <v>65525032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スキルバインド04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回復</v>
      </c>
      <c r="F34" s="47">
        <v>65525032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 t="str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1"/>
        <v>65525100_65525033</v>
      </c>
      <c r="B35" s="47">
        <v>65525100</v>
      </c>
      <c r="C35" s="47">
        <v>65525033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いてつくはどう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回復</v>
      </c>
      <c r="F35" s="47">
        <v>65525033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 t="str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 t="str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1"/>
        <v>65525100_65525034</v>
      </c>
      <c r="B36" s="47">
        <v>65525100</v>
      </c>
      <c r="C36" s="47">
        <v>65525034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フィーバーゲージDOWN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回復</v>
      </c>
      <c r="F36" s="47">
        <v>65525034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 t="str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1"/>
        <v>65525100_65525035</v>
      </c>
      <c r="B37" s="47">
        <v>65525100</v>
      </c>
      <c r="C37" s="47">
        <v>65525035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フィーバーゲージUP03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回復</v>
      </c>
      <c r="F37" s="47">
        <v>65525035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 t="str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48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1"/>
        <v>65525100_65525036</v>
      </c>
      <c r="B38" s="47">
        <v>65525100</v>
      </c>
      <c r="C38" s="47">
        <v>65525036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フィーバーゲージUP04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回復</v>
      </c>
      <c r="F38" s="47">
        <v>65525036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 t="str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1"/>
        <v>65525100_65525037</v>
      </c>
      <c r="B39" s="47">
        <v>65525100</v>
      </c>
      <c r="C39" s="47">
        <v>65525037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自傷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回復</v>
      </c>
      <c r="F39" s="47">
        <v>65525037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 t="str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48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1"/>
        <v>65525100_65525038</v>
      </c>
      <c r="B40" s="47">
        <v>65525100</v>
      </c>
      <c r="C40" s="47">
        <v>65525038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パネル変換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回復</v>
      </c>
      <c r="F40" s="47">
        <v>65525038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 t="str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 t="str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0" s="48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si="1"/>
        <v>65525100_65525039</v>
      </c>
      <c r="B41" s="47">
        <v>65525100</v>
      </c>
      <c r="C41" s="47">
        <v>65525039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ダメージ軽減01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回復</v>
      </c>
      <c r="F41" s="47">
        <v>65525039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 t="str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 t="str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1" s="48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si="1"/>
        <v>65525100_65525040</v>
      </c>
      <c r="B42" s="47">
        <v>65525100</v>
      </c>
      <c r="C42" s="47">
        <v>65525040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ダメージ軽減02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回復</v>
      </c>
      <c r="F42" s="47">
        <v>65525040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8" t="str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 t="str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2" s="48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si="1"/>
        <v>65525100_65525041</v>
      </c>
      <c r="B43" s="47">
        <v>65525100</v>
      </c>
      <c r="C43" s="47">
        <v>65525041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ダメージ軽減03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回復</v>
      </c>
      <c r="F43" s="47">
        <v>65525041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8" t="str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 t="str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3" s="48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 x14ac:dyDescent="0.15">
      <c r="A44" s="39" t="str">
        <f t="shared" si="1"/>
        <v>65525100_65525042</v>
      </c>
      <c r="B44" s="47">
        <v>65525100</v>
      </c>
      <c r="C44" s="47">
        <v>65525042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ダメージ軽減04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回復</v>
      </c>
      <c r="F44" s="47">
        <v>65525042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 t="str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 t="str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4" s="48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si="1"/>
        <v>65525100_65525043</v>
      </c>
      <c r="B45" s="47">
        <v>65525100</v>
      </c>
      <c r="C45" s="47">
        <v>65525043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出現率変化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回復</v>
      </c>
      <c r="F45" s="47">
        <v>65525043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 t="str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 t="str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5" s="48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si="1"/>
        <v>65525100_65525044</v>
      </c>
      <c r="B46" s="47">
        <v>65525100</v>
      </c>
      <c r="C46" s="47">
        <v>65525044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ボムドロップ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回復</v>
      </c>
      <c r="F46" s="47">
        <v>65525044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 t="str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 t="str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6" s="48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8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si="1"/>
        <v>65525100_65525045</v>
      </c>
      <c r="B47" s="47">
        <v>65525100</v>
      </c>
      <c r="C47" s="47">
        <v>65525045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CPドロップ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回復</v>
      </c>
      <c r="F47" s="47">
        <v>65525045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8" t="str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 t="str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7" s="48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8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si="1"/>
        <v>65525100_65525046</v>
      </c>
      <c r="B48" s="47">
        <v>65525100</v>
      </c>
      <c r="C48" s="47">
        <v>65525046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お邪魔ドロップ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回復</v>
      </c>
      <c r="F48" s="47">
        <v>65525046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8" t="str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 t="str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8" s="48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8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si="1"/>
        <v>65525100_65525047</v>
      </c>
      <c r="B49" s="47">
        <v>65525100</v>
      </c>
      <c r="C49" s="47">
        <v>65525047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時限式ドロップ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回復</v>
      </c>
      <c r="F49" s="47">
        <v>65525047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8" t="str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 t="str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9" s="48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8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1"/>
        <v>65525100_65525048</v>
      </c>
      <c r="B50" s="47">
        <v>65525100</v>
      </c>
      <c r="C50" s="47">
        <v>65525048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カラーブレイクドロップ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回復</v>
      </c>
      <c r="F50" s="47">
        <v>65525048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8" t="str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 t="str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0" s="48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8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si="1"/>
        <v>65525100_65525049</v>
      </c>
      <c r="B51" s="47">
        <v>65525100</v>
      </c>
      <c r="C51" s="47">
        <v>65525049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CP生成短縮03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回復</v>
      </c>
      <c r="F51" s="47">
        <v>65525049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8" t="str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 t="str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1" s="48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8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8" ht="21" customHeight="1" x14ac:dyDescent="0.15">
      <c r="A52" s="39" t="str">
        <f t="shared" si="1"/>
        <v>65525100_65525050</v>
      </c>
      <c r="B52" s="47">
        <v>65525100</v>
      </c>
      <c r="C52" s="47">
        <v>65525050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CP生成短縮04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回復</v>
      </c>
      <c r="F52" s="47">
        <v>65525050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8" t="str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 t="str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2" s="48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8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18" ht="21" customHeight="1" x14ac:dyDescent="0.15">
      <c r="A53" s="39" t="str">
        <f t="shared" si="1"/>
        <v>65525100_65525051</v>
      </c>
      <c r="B53" s="47">
        <v>65525100</v>
      </c>
      <c r="C53" s="47">
        <v>65525051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CP生成短縮05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回復</v>
      </c>
      <c r="F53" s="47">
        <v>65525051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8" t="str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 t="str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3" s="48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8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ht="21" customHeight="1" x14ac:dyDescent="0.15">
      <c r="A54" s="39" t="str">
        <f t="shared" si="1"/>
        <v>65525100_65525052</v>
      </c>
      <c r="B54" s="47">
        <v>65525100</v>
      </c>
      <c r="C54" s="47">
        <v>65525052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CP生成延長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回復</v>
      </c>
      <c r="F54" s="47">
        <v>65525052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8" t="str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 t="str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4" s="48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8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47"/>
    </row>
    <row r="55" spans="1:18" ht="21" customHeight="1" x14ac:dyDescent="0.15">
      <c r="A55" s="39" t="str">
        <f t="shared" si="1"/>
        <v>65525100_65525053</v>
      </c>
      <c r="B55" s="47">
        <v>65525100</v>
      </c>
      <c r="C55" s="47">
        <v>65525053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ボム爆風UP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回復</v>
      </c>
      <c r="F55" s="47">
        <v>65525053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8" t="str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8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 t="str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5" s="48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8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7"/>
      <c r="Q55" s="47"/>
      <c r="R55" s="47"/>
    </row>
    <row r="56" spans="1:18" ht="21" customHeight="1" x14ac:dyDescent="0.15">
      <c r="A56" s="39" t="str">
        <f t="shared" si="1"/>
        <v>65525100_65525054</v>
      </c>
      <c r="B56" s="47">
        <v>65525100</v>
      </c>
      <c r="C56" s="47">
        <v>65525054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ボム爆風DOWN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回復</v>
      </c>
      <c r="F56" s="47">
        <v>65525054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8" t="str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 t="str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6" s="48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8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56"/>
  <sheetViews>
    <sheetView showGridLines="0" zoomScale="75" zoomScaleNormal="75" zoomScalePageLayoutView="75" workbookViewId="0">
      <pane ySplit="1" topLeftCell="A2" activePane="bottomLeft" state="frozenSplit"/>
      <selection pane="bottomLeft" activeCell="B2" sqref="B2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7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128</v>
      </c>
      <c r="E1" s="40" t="s">
        <v>82</v>
      </c>
      <c r="F1" s="40" t="s">
        <v>83</v>
      </c>
      <c r="G1" s="41" t="s">
        <v>134</v>
      </c>
      <c r="H1" s="41" t="s">
        <v>140</v>
      </c>
      <c r="I1" s="41" t="s">
        <v>142</v>
      </c>
      <c r="J1" s="41" t="s">
        <v>141</v>
      </c>
      <c r="K1" s="41" t="s">
        <v>143</v>
      </c>
      <c r="L1" s="41" t="s">
        <v>135</v>
      </c>
      <c r="M1" s="41" t="s">
        <v>133</v>
      </c>
      <c r="N1" s="41" t="s">
        <v>136</v>
      </c>
      <c r="O1" s="41" t="s">
        <v>144</v>
      </c>
      <c r="P1" s="41" t="s">
        <v>145</v>
      </c>
      <c r="Q1" s="41" t="s">
        <v>146</v>
      </c>
      <c r="R1" s="41" t="s">
        <v>147</v>
      </c>
      <c r="S1" s="41" t="s">
        <v>137</v>
      </c>
      <c r="T1" s="41" t="s">
        <v>138</v>
      </c>
      <c r="U1" s="41" t="s">
        <v>148</v>
      </c>
      <c r="V1" s="41" t="s">
        <v>149</v>
      </c>
      <c r="W1" s="41" t="s">
        <v>150</v>
      </c>
      <c r="X1" s="41" t="s">
        <v>151</v>
      </c>
      <c r="Y1" s="41" t="s">
        <v>139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47">
        <v>65525000</v>
      </c>
      <c r="B2" s="47" t="s">
        <v>373</v>
      </c>
      <c r="C2" s="50">
        <v>1</v>
      </c>
      <c r="D2" s="50" t="s">
        <v>129</v>
      </c>
      <c r="E2" s="51" t="s">
        <v>265</v>
      </c>
      <c r="F2" s="51" t="s">
        <v>84</v>
      </c>
      <c r="G2" s="63" t="str">
        <f t="shared" ref="G2:G33" si="0">IFERROR(LEFT(B2,FIND("],",B2)),B2)</f>
        <v>[effect:heal, target:myself, val:0, animation:enemy_critical]</v>
      </c>
      <c r="H2" s="63">
        <f t="shared" ref="H2:H33" si="1">FIND("effect:",G2)+7</f>
        <v>9</v>
      </c>
      <c r="I2" s="63">
        <f t="shared" ref="I2:I33" si="2">IFERROR(FIND(",",G2),LEN(G2))</f>
        <v>13</v>
      </c>
      <c r="J2" s="63">
        <f t="shared" ref="J2:J33" si="3">FIND("target:",G2)+7</f>
        <v>22</v>
      </c>
      <c r="K2" s="63">
        <f t="shared" ref="K2:K33" si="4">FIND(",",G2,I2+1)</f>
        <v>28</v>
      </c>
      <c r="L2" s="63" t="str">
        <f>IFERROR(VLOOKUP(MID(G2,J2,K2-J2),[6]skilldef!$C:$D,2,FALSE),"-") &amp; " / " &amp; IFERROR(VLOOKUP(MID(G2,H2,I2-H2),[6]skilldef!$A:$B,2,FALSE),"-")</f>
        <v>自分自身に / 回復</v>
      </c>
      <c r="M2" s="63" t="str">
        <f t="shared" ref="M2:M33" si="5">IFERROR(RIGHT(B2,LEN(B2)-FIND("],",B2)-1),"none")</f>
        <v>[effect:enemy_message, val1:0.1, val2:0]</v>
      </c>
      <c r="N2" s="48" t="str">
        <f t="shared" ref="N2:N33" si="6">IFERROR(LEFT(M2,FIND("],",M2)+S12),M2)</f>
        <v>[effect:enemy_message, val1:0.1, val2:0]</v>
      </c>
      <c r="O2" s="63">
        <f t="shared" ref="O2:O33" si="7">FIND("effect:",N2)+7</f>
        <v>9</v>
      </c>
      <c r="P2" s="63">
        <f t="shared" ref="P2:P33" si="8">IFERROR(FIND(",",N2),LEN(N2))</f>
        <v>22</v>
      </c>
      <c r="Q2" s="63" t="e">
        <f t="shared" ref="Q2:Q33" si="9">FIND("target:",N2)+7</f>
        <v>#VALUE!</v>
      </c>
      <c r="R2" s="63">
        <f t="shared" ref="R2:R33" si="10">FIND(",",N2,P2+1)</f>
        <v>32</v>
      </c>
      <c r="S2" s="63" t="str">
        <f>IFERROR(VLOOKUP(MID(N2,Q2,R2-Q2),[6]skilldef!$C:$D,2,FALSE),"-") &amp; " / " &amp; IFERROR(VLOOKUP(MID(N2,O2,P2-O2),[6]skilldef!$A:$B,2,FALSE),"-")</f>
        <v>- / -</v>
      </c>
      <c r="T2" s="48" t="str">
        <f t="shared" ref="T2:T33" si="11">IFERROR(RIGHT(M2,LEN(M2)-FIND("],",M2)-1),"none")</f>
        <v>none</v>
      </c>
      <c r="U2" s="63" t="e">
        <f t="shared" ref="U2:U33" si="12">FIND("effect:",T2)+7</f>
        <v>#VALUE!</v>
      </c>
      <c r="V2" s="63">
        <f t="shared" ref="V2:V33" si="13">IFERROR(FIND(",",T2),LEN(T2))</f>
        <v>4</v>
      </c>
      <c r="W2" s="63" t="e">
        <f t="shared" ref="W2:W33" si="14">FIND("target:",T2)+7</f>
        <v>#VALUE!</v>
      </c>
      <c r="X2" s="63" t="e">
        <f t="shared" ref="X2:X33" si="15">FIND(",",T2,V2+1)</f>
        <v>#VALUE!</v>
      </c>
      <c r="Y2" s="63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</row>
    <row r="3" spans="1:28" ht="21" customHeight="1" x14ac:dyDescent="0.15">
      <c r="A3" s="47">
        <v>65525001</v>
      </c>
      <c r="B3" s="47" t="s">
        <v>320</v>
      </c>
      <c r="C3" s="50">
        <v>1</v>
      </c>
      <c r="D3" s="50" t="s">
        <v>129</v>
      </c>
      <c r="E3" s="51" t="s">
        <v>266</v>
      </c>
      <c r="F3" s="51" t="s">
        <v>84</v>
      </c>
      <c r="G3" s="63" t="str">
        <f t="shared" si="0"/>
        <v>[effect:heal, target:myself, val:0, animation:enemy_heal]</v>
      </c>
      <c r="H3" s="63">
        <f t="shared" si="1"/>
        <v>9</v>
      </c>
      <c r="I3" s="63">
        <f t="shared" si="2"/>
        <v>13</v>
      </c>
      <c r="J3" s="63">
        <f t="shared" si="3"/>
        <v>22</v>
      </c>
      <c r="K3" s="63">
        <f t="shared" si="4"/>
        <v>28</v>
      </c>
      <c r="L3" s="63" t="str">
        <f>IFERROR(VLOOKUP(MID(G3,J3,K3-J3),[6]skilldef!$C:$D,2,FALSE),"-") &amp; " / " &amp; IFERROR(VLOOKUP(MID(G3,H3,I3-H3),[6]skilldef!$A:$B,2,FALSE),"-")</f>
        <v>自分自身に / 回復</v>
      </c>
      <c r="M3" s="63" t="str">
        <f t="shared" si="5"/>
        <v>[effect:enemy_message, val1:0.1, val2:0]</v>
      </c>
      <c r="N3" s="48" t="str">
        <f t="shared" si="6"/>
        <v>[effect:enemy_message, val1:0.1, val2:0]</v>
      </c>
      <c r="O3" s="63">
        <f t="shared" si="7"/>
        <v>9</v>
      </c>
      <c r="P3" s="63">
        <f t="shared" si="8"/>
        <v>22</v>
      </c>
      <c r="Q3" s="63" t="e">
        <f t="shared" si="9"/>
        <v>#VALUE!</v>
      </c>
      <c r="R3" s="63">
        <f t="shared" si="10"/>
        <v>32</v>
      </c>
      <c r="S3" s="63" t="str">
        <f>IFERROR(VLOOKUP(MID(N3,Q3,R3-Q3),[6]skilldef!$C:$D,2,FALSE),"-") &amp; " / " &amp; IFERROR(VLOOKUP(MID(N3,O3,P3-O3),[6]skilldef!$A:$B,2,FALSE),"-")</f>
        <v>- / -</v>
      </c>
      <c r="T3" s="48" t="str">
        <f t="shared" si="11"/>
        <v>none</v>
      </c>
      <c r="U3" s="63" t="e">
        <f t="shared" si="12"/>
        <v>#VALUE!</v>
      </c>
      <c r="V3" s="63">
        <f t="shared" si="13"/>
        <v>4</v>
      </c>
      <c r="W3" s="63" t="e">
        <f t="shared" si="14"/>
        <v>#VALUE!</v>
      </c>
      <c r="X3" s="63" t="e">
        <f t="shared" si="15"/>
        <v>#VALUE!</v>
      </c>
      <c r="Y3" s="63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/>
    </row>
    <row r="4" spans="1:28" ht="21" customHeight="1" x14ac:dyDescent="0.15">
      <c r="A4" s="47">
        <v>65525002</v>
      </c>
      <c r="B4" s="47" t="s">
        <v>321</v>
      </c>
      <c r="C4" s="50">
        <v>1</v>
      </c>
      <c r="D4" s="50" t="s">
        <v>129</v>
      </c>
      <c r="E4" s="51" t="s">
        <v>267</v>
      </c>
      <c r="F4" s="51" t="s">
        <v>84</v>
      </c>
      <c r="G4" s="63" t="str">
        <f t="shared" si="0"/>
        <v>[effect:heal, target:myself, val:0, animation:enemy_enhance_attack]</v>
      </c>
      <c r="H4" s="63">
        <f t="shared" si="1"/>
        <v>9</v>
      </c>
      <c r="I4" s="63">
        <f t="shared" si="2"/>
        <v>13</v>
      </c>
      <c r="J4" s="63">
        <f t="shared" si="3"/>
        <v>22</v>
      </c>
      <c r="K4" s="63">
        <f t="shared" si="4"/>
        <v>28</v>
      </c>
      <c r="L4" s="63" t="str">
        <f>IFERROR(VLOOKUP(MID(G4,J4,K4-J4),[6]skilldef!$C:$D,2,FALSE),"-") &amp; " / " &amp; IFERROR(VLOOKUP(MID(G4,H4,I4-H4),[6]skilldef!$A:$B,2,FALSE),"-")</f>
        <v>自分自身に / 回復</v>
      </c>
      <c r="M4" s="63" t="str">
        <f t="shared" si="5"/>
        <v>[effect:enemy_message, val1:0.1, val2:0]</v>
      </c>
      <c r="N4" s="48" t="str">
        <f t="shared" si="6"/>
        <v>[effect:enemy_message, val1:0.1, val2:0]</v>
      </c>
      <c r="O4" s="63">
        <f t="shared" si="7"/>
        <v>9</v>
      </c>
      <c r="P4" s="63">
        <f t="shared" si="8"/>
        <v>22</v>
      </c>
      <c r="Q4" s="63" t="e">
        <f t="shared" si="9"/>
        <v>#VALUE!</v>
      </c>
      <c r="R4" s="63">
        <f t="shared" si="10"/>
        <v>32</v>
      </c>
      <c r="S4" s="63" t="str">
        <f>IFERROR(VLOOKUP(MID(N4,Q4,R4-Q4),[6]skilldef!$C:$D,2,FALSE),"-") &amp; " / " &amp; IFERROR(VLOOKUP(MID(N4,O4,P4-O4),[6]skilldef!$A:$B,2,FALSE),"-")</f>
        <v>- / -</v>
      </c>
      <c r="T4" s="48" t="str">
        <f t="shared" si="11"/>
        <v>none</v>
      </c>
      <c r="U4" s="63" t="e">
        <f t="shared" si="12"/>
        <v>#VALUE!</v>
      </c>
      <c r="V4" s="63">
        <f t="shared" si="13"/>
        <v>4</v>
      </c>
      <c r="W4" s="63" t="e">
        <f t="shared" si="14"/>
        <v>#VALUE!</v>
      </c>
      <c r="X4" s="63" t="e">
        <f t="shared" si="15"/>
        <v>#VALUE!</v>
      </c>
      <c r="Y4" s="63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  <row r="5" spans="1:28" ht="21" customHeight="1" x14ac:dyDescent="0.15">
      <c r="A5" s="47">
        <v>65525003</v>
      </c>
      <c r="B5" s="47" t="s">
        <v>322</v>
      </c>
      <c r="C5" s="50">
        <v>1</v>
      </c>
      <c r="D5" s="50" t="s">
        <v>129</v>
      </c>
      <c r="E5" s="51" t="s">
        <v>268</v>
      </c>
      <c r="F5" s="51" t="s">
        <v>84</v>
      </c>
      <c r="G5" s="63" t="str">
        <f t="shared" si="0"/>
        <v>[effect:heal, target:myself, val:0, animation:enemy_enhance_defense]</v>
      </c>
      <c r="H5" s="63">
        <f t="shared" si="1"/>
        <v>9</v>
      </c>
      <c r="I5" s="63">
        <f t="shared" si="2"/>
        <v>13</v>
      </c>
      <c r="J5" s="63">
        <f t="shared" si="3"/>
        <v>22</v>
      </c>
      <c r="K5" s="63">
        <f t="shared" si="4"/>
        <v>28</v>
      </c>
      <c r="L5" s="63" t="str">
        <f>IFERROR(VLOOKUP(MID(G5,J5,K5-J5),[6]skilldef!$C:$D,2,FALSE),"-") &amp; " / " &amp; IFERROR(VLOOKUP(MID(G5,H5,I5-H5),[6]skilldef!$A:$B,2,FALSE),"-")</f>
        <v>自分自身に / 回復</v>
      </c>
      <c r="M5" s="63" t="str">
        <f t="shared" si="5"/>
        <v>[effect:enemy_message, val1:0.1, val2:0]</v>
      </c>
      <c r="N5" s="48" t="str">
        <f t="shared" si="6"/>
        <v>[effect:enemy_message, val1:0.1, val2:0]</v>
      </c>
      <c r="O5" s="63">
        <f t="shared" si="7"/>
        <v>9</v>
      </c>
      <c r="P5" s="63">
        <f t="shared" si="8"/>
        <v>22</v>
      </c>
      <c r="Q5" s="63" t="e">
        <f t="shared" si="9"/>
        <v>#VALUE!</v>
      </c>
      <c r="R5" s="63">
        <f t="shared" si="10"/>
        <v>32</v>
      </c>
      <c r="S5" s="63" t="str">
        <f>IFERROR(VLOOKUP(MID(N5,Q5,R5-Q5),[6]skilldef!$C:$D,2,FALSE),"-") &amp; " / " &amp; IFERROR(VLOOKUP(MID(N5,O5,P5-O5),[6]skilldef!$A:$B,2,FALSE),"-")</f>
        <v>- / -</v>
      </c>
      <c r="T5" s="48" t="str">
        <f t="shared" si="11"/>
        <v>none</v>
      </c>
      <c r="U5" s="63" t="e">
        <f t="shared" si="12"/>
        <v>#VALUE!</v>
      </c>
      <c r="V5" s="63">
        <f t="shared" si="13"/>
        <v>4</v>
      </c>
      <c r="W5" s="63" t="e">
        <f t="shared" si="14"/>
        <v>#VALUE!</v>
      </c>
      <c r="X5" s="63" t="e">
        <f t="shared" si="15"/>
        <v>#VALUE!</v>
      </c>
      <c r="Y5" s="63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/>
    </row>
    <row r="6" spans="1:28" ht="21" customHeight="1" x14ac:dyDescent="0.15">
      <c r="A6" s="47">
        <v>65525004</v>
      </c>
      <c r="B6" s="47" t="s">
        <v>323</v>
      </c>
      <c r="C6" s="50">
        <v>1</v>
      </c>
      <c r="D6" s="50" t="s">
        <v>129</v>
      </c>
      <c r="E6" s="51" t="s">
        <v>269</v>
      </c>
      <c r="F6" s="51" t="s">
        <v>84</v>
      </c>
      <c r="G6" s="63" t="str">
        <f t="shared" si="0"/>
        <v>[effect:heal, target:myself, val:0, animation:enemy_freq_turn]</v>
      </c>
      <c r="H6" s="63">
        <f t="shared" si="1"/>
        <v>9</v>
      </c>
      <c r="I6" s="63">
        <f t="shared" si="2"/>
        <v>13</v>
      </c>
      <c r="J6" s="63">
        <f t="shared" si="3"/>
        <v>22</v>
      </c>
      <c r="K6" s="63">
        <f t="shared" si="4"/>
        <v>28</v>
      </c>
      <c r="L6" s="63" t="str">
        <f>IFERROR(VLOOKUP(MID(G6,J6,K6-J6),[6]skilldef!$C:$D,2,FALSE),"-") &amp; " / " &amp; IFERROR(VLOOKUP(MID(G6,H6,I6-H6),[6]skilldef!$A:$B,2,FALSE),"-")</f>
        <v>自分自身に / 回復</v>
      </c>
      <c r="M6" s="63" t="str">
        <f t="shared" si="5"/>
        <v>[effect:enemy_message, val1:0.1, val2:0]</v>
      </c>
      <c r="N6" s="48" t="str">
        <f t="shared" si="6"/>
        <v>[effect:enemy_message, val1:0.1, val2:0]</v>
      </c>
      <c r="O6" s="63">
        <f t="shared" si="7"/>
        <v>9</v>
      </c>
      <c r="P6" s="63">
        <f t="shared" si="8"/>
        <v>22</v>
      </c>
      <c r="Q6" s="63" t="e">
        <f t="shared" si="9"/>
        <v>#VALUE!</v>
      </c>
      <c r="R6" s="63">
        <f t="shared" si="10"/>
        <v>32</v>
      </c>
      <c r="S6" s="63" t="str">
        <f>IFERROR(VLOOKUP(MID(N6,Q6,R6-Q6),[6]skilldef!$C:$D,2,FALSE),"-") &amp; " / " &amp; IFERROR(VLOOKUP(MID(N6,O6,P6-O6),[6]skilldef!$A:$B,2,FALSE),"-")</f>
        <v>- / -</v>
      </c>
      <c r="T6" s="48" t="str">
        <f t="shared" si="11"/>
        <v>none</v>
      </c>
      <c r="U6" s="63" t="e">
        <f t="shared" si="12"/>
        <v>#VALUE!</v>
      </c>
      <c r="V6" s="63">
        <f t="shared" si="13"/>
        <v>4</v>
      </c>
      <c r="W6" s="63" t="e">
        <f t="shared" si="14"/>
        <v>#VALUE!</v>
      </c>
      <c r="X6" s="63" t="e">
        <f t="shared" si="15"/>
        <v>#VALUE!</v>
      </c>
      <c r="Y6" s="63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</row>
    <row r="7" spans="1:28" ht="21" customHeight="1" x14ac:dyDescent="0.15">
      <c r="A7" s="47">
        <v>65525005</v>
      </c>
      <c r="B7" s="47" t="s">
        <v>324</v>
      </c>
      <c r="C7" s="50">
        <v>1</v>
      </c>
      <c r="D7" s="50" t="s">
        <v>129</v>
      </c>
      <c r="E7" s="51" t="s">
        <v>270</v>
      </c>
      <c r="F7" s="51" t="s">
        <v>84</v>
      </c>
      <c r="G7" s="63" t="str">
        <f t="shared" si="0"/>
        <v>[effect:heal, target:myself, val:0, enemy_tolerance]</v>
      </c>
      <c r="H7" s="63">
        <f t="shared" si="1"/>
        <v>9</v>
      </c>
      <c r="I7" s="63">
        <f t="shared" si="2"/>
        <v>13</v>
      </c>
      <c r="J7" s="63">
        <f t="shared" si="3"/>
        <v>22</v>
      </c>
      <c r="K7" s="63">
        <f t="shared" si="4"/>
        <v>28</v>
      </c>
      <c r="L7" s="63" t="str">
        <f>IFERROR(VLOOKUP(MID(G7,J7,K7-J7),[6]skilldef!$C:$D,2,FALSE),"-") &amp; " / " &amp; IFERROR(VLOOKUP(MID(G7,H7,I7-H7),[6]skilldef!$A:$B,2,FALSE),"-")</f>
        <v>自分自身に / 回復</v>
      </c>
      <c r="M7" s="63" t="str">
        <f t="shared" si="5"/>
        <v>[effect:enemy_message, val1:0.1, val2:0]</v>
      </c>
      <c r="N7" s="48" t="str">
        <f t="shared" si="6"/>
        <v>[effect:enemy_message, val1:0.1, val2:0]</v>
      </c>
      <c r="O7" s="63">
        <f t="shared" si="7"/>
        <v>9</v>
      </c>
      <c r="P7" s="63">
        <f t="shared" si="8"/>
        <v>22</v>
      </c>
      <c r="Q7" s="63" t="e">
        <f t="shared" si="9"/>
        <v>#VALUE!</v>
      </c>
      <c r="R7" s="63">
        <f t="shared" si="10"/>
        <v>32</v>
      </c>
      <c r="S7" s="63" t="str">
        <f>IFERROR(VLOOKUP(MID(N7,Q7,R7-Q7),[6]skilldef!$C:$D,2,FALSE),"-") &amp; " / " &amp; IFERROR(VLOOKUP(MID(N7,O7,P7-O7),[6]skilldef!$A:$B,2,FALSE),"-")</f>
        <v>- / -</v>
      </c>
      <c r="T7" s="48" t="str">
        <f t="shared" si="11"/>
        <v>none</v>
      </c>
      <c r="U7" s="63" t="e">
        <f t="shared" si="12"/>
        <v>#VALUE!</v>
      </c>
      <c r="V7" s="63">
        <f t="shared" si="13"/>
        <v>4</v>
      </c>
      <c r="W7" s="63" t="e">
        <f t="shared" si="14"/>
        <v>#VALUE!</v>
      </c>
      <c r="X7" s="63" t="e">
        <f t="shared" si="15"/>
        <v>#VALUE!</v>
      </c>
      <c r="Y7" s="63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21" customHeight="1" x14ac:dyDescent="0.15">
      <c r="A8" s="47">
        <v>65525006</v>
      </c>
      <c r="B8" s="47" t="s">
        <v>325</v>
      </c>
      <c r="C8" s="50">
        <v>1</v>
      </c>
      <c r="D8" s="50" t="s">
        <v>129</v>
      </c>
      <c r="E8" s="51" t="s">
        <v>271</v>
      </c>
      <c r="F8" s="51" t="s">
        <v>84</v>
      </c>
      <c r="G8" s="63" t="str">
        <f t="shared" si="0"/>
        <v>[effect:heal, target:myself, val:0, animation:enemy_counter]</v>
      </c>
      <c r="H8" s="63">
        <f t="shared" si="1"/>
        <v>9</v>
      </c>
      <c r="I8" s="63">
        <f t="shared" si="2"/>
        <v>13</v>
      </c>
      <c r="J8" s="63">
        <f t="shared" si="3"/>
        <v>22</v>
      </c>
      <c r="K8" s="63">
        <f t="shared" si="4"/>
        <v>28</v>
      </c>
      <c r="L8" s="63" t="str">
        <f>IFERROR(VLOOKUP(MID(G8,J8,K8-J8),[6]skilldef!$C:$D,2,FALSE),"-") &amp; " / " &amp; IFERROR(VLOOKUP(MID(G8,H8,I8-H8),[6]skilldef!$A:$B,2,FALSE),"-")</f>
        <v>自分自身に / 回復</v>
      </c>
      <c r="M8" s="63" t="str">
        <f t="shared" si="5"/>
        <v>[effect:enemy_message, val1:0.1, val2:0]</v>
      </c>
      <c r="N8" s="48" t="str">
        <f t="shared" si="6"/>
        <v>[effect:enemy_message, val1:0.1, val2:0]</v>
      </c>
      <c r="O8" s="63">
        <f t="shared" si="7"/>
        <v>9</v>
      </c>
      <c r="P8" s="63">
        <f t="shared" si="8"/>
        <v>22</v>
      </c>
      <c r="Q8" s="63" t="e">
        <f t="shared" si="9"/>
        <v>#VALUE!</v>
      </c>
      <c r="R8" s="63">
        <f t="shared" si="10"/>
        <v>32</v>
      </c>
      <c r="S8" s="63" t="str">
        <f>IFERROR(VLOOKUP(MID(N8,Q8,R8-Q8),[6]skilldef!$C:$D,2,FALSE),"-") &amp; " / " &amp; IFERROR(VLOOKUP(MID(N8,O8,P8-O8),[6]skilldef!$A:$B,2,FALSE),"-")</f>
        <v>- / -</v>
      </c>
      <c r="T8" s="48" t="str">
        <f t="shared" si="11"/>
        <v>none</v>
      </c>
      <c r="U8" s="63" t="e">
        <f t="shared" si="12"/>
        <v>#VALUE!</v>
      </c>
      <c r="V8" s="63">
        <f t="shared" si="13"/>
        <v>4</v>
      </c>
      <c r="W8" s="63" t="e">
        <f t="shared" si="14"/>
        <v>#VALUE!</v>
      </c>
      <c r="X8" s="63" t="e">
        <f t="shared" si="15"/>
        <v>#VALUE!</v>
      </c>
      <c r="Y8" s="63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ht="21" customHeight="1" x14ac:dyDescent="0.15">
      <c r="A9" s="47">
        <v>65525007</v>
      </c>
      <c r="B9" s="47" t="s">
        <v>326</v>
      </c>
      <c r="C9" s="50">
        <v>1</v>
      </c>
      <c r="D9" s="50" t="s">
        <v>129</v>
      </c>
      <c r="E9" s="51" t="s">
        <v>272</v>
      </c>
      <c r="F9" s="51" t="s">
        <v>84</v>
      </c>
      <c r="G9" s="63" t="str">
        <f t="shared" si="0"/>
        <v>[effect:heal, target:myself, val:0, animation:crash_panel_reduce04_unit02]</v>
      </c>
      <c r="H9" s="63">
        <f t="shared" si="1"/>
        <v>9</v>
      </c>
      <c r="I9" s="63">
        <f t="shared" si="2"/>
        <v>13</v>
      </c>
      <c r="J9" s="63">
        <f t="shared" si="3"/>
        <v>22</v>
      </c>
      <c r="K9" s="63">
        <f t="shared" si="4"/>
        <v>28</v>
      </c>
      <c r="L9" s="63" t="str">
        <f>IFERROR(VLOOKUP(MID(G9,J9,K9-J9),[6]skilldef!$C:$D,2,FALSE),"-") &amp; " / " &amp; IFERROR(VLOOKUP(MID(G9,H9,I9-H9),[6]skilldef!$A:$B,2,FALSE),"-")</f>
        <v>自分自身に / 回復</v>
      </c>
      <c r="M9" s="63" t="str">
        <f t="shared" si="5"/>
        <v>[effect:enemy_message, val1:0.1, val2:0]</v>
      </c>
      <c r="N9" s="48" t="str">
        <f t="shared" si="6"/>
        <v>[effect:enemy_message, val1:0.1, val2:0]</v>
      </c>
      <c r="O9" s="63">
        <f t="shared" si="7"/>
        <v>9</v>
      </c>
      <c r="P9" s="63">
        <f t="shared" si="8"/>
        <v>22</v>
      </c>
      <c r="Q9" s="63" t="e">
        <f t="shared" si="9"/>
        <v>#VALUE!</v>
      </c>
      <c r="R9" s="63">
        <f t="shared" si="10"/>
        <v>32</v>
      </c>
      <c r="S9" s="63" t="str">
        <f>IFERROR(VLOOKUP(MID(N9,Q9,R9-Q9),[6]skilldef!$C:$D,2,FALSE),"-") &amp; " / " &amp; IFERROR(VLOOKUP(MID(N9,O9,P9-O9),[6]skilldef!$A:$B,2,FALSE),"-")</f>
        <v>- / -</v>
      </c>
      <c r="T9" s="48" t="str">
        <f t="shared" si="11"/>
        <v>none</v>
      </c>
      <c r="U9" s="63" t="e">
        <f t="shared" si="12"/>
        <v>#VALUE!</v>
      </c>
      <c r="V9" s="63">
        <f t="shared" si="13"/>
        <v>4</v>
      </c>
      <c r="W9" s="63" t="e">
        <f t="shared" si="14"/>
        <v>#VALUE!</v>
      </c>
      <c r="X9" s="63" t="e">
        <f t="shared" si="15"/>
        <v>#VALUE!</v>
      </c>
      <c r="Y9" s="63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/>
    </row>
    <row r="10" spans="1:28" ht="21" customHeight="1" x14ac:dyDescent="0.15">
      <c r="A10" s="47">
        <v>65525008</v>
      </c>
      <c r="B10" s="47" t="s">
        <v>320</v>
      </c>
      <c r="C10" s="50">
        <v>1</v>
      </c>
      <c r="D10" s="50" t="s">
        <v>129</v>
      </c>
      <c r="E10" s="51" t="s">
        <v>273</v>
      </c>
      <c r="F10" s="51" t="s">
        <v>84</v>
      </c>
      <c r="G10" s="63" t="str">
        <f t="shared" si="0"/>
        <v>[effect:heal, target:myself, val:0, animation:enemy_heal]</v>
      </c>
      <c r="H10" s="63">
        <f t="shared" si="1"/>
        <v>9</v>
      </c>
      <c r="I10" s="63">
        <f t="shared" si="2"/>
        <v>13</v>
      </c>
      <c r="J10" s="63">
        <f t="shared" si="3"/>
        <v>22</v>
      </c>
      <c r="K10" s="63">
        <f t="shared" si="4"/>
        <v>28</v>
      </c>
      <c r="L10" s="63" t="str">
        <f>IFERROR(VLOOKUP(MID(G10,J10,K10-J10),[6]skilldef!$C:$D,2,FALSE),"-") &amp; " / " &amp; IFERROR(VLOOKUP(MID(G10,H10,I10-H10),[6]skilldef!$A:$B,2,FALSE),"-")</f>
        <v>自分自身に / 回復</v>
      </c>
      <c r="M10" s="63" t="str">
        <f t="shared" si="5"/>
        <v>[effect:enemy_message, val1:0.1, val2:0]</v>
      </c>
      <c r="N10" s="48" t="str">
        <f t="shared" si="6"/>
        <v>[effect:enemy_message, val1:0.1, val2:0]</v>
      </c>
      <c r="O10" s="63">
        <f t="shared" si="7"/>
        <v>9</v>
      </c>
      <c r="P10" s="63">
        <f t="shared" si="8"/>
        <v>22</v>
      </c>
      <c r="Q10" s="63" t="e">
        <f t="shared" si="9"/>
        <v>#VALUE!</v>
      </c>
      <c r="R10" s="63">
        <f t="shared" si="10"/>
        <v>32</v>
      </c>
      <c r="S10" s="63" t="str">
        <f>IFERROR(VLOOKUP(MID(N10,Q10,R10-Q10),[6]skilldef!$C:$D,2,FALSE),"-") &amp; " / " &amp; IFERROR(VLOOKUP(MID(N10,O10,P10-O10),[6]skilldef!$A:$B,2,FALSE),"-")</f>
        <v>- / -</v>
      </c>
      <c r="T10" s="48" t="str">
        <f t="shared" si="11"/>
        <v>none</v>
      </c>
      <c r="U10" s="63" t="e">
        <f t="shared" si="12"/>
        <v>#VALUE!</v>
      </c>
      <c r="V10" s="63">
        <f t="shared" si="13"/>
        <v>4</v>
      </c>
      <c r="W10" s="63" t="e">
        <f t="shared" si="14"/>
        <v>#VALUE!</v>
      </c>
      <c r="X10" s="63" t="e">
        <f t="shared" si="15"/>
        <v>#VALUE!</v>
      </c>
      <c r="Y10" s="63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/>
    </row>
    <row r="11" spans="1:28" ht="21" customHeight="1" x14ac:dyDescent="0.15">
      <c r="A11" s="47">
        <v>65525009</v>
      </c>
      <c r="B11" s="47" t="s">
        <v>327</v>
      </c>
      <c r="C11" s="50">
        <v>1</v>
      </c>
      <c r="D11" s="50" t="s">
        <v>129</v>
      </c>
      <c r="E11" s="51" t="s">
        <v>274</v>
      </c>
      <c r="F11" s="51" t="s">
        <v>84</v>
      </c>
      <c r="G11" s="63" t="str">
        <f t="shared" si="0"/>
        <v>[effect:heal, target:myself, val:0, animation:enemy_tap_down]</v>
      </c>
      <c r="H11" s="63">
        <f t="shared" si="1"/>
        <v>9</v>
      </c>
      <c r="I11" s="63">
        <f t="shared" si="2"/>
        <v>13</v>
      </c>
      <c r="J11" s="63">
        <f t="shared" si="3"/>
        <v>22</v>
      </c>
      <c r="K11" s="63">
        <f t="shared" si="4"/>
        <v>28</v>
      </c>
      <c r="L11" s="63" t="str">
        <f>IFERROR(VLOOKUP(MID(G11,J11,K11-J11),[6]skilldef!$C:$D,2,FALSE),"-") &amp; " / " &amp; IFERROR(VLOOKUP(MID(G11,H11,I11-H11),[6]skilldef!$A:$B,2,FALSE),"-")</f>
        <v>自分自身に / 回復</v>
      </c>
      <c r="M11" s="63" t="str">
        <f t="shared" si="5"/>
        <v>[effect:enemy_message, val1:0.1, val2:0]</v>
      </c>
      <c r="N11" s="48" t="str">
        <f t="shared" si="6"/>
        <v>[effect:enemy_message, val1:0.1, val2:0]</v>
      </c>
      <c r="O11" s="63">
        <f t="shared" si="7"/>
        <v>9</v>
      </c>
      <c r="P11" s="63">
        <f t="shared" si="8"/>
        <v>22</v>
      </c>
      <c r="Q11" s="63" t="e">
        <f t="shared" si="9"/>
        <v>#VALUE!</v>
      </c>
      <c r="R11" s="63">
        <f t="shared" si="10"/>
        <v>32</v>
      </c>
      <c r="S11" s="63" t="str">
        <f>IFERROR(VLOOKUP(MID(N11,Q11,R11-Q11),[6]skilldef!$C:$D,2,FALSE),"-") &amp; " / " &amp; IFERROR(VLOOKUP(MID(N11,O11,P11-O11),[6]skilldef!$A:$B,2,FALSE),"-")</f>
        <v>- / -</v>
      </c>
      <c r="T11" s="48" t="str">
        <f t="shared" si="11"/>
        <v>none</v>
      </c>
      <c r="U11" s="63" t="e">
        <f t="shared" si="12"/>
        <v>#VALUE!</v>
      </c>
      <c r="V11" s="63">
        <f t="shared" si="13"/>
        <v>4</v>
      </c>
      <c r="W11" s="63" t="e">
        <f t="shared" si="14"/>
        <v>#VALUE!</v>
      </c>
      <c r="X11" s="63" t="e">
        <f t="shared" si="15"/>
        <v>#VALUE!</v>
      </c>
      <c r="Y11" s="63" t="str">
        <f>IFERROR(VLOOKUP(MID(T11,W11,X11-W11),[6]skilldef!$C:$D,2,FALSE),"-") &amp; " / " &amp; IFERROR(VLOOKUP(MID(T11,U11,V11-U11),[6]skilldef!$A:$B,2,FALSE),"-")</f>
        <v>- / -</v>
      </c>
      <c r="Z11" s="50"/>
      <c r="AA11" s="52"/>
      <c r="AB11" s="50"/>
    </row>
    <row r="12" spans="1:28" ht="21" customHeight="1" x14ac:dyDescent="0.15">
      <c r="A12" s="47">
        <v>65525010</v>
      </c>
      <c r="B12" s="47" t="s">
        <v>328</v>
      </c>
      <c r="C12" s="50">
        <v>1</v>
      </c>
      <c r="D12" s="50" t="s">
        <v>129</v>
      </c>
      <c r="E12" s="51" t="s">
        <v>275</v>
      </c>
      <c r="F12" s="51" t="s">
        <v>84</v>
      </c>
      <c r="G12" s="63" t="str">
        <f t="shared" si="0"/>
        <v>[effect:heal, target:myself, val:0, animation:enemy_time_limit]</v>
      </c>
      <c r="H12" s="63">
        <f t="shared" si="1"/>
        <v>9</v>
      </c>
      <c r="I12" s="63">
        <f t="shared" si="2"/>
        <v>13</v>
      </c>
      <c r="J12" s="63">
        <f t="shared" si="3"/>
        <v>22</v>
      </c>
      <c r="K12" s="63">
        <f t="shared" si="4"/>
        <v>28</v>
      </c>
      <c r="L12" s="63" t="str">
        <f>IFERROR(VLOOKUP(MID(G12,J12,K12-J12),[6]skilldef!$C:$D,2,FALSE),"-") &amp; " / " &amp; IFERROR(VLOOKUP(MID(G12,H12,I12-H12),[6]skilldef!$A:$B,2,FALSE),"-")</f>
        <v>自分自身に / 回復</v>
      </c>
      <c r="M12" s="63" t="str">
        <f t="shared" si="5"/>
        <v>[effect:enemy_message, val1:0.1, val2:0]</v>
      </c>
      <c r="N12" s="48" t="str">
        <f t="shared" si="6"/>
        <v>[effect:enemy_message, val1:0.1, val2:0]</v>
      </c>
      <c r="O12" s="63">
        <f t="shared" si="7"/>
        <v>9</v>
      </c>
      <c r="P12" s="63">
        <f t="shared" si="8"/>
        <v>22</v>
      </c>
      <c r="Q12" s="63" t="e">
        <f t="shared" si="9"/>
        <v>#VALUE!</v>
      </c>
      <c r="R12" s="63">
        <f t="shared" si="10"/>
        <v>32</v>
      </c>
      <c r="S12" s="63" t="str">
        <f>IFERROR(VLOOKUP(MID(N12,Q12,R12-Q12),[6]skilldef!$C:$D,2,FALSE),"-") &amp; " / " &amp; IFERROR(VLOOKUP(MID(N12,O12,P12-O12),[6]skilldef!$A:$B,2,FALSE),"-")</f>
        <v>- / -</v>
      </c>
      <c r="T12" s="48" t="str">
        <f t="shared" si="11"/>
        <v>none</v>
      </c>
      <c r="U12" s="63" t="e">
        <f t="shared" si="12"/>
        <v>#VALUE!</v>
      </c>
      <c r="V12" s="63">
        <f t="shared" si="13"/>
        <v>4</v>
      </c>
      <c r="W12" s="63" t="e">
        <f t="shared" si="14"/>
        <v>#VALUE!</v>
      </c>
      <c r="X12" s="63" t="e">
        <f t="shared" si="15"/>
        <v>#VALUE!</v>
      </c>
      <c r="Y12" s="63" t="str">
        <f>IFERROR(VLOOKUP(MID(T12,W12,X12-W12),[6]skilldef!$C:$D,2,FALSE),"-") &amp; " / " &amp; IFERROR(VLOOKUP(MID(T12,U12,V12-U12),[6]skilldef!$A:$B,2,FALSE),"-")</f>
        <v>- / -</v>
      </c>
      <c r="Z12" s="50"/>
      <c r="AA12" s="52"/>
      <c r="AB12" s="50"/>
    </row>
    <row r="13" spans="1:28" ht="21" customHeight="1" x14ac:dyDescent="0.15">
      <c r="A13" s="47">
        <v>65525011</v>
      </c>
      <c r="B13" s="47" t="s">
        <v>329</v>
      </c>
      <c r="C13" s="50">
        <v>1</v>
      </c>
      <c r="D13" s="50" t="s">
        <v>129</v>
      </c>
      <c r="E13" s="51" t="s">
        <v>276</v>
      </c>
      <c r="F13" s="51" t="s">
        <v>84</v>
      </c>
      <c r="G13" s="63" t="str">
        <f t="shared" si="0"/>
        <v>[effect:heal, target:myself, val:0, animation:enemy_dis_heart]</v>
      </c>
      <c r="H13" s="63">
        <f t="shared" si="1"/>
        <v>9</v>
      </c>
      <c r="I13" s="63">
        <f t="shared" si="2"/>
        <v>13</v>
      </c>
      <c r="J13" s="63">
        <f t="shared" si="3"/>
        <v>22</v>
      </c>
      <c r="K13" s="63">
        <f t="shared" si="4"/>
        <v>28</v>
      </c>
      <c r="L13" s="63" t="str">
        <f>IFERROR(VLOOKUP(MID(G13,J13,K13-J13),[6]skilldef!$C:$D,2,FALSE),"-") &amp; " / " &amp; IFERROR(VLOOKUP(MID(G13,H13,I13-H13),[6]skilldef!$A:$B,2,FALSE),"-")</f>
        <v>自分自身に / 回復</v>
      </c>
      <c r="M13" s="63" t="str">
        <f t="shared" si="5"/>
        <v>[effect:enemy_message, val1:0.1, val2:0]</v>
      </c>
      <c r="N13" s="48" t="str">
        <f t="shared" si="6"/>
        <v>[effect:enemy_message, val1:0.1, val2:0]</v>
      </c>
      <c r="O13" s="63">
        <f t="shared" si="7"/>
        <v>9</v>
      </c>
      <c r="P13" s="63">
        <f t="shared" si="8"/>
        <v>22</v>
      </c>
      <c r="Q13" s="63" t="e">
        <f t="shared" si="9"/>
        <v>#VALUE!</v>
      </c>
      <c r="R13" s="63">
        <f t="shared" si="10"/>
        <v>32</v>
      </c>
      <c r="S13" s="63" t="str">
        <f>IFERROR(VLOOKUP(MID(N13,Q13,R13-Q13),[6]skilldef!$C:$D,2,FALSE),"-") &amp; " / " &amp; IFERROR(VLOOKUP(MID(N13,O13,P13-O13),[6]skilldef!$A:$B,2,FALSE),"-")</f>
        <v>- / -</v>
      </c>
      <c r="T13" s="48" t="str">
        <f t="shared" si="11"/>
        <v>none</v>
      </c>
      <c r="U13" s="63" t="e">
        <f t="shared" si="12"/>
        <v>#VALUE!</v>
      </c>
      <c r="V13" s="63">
        <f t="shared" si="13"/>
        <v>4</v>
      </c>
      <c r="W13" s="63" t="e">
        <f t="shared" si="14"/>
        <v>#VALUE!</v>
      </c>
      <c r="X13" s="63" t="e">
        <f t="shared" si="15"/>
        <v>#VALUE!</v>
      </c>
      <c r="Y13" s="63" t="str">
        <f>IFERROR(VLOOKUP(MID(T13,W13,X13-W13),[6]skilldef!$C:$D,2,FALSE),"-") &amp; " / " &amp; IFERROR(VLOOKUP(MID(T13,U13,V13-U13),[6]skilldef!$A:$B,2,FALSE),"-")</f>
        <v>- / -</v>
      </c>
      <c r="Z13" s="50"/>
      <c r="AA13" s="52"/>
      <c r="AB13" s="50"/>
    </row>
    <row r="14" spans="1:28" ht="21" customHeight="1" x14ac:dyDescent="0.15">
      <c r="A14" s="47">
        <v>65525012</v>
      </c>
      <c r="B14" s="47" t="s">
        <v>330</v>
      </c>
      <c r="C14" s="50">
        <v>1</v>
      </c>
      <c r="D14" s="50" t="s">
        <v>129</v>
      </c>
      <c r="E14" s="51" t="s">
        <v>277</v>
      </c>
      <c r="F14" s="51" t="s">
        <v>84</v>
      </c>
      <c r="G14" s="63" t="str">
        <f t="shared" si="0"/>
        <v>[effect:heal, target:myself, val:0, animation:enemy_dis_red]</v>
      </c>
      <c r="H14" s="63">
        <f t="shared" si="1"/>
        <v>9</v>
      </c>
      <c r="I14" s="63">
        <f t="shared" si="2"/>
        <v>13</v>
      </c>
      <c r="J14" s="63">
        <f t="shared" si="3"/>
        <v>22</v>
      </c>
      <c r="K14" s="63">
        <f t="shared" si="4"/>
        <v>28</v>
      </c>
      <c r="L14" s="63" t="str">
        <f>IFERROR(VLOOKUP(MID(G14,J14,K14-J14),[6]skilldef!$C:$D,2,FALSE),"-") &amp; " / " &amp; IFERROR(VLOOKUP(MID(G14,H14,I14-H14),[6]skilldef!$A:$B,2,FALSE),"-")</f>
        <v>自分自身に / 回復</v>
      </c>
      <c r="M14" s="63" t="str">
        <f t="shared" si="5"/>
        <v>[effect:enemy_message, val1:0.1, val2:0]</v>
      </c>
      <c r="N14" s="48" t="str">
        <f t="shared" si="6"/>
        <v>[effect:enemy_message, val1:0.1, val2:0]</v>
      </c>
      <c r="O14" s="63">
        <f t="shared" si="7"/>
        <v>9</v>
      </c>
      <c r="P14" s="63">
        <f t="shared" si="8"/>
        <v>22</v>
      </c>
      <c r="Q14" s="63" t="e">
        <f t="shared" si="9"/>
        <v>#VALUE!</v>
      </c>
      <c r="R14" s="63">
        <f t="shared" si="10"/>
        <v>32</v>
      </c>
      <c r="S14" s="63" t="str">
        <f>IFERROR(VLOOKUP(MID(N14,Q14,R14-Q14),[6]skilldef!$C:$D,2,FALSE),"-") &amp; " / " &amp; IFERROR(VLOOKUP(MID(N14,O14,P14-O14),[6]skilldef!$A:$B,2,FALSE),"-")</f>
        <v>- / -</v>
      </c>
      <c r="T14" s="48" t="str">
        <f t="shared" si="11"/>
        <v>none</v>
      </c>
      <c r="U14" s="63" t="e">
        <f t="shared" si="12"/>
        <v>#VALUE!</v>
      </c>
      <c r="V14" s="63">
        <f t="shared" si="13"/>
        <v>4</v>
      </c>
      <c r="W14" s="63" t="e">
        <f t="shared" si="14"/>
        <v>#VALUE!</v>
      </c>
      <c r="X14" s="63" t="e">
        <f t="shared" si="15"/>
        <v>#VALUE!</v>
      </c>
      <c r="Y14" s="63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/>
    </row>
    <row r="15" spans="1:28" ht="21" customHeight="1" x14ac:dyDescent="0.15">
      <c r="A15" s="47">
        <v>65525013</v>
      </c>
      <c r="B15" s="47" t="s">
        <v>331</v>
      </c>
      <c r="C15" s="50">
        <v>1</v>
      </c>
      <c r="D15" s="50" t="s">
        <v>129</v>
      </c>
      <c r="E15" s="51" t="s">
        <v>278</v>
      </c>
      <c r="F15" s="51" t="s">
        <v>84</v>
      </c>
      <c r="G15" s="63" t="str">
        <f t="shared" si="0"/>
        <v>[effect:heal, target:myself, val:0, animation:enemy_dis_blue]</v>
      </c>
      <c r="H15" s="63">
        <f t="shared" si="1"/>
        <v>9</v>
      </c>
      <c r="I15" s="63">
        <f t="shared" si="2"/>
        <v>13</v>
      </c>
      <c r="J15" s="63">
        <f t="shared" si="3"/>
        <v>22</v>
      </c>
      <c r="K15" s="63">
        <f t="shared" si="4"/>
        <v>28</v>
      </c>
      <c r="L15" s="63" t="str">
        <f>IFERROR(VLOOKUP(MID(G15,J15,K15-J15),[6]skilldef!$C:$D,2,FALSE),"-") &amp; " / " &amp; IFERROR(VLOOKUP(MID(G15,H15,I15-H15),[6]skilldef!$A:$B,2,FALSE),"-")</f>
        <v>自分自身に / 回復</v>
      </c>
      <c r="M15" s="63" t="str">
        <f t="shared" si="5"/>
        <v>[effect:enemy_message, val1:0.1, val2:0]</v>
      </c>
      <c r="N15" s="48" t="str">
        <f t="shared" si="6"/>
        <v>[effect:enemy_message, val1:0.1, val2:0]</v>
      </c>
      <c r="O15" s="63">
        <f t="shared" si="7"/>
        <v>9</v>
      </c>
      <c r="P15" s="63">
        <f t="shared" si="8"/>
        <v>22</v>
      </c>
      <c r="Q15" s="63" t="e">
        <f t="shared" si="9"/>
        <v>#VALUE!</v>
      </c>
      <c r="R15" s="63">
        <f t="shared" si="10"/>
        <v>32</v>
      </c>
      <c r="S15" s="63" t="str">
        <f>IFERROR(VLOOKUP(MID(N15,Q15,R15-Q15),[6]skilldef!$C:$D,2,FALSE),"-") &amp; " / " &amp; IFERROR(VLOOKUP(MID(N15,O15,P15-O15),[6]skilldef!$A:$B,2,FALSE),"-")</f>
        <v>- / -</v>
      </c>
      <c r="T15" s="48" t="str">
        <f t="shared" si="11"/>
        <v>none</v>
      </c>
      <c r="U15" s="63" t="e">
        <f t="shared" si="12"/>
        <v>#VALUE!</v>
      </c>
      <c r="V15" s="63">
        <f t="shared" si="13"/>
        <v>4</v>
      </c>
      <c r="W15" s="63" t="e">
        <f t="shared" si="14"/>
        <v>#VALUE!</v>
      </c>
      <c r="X15" s="63" t="e">
        <f t="shared" si="15"/>
        <v>#VALUE!</v>
      </c>
      <c r="Y15" s="63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/>
    </row>
    <row r="16" spans="1:28" ht="21" customHeight="1" x14ac:dyDescent="0.15">
      <c r="A16" s="47">
        <v>65525014</v>
      </c>
      <c r="B16" s="47" t="s">
        <v>332</v>
      </c>
      <c r="C16" s="50">
        <v>1</v>
      </c>
      <c r="D16" s="50" t="s">
        <v>129</v>
      </c>
      <c r="E16" s="51" t="s">
        <v>279</v>
      </c>
      <c r="F16" s="51" t="s">
        <v>84</v>
      </c>
      <c r="G16" s="63" t="str">
        <f t="shared" si="0"/>
        <v>[effect:heal, target:myself, val:0, animation:enemy_dis_green]</v>
      </c>
      <c r="H16" s="63">
        <f t="shared" si="1"/>
        <v>9</v>
      </c>
      <c r="I16" s="63">
        <f t="shared" si="2"/>
        <v>13</v>
      </c>
      <c r="J16" s="63">
        <f t="shared" si="3"/>
        <v>22</v>
      </c>
      <c r="K16" s="63">
        <f t="shared" si="4"/>
        <v>28</v>
      </c>
      <c r="L16" s="63" t="str">
        <f>IFERROR(VLOOKUP(MID(G16,J16,K16-J16),[6]skilldef!$C:$D,2,FALSE),"-") &amp; " / " &amp; IFERROR(VLOOKUP(MID(G16,H16,I16-H16),[6]skilldef!$A:$B,2,FALSE),"-")</f>
        <v>自分自身に / 回復</v>
      </c>
      <c r="M16" s="63" t="str">
        <f t="shared" si="5"/>
        <v>[effect:enemy_message, val1:0.1, val2:0]</v>
      </c>
      <c r="N16" s="48" t="str">
        <f t="shared" si="6"/>
        <v>[effect:enemy_message, val1:0.1, val2:0]</v>
      </c>
      <c r="O16" s="63">
        <f t="shared" si="7"/>
        <v>9</v>
      </c>
      <c r="P16" s="63">
        <f t="shared" si="8"/>
        <v>22</v>
      </c>
      <c r="Q16" s="63" t="e">
        <f t="shared" si="9"/>
        <v>#VALUE!</v>
      </c>
      <c r="R16" s="63">
        <f t="shared" si="10"/>
        <v>32</v>
      </c>
      <c r="S16" s="63" t="str">
        <f>IFERROR(VLOOKUP(MID(N16,Q16,R16-Q16),[6]skilldef!$C:$D,2,FALSE),"-") &amp; " / " &amp; IFERROR(VLOOKUP(MID(N16,O16,P16-O16),[6]skilldef!$A:$B,2,FALSE),"-")</f>
        <v>- / -</v>
      </c>
      <c r="T16" s="48" t="str">
        <f t="shared" si="11"/>
        <v>none</v>
      </c>
      <c r="U16" s="63" t="e">
        <f t="shared" si="12"/>
        <v>#VALUE!</v>
      </c>
      <c r="V16" s="63">
        <f t="shared" si="13"/>
        <v>4</v>
      </c>
      <c r="W16" s="63" t="e">
        <f t="shared" si="14"/>
        <v>#VALUE!</v>
      </c>
      <c r="X16" s="63" t="e">
        <f t="shared" si="15"/>
        <v>#VALUE!</v>
      </c>
      <c r="Y16" s="63" t="str">
        <f>IFERROR(VLOOKUP(MID(T16,W16,X16-W16),[6]skilldef!$C:$D,2,FALSE),"-") &amp; " / " &amp; IFERROR(VLOOKUP(MID(T16,U16,V16-U16),[6]skilldef!$A:$B,2,FALSE),"-")</f>
        <v>- / -</v>
      </c>
      <c r="Z16" s="50"/>
      <c r="AA16" s="52"/>
      <c r="AB16" s="50"/>
    </row>
    <row r="17" spans="1:28" ht="21" customHeight="1" x14ac:dyDescent="0.15">
      <c r="A17" s="47">
        <v>65525015</v>
      </c>
      <c r="B17" s="47" t="s">
        <v>333</v>
      </c>
      <c r="C17" s="50">
        <v>1</v>
      </c>
      <c r="D17" s="50" t="s">
        <v>129</v>
      </c>
      <c r="E17" s="51" t="s">
        <v>280</v>
      </c>
      <c r="F17" s="51" t="s">
        <v>84</v>
      </c>
      <c r="G17" s="63" t="str">
        <f t="shared" si="0"/>
        <v>[effect:heal, target:myself, val:0, animation:enemy_dis_yellow]</v>
      </c>
      <c r="H17" s="63">
        <f t="shared" si="1"/>
        <v>9</v>
      </c>
      <c r="I17" s="63">
        <f t="shared" si="2"/>
        <v>13</v>
      </c>
      <c r="J17" s="63">
        <f t="shared" si="3"/>
        <v>22</v>
      </c>
      <c r="K17" s="63">
        <f t="shared" si="4"/>
        <v>28</v>
      </c>
      <c r="L17" s="63" t="str">
        <f>IFERROR(VLOOKUP(MID(G17,J17,K17-J17),[6]skilldef!$C:$D,2,FALSE),"-") &amp; " / " &amp; IFERROR(VLOOKUP(MID(G17,H17,I17-H17),[6]skilldef!$A:$B,2,FALSE),"-")</f>
        <v>自分自身に / 回復</v>
      </c>
      <c r="M17" s="63" t="str">
        <f t="shared" si="5"/>
        <v>[effect:enemy_message, val1:0.1, val2:0]</v>
      </c>
      <c r="N17" s="48" t="str">
        <f t="shared" si="6"/>
        <v>[effect:enemy_message, val1:0.1, val2:0]</v>
      </c>
      <c r="O17" s="63">
        <f t="shared" si="7"/>
        <v>9</v>
      </c>
      <c r="P17" s="63">
        <f t="shared" si="8"/>
        <v>22</v>
      </c>
      <c r="Q17" s="63" t="e">
        <f t="shared" si="9"/>
        <v>#VALUE!</v>
      </c>
      <c r="R17" s="63">
        <f t="shared" si="10"/>
        <v>32</v>
      </c>
      <c r="S17" s="63" t="str">
        <f>IFERROR(VLOOKUP(MID(N17,Q17,R17-Q17),[6]skilldef!$C:$D,2,FALSE),"-") &amp; " / " &amp; IFERROR(VLOOKUP(MID(N17,O17,P17-O17),[6]skilldef!$A:$B,2,FALSE),"-")</f>
        <v>- / -</v>
      </c>
      <c r="T17" s="48" t="str">
        <f t="shared" si="11"/>
        <v>none</v>
      </c>
      <c r="U17" s="63" t="e">
        <f t="shared" si="12"/>
        <v>#VALUE!</v>
      </c>
      <c r="V17" s="63">
        <f t="shared" si="13"/>
        <v>4</v>
      </c>
      <c r="W17" s="63" t="e">
        <f t="shared" si="14"/>
        <v>#VALUE!</v>
      </c>
      <c r="X17" s="63" t="e">
        <f t="shared" si="15"/>
        <v>#VALUE!</v>
      </c>
      <c r="Y17" s="63" t="str">
        <f>IFERROR(VLOOKUP(MID(T17,W17,X17-W17),[6]skilldef!$C:$D,2,FALSE),"-") &amp; " / " &amp; IFERROR(VLOOKUP(MID(T17,U17,V17-U17),[6]skilldef!$A:$B,2,FALSE),"-")</f>
        <v>- / -</v>
      </c>
      <c r="Z17" s="50"/>
      <c r="AA17" s="52"/>
      <c r="AB17" s="50"/>
    </row>
    <row r="18" spans="1:28" ht="21" customHeight="1" x14ac:dyDescent="0.15">
      <c r="A18" s="47">
        <v>65525016</v>
      </c>
      <c r="B18" s="47" t="s">
        <v>334</v>
      </c>
      <c r="C18" s="50">
        <v>1</v>
      </c>
      <c r="D18" s="50" t="s">
        <v>129</v>
      </c>
      <c r="E18" s="51" t="s">
        <v>281</v>
      </c>
      <c r="F18" s="51" t="s">
        <v>84</v>
      </c>
      <c r="G18" s="63" t="str">
        <f t="shared" si="0"/>
        <v>[effect:heal, target:myself, val:0, animation:enemy_dark]</v>
      </c>
      <c r="H18" s="63">
        <f t="shared" si="1"/>
        <v>9</v>
      </c>
      <c r="I18" s="63">
        <f t="shared" si="2"/>
        <v>13</v>
      </c>
      <c r="J18" s="63">
        <f t="shared" si="3"/>
        <v>22</v>
      </c>
      <c r="K18" s="63">
        <f t="shared" si="4"/>
        <v>28</v>
      </c>
      <c r="L18" s="63" t="str">
        <f>IFERROR(VLOOKUP(MID(G18,J18,K18-J18),[6]skilldef!$C:$D,2,FALSE),"-") &amp; " / " &amp; IFERROR(VLOOKUP(MID(G18,H18,I18-H18),[6]skilldef!$A:$B,2,FALSE),"-")</f>
        <v>自分自身に / 回復</v>
      </c>
      <c r="M18" s="63" t="str">
        <f t="shared" si="5"/>
        <v>[effect:enemy_message, val1:0.1, val2:0]</v>
      </c>
      <c r="N18" s="48" t="str">
        <f t="shared" si="6"/>
        <v>[effect:enemy_message, val1:0.1, val2:0]</v>
      </c>
      <c r="O18" s="63">
        <f t="shared" si="7"/>
        <v>9</v>
      </c>
      <c r="P18" s="63">
        <f t="shared" si="8"/>
        <v>22</v>
      </c>
      <c r="Q18" s="63" t="e">
        <f t="shared" si="9"/>
        <v>#VALUE!</v>
      </c>
      <c r="R18" s="63">
        <f t="shared" si="10"/>
        <v>32</v>
      </c>
      <c r="S18" s="63" t="str">
        <f>IFERROR(VLOOKUP(MID(N18,Q18,R18-Q18),[6]skilldef!$C:$D,2,FALSE),"-") &amp; " / " &amp; IFERROR(VLOOKUP(MID(N18,O18,P18-O18),[6]skilldef!$A:$B,2,FALSE),"-")</f>
        <v>- / -</v>
      </c>
      <c r="T18" s="48" t="str">
        <f t="shared" si="11"/>
        <v>none</v>
      </c>
      <c r="U18" s="63" t="e">
        <f t="shared" si="12"/>
        <v>#VALUE!</v>
      </c>
      <c r="V18" s="63">
        <f t="shared" si="13"/>
        <v>4</v>
      </c>
      <c r="W18" s="63" t="e">
        <f t="shared" si="14"/>
        <v>#VALUE!</v>
      </c>
      <c r="X18" s="63" t="e">
        <f t="shared" si="15"/>
        <v>#VALUE!</v>
      </c>
      <c r="Y18" s="63" t="str">
        <f>IFERROR(VLOOKUP(MID(T18,W18,X18-W18),[6]skilldef!$C:$D,2,FALSE),"-") &amp; " / " &amp; IFERROR(VLOOKUP(MID(T18,U18,V18-U18),[6]skilldef!$A:$B,2,FALSE),"-")</f>
        <v>- / -</v>
      </c>
      <c r="Z18" s="50"/>
      <c r="AA18" s="52"/>
      <c r="AB18" s="50"/>
    </row>
    <row r="19" spans="1:28" ht="21" customHeight="1" x14ac:dyDescent="0.15">
      <c r="A19" s="47">
        <v>65525017</v>
      </c>
      <c r="B19" s="47" t="s">
        <v>335</v>
      </c>
      <c r="C19" s="50">
        <v>1</v>
      </c>
      <c r="D19" s="50" t="s">
        <v>129</v>
      </c>
      <c r="E19" s="51" t="s">
        <v>282</v>
      </c>
      <c r="F19" s="51" t="s">
        <v>84</v>
      </c>
      <c r="G19" s="63" t="str">
        <f t="shared" si="0"/>
        <v>[effect:heal, target:myself, val:0, animation:panel_conversion_off]</v>
      </c>
      <c r="H19" s="63">
        <f t="shared" si="1"/>
        <v>9</v>
      </c>
      <c r="I19" s="63">
        <f t="shared" si="2"/>
        <v>13</v>
      </c>
      <c r="J19" s="63">
        <f t="shared" si="3"/>
        <v>22</v>
      </c>
      <c r="K19" s="63">
        <f t="shared" si="4"/>
        <v>28</v>
      </c>
      <c r="L19" s="63" t="str">
        <f>IFERROR(VLOOKUP(MID(G19,J19,K19-J19),[6]skilldef!$C:$D,2,FALSE),"-") &amp; " / " &amp; IFERROR(VLOOKUP(MID(G19,H19,I19-H19),[6]skilldef!$A:$B,2,FALSE),"-")</f>
        <v>自分自身に / 回復</v>
      </c>
      <c r="M19" s="63" t="str">
        <f t="shared" si="5"/>
        <v>[effect:enemy_message, val1:0.1, val2:0]</v>
      </c>
      <c r="N19" s="48" t="str">
        <f t="shared" si="6"/>
        <v>[effect:enemy_message, val1:0.1, val2:0]</v>
      </c>
      <c r="O19" s="63">
        <f t="shared" si="7"/>
        <v>9</v>
      </c>
      <c r="P19" s="63">
        <f t="shared" si="8"/>
        <v>22</v>
      </c>
      <c r="Q19" s="63" t="e">
        <f t="shared" si="9"/>
        <v>#VALUE!</v>
      </c>
      <c r="R19" s="63">
        <f t="shared" si="10"/>
        <v>32</v>
      </c>
      <c r="S19" s="63" t="str">
        <f>IFERROR(VLOOKUP(MID(N19,Q19,R19-Q19),[6]skilldef!$C:$D,2,FALSE),"-") &amp; " / " &amp; IFERROR(VLOOKUP(MID(N19,O19,P19-O19),[6]skilldef!$A:$B,2,FALSE),"-")</f>
        <v>- / -</v>
      </c>
      <c r="T19" s="48" t="str">
        <f t="shared" si="11"/>
        <v>none</v>
      </c>
      <c r="U19" s="63" t="e">
        <f t="shared" si="12"/>
        <v>#VALUE!</v>
      </c>
      <c r="V19" s="63">
        <f t="shared" si="13"/>
        <v>4</v>
      </c>
      <c r="W19" s="63" t="e">
        <f t="shared" si="14"/>
        <v>#VALUE!</v>
      </c>
      <c r="X19" s="63" t="e">
        <f t="shared" si="15"/>
        <v>#VALUE!</v>
      </c>
      <c r="Y19" s="63" t="str">
        <f>IFERROR(VLOOKUP(MID(T19,W19,X19-W19),[6]skilldef!$C:$D,2,FALSE),"-") &amp; " / " &amp; IFERROR(VLOOKUP(MID(T19,U19,V19-U19),[6]skilldef!$A:$B,2,FALSE),"-")</f>
        <v>- / -</v>
      </c>
      <c r="Z19" s="50"/>
      <c r="AA19" s="52"/>
      <c r="AB19" s="50"/>
    </row>
    <row r="20" spans="1:28" ht="21" customHeight="1" x14ac:dyDescent="0.15">
      <c r="A20" s="47">
        <v>65525018</v>
      </c>
      <c r="B20" s="47" t="s">
        <v>336</v>
      </c>
      <c r="C20" s="50">
        <v>1</v>
      </c>
      <c r="D20" s="50" t="s">
        <v>129</v>
      </c>
      <c r="E20" s="51" t="s">
        <v>283</v>
      </c>
      <c r="F20" s="51" t="s">
        <v>84</v>
      </c>
      <c r="G20" s="63" t="str">
        <f t="shared" si="0"/>
        <v>[effect:heal, target:myself, val:0, animation:change_attribute_red]</v>
      </c>
      <c r="H20" s="63">
        <f t="shared" si="1"/>
        <v>9</v>
      </c>
      <c r="I20" s="63">
        <f t="shared" si="2"/>
        <v>13</v>
      </c>
      <c r="J20" s="63">
        <f t="shared" si="3"/>
        <v>22</v>
      </c>
      <c r="K20" s="63">
        <f t="shared" si="4"/>
        <v>28</v>
      </c>
      <c r="L20" s="63" t="str">
        <f>IFERROR(VLOOKUP(MID(G20,J20,K20-J20),[6]skilldef!$C:$D,2,FALSE),"-") &amp; " / " &amp; IFERROR(VLOOKUP(MID(G20,H20,I20-H20),[6]skilldef!$A:$B,2,FALSE),"-")</f>
        <v>自分自身に / 回復</v>
      </c>
      <c r="M20" s="63" t="str">
        <f t="shared" si="5"/>
        <v>[effect:enemy_message, val1:0.1, val2:0]</v>
      </c>
      <c r="N20" s="48" t="str">
        <f t="shared" si="6"/>
        <v>[effect:enemy_message, val1:0.1, val2:0]</v>
      </c>
      <c r="O20" s="63">
        <f t="shared" si="7"/>
        <v>9</v>
      </c>
      <c r="P20" s="63">
        <f t="shared" si="8"/>
        <v>22</v>
      </c>
      <c r="Q20" s="63" t="e">
        <f t="shared" si="9"/>
        <v>#VALUE!</v>
      </c>
      <c r="R20" s="63">
        <f t="shared" si="10"/>
        <v>32</v>
      </c>
      <c r="S20" s="63" t="str">
        <f>IFERROR(VLOOKUP(MID(N20,Q20,R20-Q20),[6]skilldef!$C:$D,2,FALSE),"-") &amp; " / " &amp; IFERROR(VLOOKUP(MID(N20,O20,P20-O20),[6]skilldef!$A:$B,2,FALSE),"-")</f>
        <v>- / -</v>
      </c>
      <c r="T20" s="48" t="str">
        <f t="shared" si="11"/>
        <v>none</v>
      </c>
      <c r="U20" s="63" t="e">
        <f t="shared" si="12"/>
        <v>#VALUE!</v>
      </c>
      <c r="V20" s="63">
        <f t="shared" si="13"/>
        <v>4</v>
      </c>
      <c r="W20" s="63" t="e">
        <f t="shared" si="14"/>
        <v>#VALUE!</v>
      </c>
      <c r="X20" s="63" t="e">
        <f t="shared" si="15"/>
        <v>#VALUE!</v>
      </c>
      <c r="Y20" s="63" t="str">
        <f>IFERROR(VLOOKUP(MID(T20,W20,X20-W20),[6]skilldef!$C:$D,2,FALSE),"-") &amp; " / " &amp; IFERROR(VLOOKUP(MID(T20,U20,V20-U20),[6]skilldef!$A:$B,2,FALSE),"-")</f>
        <v>- / -</v>
      </c>
      <c r="Z20" s="50"/>
      <c r="AA20" s="52"/>
      <c r="AB20" s="50"/>
    </row>
    <row r="21" spans="1:28" ht="21" customHeight="1" x14ac:dyDescent="0.15">
      <c r="A21" s="47">
        <v>65525019</v>
      </c>
      <c r="B21" s="47" t="s">
        <v>337</v>
      </c>
      <c r="C21" s="50">
        <v>1</v>
      </c>
      <c r="D21" s="50" t="s">
        <v>129</v>
      </c>
      <c r="E21" s="51" t="s">
        <v>284</v>
      </c>
      <c r="F21" s="51" t="s">
        <v>84</v>
      </c>
      <c r="G21" s="63" t="str">
        <f t="shared" si="0"/>
        <v>[effect:heal, target:myself, val:0, animation:change_attribute_green]</v>
      </c>
      <c r="H21" s="63">
        <f t="shared" si="1"/>
        <v>9</v>
      </c>
      <c r="I21" s="63">
        <f t="shared" si="2"/>
        <v>13</v>
      </c>
      <c r="J21" s="63">
        <f t="shared" si="3"/>
        <v>22</v>
      </c>
      <c r="K21" s="63">
        <f t="shared" si="4"/>
        <v>28</v>
      </c>
      <c r="L21" s="63" t="str">
        <f>IFERROR(VLOOKUP(MID(G21,J21,K21-J21),[6]skilldef!$C:$D,2,FALSE),"-") &amp; " / " &amp; IFERROR(VLOOKUP(MID(G21,H21,I21-H21),[6]skilldef!$A:$B,2,FALSE),"-")</f>
        <v>自分自身に / 回復</v>
      </c>
      <c r="M21" s="63" t="str">
        <f t="shared" si="5"/>
        <v>[effect:enemy_message, val1:0.1, val2:0]</v>
      </c>
      <c r="N21" s="48" t="str">
        <f t="shared" si="6"/>
        <v>[effect:enemy_message, val1:0.1, val2:0]</v>
      </c>
      <c r="O21" s="63">
        <f t="shared" si="7"/>
        <v>9</v>
      </c>
      <c r="P21" s="63">
        <f t="shared" si="8"/>
        <v>22</v>
      </c>
      <c r="Q21" s="63" t="e">
        <f t="shared" si="9"/>
        <v>#VALUE!</v>
      </c>
      <c r="R21" s="63">
        <f t="shared" si="10"/>
        <v>32</v>
      </c>
      <c r="S21" s="63" t="str">
        <f>IFERROR(VLOOKUP(MID(N21,Q21,R21-Q21),[6]skilldef!$C:$D,2,FALSE),"-") &amp; " / " &amp; IFERROR(VLOOKUP(MID(N21,O21,P21-O21),[6]skilldef!$A:$B,2,FALSE),"-")</f>
        <v>- / -</v>
      </c>
      <c r="T21" s="48" t="str">
        <f t="shared" si="11"/>
        <v>none</v>
      </c>
      <c r="U21" s="63" t="e">
        <f t="shared" si="12"/>
        <v>#VALUE!</v>
      </c>
      <c r="V21" s="63">
        <f t="shared" si="13"/>
        <v>4</v>
      </c>
      <c r="W21" s="63" t="e">
        <f t="shared" si="14"/>
        <v>#VALUE!</v>
      </c>
      <c r="X21" s="63" t="e">
        <f t="shared" si="15"/>
        <v>#VALUE!</v>
      </c>
      <c r="Y21" s="63" t="str">
        <f>IFERROR(VLOOKUP(MID(T21,W21,X21-W21),[6]skilldef!$C:$D,2,FALSE),"-") &amp; " / " &amp; IFERROR(VLOOKUP(MID(T21,U21,V21-U21),[6]skilldef!$A:$B,2,FALSE),"-")</f>
        <v>- / -</v>
      </c>
      <c r="Z21" s="50"/>
      <c r="AA21" s="52"/>
      <c r="AB21" s="50"/>
    </row>
    <row r="22" spans="1:28" ht="21" customHeight="1" x14ac:dyDescent="0.15">
      <c r="A22" s="47">
        <v>65525020</v>
      </c>
      <c r="B22" s="47" t="s">
        <v>338</v>
      </c>
      <c r="C22" s="50">
        <v>1</v>
      </c>
      <c r="D22" s="50" t="s">
        <v>129</v>
      </c>
      <c r="E22" s="51" t="s">
        <v>285</v>
      </c>
      <c r="F22" s="51" t="s">
        <v>84</v>
      </c>
      <c r="G22" s="63" t="str">
        <f t="shared" si="0"/>
        <v>[effect:heal, target:myself, val:0, animation:change_attribute_blue]</v>
      </c>
      <c r="H22" s="63">
        <f t="shared" si="1"/>
        <v>9</v>
      </c>
      <c r="I22" s="63">
        <f t="shared" si="2"/>
        <v>13</v>
      </c>
      <c r="J22" s="63">
        <f t="shared" si="3"/>
        <v>22</v>
      </c>
      <c r="K22" s="63">
        <f t="shared" si="4"/>
        <v>28</v>
      </c>
      <c r="L22" s="63" t="str">
        <f>IFERROR(VLOOKUP(MID(G22,J22,K22-J22),[6]skilldef!$C:$D,2,FALSE),"-") &amp; " / " &amp; IFERROR(VLOOKUP(MID(G22,H22,I22-H22),[6]skilldef!$A:$B,2,FALSE),"-")</f>
        <v>自分自身に / 回復</v>
      </c>
      <c r="M22" s="63" t="str">
        <f t="shared" si="5"/>
        <v>[effect:enemy_message, val1:0.1, val2:0]</v>
      </c>
      <c r="N22" s="48" t="str">
        <f t="shared" si="6"/>
        <v>[effect:enemy_message, val1:0.1, val2:0]</v>
      </c>
      <c r="O22" s="63">
        <f t="shared" si="7"/>
        <v>9</v>
      </c>
      <c r="P22" s="63">
        <f t="shared" si="8"/>
        <v>22</v>
      </c>
      <c r="Q22" s="63" t="e">
        <f t="shared" si="9"/>
        <v>#VALUE!</v>
      </c>
      <c r="R22" s="63">
        <f t="shared" si="10"/>
        <v>32</v>
      </c>
      <c r="S22" s="63" t="str">
        <f>IFERROR(VLOOKUP(MID(N22,Q22,R22-Q22),[6]skilldef!$C:$D,2,FALSE),"-") &amp; " / " &amp; IFERROR(VLOOKUP(MID(N22,O22,P22-O22),[6]skilldef!$A:$B,2,FALSE),"-")</f>
        <v>- / -</v>
      </c>
      <c r="T22" s="48" t="str">
        <f t="shared" si="11"/>
        <v>none</v>
      </c>
      <c r="U22" s="63" t="e">
        <f t="shared" si="12"/>
        <v>#VALUE!</v>
      </c>
      <c r="V22" s="63">
        <f t="shared" si="13"/>
        <v>4</v>
      </c>
      <c r="W22" s="63" t="e">
        <f t="shared" si="14"/>
        <v>#VALUE!</v>
      </c>
      <c r="X22" s="63" t="e">
        <f t="shared" si="15"/>
        <v>#VALUE!</v>
      </c>
      <c r="Y22" s="63" t="str">
        <f>IFERROR(VLOOKUP(MID(T22,W22,X22-W22),[6]skilldef!$C:$D,2,FALSE),"-") &amp; " / " &amp; IFERROR(VLOOKUP(MID(T22,U22,V22-U22),[6]skilldef!$A:$B,2,FALSE),"-")</f>
        <v>- / -</v>
      </c>
      <c r="Z22" s="50"/>
      <c r="AA22" s="52"/>
      <c r="AB22" s="50"/>
    </row>
    <row r="23" spans="1:28" ht="21" customHeight="1" x14ac:dyDescent="0.15">
      <c r="A23" s="47">
        <v>65525021</v>
      </c>
      <c r="B23" s="47" t="s">
        <v>339</v>
      </c>
      <c r="C23" s="50">
        <v>1</v>
      </c>
      <c r="D23" s="50" t="s">
        <v>129</v>
      </c>
      <c r="E23" s="51" t="s">
        <v>286</v>
      </c>
      <c r="F23" s="51" t="s">
        <v>84</v>
      </c>
      <c r="G23" s="63" t="str">
        <f t="shared" si="0"/>
        <v>[effect:heal, target:myself, val:0, animation:change_attribute_yellow]</v>
      </c>
      <c r="H23" s="63">
        <f t="shared" si="1"/>
        <v>9</v>
      </c>
      <c r="I23" s="63">
        <f t="shared" si="2"/>
        <v>13</v>
      </c>
      <c r="J23" s="63">
        <f t="shared" si="3"/>
        <v>22</v>
      </c>
      <c r="K23" s="63">
        <f t="shared" si="4"/>
        <v>28</v>
      </c>
      <c r="L23" s="63" t="str">
        <f>IFERROR(VLOOKUP(MID(G23,J23,K23-J23),[6]skilldef!$C:$D,2,FALSE),"-") &amp; " / " &amp; IFERROR(VLOOKUP(MID(G23,H23,I23-H23),[6]skilldef!$A:$B,2,FALSE),"-")</f>
        <v>自分自身に / 回復</v>
      </c>
      <c r="M23" s="63" t="str">
        <f t="shared" si="5"/>
        <v>[effect:enemy_message, val1:0.1, val2:0]</v>
      </c>
      <c r="N23" s="48" t="str">
        <f t="shared" si="6"/>
        <v>[effect:enemy_message, val1:0.1, val2:0]</v>
      </c>
      <c r="O23" s="63">
        <f t="shared" si="7"/>
        <v>9</v>
      </c>
      <c r="P23" s="63">
        <f t="shared" si="8"/>
        <v>22</v>
      </c>
      <c r="Q23" s="63" t="e">
        <f t="shared" si="9"/>
        <v>#VALUE!</v>
      </c>
      <c r="R23" s="63">
        <f t="shared" si="10"/>
        <v>32</v>
      </c>
      <c r="S23" s="63" t="str">
        <f>IFERROR(VLOOKUP(MID(N23,Q23,R23-Q23),[6]skilldef!$C:$D,2,FALSE),"-") &amp; " / " &amp; IFERROR(VLOOKUP(MID(N23,O23,P23-O23),[6]skilldef!$A:$B,2,FALSE),"-")</f>
        <v>- / -</v>
      </c>
      <c r="T23" s="48" t="str">
        <f t="shared" si="11"/>
        <v>none</v>
      </c>
      <c r="U23" s="63" t="e">
        <f t="shared" si="12"/>
        <v>#VALUE!</v>
      </c>
      <c r="V23" s="63">
        <f t="shared" si="13"/>
        <v>4</v>
      </c>
      <c r="W23" s="63" t="e">
        <f t="shared" si="14"/>
        <v>#VALUE!</v>
      </c>
      <c r="X23" s="63" t="e">
        <f t="shared" si="15"/>
        <v>#VALUE!</v>
      </c>
      <c r="Y23" s="63" t="str">
        <f>IFERROR(VLOOKUP(MID(T23,W23,X23-W23),[6]skilldef!$C:$D,2,FALSE),"-") &amp; " / " &amp; IFERROR(VLOOKUP(MID(T23,U23,V23-U23),[6]skilldef!$A:$B,2,FALSE),"-")</f>
        <v>- / -</v>
      </c>
      <c r="Z23" s="50"/>
      <c r="AA23" s="52"/>
      <c r="AB23" s="50"/>
    </row>
    <row r="24" spans="1:28" ht="21" customHeight="1" x14ac:dyDescent="0.15">
      <c r="A24" s="47">
        <v>65525022</v>
      </c>
      <c r="B24" s="47" t="s">
        <v>340</v>
      </c>
      <c r="C24" s="50">
        <v>1</v>
      </c>
      <c r="D24" s="50" t="s">
        <v>129</v>
      </c>
      <c r="E24" s="51" t="s">
        <v>287</v>
      </c>
      <c r="F24" s="51" t="s">
        <v>84</v>
      </c>
      <c r="G24" s="63" t="str">
        <f t="shared" si="0"/>
        <v>[effect:heal, target:myself, val:0, animation:drop_protect]</v>
      </c>
      <c r="H24" s="63">
        <f t="shared" si="1"/>
        <v>9</v>
      </c>
      <c r="I24" s="63">
        <f t="shared" si="2"/>
        <v>13</v>
      </c>
      <c r="J24" s="63">
        <f t="shared" si="3"/>
        <v>22</v>
      </c>
      <c r="K24" s="63">
        <f t="shared" si="4"/>
        <v>28</v>
      </c>
      <c r="L24" s="63" t="str">
        <f>IFERROR(VLOOKUP(MID(G24,J24,K24-J24),[6]skilldef!$C:$D,2,FALSE),"-") &amp; " / " &amp; IFERROR(VLOOKUP(MID(G24,H24,I24-H24),[6]skilldef!$A:$B,2,FALSE),"-")</f>
        <v>自分自身に / 回復</v>
      </c>
      <c r="M24" s="63" t="str">
        <f t="shared" si="5"/>
        <v>[effect:enemy_message, val1:0.1, val2:0]</v>
      </c>
      <c r="N24" s="48" t="str">
        <f t="shared" si="6"/>
        <v>[effect:enemy_message, val1:0.1, val2:0]</v>
      </c>
      <c r="O24" s="63">
        <f t="shared" si="7"/>
        <v>9</v>
      </c>
      <c r="P24" s="63">
        <f t="shared" si="8"/>
        <v>22</v>
      </c>
      <c r="Q24" s="63" t="e">
        <f t="shared" si="9"/>
        <v>#VALUE!</v>
      </c>
      <c r="R24" s="63">
        <f t="shared" si="10"/>
        <v>32</v>
      </c>
      <c r="S24" s="63" t="str">
        <f>IFERROR(VLOOKUP(MID(N24,Q24,R24-Q24),[6]skilldef!$C:$D,2,FALSE),"-") &amp; " / " &amp; IFERROR(VLOOKUP(MID(N24,O24,P24-O24),[6]skilldef!$A:$B,2,FALSE),"-")</f>
        <v>- / -</v>
      </c>
      <c r="T24" s="48" t="str">
        <f t="shared" si="11"/>
        <v>none</v>
      </c>
      <c r="U24" s="63" t="e">
        <f t="shared" si="12"/>
        <v>#VALUE!</v>
      </c>
      <c r="V24" s="63">
        <f t="shared" si="13"/>
        <v>4</v>
      </c>
      <c r="W24" s="63" t="e">
        <f t="shared" si="14"/>
        <v>#VALUE!</v>
      </c>
      <c r="X24" s="63" t="e">
        <f t="shared" si="15"/>
        <v>#VALUE!</v>
      </c>
      <c r="Y24" s="63" t="str">
        <f>IFERROR(VLOOKUP(MID(T24,W24,X24-W24),[6]skilldef!$C:$D,2,FALSE),"-") &amp; " / " &amp; IFERROR(VLOOKUP(MID(T24,U24,V24-U24),[6]skilldef!$A:$B,2,FALSE),"-")</f>
        <v>- / -</v>
      </c>
      <c r="Z24" s="50"/>
      <c r="AA24" s="52"/>
      <c r="AB24" s="50"/>
    </row>
    <row r="25" spans="1:28" ht="21" customHeight="1" x14ac:dyDescent="0.15">
      <c r="A25" s="47">
        <v>65525023</v>
      </c>
      <c r="B25" s="47" t="s">
        <v>341</v>
      </c>
      <c r="C25" s="50">
        <v>1</v>
      </c>
      <c r="D25" s="50" t="s">
        <v>129</v>
      </c>
      <c r="E25" s="51" t="s">
        <v>288</v>
      </c>
      <c r="F25" s="51" t="s">
        <v>84</v>
      </c>
      <c r="G25" s="63" t="str">
        <f t="shared" si="0"/>
        <v>[effect:heal, target:myself, val:0, animation:enemy_dis_crashPanel]</v>
      </c>
      <c r="H25" s="63">
        <f t="shared" si="1"/>
        <v>9</v>
      </c>
      <c r="I25" s="63">
        <f t="shared" si="2"/>
        <v>13</v>
      </c>
      <c r="J25" s="63">
        <f t="shared" si="3"/>
        <v>22</v>
      </c>
      <c r="K25" s="63">
        <f t="shared" si="4"/>
        <v>28</v>
      </c>
      <c r="L25" s="63" t="str">
        <f>IFERROR(VLOOKUP(MID(G25,J25,K25-J25),[6]skilldef!$C:$D,2,FALSE),"-") &amp; " / " &amp; IFERROR(VLOOKUP(MID(G25,H25,I25-H25),[6]skilldef!$A:$B,2,FALSE),"-")</f>
        <v>自分自身に / 回復</v>
      </c>
      <c r="M25" s="63" t="str">
        <f t="shared" si="5"/>
        <v>[effect:enemy_message, val1:0.1, val2:0]</v>
      </c>
      <c r="N25" s="48" t="str">
        <f t="shared" si="6"/>
        <v>[effect:enemy_message, val1:0.1, val2:0]</v>
      </c>
      <c r="O25" s="63">
        <f t="shared" si="7"/>
        <v>9</v>
      </c>
      <c r="P25" s="63">
        <f t="shared" si="8"/>
        <v>22</v>
      </c>
      <c r="Q25" s="63" t="e">
        <f t="shared" si="9"/>
        <v>#VALUE!</v>
      </c>
      <c r="R25" s="63">
        <f t="shared" si="10"/>
        <v>32</v>
      </c>
      <c r="S25" s="63" t="str">
        <f>IFERROR(VLOOKUP(MID(N25,Q25,R25-Q25),[6]skilldef!$C:$D,2,FALSE),"-") &amp; " / " &amp; IFERROR(VLOOKUP(MID(N25,O25,P25-O25),[6]skilldef!$A:$B,2,FALSE),"-")</f>
        <v>- / -</v>
      </c>
      <c r="T25" s="48" t="str">
        <f t="shared" si="11"/>
        <v>none</v>
      </c>
      <c r="U25" s="63" t="e">
        <f t="shared" si="12"/>
        <v>#VALUE!</v>
      </c>
      <c r="V25" s="63">
        <f t="shared" si="13"/>
        <v>4</v>
      </c>
      <c r="W25" s="63" t="e">
        <f t="shared" si="14"/>
        <v>#VALUE!</v>
      </c>
      <c r="X25" s="63" t="e">
        <f t="shared" si="15"/>
        <v>#VALUE!</v>
      </c>
      <c r="Y25" s="63" t="str">
        <f>IFERROR(VLOOKUP(MID(T25,W25,X25-W25),[6]skilldef!$C:$D,2,FALSE),"-") &amp; " / " &amp; IFERROR(VLOOKUP(MID(T25,U25,V25-U25),[6]skilldef!$A:$B,2,FALSE),"-")</f>
        <v>- / -</v>
      </c>
      <c r="Z25" s="50"/>
      <c r="AA25" s="52"/>
      <c r="AB25" s="50"/>
    </row>
    <row r="26" spans="1:28" ht="21" customHeight="1" x14ac:dyDescent="0.15">
      <c r="A26" s="47">
        <v>65525024</v>
      </c>
      <c r="B26" s="47" t="s">
        <v>342</v>
      </c>
      <c r="C26" s="50">
        <v>1</v>
      </c>
      <c r="D26" s="50" t="s">
        <v>129</v>
      </c>
      <c r="E26" s="51" t="s">
        <v>289</v>
      </c>
      <c r="F26" s="51" t="s">
        <v>84</v>
      </c>
      <c r="G26" s="63" t="str">
        <f t="shared" si="0"/>
        <v>[effect:heal, target:myself, val:0, animation:enemy_virus]</v>
      </c>
      <c r="H26" s="63">
        <f t="shared" si="1"/>
        <v>9</v>
      </c>
      <c r="I26" s="63">
        <f t="shared" si="2"/>
        <v>13</v>
      </c>
      <c r="J26" s="63">
        <f t="shared" si="3"/>
        <v>22</v>
      </c>
      <c r="K26" s="63">
        <f t="shared" si="4"/>
        <v>28</v>
      </c>
      <c r="L26" s="63" t="str">
        <f>IFERROR(VLOOKUP(MID(G26,J26,K26-J26),[6]skilldef!$C:$D,2,FALSE),"-") &amp; " / " &amp; IFERROR(VLOOKUP(MID(G26,H26,I26-H26),[6]skilldef!$A:$B,2,FALSE),"-")</f>
        <v>自分自身に / 回復</v>
      </c>
      <c r="M26" s="63" t="str">
        <f t="shared" si="5"/>
        <v>[effect:enemy_message, val1:0.1, val2:0]</v>
      </c>
      <c r="N26" s="48" t="str">
        <f t="shared" si="6"/>
        <v>[effect:enemy_message, val1:0.1, val2:0]</v>
      </c>
      <c r="O26" s="63">
        <f t="shared" si="7"/>
        <v>9</v>
      </c>
      <c r="P26" s="63">
        <f t="shared" si="8"/>
        <v>22</v>
      </c>
      <c r="Q26" s="63" t="e">
        <f t="shared" si="9"/>
        <v>#VALUE!</v>
      </c>
      <c r="R26" s="63">
        <f t="shared" si="10"/>
        <v>32</v>
      </c>
      <c r="S26" s="63" t="str">
        <f>IFERROR(VLOOKUP(MID(N26,Q26,R26-Q26),[6]skilldef!$C:$D,2,FALSE),"-") &amp; " / " &amp; IFERROR(VLOOKUP(MID(N26,O26,P26-O26),[6]skilldef!$A:$B,2,FALSE),"-")</f>
        <v>- / -</v>
      </c>
      <c r="T26" s="48" t="str">
        <f t="shared" si="11"/>
        <v>none</v>
      </c>
      <c r="U26" s="63" t="e">
        <f t="shared" si="12"/>
        <v>#VALUE!</v>
      </c>
      <c r="V26" s="63">
        <f t="shared" si="13"/>
        <v>4</v>
      </c>
      <c r="W26" s="63" t="e">
        <f t="shared" si="14"/>
        <v>#VALUE!</v>
      </c>
      <c r="X26" s="63" t="e">
        <f t="shared" si="15"/>
        <v>#VALUE!</v>
      </c>
      <c r="Y26" s="63" t="str">
        <f>IFERROR(VLOOKUP(MID(T26,W26,X26-W26),[6]skilldef!$C:$D,2,FALSE),"-") &amp; " / " &amp; IFERROR(VLOOKUP(MID(T26,U26,V26-U26),[6]skilldef!$A:$B,2,FALSE),"-")</f>
        <v>- / -</v>
      </c>
      <c r="Z26" s="50"/>
      <c r="AA26" s="52"/>
      <c r="AB26" s="50"/>
    </row>
    <row r="27" spans="1:28" ht="21" customHeight="1" x14ac:dyDescent="0.15">
      <c r="A27" s="47">
        <v>65525025</v>
      </c>
      <c r="B27" s="47" t="s">
        <v>343</v>
      </c>
      <c r="C27" s="50">
        <v>1</v>
      </c>
      <c r="D27" s="50" t="s">
        <v>129</v>
      </c>
      <c r="E27" s="51" t="s">
        <v>290</v>
      </c>
      <c r="F27" s="51" t="s">
        <v>84</v>
      </c>
      <c r="G27" s="63" t="str">
        <f t="shared" si="0"/>
        <v>[effect:heal, target:myself, val:0, animation:sleep01]</v>
      </c>
      <c r="H27" s="63">
        <f t="shared" si="1"/>
        <v>9</v>
      </c>
      <c r="I27" s="63">
        <f t="shared" si="2"/>
        <v>13</v>
      </c>
      <c r="J27" s="63">
        <f t="shared" si="3"/>
        <v>22</v>
      </c>
      <c r="K27" s="63">
        <f t="shared" si="4"/>
        <v>28</v>
      </c>
      <c r="L27" s="63" t="str">
        <f>IFERROR(VLOOKUP(MID(G27,J27,K27-J27),[6]skilldef!$C:$D,2,FALSE),"-") &amp; " / " &amp; IFERROR(VLOOKUP(MID(G27,H27,I27-H27),[6]skilldef!$A:$B,2,FALSE),"-")</f>
        <v>自分自身に / 回復</v>
      </c>
      <c r="M27" s="63" t="str">
        <f t="shared" si="5"/>
        <v>[effect:enemy_message, val1:0.1, val2:0]</v>
      </c>
      <c r="N27" s="48" t="str">
        <f t="shared" si="6"/>
        <v>[effect:enemy_message, val1:0.1, val2:0]</v>
      </c>
      <c r="O27" s="63">
        <f t="shared" si="7"/>
        <v>9</v>
      </c>
      <c r="P27" s="63">
        <f t="shared" si="8"/>
        <v>22</v>
      </c>
      <c r="Q27" s="63" t="e">
        <f t="shared" si="9"/>
        <v>#VALUE!</v>
      </c>
      <c r="R27" s="63">
        <f t="shared" si="10"/>
        <v>32</v>
      </c>
      <c r="S27" s="63" t="str">
        <f>IFERROR(VLOOKUP(MID(N27,Q27,R27-Q27),[6]skilldef!$C:$D,2,FALSE),"-") &amp; " / " &amp; IFERROR(VLOOKUP(MID(N27,O27,P27-O27),[6]skilldef!$A:$B,2,FALSE),"-")</f>
        <v>- / -</v>
      </c>
      <c r="T27" s="48" t="str">
        <f t="shared" si="11"/>
        <v>none</v>
      </c>
      <c r="U27" s="63" t="e">
        <f t="shared" si="12"/>
        <v>#VALUE!</v>
      </c>
      <c r="V27" s="63">
        <f t="shared" si="13"/>
        <v>4</v>
      </c>
      <c r="W27" s="63" t="e">
        <f t="shared" si="14"/>
        <v>#VALUE!</v>
      </c>
      <c r="X27" s="63" t="e">
        <f t="shared" si="15"/>
        <v>#VALUE!</v>
      </c>
      <c r="Y27" s="63" t="str">
        <f>IFERROR(VLOOKUP(MID(T27,W27,X27-W27),[6]skilldef!$C:$D,2,FALSE),"-") &amp; " / " &amp; IFERROR(VLOOKUP(MID(T27,U27,V27-U27),[6]skilldef!$A:$B,2,FALSE),"-")</f>
        <v>- / -</v>
      </c>
      <c r="Z27" s="50"/>
      <c r="AA27" s="52"/>
      <c r="AB27" s="50"/>
    </row>
    <row r="28" spans="1:28" ht="21" customHeight="1" x14ac:dyDescent="0.15">
      <c r="A28" s="47">
        <v>65525026</v>
      </c>
      <c r="B28" s="47" t="s">
        <v>344</v>
      </c>
      <c r="C28" s="50">
        <v>1</v>
      </c>
      <c r="D28" s="50" t="s">
        <v>129</v>
      </c>
      <c r="E28" s="51" t="s">
        <v>291</v>
      </c>
      <c r="F28" s="51" t="s">
        <v>84</v>
      </c>
      <c r="G28" s="63" t="str">
        <f t="shared" si="0"/>
        <v>[effect:heal, target:myself, val:0, animation:sleep02]</v>
      </c>
      <c r="H28" s="63">
        <f t="shared" si="1"/>
        <v>9</v>
      </c>
      <c r="I28" s="63">
        <f t="shared" si="2"/>
        <v>13</v>
      </c>
      <c r="J28" s="63">
        <f t="shared" si="3"/>
        <v>22</v>
      </c>
      <c r="K28" s="63">
        <f t="shared" si="4"/>
        <v>28</v>
      </c>
      <c r="L28" s="63" t="str">
        <f>IFERROR(VLOOKUP(MID(G28,J28,K28-J28),[6]skilldef!$C:$D,2,FALSE),"-") &amp; " / " &amp; IFERROR(VLOOKUP(MID(G28,H28,I28-H28),[6]skilldef!$A:$B,2,FALSE),"-")</f>
        <v>自分自身に / 回復</v>
      </c>
      <c r="M28" s="63" t="str">
        <f t="shared" si="5"/>
        <v>[effect:enemy_message, val1:0.1, val2:0]</v>
      </c>
      <c r="N28" s="48" t="str">
        <f t="shared" si="6"/>
        <v>[effect:enemy_message, val1:0.1, val2:0]</v>
      </c>
      <c r="O28" s="63">
        <f t="shared" si="7"/>
        <v>9</v>
      </c>
      <c r="P28" s="63">
        <f t="shared" si="8"/>
        <v>22</v>
      </c>
      <c r="Q28" s="63" t="e">
        <f t="shared" si="9"/>
        <v>#VALUE!</v>
      </c>
      <c r="R28" s="63">
        <f t="shared" si="10"/>
        <v>32</v>
      </c>
      <c r="S28" s="63" t="str">
        <f>IFERROR(VLOOKUP(MID(N28,Q28,R28-Q28),[6]skilldef!$C:$D,2,FALSE),"-") &amp; " / " &amp; IFERROR(VLOOKUP(MID(N28,O28,P28-O28),[6]skilldef!$A:$B,2,FALSE),"-")</f>
        <v>- / -</v>
      </c>
      <c r="T28" s="48" t="str">
        <f t="shared" si="11"/>
        <v>none</v>
      </c>
      <c r="U28" s="63" t="e">
        <f t="shared" si="12"/>
        <v>#VALUE!</v>
      </c>
      <c r="V28" s="63">
        <f t="shared" si="13"/>
        <v>4</v>
      </c>
      <c r="W28" s="63" t="e">
        <f t="shared" si="14"/>
        <v>#VALUE!</v>
      </c>
      <c r="X28" s="63" t="e">
        <f t="shared" si="15"/>
        <v>#VALUE!</v>
      </c>
      <c r="Y28" s="63" t="str">
        <f>IFERROR(VLOOKUP(MID(T28,W28,X28-W28),[6]skilldef!$C:$D,2,FALSE),"-") &amp; " / " &amp; IFERROR(VLOOKUP(MID(T28,U28,V28-U28),[6]skilldef!$A:$B,2,FALSE),"-")</f>
        <v>- / -</v>
      </c>
      <c r="Z28" s="50"/>
      <c r="AA28" s="52"/>
      <c r="AB28" s="50"/>
    </row>
    <row r="29" spans="1:28" ht="21" customHeight="1" x14ac:dyDescent="0.15">
      <c r="A29" s="47">
        <v>65525027</v>
      </c>
      <c r="B29" s="47" t="s">
        <v>345</v>
      </c>
      <c r="C29" s="50">
        <v>1</v>
      </c>
      <c r="D29" s="50" t="s">
        <v>129</v>
      </c>
      <c r="E29" s="51" t="s">
        <v>292</v>
      </c>
      <c r="F29" s="51" t="s">
        <v>84</v>
      </c>
      <c r="G29" s="63" t="str">
        <f t="shared" si="0"/>
        <v>[effect:heal, target:myself, val:0, animation:sleep03]</v>
      </c>
      <c r="H29" s="63">
        <f t="shared" si="1"/>
        <v>9</v>
      </c>
      <c r="I29" s="63">
        <f t="shared" si="2"/>
        <v>13</v>
      </c>
      <c r="J29" s="63">
        <f t="shared" si="3"/>
        <v>22</v>
      </c>
      <c r="K29" s="63">
        <f t="shared" si="4"/>
        <v>28</v>
      </c>
      <c r="L29" s="63" t="str">
        <f>IFERROR(VLOOKUP(MID(G29,J29,K29-J29),[6]skilldef!$C:$D,2,FALSE),"-") &amp; " / " &amp; IFERROR(VLOOKUP(MID(G29,H29,I29-H29),[6]skilldef!$A:$B,2,FALSE),"-")</f>
        <v>自分自身に / 回復</v>
      </c>
      <c r="M29" s="63" t="str">
        <f t="shared" si="5"/>
        <v>[effect:enemy_message, val1:0.1, val2:0]</v>
      </c>
      <c r="N29" s="48" t="str">
        <f t="shared" si="6"/>
        <v>[effect:enemy_message, val1:0.1, val2:0]</v>
      </c>
      <c r="O29" s="63">
        <f t="shared" si="7"/>
        <v>9</v>
      </c>
      <c r="P29" s="63">
        <f t="shared" si="8"/>
        <v>22</v>
      </c>
      <c r="Q29" s="63" t="e">
        <f t="shared" si="9"/>
        <v>#VALUE!</v>
      </c>
      <c r="R29" s="63">
        <f t="shared" si="10"/>
        <v>32</v>
      </c>
      <c r="S29" s="63" t="str">
        <f>IFERROR(VLOOKUP(MID(N29,Q29,R29-Q29),[6]skilldef!$C:$D,2,FALSE),"-") &amp; " / " &amp; IFERROR(VLOOKUP(MID(N29,O29,P29-O29),[6]skilldef!$A:$B,2,FALSE),"-")</f>
        <v>- / -</v>
      </c>
      <c r="T29" s="48" t="str">
        <f t="shared" si="11"/>
        <v>none</v>
      </c>
      <c r="U29" s="63" t="e">
        <f t="shared" si="12"/>
        <v>#VALUE!</v>
      </c>
      <c r="V29" s="63">
        <f t="shared" si="13"/>
        <v>4</v>
      </c>
      <c r="W29" s="63" t="e">
        <f t="shared" si="14"/>
        <v>#VALUE!</v>
      </c>
      <c r="X29" s="63" t="e">
        <f t="shared" si="15"/>
        <v>#VALUE!</v>
      </c>
      <c r="Y29" s="63" t="str">
        <f>IFERROR(VLOOKUP(MID(T29,W29,X29-W29),[6]skilldef!$C:$D,2,FALSE),"-") &amp; " / " &amp; IFERROR(VLOOKUP(MID(T29,U29,V29-U29),[6]skilldef!$A:$B,2,FALSE),"-")</f>
        <v>- / -</v>
      </c>
      <c r="Z29" s="50"/>
      <c r="AA29" s="52"/>
      <c r="AB29" s="50"/>
    </row>
    <row r="30" spans="1:28" ht="21" customHeight="1" x14ac:dyDescent="0.15">
      <c r="A30" s="47">
        <v>65525028</v>
      </c>
      <c r="B30" s="47" t="s">
        <v>346</v>
      </c>
      <c r="C30" s="50">
        <v>1</v>
      </c>
      <c r="D30" s="50" t="s">
        <v>129</v>
      </c>
      <c r="E30" s="51" t="s">
        <v>293</v>
      </c>
      <c r="F30" s="51" t="s">
        <v>84</v>
      </c>
      <c r="G30" s="63" t="str">
        <f t="shared" si="0"/>
        <v>[effect:heal, target:myself, val:0, animation:sleep04]</v>
      </c>
      <c r="H30" s="63">
        <f t="shared" si="1"/>
        <v>9</v>
      </c>
      <c r="I30" s="63">
        <f t="shared" si="2"/>
        <v>13</v>
      </c>
      <c r="J30" s="63">
        <f t="shared" si="3"/>
        <v>22</v>
      </c>
      <c r="K30" s="63">
        <f t="shared" si="4"/>
        <v>28</v>
      </c>
      <c r="L30" s="63" t="str">
        <f>IFERROR(VLOOKUP(MID(G30,J30,K30-J30),[6]skilldef!$C:$D,2,FALSE),"-") &amp; " / " &amp; IFERROR(VLOOKUP(MID(G30,H30,I30-H30),[6]skilldef!$A:$B,2,FALSE),"-")</f>
        <v>自分自身に / 回復</v>
      </c>
      <c r="M30" s="63" t="str">
        <f t="shared" si="5"/>
        <v>[effect:enemy_message, val1:0.1, val2:0]</v>
      </c>
      <c r="N30" s="48" t="str">
        <f t="shared" si="6"/>
        <v>[effect:enemy_message, val1:0.1, val2:0]</v>
      </c>
      <c r="O30" s="63">
        <f t="shared" si="7"/>
        <v>9</v>
      </c>
      <c r="P30" s="63">
        <f t="shared" si="8"/>
        <v>22</v>
      </c>
      <c r="Q30" s="63" t="e">
        <f t="shared" si="9"/>
        <v>#VALUE!</v>
      </c>
      <c r="R30" s="63">
        <f t="shared" si="10"/>
        <v>32</v>
      </c>
      <c r="S30" s="63" t="str">
        <f>IFERROR(VLOOKUP(MID(N30,Q30,R30-Q30),[6]skilldef!$C:$D,2,FALSE),"-") &amp; " / " &amp; IFERROR(VLOOKUP(MID(N30,O30,P30-O30),[6]skilldef!$A:$B,2,FALSE),"-")</f>
        <v>- / -</v>
      </c>
      <c r="T30" s="48" t="str">
        <f t="shared" si="11"/>
        <v>none</v>
      </c>
      <c r="U30" s="63" t="e">
        <f t="shared" si="12"/>
        <v>#VALUE!</v>
      </c>
      <c r="V30" s="63">
        <f t="shared" si="13"/>
        <v>4</v>
      </c>
      <c r="W30" s="63" t="e">
        <f t="shared" si="14"/>
        <v>#VALUE!</v>
      </c>
      <c r="X30" s="63" t="e">
        <f t="shared" si="15"/>
        <v>#VALUE!</v>
      </c>
      <c r="Y30" s="63" t="str">
        <f>IFERROR(VLOOKUP(MID(T30,W30,X30-W30),[6]skilldef!$C:$D,2,FALSE),"-") &amp; " / " &amp; IFERROR(VLOOKUP(MID(T30,U30,V30-U30),[6]skilldef!$A:$B,2,FALSE),"-")</f>
        <v>- / -</v>
      </c>
      <c r="Z30" s="50"/>
      <c r="AA30" s="52"/>
      <c r="AB30" s="50"/>
    </row>
    <row r="31" spans="1:28" ht="21" customHeight="1" x14ac:dyDescent="0.15">
      <c r="A31" s="47">
        <v>65525029</v>
      </c>
      <c r="B31" s="47" t="s">
        <v>347</v>
      </c>
      <c r="C31" s="50">
        <v>1</v>
      </c>
      <c r="D31" s="50" t="s">
        <v>129</v>
      </c>
      <c r="E31" s="51" t="s">
        <v>294</v>
      </c>
      <c r="F31" s="51" t="s">
        <v>84</v>
      </c>
      <c r="G31" s="63" t="str">
        <f t="shared" si="0"/>
        <v>[effect:heal, target:myself, val:0, animation:hungup01]</v>
      </c>
      <c r="H31" s="63">
        <f t="shared" si="1"/>
        <v>9</v>
      </c>
      <c r="I31" s="63">
        <f t="shared" si="2"/>
        <v>13</v>
      </c>
      <c r="J31" s="63">
        <f t="shared" si="3"/>
        <v>22</v>
      </c>
      <c r="K31" s="63">
        <f t="shared" si="4"/>
        <v>28</v>
      </c>
      <c r="L31" s="63" t="str">
        <f>IFERROR(VLOOKUP(MID(G31,J31,K31-J31),[6]skilldef!$C:$D,2,FALSE),"-") &amp; " / " &amp; IFERROR(VLOOKUP(MID(G31,H31,I31-H31),[6]skilldef!$A:$B,2,FALSE),"-")</f>
        <v>自分自身に / 回復</v>
      </c>
      <c r="M31" s="63" t="str">
        <f t="shared" si="5"/>
        <v>[effect:enemy_message, val1:0.1, val2:0]</v>
      </c>
      <c r="N31" s="48" t="str">
        <f t="shared" si="6"/>
        <v>[effect:enemy_message, val1:0.1, val2:0]</v>
      </c>
      <c r="O31" s="63">
        <f t="shared" si="7"/>
        <v>9</v>
      </c>
      <c r="P31" s="63">
        <f t="shared" si="8"/>
        <v>22</v>
      </c>
      <c r="Q31" s="63" t="e">
        <f t="shared" si="9"/>
        <v>#VALUE!</v>
      </c>
      <c r="R31" s="63">
        <f t="shared" si="10"/>
        <v>32</v>
      </c>
      <c r="S31" s="63" t="str">
        <f>IFERROR(VLOOKUP(MID(N31,Q31,R31-Q31),[6]skilldef!$C:$D,2,FALSE),"-") &amp; " / " &amp; IFERROR(VLOOKUP(MID(N31,O31,P31-O31),[6]skilldef!$A:$B,2,FALSE),"-")</f>
        <v>- / -</v>
      </c>
      <c r="T31" s="48" t="str">
        <f t="shared" si="11"/>
        <v>none</v>
      </c>
      <c r="U31" s="63" t="e">
        <f t="shared" si="12"/>
        <v>#VALUE!</v>
      </c>
      <c r="V31" s="63">
        <f t="shared" si="13"/>
        <v>4</v>
      </c>
      <c r="W31" s="63" t="e">
        <f t="shared" si="14"/>
        <v>#VALUE!</v>
      </c>
      <c r="X31" s="63" t="e">
        <f t="shared" si="15"/>
        <v>#VALUE!</v>
      </c>
      <c r="Y31" s="63" t="str">
        <f>IFERROR(VLOOKUP(MID(T31,W31,X31-W31),[6]skilldef!$C:$D,2,FALSE),"-") &amp; " / " &amp; IFERROR(VLOOKUP(MID(T31,U31,V31-U31),[6]skilldef!$A:$B,2,FALSE),"-")</f>
        <v>- / -</v>
      </c>
      <c r="Z31" s="50"/>
      <c r="AA31" s="52"/>
      <c r="AB31" s="50"/>
    </row>
    <row r="32" spans="1:28" ht="21" customHeight="1" x14ac:dyDescent="0.15">
      <c r="A32" s="47">
        <v>65525030</v>
      </c>
      <c r="B32" s="47" t="s">
        <v>348</v>
      </c>
      <c r="C32" s="50">
        <v>1</v>
      </c>
      <c r="D32" s="50" t="s">
        <v>129</v>
      </c>
      <c r="E32" s="51" t="s">
        <v>295</v>
      </c>
      <c r="F32" s="51" t="s">
        <v>84</v>
      </c>
      <c r="G32" s="63" t="str">
        <f t="shared" si="0"/>
        <v>[effect:heal, target:myself, val:0, animation:hungup02]</v>
      </c>
      <c r="H32" s="63">
        <f t="shared" si="1"/>
        <v>9</v>
      </c>
      <c r="I32" s="63">
        <f t="shared" si="2"/>
        <v>13</v>
      </c>
      <c r="J32" s="63">
        <f t="shared" si="3"/>
        <v>22</v>
      </c>
      <c r="K32" s="63">
        <f t="shared" si="4"/>
        <v>28</v>
      </c>
      <c r="L32" s="63" t="str">
        <f>IFERROR(VLOOKUP(MID(G32,J32,K32-J32),[6]skilldef!$C:$D,2,FALSE),"-") &amp; " / " &amp; IFERROR(VLOOKUP(MID(G32,H32,I32-H32),[6]skilldef!$A:$B,2,FALSE),"-")</f>
        <v>自分自身に / 回復</v>
      </c>
      <c r="M32" s="63" t="str">
        <f t="shared" si="5"/>
        <v>[effect:enemy_message, val1:0.1, val2:0]</v>
      </c>
      <c r="N32" s="48" t="str">
        <f t="shared" si="6"/>
        <v>[effect:enemy_message, val1:0.1, val2:0]</v>
      </c>
      <c r="O32" s="63">
        <f t="shared" si="7"/>
        <v>9</v>
      </c>
      <c r="P32" s="63">
        <f t="shared" si="8"/>
        <v>22</v>
      </c>
      <c r="Q32" s="63" t="e">
        <f t="shared" si="9"/>
        <v>#VALUE!</v>
      </c>
      <c r="R32" s="63">
        <f t="shared" si="10"/>
        <v>32</v>
      </c>
      <c r="S32" s="63" t="str">
        <f>IFERROR(VLOOKUP(MID(N32,Q32,R32-Q32),[6]skilldef!$C:$D,2,FALSE),"-") &amp; " / " &amp; IFERROR(VLOOKUP(MID(N32,O32,P32-O32),[6]skilldef!$A:$B,2,FALSE),"-")</f>
        <v>- / -</v>
      </c>
      <c r="T32" s="48" t="str">
        <f t="shared" si="11"/>
        <v>none</v>
      </c>
      <c r="U32" s="63" t="e">
        <f t="shared" si="12"/>
        <v>#VALUE!</v>
      </c>
      <c r="V32" s="63">
        <f t="shared" si="13"/>
        <v>4</v>
      </c>
      <c r="W32" s="63" t="e">
        <f t="shared" si="14"/>
        <v>#VALUE!</v>
      </c>
      <c r="X32" s="63" t="e">
        <f t="shared" si="15"/>
        <v>#VALUE!</v>
      </c>
      <c r="Y32" s="63" t="str">
        <f>IFERROR(VLOOKUP(MID(T32,W32,X32-W32),[6]skilldef!$C:$D,2,FALSE),"-") &amp; " / " &amp; IFERROR(VLOOKUP(MID(T32,U32,V32-U32),[6]skilldef!$A:$B,2,FALSE),"-")</f>
        <v>- / -</v>
      </c>
      <c r="Z32" s="50"/>
      <c r="AA32" s="52"/>
      <c r="AB32" s="50"/>
    </row>
    <row r="33" spans="1:28" ht="21" customHeight="1" x14ac:dyDescent="0.15">
      <c r="A33" s="47">
        <v>65525031</v>
      </c>
      <c r="B33" s="47" t="s">
        <v>349</v>
      </c>
      <c r="C33" s="50">
        <v>1</v>
      </c>
      <c r="D33" s="50" t="s">
        <v>129</v>
      </c>
      <c r="E33" s="51" t="s">
        <v>296</v>
      </c>
      <c r="F33" s="51" t="s">
        <v>84</v>
      </c>
      <c r="G33" s="63" t="str">
        <f t="shared" si="0"/>
        <v>[effect:heal, target:myself, val:0, animation:hungup03]</v>
      </c>
      <c r="H33" s="63">
        <f t="shared" si="1"/>
        <v>9</v>
      </c>
      <c r="I33" s="63">
        <f t="shared" si="2"/>
        <v>13</v>
      </c>
      <c r="J33" s="63">
        <f t="shared" si="3"/>
        <v>22</v>
      </c>
      <c r="K33" s="63">
        <f t="shared" si="4"/>
        <v>28</v>
      </c>
      <c r="L33" s="63" t="str">
        <f>IFERROR(VLOOKUP(MID(G33,J33,K33-J33),[6]skilldef!$C:$D,2,FALSE),"-") &amp; " / " &amp; IFERROR(VLOOKUP(MID(G33,H33,I33-H33),[6]skilldef!$A:$B,2,FALSE),"-")</f>
        <v>自分自身に / 回復</v>
      </c>
      <c r="M33" s="63" t="str">
        <f t="shared" si="5"/>
        <v>[effect:enemy_message, val1:0.1, val2:0]</v>
      </c>
      <c r="N33" s="48" t="str">
        <f t="shared" si="6"/>
        <v>[effect:enemy_message, val1:0.1, val2:0]</v>
      </c>
      <c r="O33" s="63">
        <f t="shared" si="7"/>
        <v>9</v>
      </c>
      <c r="P33" s="63">
        <f t="shared" si="8"/>
        <v>22</v>
      </c>
      <c r="Q33" s="63" t="e">
        <f t="shared" si="9"/>
        <v>#VALUE!</v>
      </c>
      <c r="R33" s="63">
        <f t="shared" si="10"/>
        <v>32</v>
      </c>
      <c r="S33" s="63" t="str">
        <f>IFERROR(VLOOKUP(MID(N33,Q33,R33-Q33),[6]skilldef!$C:$D,2,FALSE),"-") &amp; " / " &amp; IFERROR(VLOOKUP(MID(N33,O33,P33-O33),[6]skilldef!$A:$B,2,FALSE),"-")</f>
        <v>- / -</v>
      </c>
      <c r="T33" s="48" t="str">
        <f t="shared" si="11"/>
        <v>none</v>
      </c>
      <c r="U33" s="63" t="e">
        <f t="shared" si="12"/>
        <v>#VALUE!</v>
      </c>
      <c r="V33" s="63">
        <f t="shared" si="13"/>
        <v>4</v>
      </c>
      <c r="W33" s="63" t="e">
        <f t="shared" si="14"/>
        <v>#VALUE!</v>
      </c>
      <c r="X33" s="63" t="e">
        <f t="shared" si="15"/>
        <v>#VALUE!</v>
      </c>
      <c r="Y33" s="63" t="str">
        <f>IFERROR(VLOOKUP(MID(T33,W33,X33-W33),[6]skilldef!$C:$D,2,FALSE),"-") &amp; " / " &amp; IFERROR(VLOOKUP(MID(T33,U33,V33-U33),[6]skilldef!$A:$B,2,FALSE),"-")</f>
        <v>- / -</v>
      </c>
      <c r="Z33" s="50"/>
      <c r="AA33" s="52"/>
      <c r="AB33" s="50"/>
    </row>
    <row r="34" spans="1:28" ht="21" customHeight="1" x14ac:dyDescent="0.15">
      <c r="A34" s="47">
        <v>65525032</v>
      </c>
      <c r="B34" s="47" t="s">
        <v>350</v>
      </c>
      <c r="C34" s="50">
        <v>1</v>
      </c>
      <c r="D34" s="50" t="s">
        <v>129</v>
      </c>
      <c r="E34" s="51" t="s">
        <v>297</v>
      </c>
      <c r="F34" s="51" t="s">
        <v>84</v>
      </c>
      <c r="G34" s="63" t="str">
        <f t="shared" ref="G34" si="16">IFERROR(LEFT(B34,FIND("],",B34)),B34)</f>
        <v>[effect:heal, target:myself, val:0, animation:hungup04]</v>
      </c>
      <c r="H34" s="63">
        <f t="shared" ref="H34:H56" si="17">FIND("effect:",G34)+7</f>
        <v>9</v>
      </c>
      <c r="I34" s="63">
        <f t="shared" ref="I34:I56" si="18">IFERROR(FIND(",",G34),LEN(G34))</f>
        <v>13</v>
      </c>
      <c r="J34" s="63">
        <f t="shared" ref="J34:J56" si="19">FIND("target:",G34)+7</f>
        <v>22</v>
      </c>
      <c r="K34" s="63">
        <f t="shared" ref="K34:K56" si="20">FIND(",",G34,I34+1)</f>
        <v>28</v>
      </c>
      <c r="L34" s="63" t="str">
        <f>IFERROR(VLOOKUP(MID(G34,J34,K34-J34),[6]skilldef!$C:$D,2,FALSE),"-") &amp; " / " &amp; IFERROR(VLOOKUP(MID(G34,H34,I34-H34),[6]skilldef!$A:$B,2,FALSE),"-")</f>
        <v>自分自身に / 回復</v>
      </c>
      <c r="M34" s="63" t="str">
        <f t="shared" ref="M34" si="21">IFERROR(RIGHT(B34,LEN(B34)-FIND("],",B34)-1),"none")</f>
        <v>[effect:enemy_message, val1:0.1, val2:0]</v>
      </c>
      <c r="N34" s="48" t="str">
        <f t="shared" ref="N34:N46" si="22">IFERROR(LEFT(M34,FIND("],",M34)+S44),M34)</f>
        <v>[effect:enemy_message, val1:0.1, val2:0]</v>
      </c>
      <c r="O34" s="63">
        <f t="shared" ref="O34:O56" si="23">FIND("effect:",N34)+7</f>
        <v>9</v>
      </c>
      <c r="P34" s="63">
        <f t="shared" ref="P34:P56" si="24">IFERROR(FIND(",",N34),LEN(N34))</f>
        <v>22</v>
      </c>
      <c r="Q34" s="63" t="e">
        <f t="shared" ref="Q34:Q56" si="25">FIND("target:",N34)+7</f>
        <v>#VALUE!</v>
      </c>
      <c r="R34" s="63">
        <f t="shared" ref="R34:R56" si="26">FIND(",",N34,P34+1)</f>
        <v>32</v>
      </c>
      <c r="S34" s="63" t="str">
        <f>IFERROR(VLOOKUP(MID(N34,Q34,R34-Q34),[6]skilldef!$C:$D,2,FALSE),"-") &amp; " / " &amp; IFERROR(VLOOKUP(MID(N34,O34,P34-O34),[6]skilldef!$A:$B,2,FALSE),"-")</f>
        <v>- / -</v>
      </c>
      <c r="T34" s="48" t="str">
        <f t="shared" ref="T34:T56" si="27">IFERROR(RIGHT(M34,LEN(M34)-FIND("],",M34)-1),"none")</f>
        <v>none</v>
      </c>
      <c r="U34" s="63" t="e">
        <f t="shared" ref="U34:U56" si="28">FIND("effect:",T34)+7</f>
        <v>#VALUE!</v>
      </c>
      <c r="V34" s="63">
        <f t="shared" ref="V34:V56" si="29">IFERROR(FIND(",",T34),LEN(T34))</f>
        <v>4</v>
      </c>
      <c r="W34" s="63" t="e">
        <f t="shared" ref="W34:W56" si="30">FIND("target:",T34)+7</f>
        <v>#VALUE!</v>
      </c>
      <c r="X34" s="63" t="e">
        <f t="shared" ref="X34:X56" si="31">FIND(",",T34,V34+1)</f>
        <v>#VALUE!</v>
      </c>
      <c r="Y34" s="63" t="str">
        <f>IFERROR(VLOOKUP(MID(T34,W34,X34-W34),[6]skilldef!$C:$D,2,FALSE),"-") &amp; " / " &amp; IFERROR(VLOOKUP(MID(T34,U34,V34-U34),[6]skilldef!$A:$B,2,FALSE),"-")</f>
        <v>- / -</v>
      </c>
      <c r="Z34" s="50"/>
      <c r="AA34" s="52"/>
      <c r="AB34" s="50"/>
    </row>
    <row r="35" spans="1:28" ht="21" customHeight="1" x14ac:dyDescent="0.15">
      <c r="A35" s="47">
        <v>65525033</v>
      </c>
      <c r="B35" s="47" t="s">
        <v>351</v>
      </c>
      <c r="C35" s="50">
        <v>1</v>
      </c>
      <c r="D35" s="50" t="s">
        <v>129</v>
      </c>
      <c r="E35" s="51" t="s">
        <v>298</v>
      </c>
      <c r="F35" s="51" t="s">
        <v>84</v>
      </c>
      <c r="G35" s="63" t="str">
        <f>IFERROR(LEFT(B35,FIND("],",B35)),B35)</f>
        <v>[effect:heal, target:myself, val:0, animation:frozen_wave]</v>
      </c>
      <c r="H35" s="63">
        <f t="shared" si="17"/>
        <v>9</v>
      </c>
      <c r="I35" s="63">
        <f t="shared" si="18"/>
        <v>13</v>
      </c>
      <c r="J35" s="63">
        <f t="shared" si="19"/>
        <v>22</v>
      </c>
      <c r="K35" s="63">
        <f t="shared" si="20"/>
        <v>28</v>
      </c>
      <c r="L35" s="63" t="str">
        <f>IFERROR(VLOOKUP(MID(G35,J35,K35-J35),[6]skilldef!$C:$D,2,FALSE),"-") &amp; " / " &amp; IFERROR(VLOOKUP(MID(G35,H35,I35-H35),[6]skilldef!$A:$B,2,FALSE),"-")</f>
        <v>自分自身に / 回復</v>
      </c>
      <c r="M35" s="63" t="str">
        <f>IFERROR(RIGHT(B35,LEN(B35)-FIND("],",B35)-1),"none")</f>
        <v>[effect:enemy_message, val1:0.1, val2:0]</v>
      </c>
      <c r="N35" s="48" t="str">
        <f t="shared" si="22"/>
        <v>[effect:enemy_message, val1:0.1, val2:0]</v>
      </c>
      <c r="O35" s="63">
        <f t="shared" si="23"/>
        <v>9</v>
      </c>
      <c r="P35" s="63">
        <f t="shared" si="24"/>
        <v>22</v>
      </c>
      <c r="Q35" s="63" t="e">
        <f t="shared" si="25"/>
        <v>#VALUE!</v>
      </c>
      <c r="R35" s="63">
        <f t="shared" si="26"/>
        <v>32</v>
      </c>
      <c r="S35" s="63" t="str">
        <f>IFERROR(VLOOKUP(MID(N35,Q35,R35-Q35),[6]skilldef!$C:$D,2,FALSE),"-") &amp; " / " &amp; IFERROR(VLOOKUP(MID(N35,O35,P35-O35),[6]skilldef!$A:$B,2,FALSE),"-")</f>
        <v>- / -</v>
      </c>
      <c r="T35" s="48" t="str">
        <f t="shared" si="27"/>
        <v>none</v>
      </c>
      <c r="U35" s="63" t="e">
        <f t="shared" si="28"/>
        <v>#VALUE!</v>
      </c>
      <c r="V35" s="63">
        <f t="shared" si="29"/>
        <v>4</v>
      </c>
      <c r="W35" s="63" t="e">
        <f t="shared" si="30"/>
        <v>#VALUE!</v>
      </c>
      <c r="X35" s="63" t="e">
        <f t="shared" si="31"/>
        <v>#VALUE!</v>
      </c>
      <c r="Y35" s="63" t="str">
        <f>IFERROR(VLOOKUP(MID(T35,W35,X35-W35),[6]skilldef!$C:$D,2,FALSE),"-") &amp; " / " &amp; IFERROR(VLOOKUP(MID(T35,U35,V35-U35),[6]skilldef!$A:$B,2,FALSE),"-")</f>
        <v>- / -</v>
      </c>
      <c r="Z35" s="50"/>
      <c r="AA35" s="52"/>
      <c r="AB35" s="50"/>
    </row>
    <row r="36" spans="1:28" ht="21" customHeight="1" x14ac:dyDescent="0.15">
      <c r="A36" s="47">
        <v>65525034</v>
      </c>
      <c r="B36" s="47" t="s">
        <v>352</v>
      </c>
      <c r="C36" s="50">
        <v>1</v>
      </c>
      <c r="D36" s="50" t="s">
        <v>129</v>
      </c>
      <c r="E36" s="51" t="s">
        <v>299</v>
      </c>
      <c r="F36" s="51" t="s">
        <v>84</v>
      </c>
      <c r="G36" s="63" t="str">
        <f>IFERROR(LEFT(B36,FIND("],",B36)),B36)</f>
        <v>[effect:heal, target:myself, val:0, animation:fevergauge_down]</v>
      </c>
      <c r="H36" s="63">
        <f t="shared" si="17"/>
        <v>9</v>
      </c>
      <c r="I36" s="63">
        <f t="shared" si="18"/>
        <v>13</v>
      </c>
      <c r="J36" s="63">
        <f t="shared" si="19"/>
        <v>22</v>
      </c>
      <c r="K36" s="63">
        <f t="shared" si="20"/>
        <v>28</v>
      </c>
      <c r="L36" s="63" t="str">
        <f>IFERROR(VLOOKUP(MID(G36,J36,K36-J36),[6]skilldef!$C:$D,2,FALSE),"-") &amp; " / " &amp; IFERROR(VLOOKUP(MID(G36,H36,I36-H36),[6]skilldef!$A:$B,2,FALSE),"-")</f>
        <v>自分自身に / 回復</v>
      </c>
      <c r="M36" s="63" t="str">
        <f>IFERROR(RIGHT(B36,LEN(B36)-FIND("],",B36)-1),"none")</f>
        <v>[effect:enemy_message, val1:0.1, val2:0]</v>
      </c>
      <c r="N36" s="48" t="str">
        <f t="shared" si="22"/>
        <v>[effect:enemy_message, val1:0.1, val2:0]</v>
      </c>
      <c r="O36" s="63">
        <f t="shared" si="23"/>
        <v>9</v>
      </c>
      <c r="P36" s="63">
        <f t="shared" si="24"/>
        <v>22</v>
      </c>
      <c r="Q36" s="63" t="e">
        <f t="shared" si="25"/>
        <v>#VALUE!</v>
      </c>
      <c r="R36" s="63">
        <f t="shared" si="26"/>
        <v>32</v>
      </c>
      <c r="S36" s="63" t="str">
        <f>IFERROR(VLOOKUP(MID(N36,Q36,R36-Q36),[6]skilldef!$C:$D,2,FALSE),"-") &amp; " / " &amp; IFERROR(VLOOKUP(MID(N36,O36,P36-O36),[6]skilldef!$A:$B,2,FALSE),"-")</f>
        <v>- / -</v>
      </c>
      <c r="T36" s="48" t="str">
        <f t="shared" si="27"/>
        <v>none</v>
      </c>
      <c r="U36" s="63" t="e">
        <f t="shared" si="28"/>
        <v>#VALUE!</v>
      </c>
      <c r="V36" s="63">
        <f t="shared" si="29"/>
        <v>4</v>
      </c>
      <c r="W36" s="63" t="e">
        <f t="shared" si="30"/>
        <v>#VALUE!</v>
      </c>
      <c r="X36" s="63" t="e">
        <f t="shared" si="31"/>
        <v>#VALUE!</v>
      </c>
      <c r="Y36" s="63" t="str">
        <f>IFERROR(VLOOKUP(MID(T36,W36,X36-W36),[6]skilldef!$C:$D,2,FALSE),"-") &amp; " / " &amp; IFERROR(VLOOKUP(MID(T36,U36,V36-U36),[6]skilldef!$A:$B,2,FALSE),"-")</f>
        <v>- / -</v>
      </c>
      <c r="Z36" s="50"/>
      <c r="AA36" s="52"/>
      <c r="AB36" s="50"/>
    </row>
    <row r="37" spans="1:28" ht="21" customHeight="1" x14ac:dyDescent="0.15">
      <c r="A37" s="47">
        <v>65525035</v>
      </c>
      <c r="B37" s="47" t="s">
        <v>353</v>
      </c>
      <c r="C37" s="50">
        <v>1</v>
      </c>
      <c r="D37" s="50" t="s">
        <v>129</v>
      </c>
      <c r="E37" s="51" t="s">
        <v>300</v>
      </c>
      <c r="F37" s="51" t="s">
        <v>84</v>
      </c>
      <c r="G37" s="63" t="str">
        <f>IFERROR(LEFT(B37,FIND("],",B37)),B37)</f>
        <v>[effect:heal, target:myself, val:0, animation:fevergauge_up03]</v>
      </c>
      <c r="H37" s="63">
        <f t="shared" si="17"/>
        <v>9</v>
      </c>
      <c r="I37" s="63">
        <f t="shared" si="18"/>
        <v>13</v>
      </c>
      <c r="J37" s="63">
        <f t="shared" si="19"/>
        <v>22</v>
      </c>
      <c r="K37" s="63">
        <f t="shared" si="20"/>
        <v>28</v>
      </c>
      <c r="L37" s="63" t="str">
        <f>IFERROR(VLOOKUP(MID(G37,J37,K37-J37),[6]skilldef!$C:$D,2,FALSE),"-") &amp; " / " &amp; IFERROR(VLOOKUP(MID(G37,H37,I37-H37),[6]skilldef!$A:$B,2,FALSE),"-")</f>
        <v>自分自身に / 回復</v>
      </c>
      <c r="M37" s="63" t="str">
        <f>IFERROR(RIGHT(B37,LEN(B37)-FIND("],",B37)-1),"none")</f>
        <v>[effect:enemy_message, val1:0.1, val2:0]</v>
      </c>
      <c r="N37" s="48" t="str">
        <f t="shared" si="22"/>
        <v>[effect:enemy_message, val1:0.1, val2:0]</v>
      </c>
      <c r="O37" s="63">
        <f t="shared" si="23"/>
        <v>9</v>
      </c>
      <c r="P37" s="63">
        <f t="shared" si="24"/>
        <v>22</v>
      </c>
      <c r="Q37" s="63" t="e">
        <f t="shared" si="25"/>
        <v>#VALUE!</v>
      </c>
      <c r="R37" s="63">
        <f t="shared" si="26"/>
        <v>32</v>
      </c>
      <c r="S37" s="63" t="str">
        <f>IFERROR(VLOOKUP(MID(N37,Q37,R37-Q37),[6]skilldef!$C:$D,2,FALSE),"-") &amp; " / " &amp; IFERROR(VLOOKUP(MID(N37,O37,P37-O37),[6]skilldef!$A:$B,2,FALSE),"-")</f>
        <v>- / -</v>
      </c>
      <c r="T37" s="48" t="str">
        <f t="shared" si="27"/>
        <v>none</v>
      </c>
      <c r="U37" s="63" t="e">
        <f t="shared" si="28"/>
        <v>#VALUE!</v>
      </c>
      <c r="V37" s="63">
        <f t="shared" si="29"/>
        <v>4</v>
      </c>
      <c r="W37" s="63" t="e">
        <f t="shared" si="30"/>
        <v>#VALUE!</v>
      </c>
      <c r="X37" s="63" t="e">
        <f t="shared" si="31"/>
        <v>#VALUE!</v>
      </c>
      <c r="Y37" s="63" t="str">
        <f>IFERROR(VLOOKUP(MID(T37,W37,X37-W37),[6]skilldef!$C:$D,2,FALSE),"-") &amp; " / " &amp; IFERROR(VLOOKUP(MID(T37,U37,V37-U37),[6]skilldef!$A:$B,2,FALSE),"-")</f>
        <v>- / -</v>
      </c>
      <c r="Z37" s="50"/>
      <c r="AA37" s="52"/>
      <c r="AB37" s="50"/>
    </row>
    <row r="38" spans="1:28" ht="21" customHeight="1" x14ac:dyDescent="0.15">
      <c r="A38" s="47">
        <v>65525036</v>
      </c>
      <c r="B38" s="47" t="s">
        <v>354</v>
      </c>
      <c r="C38" s="50">
        <v>1</v>
      </c>
      <c r="D38" s="50" t="s">
        <v>129</v>
      </c>
      <c r="E38" s="51" t="s">
        <v>301</v>
      </c>
      <c r="F38" s="51" t="s">
        <v>84</v>
      </c>
      <c r="G38" s="63" t="str">
        <f>IFERROR(LEFT(B38,FIND("],",B38)),B38)</f>
        <v>[effect:heal, target:myself, val:0, animation:fevergauge_up04]</v>
      </c>
      <c r="H38" s="63">
        <f t="shared" si="17"/>
        <v>9</v>
      </c>
      <c r="I38" s="63">
        <f t="shared" si="18"/>
        <v>13</v>
      </c>
      <c r="J38" s="63">
        <f t="shared" si="19"/>
        <v>22</v>
      </c>
      <c r="K38" s="63">
        <f t="shared" si="20"/>
        <v>28</v>
      </c>
      <c r="L38" s="63" t="str">
        <f>IFERROR(VLOOKUP(MID(G38,J38,K38-J38),[6]skilldef!$C:$D,2,FALSE),"-") &amp; " / " &amp; IFERROR(VLOOKUP(MID(G38,H38,I38-H38),[6]skilldef!$A:$B,2,FALSE),"-")</f>
        <v>自分自身に / 回復</v>
      </c>
      <c r="M38" s="63" t="str">
        <f>IFERROR(RIGHT(B38,LEN(B38)-FIND("],",B38)-1),"none")</f>
        <v>[effect:enemy_message, val1:0.1, val2:0]</v>
      </c>
      <c r="N38" s="48" t="str">
        <f t="shared" si="22"/>
        <v>[effect:enemy_message, val1:0.1, val2:0]</v>
      </c>
      <c r="O38" s="63">
        <f t="shared" si="23"/>
        <v>9</v>
      </c>
      <c r="P38" s="63">
        <f t="shared" si="24"/>
        <v>22</v>
      </c>
      <c r="Q38" s="63" t="e">
        <f t="shared" si="25"/>
        <v>#VALUE!</v>
      </c>
      <c r="R38" s="63">
        <f t="shared" si="26"/>
        <v>32</v>
      </c>
      <c r="S38" s="63" t="str">
        <f>IFERROR(VLOOKUP(MID(N38,Q38,R38-Q38),[6]skilldef!$C:$D,2,FALSE),"-") &amp; " / " &amp; IFERROR(VLOOKUP(MID(N38,O38,P38-O38),[6]skilldef!$A:$B,2,FALSE),"-")</f>
        <v>- / -</v>
      </c>
      <c r="T38" s="48" t="str">
        <f t="shared" si="27"/>
        <v>none</v>
      </c>
      <c r="U38" s="63" t="e">
        <f t="shared" si="28"/>
        <v>#VALUE!</v>
      </c>
      <c r="V38" s="63">
        <f t="shared" si="29"/>
        <v>4</v>
      </c>
      <c r="W38" s="63" t="e">
        <f t="shared" si="30"/>
        <v>#VALUE!</v>
      </c>
      <c r="X38" s="63" t="e">
        <f t="shared" si="31"/>
        <v>#VALUE!</v>
      </c>
      <c r="Y38" s="63" t="str">
        <f>IFERROR(VLOOKUP(MID(T38,W38,X38-W38),[6]skilldef!$C:$D,2,FALSE),"-") &amp; " / " &amp; IFERROR(VLOOKUP(MID(T38,U38,V38-U38),[6]skilldef!$A:$B,2,FALSE),"-")</f>
        <v>- / -</v>
      </c>
      <c r="Z38" s="50"/>
      <c r="AA38" s="52"/>
      <c r="AB38" s="50"/>
    </row>
    <row r="39" spans="1:28" ht="21" customHeight="1" x14ac:dyDescent="0.15">
      <c r="A39" s="47">
        <v>65525037</v>
      </c>
      <c r="B39" s="47" t="s">
        <v>355</v>
      </c>
      <c r="C39" s="50">
        <v>1</v>
      </c>
      <c r="D39" s="50" t="s">
        <v>129</v>
      </c>
      <c r="E39" s="51" t="s">
        <v>302</v>
      </c>
      <c r="F39" s="51" t="s">
        <v>84</v>
      </c>
      <c r="G39" s="63" t="e">
        <f>IFERROR(LEFT(#REF!,FIND("],",#REF!)),#REF!)</f>
        <v>#REF!</v>
      </c>
      <c r="H39" s="63" t="e">
        <f t="shared" si="17"/>
        <v>#REF!</v>
      </c>
      <c r="I39" s="63" t="e">
        <f t="shared" si="18"/>
        <v>#REF!</v>
      </c>
      <c r="J39" s="63" t="e">
        <f t="shared" si="19"/>
        <v>#REF!</v>
      </c>
      <c r="K39" s="63" t="e">
        <f t="shared" si="20"/>
        <v>#REF!</v>
      </c>
      <c r="L39" s="63" t="str">
        <f>IFERROR(VLOOKUP(MID(G39,J39,K39-J39),[6]skilldef!$C:$D,2,FALSE),"-") &amp; " / " &amp; IFERROR(VLOOKUP(MID(G39,H39,I39-H39),[6]skilldef!$A:$B,2,FALSE),"-")</f>
        <v>- / -</v>
      </c>
      <c r="M39" s="63" t="str">
        <f>IFERROR(RIGHT(#REF!,LEN(#REF!)-FIND("],",#REF!)-1),"none")</f>
        <v>none</v>
      </c>
      <c r="N39" s="48" t="str">
        <f t="shared" si="22"/>
        <v>none</v>
      </c>
      <c r="O39" s="63" t="e">
        <f t="shared" si="23"/>
        <v>#VALUE!</v>
      </c>
      <c r="P39" s="63">
        <f t="shared" si="24"/>
        <v>4</v>
      </c>
      <c r="Q39" s="63" t="e">
        <f t="shared" si="25"/>
        <v>#VALUE!</v>
      </c>
      <c r="R39" s="63" t="e">
        <f t="shared" si="26"/>
        <v>#VALUE!</v>
      </c>
      <c r="S39" s="63" t="str">
        <f>IFERROR(VLOOKUP(MID(N39,Q39,R39-Q39),[6]skilldef!$C:$D,2,FALSE),"-") &amp; " / " &amp; IFERROR(VLOOKUP(MID(N39,O39,P39-O39),[6]skilldef!$A:$B,2,FALSE),"-")</f>
        <v>- / -</v>
      </c>
      <c r="T39" s="48" t="str">
        <f t="shared" si="27"/>
        <v>none</v>
      </c>
      <c r="U39" s="63" t="e">
        <f t="shared" si="28"/>
        <v>#VALUE!</v>
      </c>
      <c r="V39" s="63">
        <f t="shared" si="29"/>
        <v>4</v>
      </c>
      <c r="W39" s="63" t="e">
        <f t="shared" si="30"/>
        <v>#VALUE!</v>
      </c>
      <c r="X39" s="63" t="e">
        <f t="shared" si="31"/>
        <v>#VALUE!</v>
      </c>
      <c r="Y39" s="63" t="str">
        <f>IFERROR(VLOOKUP(MID(T39,W39,X39-W39),[6]skilldef!$C:$D,2,FALSE),"-") &amp; " / " &amp; IFERROR(VLOOKUP(MID(T39,U39,V39-U39),[6]skilldef!$A:$B,2,FALSE),"-")</f>
        <v>- / -</v>
      </c>
      <c r="Z39" s="50"/>
      <c r="AA39" s="52"/>
      <c r="AB39" s="50"/>
    </row>
    <row r="40" spans="1:28" ht="21" customHeight="1" x14ac:dyDescent="0.15">
      <c r="A40" s="47">
        <v>65525038</v>
      </c>
      <c r="B40" s="47" t="s">
        <v>356</v>
      </c>
      <c r="C40" s="50">
        <v>1</v>
      </c>
      <c r="D40" s="50" t="s">
        <v>129</v>
      </c>
      <c r="E40" s="51" t="s">
        <v>303</v>
      </c>
      <c r="F40" s="51" t="s">
        <v>84</v>
      </c>
      <c r="G40" s="63" t="e">
        <f>IFERROR(LEFT(#REF!,FIND("],",#REF!)),#REF!)</f>
        <v>#REF!</v>
      </c>
      <c r="H40" s="63" t="e">
        <f t="shared" si="17"/>
        <v>#REF!</v>
      </c>
      <c r="I40" s="63" t="e">
        <f t="shared" si="18"/>
        <v>#REF!</v>
      </c>
      <c r="J40" s="63" t="e">
        <f t="shared" si="19"/>
        <v>#REF!</v>
      </c>
      <c r="K40" s="63" t="e">
        <f t="shared" si="20"/>
        <v>#REF!</v>
      </c>
      <c r="L40" s="63" t="str">
        <f>IFERROR(VLOOKUP(MID(G40,J40,K40-J40),[6]skilldef!$C:$D,2,FALSE),"-") &amp; " / " &amp; IFERROR(VLOOKUP(MID(G40,H40,I40-H40),[6]skilldef!$A:$B,2,FALSE),"-")</f>
        <v>- / -</v>
      </c>
      <c r="M40" s="63" t="str">
        <f>IFERROR(RIGHT(#REF!,LEN(#REF!)-FIND("],",#REF!)-1),"none")</f>
        <v>none</v>
      </c>
      <c r="N40" s="48" t="str">
        <f t="shared" si="22"/>
        <v>none</v>
      </c>
      <c r="O40" s="63" t="e">
        <f t="shared" si="23"/>
        <v>#VALUE!</v>
      </c>
      <c r="P40" s="63">
        <f t="shared" si="24"/>
        <v>4</v>
      </c>
      <c r="Q40" s="63" t="e">
        <f t="shared" si="25"/>
        <v>#VALUE!</v>
      </c>
      <c r="R40" s="63" t="e">
        <f t="shared" si="26"/>
        <v>#VALUE!</v>
      </c>
      <c r="S40" s="63" t="str">
        <f>IFERROR(VLOOKUP(MID(N40,Q40,R40-Q40),[6]skilldef!$C:$D,2,FALSE),"-") &amp; " / " &amp; IFERROR(VLOOKUP(MID(N40,O40,P40-O40),[6]skilldef!$A:$B,2,FALSE),"-")</f>
        <v>- / -</v>
      </c>
      <c r="T40" s="48" t="str">
        <f t="shared" si="27"/>
        <v>none</v>
      </c>
      <c r="U40" s="63" t="e">
        <f t="shared" si="28"/>
        <v>#VALUE!</v>
      </c>
      <c r="V40" s="63">
        <f t="shared" si="29"/>
        <v>4</v>
      </c>
      <c r="W40" s="63" t="e">
        <f t="shared" si="30"/>
        <v>#VALUE!</v>
      </c>
      <c r="X40" s="63" t="e">
        <f t="shared" si="31"/>
        <v>#VALUE!</v>
      </c>
      <c r="Y40" s="63" t="str">
        <f>IFERROR(VLOOKUP(MID(T40,W40,X40-W40),[6]skilldef!$C:$D,2,FALSE),"-") &amp; " / " &amp; IFERROR(VLOOKUP(MID(T40,U40,V40-U40),[6]skilldef!$A:$B,2,FALSE),"-")</f>
        <v>- / -</v>
      </c>
      <c r="Z40" s="50"/>
      <c r="AA40" s="52"/>
      <c r="AB40" s="50"/>
    </row>
    <row r="41" spans="1:28" ht="21" customHeight="1" x14ac:dyDescent="0.15">
      <c r="A41" s="47">
        <v>65525039</v>
      </c>
      <c r="B41" s="47" t="s">
        <v>357</v>
      </c>
      <c r="C41" s="50">
        <v>1</v>
      </c>
      <c r="D41" s="50" t="s">
        <v>129</v>
      </c>
      <c r="E41" s="47" t="s">
        <v>304</v>
      </c>
      <c r="F41" s="51" t="s">
        <v>84</v>
      </c>
      <c r="G41" s="63" t="e">
        <f>IFERROR(LEFT(#REF!,FIND("],",#REF!)),#REF!)</f>
        <v>#REF!</v>
      </c>
      <c r="H41" s="63" t="e">
        <f t="shared" si="17"/>
        <v>#REF!</v>
      </c>
      <c r="I41" s="63" t="e">
        <f t="shared" si="18"/>
        <v>#REF!</v>
      </c>
      <c r="J41" s="63" t="e">
        <f t="shared" si="19"/>
        <v>#REF!</v>
      </c>
      <c r="K41" s="63" t="e">
        <f t="shared" si="20"/>
        <v>#REF!</v>
      </c>
      <c r="L41" s="63" t="str">
        <f>IFERROR(VLOOKUP(MID(G41,J41,K41-J41),[6]skilldef!$C:$D,2,FALSE),"-") &amp; " / " &amp; IFERROR(VLOOKUP(MID(G41,H41,I41-H41),[6]skilldef!$A:$B,2,FALSE),"-")</f>
        <v>- / -</v>
      </c>
      <c r="M41" s="63" t="str">
        <f>IFERROR(RIGHT(#REF!,LEN(#REF!)-FIND("],",#REF!)-1),"none")</f>
        <v>none</v>
      </c>
      <c r="N41" s="48" t="str">
        <f t="shared" si="22"/>
        <v>none</v>
      </c>
      <c r="O41" s="63" t="e">
        <f t="shared" si="23"/>
        <v>#VALUE!</v>
      </c>
      <c r="P41" s="63">
        <f t="shared" si="24"/>
        <v>4</v>
      </c>
      <c r="Q41" s="63" t="e">
        <f t="shared" si="25"/>
        <v>#VALUE!</v>
      </c>
      <c r="R41" s="63" t="e">
        <f t="shared" si="26"/>
        <v>#VALUE!</v>
      </c>
      <c r="S41" s="63" t="str">
        <f>IFERROR(VLOOKUP(MID(N41,Q41,R41-Q41),[6]skilldef!$C:$D,2,FALSE),"-") &amp; " / " &amp; IFERROR(VLOOKUP(MID(N41,O41,P41-O41),[6]skilldef!$A:$B,2,FALSE),"-")</f>
        <v>- / -</v>
      </c>
      <c r="T41" s="48" t="str">
        <f t="shared" si="27"/>
        <v>none</v>
      </c>
      <c r="U41" s="63" t="e">
        <f t="shared" si="28"/>
        <v>#VALUE!</v>
      </c>
      <c r="V41" s="63">
        <f t="shared" si="29"/>
        <v>4</v>
      </c>
      <c r="W41" s="63" t="e">
        <f t="shared" si="30"/>
        <v>#VALUE!</v>
      </c>
      <c r="X41" s="63" t="e">
        <f t="shared" si="31"/>
        <v>#VALUE!</v>
      </c>
      <c r="Y41" s="63" t="str">
        <f>IFERROR(VLOOKUP(MID(T41,W41,X41-W41),[6]skilldef!$C:$D,2,FALSE),"-") &amp; " / " &amp; IFERROR(VLOOKUP(MID(T41,U41,V41-U41),[6]skilldef!$A:$B,2,FALSE),"-")</f>
        <v>- / -</v>
      </c>
      <c r="Z41" s="50"/>
      <c r="AA41" s="52"/>
      <c r="AB41" s="50"/>
    </row>
    <row r="42" spans="1:28" ht="21" customHeight="1" x14ac:dyDescent="0.15">
      <c r="A42" s="47">
        <v>65525040</v>
      </c>
      <c r="B42" s="47" t="s">
        <v>358</v>
      </c>
      <c r="C42" s="50">
        <v>1</v>
      </c>
      <c r="D42" s="50" t="s">
        <v>129</v>
      </c>
      <c r="E42" s="47" t="s">
        <v>305</v>
      </c>
      <c r="F42" s="51" t="s">
        <v>84</v>
      </c>
      <c r="G42" s="63" t="e">
        <f>IFERROR(LEFT(#REF!,FIND("],",#REF!)),#REF!)</f>
        <v>#REF!</v>
      </c>
      <c r="H42" s="63" t="e">
        <f t="shared" si="17"/>
        <v>#REF!</v>
      </c>
      <c r="I42" s="63" t="e">
        <f t="shared" si="18"/>
        <v>#REF!</v>
      </c>
      <c r="J42" s="63" t="e">
        <f t="shared" si="19"/>
        <v>#REF!</v>
      </c>
      <c r="K42" s="63" t="e">
        <f t="shared" si="20"/>
        <v>#REF!</v>
      </c>
      <c r="L42" s="63" t="str">
        <f>IFERROR(VLOOKUP(MID(G42,J42,K42-J42),[6]skilldef!$C:$D,2,FALSE),"-") &amp; " / " &amp; IFERROR(VLOOKUP(MID(G42,H42,I42-H42),[6]skilldef!$A:$B,2,FALSE),"-")</f>
        <v>- / -</v>
      </c>
      <c r="M42" s="63" t="str">
        <f>IFERROR(RIGHT(#REF!,LEN(#REF!)-FIND("],",#REF!)-1),"none")</f>
        <v>none</v>
      </c>
      <c r="N42" s="48" t="str">
        <f t="shared" si="22"/>
        <v>none</v>
      </c>
      <c r="O42" s="63" t="e">
        <f t="shared" si="23"/>
        <v>#VALUE!</v>
      </c>
      <c r="P42" s="63">
        <f t="shared" si="24"/>
        <v>4</v>
      </c>
      <c r="Q42" s="63" t="e">
        <f t="shared" si="25"/>
        <v>#VALUE!</v>
      </c>
      <c r="R42" s="63" t="e">
        <f t="shared" si="26"/>
        <v>#VALUE!</v>
      </c>
      <c r="S42" s="63" t="str">
        <f>IFERROR(VLOOKUP(MID(N42,Q42,R42-Q42),[6]skilldef!$C:$D,2,FALSE),"-") &amp; " / " &amp; IFERROR(VLOOKUP(MID(N42,O42,P42-O42),[6]skilldef!$A:$B,2,FALSE),"-")</f>
        <v>- / -</v>
      </c>
      <c r="T42" s="48" t="str">
        <f t="shared" si="27"/>
        <v>none</v>
      </c>
      <c r="U42" s="63" t="e">
        <f t="shared" si="28"/>
        <v>#VALUE!</v>
      </c>
      <c r="V42" s="63">
        <f t="shared" si="29"/>
        <v>4</v>
      </c>
      <c r="W42" s="63" t="e">
        <f t="shared" si="30"/>
        <v>#VALUE!</v>
      </c>
      <c r="X42" s="63" t="e">
        <f t="shared" si="31"/>
        <v>#VALUE!</v>
      </c>
      <c r="Y42" s="63" t="str">
        <f>IFERROR(VLOOKUP(MID(T42,W42,X42-W42),[6]skilldef!$C:$D,2,FALSE),"-") &amp; " / " &amp; IFERROR(VLOOKUP(MID(T42,U42,V42-U42),[6]skilldef!$A:$B,2,FALSE),"-")</f>
        <v>- / -</v>
      </c>
      <c r="Z42" s="50"/>
      <c r="AA42" s="52"/>
      <c r="AB42" s="50"/>
    </row>
    <row r="43" spans="1:28" ht="21" customHeight="1" x14ac:dyDescent="0.15">
      <c r="A43" s="47">
        <v>65525041</v>
      </c>
      <c r="B43" s="47" t="s">
        <v>359</v>
      </c>
      <c r="C43" s="50">
        <v>1</v>
      </c>
      <c r="D43" s="50" t="s">
        <v>129</v>
      </c>
      <c r="E43" s="47" t="s">
        <v>306</v>
      </c>
      <c r="F43" s="51" t="s">
        <v>84</v>
      </c>
      <c r="G43" s="63" t="e">
        <f>IFERROR(LEFT(#REF!,FIND("],",#REF!)),#REF!)</f>
        <v>#REF!</v>
      </c>
      <c r="H43" s="63" t="e">
        <f t="shared" si="17"/>
        <v>#REF!</v>
      </c>
      <c r="I43" s="63" t="e">
        <f t="shared" si="18"/>
        <v>#REF!</v>
      </c>
      <c r="J43" s="63" t="e">
        <f t="shared" si="19"/>
        <v>#REF!</v>
      </c>
      <c r="K43" s="63" t="e">
        <f t="shared" si="20"/>
        <v>#REF!</v>
      </c>
      <c r="L43" s="63" t="str">
        <f>IFERROR(VLOOKUP(MID(G43,J43,K43-J43),[6]skilldef!$C:$D,2,FALSE),"-") &amp; " / " &amp; IFERROR(VLOOKUP(MID(G43,H43,I43-H43),[6]skilldef!$A:$B,2,FALSE),"-")</f>
        <v>- / -</v>
      </c>
      <c r="M43" s="63" t="str">
        <f>IFERROR(RIGHT(#REF!,LEN(#REF!)-FIND("],",#REF!)-1),"none")</f>
        <v>none</v>
      </c>
      <c r="N43" s="48" t="str">
        <f t="shared" si="22"/>
        <v>none</v>
      </c>
      <c r="O43" s="63" t="e">
        <f t="shared" si="23"/>
        <v>#VALUE!</v>
      </c>
      <c r="P43" s="63">
        <f t="shared" si="24"/>
        <v>4</v>
      </c>
      <c r="Q43" s="63" t="e">
        <f t="shared" si="25"/>
        <v>#VALUE!</v>
      </c>
      <c r="R43" s="63" t="e">
        <f t="shared" si="26"/>
        <v>#VALUE!</v>
      </c>
      <c r="S43" s="63" t="str">
        <f>IFERROR(VLOOKUP(MID(N43,Q43,R43-Q43),[6]skilldef!$C:$D,2,FALSE),"-") &amp; " / " &amp; IFERROR(VLOOKUP(MID(N43,O43,P43-O43),[6]skilldef!$A:$B,2,FALSE),"-")</f>
        <v>- / -</v>
      </c>
      <c r="T43" s="48" t="str">
        <f t="shared" si="27"/>
        <v>none</v>
      </c>
      <c r="U43" s="63" t="e">
        <f t="shared" si="28"/>
        <v>#VALUE!</v>
      </c>
      <c r="V43" s="63">
        <f t="shared" si="29"/>
        <v>4</v>
      </c>
      <c r="W43" s="63" t="e">
        <f t="shared" si="30"/>
        <v>#VALUE!</v>
      </c>
      <c r="X43" s="63" t="e">
        <f t="shared" si="31"/>
        <v>#VALUE!</v>
      </c>
      <c r="Y43" s="63" t="str">
        <f>IFERROR(VLOOKUP(MID(T43,W43,X43-W43),[6]skilldef!$C:$D,2,FALSE),"-") &amp; " / " &amp; IFERROR(VLOOKUP(MID(T43,U43,V43-U43),[6]skilldef!$A:$B,2,FALSE),"-")</f>
        <v>- / -</v>
      </c>
      <c r="Z43" s="50"/>
      <c r="AA43" s="52"/>
      <c r="AB43" s="50"/>
    </row>
    <row r="44" spans="1:28" ht="21" customHeight="1" x14ac:dyDescent="0.15">
      <c r="A44" s="47">
        <v>65525042</v>
      </c>
      <c r="B44" s="47" t="s">
        <v>360</v>
      </c>
      <c r="C44" s="50">
        <v>1</v>
      </c>
      <c r="D44" s="50" t="s">
        <v>129</v>
      </c>
      <c r="E44" s="47" t="s">
        <v>307</v>
      </c>
      <c r="F44" s="51" t="s">
        <v>84</v>
      </c>
      <c r="G44" s="63" t="e">
        <f>IFERROR(LEFT(#REF!,FIND("],",#REF!)),#REF!)</f>
        <v>#REF!</v>
      </c>
      <c r="H44" s="63" t="e">
        <f t="shared" si="17"/>
        <v>#REF!</v>
      </c>
      <c r="I44" s="63" t="e">
        <f t="shared" si="18"/>
        <v>#REF!</v>
      </c>
      <c r="J44" s="63" t="e">
        <f t="shared" si="19"/>
        <v>#REF!</v>
      </c>
      <c r="K44" s="63" t="e">
        <f t="shared" si="20"/>
        <v>#REF!</v>
      </c>
      <c r="L44" s="63" t="str">
        <f>IFERROR(VLOOKUP(MID(G44,J44,K44-J44),[6]skilldef!$C:$D,2,FALSE),"-") &amp; " / " &amp; IFERROR(VLOOKUP(MID(G44,H44,I44-H44),[6]skilldef!$A:$B,2,FALSE),"-")</f>
        <v>- / -</v>
      </c>
      <c r="M44" s="63" t="str">
        <f>IFERROR(RIGHT(#REF!,LEN(#REF!)-FIND("],",#REF!)-1),"none")</f>
        <v>none</v>
      </c>
      <c r="N44" s="48" t="str">
        <f t="shared" si="22"/>
        <v>none</v>
      </c>
      <c r="O44" s="63" t="e">
        <f t="shared" si="23"/>
        <v>#VALUE!</v>
      </c>
      <c r="P44" s="63">
        <f t="shared" si="24"/>
        <v>4</v>
      </c>
      <c r="Q44" s="63" t="e">
        <f t="shared" si="25"/>
        <v>#VALUE!</v>
      </c>
      <c r="R44" s="63" t="e">
        <f t="shared" si="26"/>
        <v>#VALUE!</v>
      </c>
      <c r="S44" s="63" t="str">
        <f>IFERROR(VLOOKUP(MID(N44,Q44,R44-Q44),[6]skilldef!$C:$D,2,FALSE),"-") &amp; " / " &amp; IFERROR(VLOOKUP(MID(N44,O44,P44-O44),[6]skilldef!$A:$B,2,FALSE),"-")</f>
        <v>- / -</v>
      </c>
      <c r="T44" s="48" t="str">
        <f t="shared" si="27"/>
        <v>none</v>
      </c>
      <c r="U44" s="63" t="e">
        <f t="shared" si="28"/>
        <v>#VALUE!</v>
      </c>
      <c r="V44" s="63">
        <f t="shared" si="29"/>
        <v>4</v>
      </c>
      <c r="W44" s="63" t="e">
        <f t="shared" si="30"/>
        <v>#VALUE!</v>
      </c>
      <c r="X44" s="63" t="e">
        <f t="shared" si="31"/>
        <v>#VALUE!</v>
      </c>
      <c r="Y44" s="63" t="str">
        <f>IFERROR(VLOOKUP(MID(T44,W44,X44-W44),[6]skilldef!$C:$D,2,FALSE),"-") &amp; " / " &amp; IFERROR(VLOOKUP(MID(T44,U44,V44-U44),[6]skilldef!$A:$B,2,FALSE),"-")</f>
        <v>- / -</v>
      </c>
      <c r="Z44" s="50"/>
      <c r="AA44" s="52"/>
      <c r="AB44" s="50"/>
    </row>
    <row r="45" spans="1:28" ht="21" customHeight="1" x14ac:dyDescent="0.15">
      <c r="A45" s="47">
        <v>65525043</v>
      </c>
      <c r="B45" s="47" t="s">
        <v>361</v>
      </c>
      <c r="C45" s="50">
        <v>1</v>
      </c>
      <c r="D45" s="50" t="s">
        <v>129</v>
      </c>
      <c r="E45" s="47" t="s">
        <v>308</v>
      </c>
      <c r="F45" s="51" t="s">
        <v>84</v>
      </c>
      <c r="G45" s="63" t="str">
        <f t="shared" ref="G45:G56" si="32">IFERROR(LEFT(B39,FIND("],",B39)),B39)</f>
        <v>[effect:heal, target:myself, val:0, animation:enemy_suicide,[effect:enemy_message, val1:0.1, val2:0]</v>
      </c>
      <c r="H45" s="63">
        <f t="shared" si="17"/>
        <v>9</v>
      </c>
      <c r="I45" s="63">
        <f t="shared" si="18"/>
        <v>13</v>
      </c>
      <c r="J45" s="63">
        <f t="shared" si="19"/>
        <v>22</v>
      </c>
      <c r="K45" s="63">
        <f t="shared" si="20"/>
        <v>28</v>
      </c>
      <c r="L45" s="63" t="str">
        <f>IFERROR(VLOOKUP(MID(G45,J45,K45-J45),[6]skilldef!$C:$D,2,FALSE),"-") &amp; " / " &amp; IFERROR(VLOOKUP(MID(G45,H45,I45-H45),[6]skilldef!$A:$B,2,FALSE),"-")</f>
        <v>自分自身に / 回復</v>
      </c>
      <c r="M45" s="63" t="str">
        <f t="shared" ref="M45:M56" si="33">IFERROR(RIGHT(B39,LEN(B39)-FIND("],",B39)-1),"none")</f>
        <v>none</v>
      </c>
      <c r="N45" s="48" t="str">
        <f t="shared" si="22"/>
        <v>none</v>
      </c>
      <c r="O45" s="63" t="e">
        <f t="shared" si="23"/>
        <v>#VALUE!</v>
      </c>
      <c r="P45" s="63">
        <f t="shared" si="24"/>
        <v>4</v>
      </c>
      <c r="Q45" s="63" t="e">
        <f t="shared" si="25"/>
        <v>#VALUE!</v>
      </c>
      <c r="R45" s="63" t="e">
        <f t="shared" si="26"/>
        <v>#VALUE!</v>
      </c>
      <c r="S45" s="63" t="str">
        <f>IFERROR(VLOOKUP(MID(N45,Q45,R45-Q45),[6]skilldef!$C:$D,2,FALSE),"-") &amp; " / " &amp; IFERROR(VLOOKUP(MID(N45,O45,P45-O45),[6]skilldef!$A:$B,2,FALSE),"-")</f>
        <v>- / -</v>
      </c>
      <c r="T45" s="48" t="str">
        <f t="shared" si="27"/>
        <v>none</v>
      </c>
      <c r="U45" s="63" t="e">
        <f t="shared" si="28"/>
        <v>#VALUE!</v>
      </c>
      <c r="V45" s="63">
        <f t="shared" si="29"/>
        <v>4</v>
      </c>
      <c r="W45" s="63" t="e">
        <f t="shared" si="30"/>
        <v>#VALUE!</v>
      </c>
      <c r="X45" s="63" t="e">
        <f t="shared" si="31"/>
        <v>#VALUE!</v>
      </c>
      <c r="Y45" s="63" t="str">
        <f>IFERROR(VLOOKUP(MID(T45,W45,X45-W45),[6]skilldef!$C:$D,2,FALSE),"-") &amp; " / " &amp; IFERROR(VLOOKUP(MID(T45,U45,V45-U45),[6]skilldef!$A:$B,2,FALSE),"-")</f>
        <v>- / -</v>
      </c>
      <c r="Z45" s="50"/>
      <c r="AA45" s="52"/>
      <c r="AB45" s="50"/>
    </row>
    <row r="46" spans="1:28" ht="21" customHeight="1" x14ac:dyDescent="0.15">
      <c r="A46" s="47">
        <v>65525044</v>
      </c>
      <c r="B46" s="47" t="s">
        <v>362</v>
      </c>
      <c r="C46" s="50">
        <v>1</v>
      </c>
      <c r="D46" s="50" t="s">
        <v>129</v>
      </c>
      <c r="E46" s="47" t="s">
        <v>309</v>
      </c>
      <c r="F46" s="51" t="s">
        <v>84</v>
      </c>
      <c r="G46" s="63" t="str">
        <f t="shared" si="32"/>
        <v>[effect:heal, target:myself, val:0, animation:change_block]</v>
      </c>
      <c r="H46" s="63">
        <f t="shared" si="17"/>
        <v>9</v>
      </c>
      <c r="I46" s="63">
        <f t="shared" si="18"/>
        <v>13</v>
      </c>
      <c r="J46" s="63">
        <f t="shared" si="19"/>
        <v>22</v>
      </c>
      <c r="K46" s="63">
        <f t="shared" si="20"/>
        <v>28</v>
      </c>
      <c r="L46" s="63" t="str">
        <f>IFERROR(VLOOKUP(MID(G46,J46,K46-J46),[6]skilldef!$C:$D,2,FALSE),"-") &amp; " / " &amp; IFERROR(VLOOKUP(MID(G46,H46,I46-H46),[6]skilldef!$A:$B,2,FALSE),"-")</f>
        <v>自分自身に / 回復</v>
      </c>
      <c r="M46" s="63" t="str">
        <f t="shared" si="33"/>
        <v>[effect:enemy_message, val1:0.1, val2:0]</v>
      </c>
      <c r="N46" s="48" t="str">
        <f t="shared" si="22"/>
        <v>[effect:enemy_message, val1:0.1, val2:0]</v>
      </c>
      <c r="O46" s="63">
        <f t="shared" si="23"/>
        <v>9</v>
      </c>
      <c r="P46" s="63">
        <f t="shared" si="24"/>
        <v>22</v>
      </c>
      <c r="Q46" s="63" t="e">
        <f t="shared" si="25"/>
        <v>#VALUE!</v>
      </c>
      <c r="R46" s="63">
        <f t="shared" si="26"/>
        <v>32</v>
      </c>
      <c r="S46" s="63" t="str">
        <f>IFERROR(VLOOKUP(MID(N46,Q46,R46-Q46),[6]skilldef!$C:$D,2,FALSE),"-") &amp; " / " &amp; IFERROR(VLOOKUP(MID(N46,O46,P46-O46),[6]skilldef!$A:$B,2,FALSE),"-")</f>
        <v>- / -</v>
      </c>
      <c r="T46" s="48" t="str">
        <f t="shared" si="27"/>
        <v>none</v>
      </c>
      <c r="U46" s="63" t="e">
        <f t="shared" si="28"/>
        <v>#VALUE!</v>
      </c>
      <c r="V46" s="63">
        <f t="shared" si="29"/>
        <v>4</v>
      </c>
      <c r="W46" s="63" t="e">
        <f t="shared" si="30"/>
        <v>#VALUE!</v>
      </c>
      <c r="X46" s="63" t="e">
        <f t="shared" si="31"/>
        <v>#VALUE!</v>
      </c>
      <c r="Y46" s="63" t="str">
        <f>IFERROR(VLOOKUP(MID(T46,W46,X46-W46),[6]skilldef!$C:$D,2,FALSE),"-") &amp; " / " &amp; IFERROR(VLOOKUP(MID(T46,U46,V46-U46),[6]skilldef!$A:$B,2,FALSE),"-")</f>
        <v>- / -</v>
      </c>
      <c r="Z46" s="50"/>
      <c r="AA46" s="52"/>
      <c r="AB46" s="50"/>
    </row>
    <row r="47" spans="1:28" ht="21" customHeight="1" x14ac:dyDescent="0.15">
      <c r="A47" s="47">
        <v>65525045</v>
      </c>
      <c r="B47" s="47" t="s">
        <v>363</v>
      </c>
      <c r="C47" s="50">
        <v>1</v>
      </c>
      <c r="D47" s="50" t="s">
        <v>129</v>
      </c>
      <c r="E47" s="47" t="s">
        <v>310</v>
      </c>
      <c r="F47" s="51" t="s">
        <v>84</v>
      </c>
      <c r="G47" s="63" t="str">
        <f t="shared" si="32"/>
        <v>[effect:heal, target:myself, val:0, animation:reduction_one01]</v>
      </c>
      <c r="H47" s="63">
        <f t="shared" si="17"/>
        <v>9</v>
      </c>
      <c r="I47" s="63">
        <f t="shared" si="18"/>
        <v>13</v>
      </c>
      <c r="J47" s="63">
        <f t="shared" si="19"/>
        <v>22</v>
      </c>
      <c r="K47" s="63">
        <f t="shared" si="20"/>
        <v>28</v>
      </c>
      <c r="L47" s="63" t="str">
        <f>IFERROR(VLOOKUP(MID(G47,J47,K47-J47),[6]skilldef!$C:$D,2,FALSE),"-") &amp; " / " &amp; IFERROR(VLOOKUP(MID(G47,H47,I47-H47),[6]skilldef!$A:$B,2,FALSE),"-")</f>
        <v>自分自身に / 回復</v>
      </c>
      <c r="M47" s="63" t="str">
        <f t="shared" si="33"/>
        <v>[effect:enemy_message, val1:0.1, val2:0]</v>
      </c>
      <c r="N47" s="48" t="str">
        <f>IFERROR(LEFT(M47,FIND("],",M47)+#REF!),M47)</f>
        <v>[effect:enemy_message, val1:0.1, val2:0]</v>
      </c>
      <c r="O47" s="63">
        <f t="shared" si="23"/>
        <v>9</v>
      </c>
      <c r="P47" s="63">
        <f t="shared" si="24"/>
        <v>22</v>
      </c>
      <c r="Q47" s="63" t="e">
        <f t="shared" si="25"/>
        <v>#VALUE!</v>
      </c>
      <c r="R47" s="63">
        <f t="shared" si="26"/>
        <v>32</v>
      </c>
      <c r="S47" s="63" t="str">
        <f>IFERROR(VLOOKUP(MID(N47,Q47,R47-Q47),[6]skilldef!$C:$D,2,FALSE),"-") &amp; " / " &amp; IFERROR(VLOOKUP(MID(N47,O47,P47-O47),[6]skilldef!$A:$B,2,FALSE),"-")</f>
        <v>- / -</v>
      </c>
      <c r="T47" s="48" t="str">
        <f t="shared" si="27"/>
        <v>none</v>
      </c>
      <c r="U47" s="63" t="e">
        <f t="shared" si="28"/>
        <v>#VALUE!</v>
      </c>
      <c r="V47" s="63">
        <f t="shared" si="29"/>
        <v>4</v>
      </c>
      <c r="W47" s="63" t="e">
        <f t="shared" si="30"/>
        <v>#VALUE!</v>
      </c>
      <c r="X47" s="63" t="e">
        <f t="shared" si="31"/>
        <v>#VALUE!</v>
      </c>
      <c r="Y47" s="63" t="str">
        <f>IFERROR(VLOOKUP(MID(T47,W47,X47-W47),[6]skilldef!$C:$D,2,FALSE),"-") &amp; " / " &amp; IFERROR(VLOOKUP(MID(T47,U47,V47-U47),[6]skilldef!$A:$B,2,FALSE),"-")</f>
        <v>- / -</v>
      </c>
      <c r="Z47" s="50"/>
      <c r="AA47" s="52"/>
      <c r="AB47" s="50"/>
    </row>
    <row r="48" spans="1:28" ht="21" customHeight="1" x14ac:dyDescent="0.15">
      <c r="A48" s="47">
        <v>65525046</v>
      </c>
      <c r="B48" s="47" t="s">
        <v>364</v>
      </c>
      <c r="C48" s="50">
        <v>1</v>
      </c>
      <c r="D48" s="50" t="s">
        <v>129</v>
      </c>
      <c r="E48" s="47" t="s">
        <v>311</v>
      </c>
      <c r="F48" s="51" t="s">
        <v>84</v>
      </c>
      <c r="G48" s="63" t="str">
        <f t="shared" si="32"/>
        <v>[effect:heal, target:myself, val:0, animation:reduction_one02]</v>
      </c>
      <c r="H48" s="63">
        <f t="shared" si="17"/>
        <v>9</v>
      </c>
      <c r="I48" s="63">
        <f t="shared" si="18"/>
        <v>13</v>
      </c>
      <c r="J48" s="63">
        <f t="shared" si="19"/>
        <v>22</v>
      </c>
      <c r="K48" s="63">
        <f t="shared" si="20"/>
        <v>28</v>
      </c>
      <c r="L48" s="63" t="str">
        <f>IFERROR(VLOOKUP(MID(G48,J48,K48-J48),[6]skilldef!$C:$D,2,FALSE),"-") &amp; " / " &amp; IFERROR(VLOOKUP(MID(G48,H48,I48-H48),[6]skilldef!$A:$B,2,FALSE),"-")</f>
        <v>自分自身に / 回復</v>
      </c>
      <c r="M48" s="63" t="str">
        <f t="shared" si="33"/>
        <v>[effect:enemy_message, val1:0.1, val2:0]</v>
      </c>
      <c r="N48" s="48" t="str">
        <f>IFERROR(LEFT(M48,FIND("],",M48)+#REF!),M48)</f>
        <v>[effect:enemy_message, val1:0.1, val2:0]</v>
      </c>
      <c r="O48" s="63">
        <f t="shared" si="23"/>
        <v>9</v>
      </c>
      <c r="P48" s="63">
        <f t="shared" si="24"/>
        <v>22</v>
      </c>
      <c r="Q48" s="63" t="e">
        <f t="shared" si="25"/>
        <v>#VALUE!</v>
      </c>
      <c r="R48" s="63">
        <f t="shared" si="26"/>
        <v>32</v>
      </c>
      <c r="S48" s="63" t="str">
        <f>IFERROR(VLOOKUP(MID(N48,Q48,R48-Q48),[6]skilldef!$C:$D,2,FALSE),"-") &amp; " / " &amp; IFERROR(VLOOKUP(MID(N48,O48,P48-O48),[6]skilldef!$A:$B,2,FALSE),"-")</f>
        <v>- / -</v>
      </c>
      <c r="T48" s="48" t="str">
        <f t="shared" si="27"/>
        <v>none</v>
      </c>
      <c r="U48" s="63" t="e">
        <f t="shared" si="28"/>
        <v>#VALUE!</v>
      </c>
      <c r="V48" s="63">
        <f t="shared" si="29"/>
        <v>4</v>
      </c>
      <c r="W48" s="63" t="e">
        <f t="shared" si="30"/>
        <v>#VALUE!</v>
      </c>
      <c r="X48" s="63" t="e">
        <f t="shared" si="31"/>
        <v>#VALUE!</v>
      </c>
      <c r="Y48" s="63" t="str">
        <f>IFERROR(VLOOKUP(MID(T48,W48,X48-W48),[6]skilldef!$C:$D,2,FALSE),"-") &amp; " / " &amp; IFERROR(VLOOKUP(MID(T48,U48,V48-U48),[6]skilldef!$A:$B,2,FALSE),"-")</f>
        <v>- / -</v>
      </c>
      <c r="Z48" s="50"/>
      <c r="AA48" s="52"/>
      <c r="AB48" s="50"/>
    </row>
    <row r="49" spans="1:28" ht="21" customHeight="1" x14ac:dyDescent="0.15">
      <c r="A49" s="47">
        <v>65525047</v>
      </c>
      <c r="B49" s="47" t="s">
        <v>365</v>
      </c>
      <c r="C49" s="50">
        <v>1</v>
      </c>
      <c r="D49" s="50" t="s">
        <v>129</v>
      </c>
      <c r="E49" s="47" t="s">
        <v>312</v>
      </c>
      <c r="F49" s="51" t="s">
        <v>84</v>
      </c>
      <c r="G49" s="63" t="str">
        <f t="shared" si="32"/>
        <v>[effect:heal, target:myself, val:0, animation:reduction_one03]</v>
      </c>
      <c r="H49" s="63">
        <f t="shared" si="17"/>
        <v>9</v>
      </c>
      <c r="I49" s="63">
        <f t="shared" si="18"/>
        <v>13</v>
      </c>
      <c r="J49" s="63">
        <f t="shared" si="19"/>
        <v>22</v>
      </c>
      <c r="K49" s="63">
        <f t="shared" si="20"/>
        <v>28</v>
      </c>
      <c r="L49" s="63" t="str">
        <f>IFERROR(VLOOKUP(MID(G49,J49,K49-J49),[6]skilldef!$C:$D,2,FALSE),"-") &amp; " / " &amp; IFERROR(VLOOKUP(MID(G49,H49,I49-H49),[6]skilldef!$A:$B,2,FALSE),"-")</f>
        <v>自分自身に / 回復</v>
      </c>
      <c r="M49" s="63" t="str">
        <f t="shared" si="33"/>
        <v>[effect:enemy_message, val1:0.1, val2:0]</v>
      </c>
      <c r="N49" s="48" t="str">
        <f>IFERROR(LEFT(M49,FIND("],",M49)+#REF!),M49)</f>
        <v>[effect:enemy_message, val1:0.1, val2:0]</v>
      </c>
      <c r="O49" s="63">
        <f t="shared" si="23"/>
        <v>9</v>
      </c>
      <c r="P49" s="63">
        <f t="shared" si="24"/>
        <v>22</v>
      </c>
      <c r="Q49" s="63" t="e">
        <f t="shared" si="25"/>
        <v>#VALUE!</v>
      </c>
      <c r="R49" s="63">
        <f t="shared" si="26"/>
        <v>32</v>
      </c>
      <c r="S49" s="63" t="str">
        <f>IFERROR(VLOOKUP(MID(N49,Q49,R49-Q49),[6]skilldef!$C:$D,2,FALSE),"-") &amp; " / " &amp; IFERROR(VLOOKUP(MID(N49,O49,P49-O49),[6]skilldef!$A:$B,2,FALSE),"-")</f>
        <v>- / -</v>
      </c>
      <c r="T49" s="48" t="str">
        <f t="shared" si="27"/>
        <v>none</v>
      </c>
      <c r="U49" s="63" t="e">
        <f t="shared" si="28"/>
        <v>#VALUE!</v>
      </c>
      <c r="V49" s="63">
        <f t="shared" si="29"/>
        <v>4</v>
      </c>
      <c r="W49" s="63" t="e">
        <f t="shared" si="30"/>
        <v>#VALUE!</v>
      </c>
      <c r="X49" s="63" t="e">
        <f t="shared" si="31"/>
        <v>#VALUE!</v>
      </c>
      <c r="Y49" s="63" t="str">
        <f>IFERROR(VLOOKUP(MID(T49,W49,X49-W49),[6]skilldef!$C:$D,2,FALSE),"-") &amp; " / " &amp; IFERROR(VLOOKUP(MID(T49,U49,V49-U49),[6]skilldef!$A:$B,2,FALSE),"-")</f>
        <v>- / -</v>
      </c>
      <c r="Z49" s="50"/>
      <c r="AA49" s="52"/>
      <c r="AB49" s="50"/>
    </row>
    <row r="50" spans="1:28" ht="21" customHeight="1" x14ac:dyDescent="0.15">
      <c r="A50" s="47">
        <v>65525048</v>
      </c>
      <c r="B50" s="47" t="s">
        <v>366</v>
      </c>
      <c r="C50" s="50">
        <v>1</v>
      </c>
      <c r="D50" s="50" t="s">
        <v>129</v>
      </c>
      <c r="E50" s="47" t="s">
        <v>313</v>
      </c>
      <c r="F50" s="51" t="s">
        <v>84</v>
      </c>
      <c r="G50" s="63" t="str">
        <f t="shared" si="32"/>
        <v>[effect:heal, target:myself, val:0, animation:reduction_one04]</v>
      </c>
      <c r="H50" s="63">
        <f t="shared" si="17"/>
        <v>9</v>
      </c>
      <c r="I50" s="63">
        <f t="shared" si="18"/>
        <v>13</v>
      </c>
      <c r="J50" s="63">
        <f t="shared" si="19"/>
        <v>22</v>
      </c>
      <c r="K50" s="63">
        <f t="shared" si="20"/>
        <v>28</v>
      </c>
      <c r="L50" s="63" t="str">
        <f>IFERROR(VLOOKUP(MID(G50,J50,K50-J50),[6]skilldef!$C:$D,2,FALSE),"-") &amp; " / " &amp; IFERROR(VLOOKUP(MID(G50,H50,I50-H50),[6]skilldef!$A:$B,2,FALSE),"-")</f>
        <v>自分自身に / 回復</v>
      </c>
      <c r="M50" s="63" t="str">
        <f t="shared" si="33"/>
        <v>[effect:enemy_message, val1:0.1, val2:0]</v>
      </c>
      <c r="N50" s="48" t="str">
        <f>IFERROR(LEFT(M50,FIND("],",M50)+#REF!),M50)</f>
        <v>[effect:enemy_message, val1:0.1, val2:0]</v>
      </c>
      <c r="O50" s="63">
        <f t="shared" si="23"/>
        <v>9</v>
      </c>
      <c r="P50" s="63">
        <f t="shared" si="24"/>
        <v>22</v>
      </c>
      <c r="Q50" s="63" t="e">
        <f t="shared" si="25"/>
        <v>#VALUE!</v>
      </c>
      <c r="R50" s="63">
        <f t="shared" si="26"/>
        <v>32</v>
      </c>
      <c r="S50" s="63" t="str">
        <f>IFERROR(VLOOKUP(MID(N50,Q50,R50-Q50),[6]skilldef!$C:$D,2,FALSE),"-") &amp; " / " &amp; IFERROR(VLOOKUP(MID(N50,O50,P50-O50),[6]skilldef!$A:$B,2,FALSE),"-")</f>
        <v>- / -</v>
      </c>
      <c r="T50" s="48" t="str">
        <f t="shared" si="27"/>
        <v>none</v>
      </c>
      <c r="U50" s="63" t="e">
        <f t="shared" si="28"/>
        <v>#VALUE!</v>
      </c>
      <c r="V50" s="63">
        <f t="shared" si="29"/>
        <v>4</v>
      </c>
      <c r="W50" s="63" t="e">
        <f t="shared" si="30"/>
        <v>#VALUE!</v>
      </c>
      <c r="X50" s="63" t="e">
        <f t="shared" si="31"/>
        <v>#VALUE!</v>
      </c>
      <c r="Y50" s="63" t="str">
        <f>IFERROR(VLOOKUP(MID(T50,W50,X50-W50),[6]skilldef!$C:$D,2,FALSE),"-") &amp; " / " &amp; IFERROR(VLOOKUP(MID(T50,U50,V50-U50),[6]skilldef!$A:$B,2,FALSE),"-")</f>
        <v>- / -</v>
      </c>
      <c r="Z50" s="50"/>
      <c r="AA50" s="52"/>
      <c r="AB50" s="50"/>
    </row>
    <row r="51" spans="1:28" ht="21" customHeight="1" x14ac:dyDescent="0.15">
      <c r="A51" s="47">
        <v>65525049</v>
      </c>
      <c r="B51" s="47" t="s">
        <v>367</v>
      </c>
      <c r="C51" s="50">
        <v>1</v>
      </c>
      <c r="D51" s="50" t="s">
        <v>129</v>
      </c>
      <c r="E51" s="47" t="s">
        <v>314</v>
      </c>
      <c r="F51" s="51" t="s">
        <v>84</v>
      </c>
      <c r="G51" s="63" t="str">
        <f t="shared" si="32"/>
        <v>[effect:heal, target:myself, val:0, animation:block_incidence04]</v>
      </c>
      <c r="H51" s="63">
        <f t="shared" si="17"/>
        <v>9</v>
      </c>
      <c r="I51" s="63">
        <f t="shared" si="18"/>
        <v>13</v>
      </c>
      <c r="J51" s="63">
        <f t="shared" si="19"/>
        <v>22</v>
      </c>
      <c r="K51" s="63">
        <f t="shared" si="20"/>
        <v>28</v>
      </c>
      <c r="L51" s="63" t="str">
        <f>IFERROR(VLOOKUP(MID(G51,J51,K51-J51),[6]skilldef!$C:$D,2,FALSE),"-") &amp; " / " &amp; IFERROR(VLOOKUP(MID(G51,H51,I51-H51),[6]skilldef!$A:$B,2,FALSE),"-")</f>
        <v>自分自身に / 回復</v>
      </c>
      <c r="M51" s="63" t="str">
        <f t="shared" si="33"/>
        <v>[effect:enemy_message, val1:0.1, val2:0]</v>
      </c>
      <c r="N51" s="48" t="str">
        <f>IFERROR(LEFT(M51,FIND("],",M51)+#REF!),M51)</f>
        <v>[effect:enemy_message, val1:0.1, val2:0]</v>
      </c>
      <c r="O51" s="63">
        <f t="shared" si="23"/>
        <v>9</v>
      </c>
      <c r="P51" s="63">
        <f t="shared" si="24"/>
        <v>22</v>
      </c>
      <c r="Q51" s="63" t="e">
        <f t="shared" si="25"/>
        <v>#VALUE!</v>
      </c>
      <c r="R51" s="63">
        <f t="shared" si="26"/>
        <v>32</v>
      </c>
      <c r="S51" s="63" t="str">
        <f>IFERROR(VLOOKUP(MID(N51,Q51,R51-Q51),[6]skilldef!$C:$D,2,FALSE),"-") &amp; " / " &amp; IFERROR(VLOOKUP(MID(N51,O51,P51-O51),[6]skilldef!$A:$B,2,FALSE),"-")</f>
        <v>- / -</v>
      </c>
      <c r="T51" s="48" t="str">
        <f t="shared" si="27"/>
        <v>none</v>
      </c>
      <c r="U51" s="63" t="e">
        <f t="shared" si="28"/>
        <v>#VALUE!</v>
      </c>
      <c r="V51" s="63">
        <f t="shared" si="29"/>
        <v>4</v>
      </c>
      <c r="W51" s="63" t="e">
        <f t="shared" si="30"/>
        <v>#VALUE!</v>
      </c>
      <c r="X51" s="63" t="e">
        <f t="shared" si="31"/>
        <v>#VALUE!</v>
      </c>
      <c r="Y51" s="63" t="str">
        <f>IFERROR(VLOOKUP(MID(T51,W51,X51-W51),[6]skilldef!$C:$D,2,FALSE),"-") &amp; " / " &amp; IFERROR(VLOOKUP(MID(T51,U51,V51-U51),[6]skilldef!$A:$B,2,FALSE),"-")</f>
        <v>- / -</v>
      </c>
      <c r="Z51" s="50"/>
      <c r="AA51" s="52"/>
      <c r="AB51" s="50"/>
    </row>
    <row r="52" spans="1:28" ht="21" customHeight="1" x14ac:dyDescent="0.15">
      <c r="A52" s="47">
        <v>65525050</v>
      </c>
      <c r="B52" s="47" t="s">
        <v>368</v>
      </c>
      <c r="C52" s="50">
        <v>1</v>
      </c>
      <c r="D52" s="50" t="s">
        <v>129</v>
      </c>
      <c r="E52" s="47" t="s">
        <v>315</v>
      </c>
      <c r="F52" s="51" t="s">
        <v>84</v>
      </c>
      <c r="G52" s="63" t="str">
        <f t="shared" si="32"/>
        <v>[effect:heal, target:myself, val:0, animation:bomb_influence04]</v>
      </c>
      <c r="H52" s="63">
        <f t="shared" si="17"/>
        <v>9</v>
      </c>
      <c r="I52" s="63">
        <f t="shared" si="18"/>
        <v>13</v>
      </c>
      <c r="J52" s="63">
        <f t="shared" si="19"/>
        <v>22</v>
      </c>
      <c r="K52" s="63">
        <f t="shared" si="20"/>
        <v>28</v>
      </c>
      <c r="L52" s="63" t="str">
        <f>IFERROR(VLOOKUP(MID(G52,J52,K52-J52),[6]skilldef!$C:$D,2,FALSE),"-") &amp; " / " &amp; IFERROR(VLOOKUP(MID(G52,H52,I52-H52),[6]skilldef!$A:$B,2,FALSE),"-")</f>
        <v>自分自身に / 回復</v>
      </c>
      <c r="M52" s="63" t="str">
        <f t="shared" si="33"/>
        <v>[effect:enemy_message, val1:0.1, val2:0]</v>
      </c>
      <c r="N52" s="48" t="str">
        <f>IFERROR(LEFT(M52,FIND("],",M52)+#REF!),M52)</f>
        <v>[effect:enemy_message, val1:0.1, val2:0]</v>
      </c>
      <c r="O52" s="63">
        <f t="shared" si="23"/>
        <v>9</v>
      </c>
      <c r="P52" s="63">
        <f t="shared" si="24"/>
        <v>22</v>
      </c>
      <c r="Q52" s="63" t="e">
        <f t="shared" si="25"/>
        <v>#VALUE!</v>
      </c>
      <c r="R52" s="63">
        <f t="shared" si="26"/>
        <v>32</v>
      </c>
      <c r="S52" s="63" t="str">
        <f>IFERROR(VLOOKUP(MID(N52,Q52,R52-Q52),[6]skilldef!$C:$D,2,FALSE),"-") &amp; " / " &amp; IFERROR(VLOOKUP(MID(N52,O52,P52-O52),[6]skilldef!$A:$B,2,FALSE),"-")</f>
        <v>- / -</v>
      </c>
      <c r="T52" s="48" t="str">
        <f t="shared" si="27"/>
        <v>none</v>
      </c>
      <c r="U52" s="63" t="e">
        <f t="shared" si="28"/>
        <v>#VALUE!</v>
      </c>
      <c r="V52" s="63">
        <f t="shared" si="29"/>
        <v>4</v>
      </c>
      <c r="W52" s="63" t="e">
        <f t="shared" si="30"/>
        <v>#VALUE!</v>
      </c>
      <c r="X52" s="63" t="e">
        <f t="shared" si="31"/>
        <v>#VALUE!</v>
      </c>
      <c r="Y52" s="63" t="str">
        <f>IFERROR(VLOOKUP(MID(T52,W52,X52-W52),[6]skilldef!$C:$D,2,FALSE),"-") &amp; " / " &amp; IFERROR(VLOOKUP(MID(T52,U52,V52-U52),[6]skilldef!$A:$B,2,FALSE),"-")</f>
        <v>- / -</v>
      </c>
      <c r="Z52" s="50"/>
      <c r="AA52" s="52"/>
      <c r="AB52" s="50"/>
    </row>
    <row r="53" spans="1:28" ht="21" customHeight="1" x14ac:dyDescent="0.15">
      <c r="A53" s="47">
        <v>65525051</v>
      </c>
      <c r="B53" s="47" t="s">
        <v>369</v>
      </c>
      <c r="C53" s="50">
        <v>1</v>
      </c>
      <c r="D53" s="50" t="s">
        <v>129</v>
      </c>
      <c r="E53" s="47" t="s">
        <v>316</v>
      </c>
      <c r="F53" s="51" t="s">
        <v>84</v>
      </c>
      <c r="G53" s="63" t="str">
        <f t="shared" si="32"/>
        <v>[effect:heal, target:myself, val:0, animation:crash_influence04]</v>
      </c>
      <c r="H53" s="63">
        <f t="shared" si="17"/>
        <v>9</v>
      </c>
      <c r="I53" s="63">
        <f t="shared" si="18"/>
        <v>13</v>
      </c>
      <c r="J53" s="63">
        <f t="shared" si="19"/>
        <v>22</v>
      </c>
      <c r="K53" s="63">
        <f t="shared" si="20"/>
        <v>28</v>
      </c>
      <c r="L53" s="63" t="str">
        <f>IFERROR(VLOOKUP(MID(G53,J53,K53-J53),[6]skilldef!$C:$D,2,FALSE),"-") &amp; " / " &amp; IFERROR(VLOOKUP(MID(G53,H53,I53-H53),[6]skilldef!$A:$B,2,FALSE),"-")</f>
        <v>自分自身に / 回復</v>
      </c>
      <c r="M53" s="63" t="str">
        <f t="shared" si="33"/>
        <v>[effect:enemy_message, val1:0.1, val2:0]</v>
      </c>
      <c r="N53" s="48" t="str">
        <f>IFERROR(LEFT(M53,FIND("],",M53)+#REF!),M53)</f>
        <v>[effect:enemy_message, val1:0.1, val2:0]</v>
      </c>
      <c r="O53" s="63">
        <f t="shared" si="23"/>
        <v>9</v>
      </c>
      <c r="P53" s="63">
        <f t="shared" si="24"/>
        <v>22</v>
      </c>
      <c r="Q53" s="63" t="e">
        <f t="shared" si="25"/>
        <v>#VALUE!</v>
      </c>
      <c r="R53" s="63">
        <f t="shared" si="26"/>
        <v>32</v>
      </c>
      <c r="S53" s="63" t="str">
        <f>IFERROR(VLOOKUP(MID(N53,Q53,R53-Q53),[6]skilldef!$C:$D,2,FALSE),"-") &amp; " / " &amp; IFERROR(VLOOKUP(MID(N53,O53,P53-O53),[6]skilldef!$A:$B,2,FALSE),"-")</f>
        <v>- / -</v>
      </c>
      <c r="T53" s="48" t="str">
        <f t="shared" si="27"/>
        <v>none</v>
      </c>
      <c r="U53" s="63" t="e">
        <f t="shared" si="28"/>
        <v>#VALUE!</v>
      </c>
      <c r="V53" s="63">
        <f t="shared" si="29"/>
        <v>4</v>
      </c>
      <c r="W53" s="63" t="e">
        <f t="shared" si="30"/>
        <v>#VALUE!</v>
      </c>
      <c r="X53" s="63" t="e">
        <f t="shared" si="31"/>
        <v>#VALUE!</v>
      </c>
      <c r="Y53" s="63" t="str">
        <f>IFERROR(VLOOKUP(MID(T53,W53,X53-W53),[6]skilldef!$C:$D,2,FALSE),"-") &amp; " / " &amp; IFERROR(VLOOKUP(MID(T53,U53,V53-U53),[6]skilldef!$A:$B,2,FALSE),"-")</f>
        <v>- / -</v>
      </c>
      <c r="Z53" s="50"/>
      <c r="AA53" s="52"/>
      <c r="AB53" s="50"/>
    </row>
    <row r="54" spans="1:28" ht="21" customHeight="1" x14ac:dyDescent="0.15">
      <c r="A54" s="47">
        <v>65525052</v>
      </c>
      <c r="B54" s="47" t="s">
        <v>370</v>
      </c>
      <c r="C54" s="50">
        <v>1</v>
      </c>
      <c r="D54" s="50" t="s">
        <v>129</v>
      </c>
      <c r="E54" s="47" t="s">
        <v>317</v>
      </c>
      <c r="F54" s="51" t="s">
        <v>84</v>
      </c>
      <c r="G54" s="63" t="str">
        <f t="shared" si="32"/>
        <v>[effect:heal, target:myself, val:0, animation:jammer_influence04]</v>
      </c>
      <c r="H54" s="63">
        <f t="shared" si="17"/>
        <v>9</v>
      </c>
      <c r="I54" s="63">
        <f t="shared" si="18"/>
        <v>13</v>
      </c>
      <c r="J54" s="63">
        <f t="shared" si="19"/>
        <v>22</v>
      </c>
      <c r="K54" s="63">
        <f t="shared" si="20"/>
        <v>28</v>
      </c>
      <c r="L54" s="63" t="str">
        <f>IFERROR(VLOOKUP(MID(G54,J54,K54-J54),[6]skilldef!$C:$D,2,FALSE),"-") &amp; " / " &amp; IFERROR(VLOOKUP(MID(G54,H54,I54-H54),[6]skilldef!$A:$B,2,FALSE),"-")</f>
        <v>自分自身に / 回復</v>
      </c>
      <c r="M54" s="63" t="str">
        <f t="shared" si="33"/>
        <v>[effect:enemy_message, val1:0.1, val2:0]</v>
      </c>
      <c r="N54" s="48" t="str">
        <f>IFERROR(LEFT(M54,FIND("],",M54)+#REF!),M54)</f>
        <v>[effect:enemy_message, val1:0.1, val2:0]</v>
      </c>
      <c r="O54" s="63">
        <f t="shared" si="23"/>
        <v>9</v>
      </c>
      <c r="P54" s="63">
        <f t="shared" si="24"/>
        <v>22</v>
      </c>
      <c r="Q54" s="63" t="e">
        <f t="shared" si="25"/>
        <v>#VALUE!</v>
      </c>
      <c r="R54" s="63">
        <f t="shared" si="26"/>
        <v>32</v>
      </c>
      <c r="S54" s="63" t="str">
        <f>IFERROR(VLOOKUP(MID(N54,Q54,R54-Q54),[6]skilldef!$C:$D,2,FALSE),"-") &amp; " / " &amp; IFERROR(VLOOKUP(MID(N54,O54,P54-O54),[6]skilldef!$A:$B,2,FALSE),"-")</f>
        <v>- / -</v>
      </c>
      <c r="T54" s="48" t="str">
        <f t="shared" si="27"/>
        <v>none</v>
      </c>
      <c r="U54" s="63" t="e">
        <f t="shared" si="28"/>
        <v>#VALUE!</v>
      </c>
      <c r="V54" s="63">
        <f t="shared" si="29"/>
        <v>4</v>
      </c>
      <c r="W54" s="63" t="e">
        <f t="shared" si="30"/>
        <v>#VALUE!</v>
      </c>
      <c r="X54" s="63" t="e">
        <f t="shared" si="31"/>
        <v>#VALUE!</v>
      </c>
      <c r="Y54" s="63" t="str">
        <f>IFERROR(VLOOKUP(MID(T54,W54,X54-W54),[6]skilldef!$C:$D,2,FALSE),"-") &amp; " / " &amp; IFERROR(VLOOKUP(MID(T54,U54,V54-U54),[6]skilldef!$A:$B,2,FALSE),"-")</f>
        <v>- / -</v>
      </c>
      <c r="Z54" s="50"/>
      <c r="AA54" s="52"/>
      <c r="AB54" s="50"/>
    </row>
    <row r="55" spans="1:28" ht="21" customHeight="1" x14ac:dyDescent="0.15">
      <c r="A55" s="47">
        <v>65525053</v>
      </c>
      <c r="B55" s="47" t="s">
        <v>371</v>
      </c>
      <c r="C55" s="50">
        <v>1</v>
      </c>
      <c r="D55" s="50" t="s">
        <v>129</v>
      </c>
      <c r="E55" s="47" t="s">
        <v>318</v>
      </c>
      <c r="F55" s="51" t="s">
        <v>84</v>
      </c>
      <c r="G55" s="63" t="str">
        <f t="shared" si="32"/>
        <v>[effect:heal, target:myself, val:0, animation:time_bomb_influence04]</v>
      </c>
      <c r="H55" s="63">
        <f t="shared" si="17"/>
        <v>9</v>
      </c>
      <c r="I55" s="63">
        <f t="shared" si="18"/>
        <v>13</v>
      </c>
      <c r="J55" s="63">
        <f t="shared" si="19"/>
        <v>22</v>
      </c>
      <c r="K55" s="63">
        <f t="shared" si="20"/>
        <v>28</v>
      </c>
      <c r="L55" s="63" t="str">
        <f>IFERROR(VLOOKUP(MID(G55,J55,K55-J55),[6]skilldef!$C:$D,2,FALSE),"-") &amp; " / " &amp; IFERROR(VLOOKUP(MID(G55,H55,I55-H55),[6]skilldef!$A:$B,2,FALSE),"-")</f>
        <v>自分自身に / 回復</v>
      </c>
      <c r="M55" s="63" t="str">
        <f t="shared" si="33"/>
        <v>[effect:enemy_message, val1:0.1, val2:0]</v>
      </c>
      <c r="N55" s="48" t="str">
        <f>IFERROR(LEFT(M55,FIND("],",M55)+#REF!),M55)</f>
        <v>[effect:enemy_message, val1:0.1, val2:0]</v>
      </c>
      <c r="O55" s="63">
        <f t="shared" si="23"/>
        <v>9</v>
      </c>
      <c r="P55" s="63">
        <f t="shared" si="24"/>
        <v>22</v>
      </c>
      <c r="Q55" s="63" t="e">
        <f t="shared" si="25"/>
        <v>#VALUE!</v>
      </c>
      <c r="R55" s="63">
        <f t="shared" si="26"/>
        <v>32</v>
      </c>
      <c r="S55" s="63" t="str">
        <f>IFERROR(VLOOKUP(MID(N55,Q55,R55-Q55),[6]skilldef!$C:$D,2,FALSE),"-") &amp; " / " &amp; IFERROR(VLOOKUP(MID(N55,O55,P55-O55),[6]skilldef!$A:$B,2,FALSE),"-")</f>
        <v>- / -</v>
      </c>
      <c r="T55" s="48" t="str">
        <f t="shared" si="27"/>
        <v>none</v>
      </c>
      <c r="U55" s="63" t="e">
        <f t="shared" si="28"/>
        <v>#VALUE!</v>
      </c>
      <c r="V55" s="63">
        <f t="shared" si="29"/>
        <v>4</v>
      </c>
      <c r="W55" s="63" t="e">
        <f t="shared" si="30"/>
        <v>#VALUE!</v>
      </c>
      <c r="X55" s="63" t="e">
        <f t="shared" si="31"/>
        <v>#VALUE!</v>
      </c>
      <c r="Y55" s="63" t="str">
        <f>IFERROR(VLOOKUP(MID(T55,W55,X55-W55),[6]skilldef!$C:$D,2,FALSE),"-") &amp; " / " &amp; IFERROR(VLOOKUP(MID(T55,U55,V55-U55),[6]skilldef!$A:$B,2,FALSE),"-")</f>
        <v>- / -</v>
      </c>
      <c r="Z55" s="50"/>
      <c r="AA55" s="52"/>
      <c r="AB55" s="50"/>
    </row>
    <row r="56" spans="1:28" ht="21" customHeight="1" x14ac:dyDescent="0.15">
      <c r="A56" s="47">
        <v>65525054</v>
      </c>
      <c r="B56" s="47" t="s">
        <v>372</v>
      </c>
      <c r="C56" s="50">
        <v>1</v>
      </c>
      <c r="D56" s="50" t="s">
        <v>129</v>
      </c>
      <c r="E56" s="47" t="s">
        <v>319</v>
      </c>
      <c r="F56" s="51" t="s">
        <v>84</v>
      </c>
      <c r="G56" s="63" t="str">
        <f t="shared" si="32"/>
        <v>[effect:heal, target:myself, val:0, animation:color_break_influence04]</v>
      </c>
      <c r="H56" s="63">
        <f t="shared" si="17"/>
        <v>9</v>
      </c>
      <c r="I56" s="63">
        <f t="shared" si="18"/>
        <v>13</v>
      </c>
      <c r="J56" s="63">
        <f t="shared" si="19"/>
        <v>22</v>
      </c>
      <c r="K56" s="63">
        <f t="shared" si="20"/>
        <v>28</v>
      </c>
      <c r="L56" s="63" t="str">
        <f>IFERROR(VLOOKUP(MID(G56,J56,K56-J56),[6]skilldef!$C:$D,2,FALSE),"-") &amp; " / " &amp; IFERROR(VLOOKUP(MID(G56,H56,I56-H56),[6]skilldef!$A:$B,2,FALSE),"-")</f>
        <v>自分自身に / 回復</v>
      </c>
      <c r="M56" s="63" t="str">
        <f t="shared" si="33"/>
        <v>[effect:enemy_message, val1:0.1, val2:0]</v>
      </c>
      <c r="N56" s="48" t="str">
        <f>IFERROR(LEFT(M56,FIND("],",M56)+S57),M56)</f>
        <v>[effect:enemy_message, val1:0.1, val2:0]</v>
      </c>
      <c r="O56" s="63">
        <f t="shared" si="23"/>
        <v>9</v>
      </c>
      <c r="P56" s="63">
        <f t="shared" si="24"/>
        <v>22</v>
      </c>
      <c r="Q56" s="63" t="e">
        <f t="shared" si="25"/>
        <v>#VALUE!</v>
      </c>
      <c r="R56" s="63">
        <f t="shared" si="26"/>
        <v>32</v>
      </c>
      <c r="S56" s="63" t="str">
        <f>IFERROR(VLOOKUP(MID(N56,Q56,R56-Q56),[6]skilldef!$C:$D,2,FALSE),"-") &amp; " / " &amp; IFERROR(VLOOKUP(MID(N56,O56,P56-O56),[6]skilldef!$A:$B,2,FALSE),"-")</f>
        <v>- / -</v>
      </c>
      <c r="T56" s="48" t="str">
        <f t="shared" si="27"/>
        <v>none</v>
      </c>
      <c r="U56" s="63" t="e">
        <f t="shared" si="28"/>
        <v>#VALUE!</v>
      </c>
      <c r="V56" s="63">
        <f t="shared" si="29"/>
        <v>4</v>
      </c>
      <c r="W56" s="63" t="e">
        <f t="shared" si="30"/>
        <v>#VALUE!</v>
      </c>
      <c r="X56" s="63" t="e">
        <f t="shared" si="31"/>
        <v>#VALUE!</v>
      </c>
      <c r="Y56" s="63" t="str">
        <f>IFERROR(VLOOKUP(MID(T56,W56,X56-W56),[6]skilldef!$C:$D,2,FALSE),"-") &amp; " / " &amp; IFERROR(VLOOKUP(MID(T56,U56,V56-U56),[6]skilldef!$A:$B,2,FALSE),"-")</f>
        <v>- / -</v>
      </c>
      <c r="Z56" s="50"/>
      <c r="AA56" s="52"/>
      <c r="AB56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62"/>
  <sheetViews>
    <sheetView showGridLines="0" zoomScale="75" zoomScaleNormal="75" zoomScalePageLayoutView="75" workbookViewId="0">
      <pane ySplit="1" topLeftCell="A21" activePane="bottomLeft" state="frozenSplit"/>
      <selection pane="bottomLeft" activeCell="G3" sqref="G3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85</v>
      </c>
      <c r="B1" s="42" t="s">
        <v>86</v>
      </c>
      <c r="C1" s="42" t="s">
        <v>87</v>
      </c>
      <c r="D1" s="42" t="s">
        <v>88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89</v>
      </c>
    </row>
    <row r="2" spans="1:11" ht="21" customHeight="1" x14ac:dyDescent="0.15">
      <c r="A2" s="47">
        <v>65525000</v>
      </c>
      <c r="B2" s="47">
        <v>0</v>
      </c>
      <c r="C2" s="47" t="s">
        <v>90</v>
      </c>
      <c r="D2" s="47">
        <v>100</v>
      </c>
      <c r="E2" s="47">
        <v>35</v>
      </c>
      <c r="F2" s="47" t="s">
        <v>91</v>
      </c>
      <c r="G2" s="47" t="s">
        <v>261</v>
      </c>
      <c r="H2" s="47" t="s">
        <v>91</v>
      </c>
      <c r="I2" s="47" t="s">
        <v>91</v>
      </c>
      <c r="J2" s="48">
        <f t="shared" ref="J2" si="0">D2</f>
        <v>100</v>
      </c>
    </row>
    <row r="3" spans="1:11" ht="21" customHeight="1" x14ac:dyDescent="0.15">
      <c r="A3" s="47">
        <v>65525001</v>
      </c>
      <c r="B3" s="47">
        <v>0</v>
      </c>
      <c r="C3" s="47" t="s">
        <v>90</v>
      </c>
      <c r="D3" s="47">
        <v>100</v>
      </c>
      <c r="E3" s="47">
        <v>35</v>
      </c>
      <c r="F3" s="47" t="s">
        <v>91</v>
      </c>
      <c r="G3" s="47" t="s">
        <v>260</v>
      </c>
      <c r="H3" s="47" t="s">
        <v>91</v>
      </c>
      <c r="I3" s="47" t="s">
        <v>91</v>
      </c>
      <c r="J3" s="48">
        <f t="shared" ref="J3:J62" si="1">D3</f>
        <v>100</v>
      </c>
    </row>
    <row r="4" spans="1:11" ht="21" customHeight="1" x14ac:dyDescent="0.15">
      <c r="A4" s="47">
        <v>65525002</v>
      </c>
      <c r="B4" s="47">
        <v>0</v>
      </c>
      <c r="C4" s="47" t="s">
        <v>90</v>
      </c>
      <c r="D4" s="47">
        <v>100</v>
      </c>
      <c r="E4" s="47">
        <v>35</v>
      </c>
      <c r="F4" s="47" t="s">
        <v>91</v>
      </c>
      <c r="G4" s="47" t="s">
        <v>260</v>
      </c>
      <c r="H4" s="47" t="s">
        <v>91</v>
      </c>
      <c r="I4" s="47" t="s">
        <v>91</v>
      </c>
      <c r="J4" s="48">
        <f t="shared" si="1"/>
        <v>100</v>
      </c>
    </row>
    <row r="5" spans="1:11" ht="21" customHeight="1" x14ac:dyDescent="0.15">
      <c r="A5" s="47">
        <v>65525003</v>
      </c>
      <c r="B5" s="47">
        <v>0</v>
      </c>
      <c r="C5" s="47" t="s">
        <v>90</v>
      </c>
      <c r="D5" s="47">
        <v>100</v>
      </c>
      <c r="E5" s="47">
        <v>35</v>
      </c>
      <c r="F5" s="47" t="s">
        <v>91</v>
      </c>
      <c r="G5" s="47" t="s">
        <v>260</v>
      </c>
      <c r="H5" s="47" t="s">
        <v>91</v>
      </c>
      <c r="I5" s="47" t="s">
        <v>91</v>
      </c>
      <c r="J5" s="48">
        <f t="shared" si="1"/>
        <v>100</v>
      </c>
    </row>
    <row r="6" spans="1:11" ht="21" customHeight="1" x14ac:dyDescent="0.15">
      <c r="A6" s="47">
        <v>65525004</v>
      </c>
      <c r="B6" s="47">
        <v>0</v>
      </c>
      <c r="C6" s="47" t="s">
        <v>90</v>
      </c>
      <c r="D6" s="47">
        <v>100</v>
      </c>
      <c r="E6" s="47">
        <v>35</v>
      </c>
      <c r="F6" s="47" t="s">
        <v>91</v>
      </c>
      <c r="G6" s="47" t="s">
        <v>260</v>
      </c>
      <c r="H6" s="47" t="s">
        <v>91</v>
      </c>
      <c r="I6" s="47" t="s">
        <v>91</v>
      </c>
      <c r="J6" s="48">
        <f t="shared" si="1"/>
        <v>100</v>
      </c>
    </row>
    <row r="7" spans="1:11" ht="21" customHeight="1" x14ac:dyDescent="0.15">
      <c r="A7" s="47">
        <v>65525005</v>
      </c>
      <c r="B7" s="47">
        <v>0</v>
      </c>
      <c r="C7" s="47" t="s">
        <v>90</v>
      </c>
      <c r="D7" s="47">
        <v>100</v>
      </c>
      <c r="E7" s="47">
        <v>35</v>
      </c>
      <c r="F7" s="47" t="s">
        <v>91</v>
      </c>
      <c r="G7" s="47" t="s">
        <v>260</v>
      </c>
      <c r="H7" s="47" t="s">
        <v>91</v>
      </c>
      <c r="I7" s="47" t="s">
        <v>91</v>
      </c>
      <c r="J7" s="48">
        <f t="shared" si="1"/>
        <v>100</v>
      </c>
    </row>
    <row r="8" spans="1:11" ht="21" customHeight="1" x14ac:dyDescent="0.15">
      <c r="A8" s="47">
        <v>65525006</v>
      </c>
      <c r="B8" s="47">
        <v>0</v>
      </c>
      <c r="C8" s="47" t="s">
        <v>90</v>
      </c>
      <c r="D8" s="47">
        <v>100</v>
      </c>
      <c r="E8" s="47">
        <v>35</v>
      </c>
      <c r="F8" s="47" t="s">
        <v>91</v>
      </c>
      <c r="G8" s="47" t="s">
        <v>260</v>
      </c>
      <c r="H8" s="47" t="s">
        <v>91</v>
      </c>
      <c r="I8" s="47" t="s">
        <v>91</v>
      </c>
      <c r="J8" s="48">
        <f t="shared" si="1"/>
        <v>100</v>
      </c>
    </row>
    <row r="9" spans="1:11" ht="21" customHeight="1" x14ac:dyDescent="0.15">
      <c r="A9" s="47">
        <v>65525007</v>
      </c>
      <c r="B9" s="47">
        <v>0</v>
      </c>
      <c r="C9" s="47" t="s">
        <v>90</v>
      </c>
      <c r="D9" s="47">
        <v>100</v>
      </c>
      <c r="E9" s="47">
        <v>35</v>
      </c>
      <c r="F9" s="47" t="s">
        <v>91</v>
      </c>
      <c r="G9" s="47" t="s">
        <v>260</v>
      </c>
      <c r="H9" s="47" t="s">
        <v>91</v>
      </c>
      <c r="I9" s="47" t="s">
        <v>91</v>
      </c>
      <c r="J9" s="48">
        <f t="shared" si="1"/>
        <v>100</v>
      </c>
    </row>
    <row r="10" spans="1:11" ht="21" customHeight="1" x14ac:dyDescent="0.15">
      <c r="A10" s="47">
        <v>65525008</v>
      </c>
      <c r="B10" s="47">
        <v>0</v>
      </c>
      <c r="C10" s="47" t="s">
        <v>90</v>
      </c>
      <c r="D10" s="47">
        <v>100</v>
      </c>
      <c r="E10" s="47">
        <v>35</v>
      </c>
      <c r="F10" s="47" t="s">
        <v>91</v>
      </c>
      <c r="G10" s="47" t="s">
        <v>260</v>
      </c>
      <c r="H10" s="47" t="s">
        <v>91</v>
      </c>
      <c r="I10" s="47" t="s">
        <v>91</v>
      </c>
      <c r="J10" s="48">
        <f t="shared" si="1"/>
        <v>100</v>
      </c>
    </row>
    <row r="11" spans="1:11" ht="21" customHeight="1" x14ac:dyDescent="0.15">
      <c r="A11" s="47">
        <v>65525009</v>
      </c>
      <c r="B11" s="47">
        <v>0</v>
      </c>
      <c r="C11" s="47" t="s">
        <v>90</v>
      </c>
      <c r="D11" s="47">
        <v>100</v>
      </c>
      <c r="E11" s="47">
        <v>35</v>
      </c>
      <c r="F11" s="47" t="s">
        <v>91</v>
      </c>
      <c r="G11" s="47" t="s">
        <v>260</v>
      </c>
      <c r="H11" s="47" t="s">
        <v>91</v>
      </c>
      <c r="I11" s="47" t="s">
        <v>91</v>
      </c>
      <c r="J11" s="48">
        <f t="shared" si="1"/>
        <v>100</v>
      </c>
    </row>
    <row r="12" spans="1:11" ht="21" customHeight="1" x14ac:dyDescent="0.15">
      <c r="A12" s="47">
        <v>65525010</v>
      </c>
      <c r="B12" s="47">
        <v>0</v>
      </c>
      <c r="C12" s="47" t="s">
        <v>90</v>
      </c>
      <c r="D12" s="47">
        <v>100</v>
      </c>
      <c r="E12" s="47">
        <v>35</v>
      </c>
      <c r="F12" s="47" t="s">
        <v>91</v>
      </c>
      <c r="G12" s="47" t="s">
        <v>260</v>
      </c>
      <c r="H12" s="47" t="s">
        <v>91</v>
      </c>
      <c r="I12" s="47" t="s">
        <v>91</v>
      </c>
      <c r="J12" s="48">
        <f t="shared" si="1"/>
        <v>100</v>
      </c>
    </row>
    <row r="13" spans="1:11" ht="21" customHeight="1" x14ac:dyDescent="0.15">
      <c r="A13" s="47">
        <v>65525011</v>
      </c>
      <c r="B13" s="47">
        <v>0</v>
      </c>
      <c r="C13" s="47" t="s">
        <v>90</v>
      </c>
      <c r="D13" s="47">
        <v>100</v>
      </c>
      <c r="E13" s="47">
        <v>35</v>
      </c>
      <c r="F13" s="47" t="s">
        <v>91</v>
      </c>
      <c r="G13" s="47" t="s">
        <v>260</v>
      </c>
      <c r="H13" s="47" t="s">
        <v>91</v>
      </c>
      <c r="I13" s="47" t="s">
        <v>91</v>
      </c>
      <c r="J13" s="48">
        <f t="shared" si="1"/>
        <v>100</v>
      </c>
    </row>
    <row r="14" spans="1:11" ht="21" customHeight="1" x14ac:dyDescent="0.15">
      <c r="A14" s="47">
        <v>65525012</v>
      </c>
      <c r="B14" s="47">
        <v>0</v>
      </c>
      <c r="C14" s="47" t="s">
        <v>90</v>
      </c>
      <c r="D14" s="47">
        <v>100</v>
      </c>
      <c r="E14" s="47">
        <v>35</v>
      </c>
      <c r="F14" s="47" t="s">
        <v>91</v>
      </c>
      <c r="G14" s="47" t="s">
        <v>260</v>
      </c>
      <c r="H14" s="47" t="s">
        <v>91</v>
      </c>
      <c r="I14" s="47" t="s">
        <v>91</v>
      </c>
      <c r="J14" s="48">
        <f t="shared" si="1"/>
        <v>100</v>
      </c>
    </row>
    <row r="15" spans="1:11" ht="21" customHeight="1" x14ac:dyDescent="0.15">
      <c r="A15" s="47">
        <v>65525013</v>
      </c>
      <c r="B15" s="47">
        <v>0</v>
      </c>
      <c r="C15" s="47" t="s">
        <v>90</v>
      </c>
      <c r="D15" s="47">
        <v>100</v>
      </c>
      <c r="E15" s="47">
        <v>35</v>
      </c>
      <c r="F15" s="47" t="s">
        <v>91</v>
      </c>
      <c r="G15" s="47" t="s">
        <v>260</v>
      </c>
      <c r="H15" s="47" t="s">
        <v>91</v>
      </c>
      <c r="I15" s="47" t="s">
        <v>91</v>
      </c>
      <c r="J15" s="48">
        <f t="shared" si="1"/>
        <v>100</v>
      </c>
    </row>
    <row r="16" spans="1:11" ht="21" customHeight="1" x14ac:dyDescent="0.15">
      <c r="A16" s="47">
        <v>65525014</v>
      </c>
      <c r="B16" s="47">
        <v>0</v>
      </c>
      <c r="C16" s="47" t="s">
        <v>90</v>
      </c>
      <c r="D16" s="47">
        <v>100</v>
      </c>
      <c r="E16" s="47">
        <v>35</v>
      </c>
      <c r="F16" s="47" t="s">
        <v>91</v>
      </c>
      <c r="G16" s="47" t="s">
        <v>260</v>
      </c>
      <c r="H16" s="47" t="s">
        <v>91</v>
      </c>
      <c r="I16" s="47" t="s">
        <v>91</v>
      </c>
      <c r="J16" s="48">
        <f t="shared" si="1"/>
        <v>100</v>
      </c>
    </row>
    <row r="17" spans="1:10" ht="21" customHeight="1" x14ac:dyDescent="0.15">
      <c r="A17" s="47">
        <v>65525015</v>
      </c>
      <c r="B17" s="47">
        <v>0</v>
      </c>
      <c r="C17" s="47" t="s">
        <v>90</v>
      </c>
      <c r="D17" s="47">
        <v>100</v>
      </c>
      <c r="E17" s="47">
        <v>35</v>
      </c>
      <c r="F17" s="47" t="s">
        <v>91</v>
      </c>
      <c r="G17" s="47" t="s">
        <v>260</v>
      </c>
      <c r="H17" s="47" t="s">
        <v>91</v>
      </c>
      <c r="I17" s="47" t="s">
        <v>91</v>
      </c>
      <c r="J17" s="48">
        <f t="shared" si="1"/>
        <v>100</v>
      </c>
    </row>
    <row r="18" spans="1:10" ht="21" customHeight="1" x14ac:dyDescent="0.15">
      <c r="A18" s="47">
        <v>65525016</v>
      </c>
      <c r="B18" s="47">
        <v>0</v>
      </c>
      <c r="C18" s="47" t="s">
        <v>90</v>
      </c>
      <c r="D18" s="47">
        <v>100</v>
      </c>
      <c r="E18" s="47">
        <v>35</v>
      </c>
      <c r="F18" s="47" t="s">
        <v>91</v>
      </c>
      <c r="G18" s="47" t="s">
        <v>260</v>
      </c>
      <c r="H18" s="47" t="s">
        <v>91</v>
      </c>
      <c r="I18" s="47" t="s">
        <v>91</v>
      </c>
      <c r="J18" s="48">
        <f t="shared" si="1"/>
        <v>100</v>
      </c>
    </row>
    <row r="19" spans="1:10" ht="21" customHeight="1" x14ac:dyDescent="0.15">
      <c r="A19" s="47">
        <v>65525017</v>
      </c>
      <c r="B19" s="47">
        <v>0</v>
      </c>
      <c r="C19" s="47" t="s">
        <v>90</v>
      </c>
      <c r="D19" s="47">
        <v>100</v>
      </c>
      <c r="E19" s="47">
        <v>35</v>
      </c>
      <c r="F19" s="47" t="s">
        <v>91</v>
      </c>
      <c r="G19" s="47" t="s">
        <v>260</v>
      </c>
      <c r="H19" s="47" t="s">
        <v>91</v>
      </c>
      <c r="I19" s="47" t="s">
        <v>91</v>
      </c>
      <c r="J19" s="48">
        <f t="shared" si="1"/>
        <v>100</v>
      </c>
    </row>
    <row r="20" spans="1:10" ht="21" customHeight="1" x14ac:dyDescent="0.15">
      <c r="A20" s="47">
        <v>65525018</v>
      </c>
      <c r="B20" s="47">
        <v>0</v>
      </c>
      <c r="C20" s="47" t="s">
        <v>90</v>
      </c>
      <c r="D20" s="47">
        <v>100</v>
      </c>
      <c r="E20" s="47">
        <v>35</v>
      </c>
      <c r="F20" s="47" t="s">
        <v>91</v>
      </c>
      <c r="G20" s="47" t="s">
        <v>260</v>
      </c>
      <c r="H20" s="47" t="s">
        <v>91</v>
      </c>
      <c r="I20" s="47" t="s">
        <v>91</v>
      </c>
      <c r="J20" s="48">
        <f t="shared" si="1"/>
        <v>100</v>
      </c>
    </row>
    <row r="21" spans="1:10" ht="21" customHeight="1" x14ac:dyDescent="0.15">
      <c r="A21" s="47">
        <v>65525019</v>
      </c>
      <c r="B21" s="47">
        <v>0</v>
      </c>
      <c r="C21" s="47" t="s">
        <v>90</v>
      </c>
      <c r="D21" s="47">
        <v>100</v>
      </c>
      <c r="E21" s="47">
        <v>35</v>
      </c>
      <c r="F21" s="47" t="s">
        <v>91</v>
      </c>
      <c r="G21" s="47" t="s">
        <v>260</v>
      </c>
      <c r="H21" s="47" t="s">
        <v>91</v>
      </c>
      <c r="I21" s="47" t="s">
        <v>91</v>
      </c>
      <c r="J21" s="48">
        <f t="shared" si="1"/>
        <v>100</v>
      </c>
    </row>
    <row r="22" spans="1:10" ht="21" customHeight="1" x14ac:dyDescent="0.15">
      <c r="A22" s="47">
        <v>65525020</v>
      </c>
      <c r="B22" s="47">
        <v>0</v>
      </c>
      <c r="C22" s="47" t="s">
        <v>90</v>
      </c>
      <c r="D22" s="47">
        <v>100</v>
      </c>
      <c r="E22" s="47">
        <v>35</v>
      </c>
      <c r="F22" s="47" t="s">
        <v>91</v>
      </c>
      <c r="G22" s="47" t="s">
        <v>260</v>
      </c>
      <c r="H22" s="47" t="s">
        <v>91</v>
      </c>
      <c r="I22" s="47" t="s">
        <v>91</v>
      </c>
      <c r="J22" s="48">
        <f t="shared" si="1"/>
        <v>100</v>
      </c>
    </row>
    <row r="23" spans="1:10" ht="21" customHeight="1" x14ac:dyDescent="0.15">
      <c r="A23" s="47">
        <v>65525021</v>
      </c>
      <c r="B23" s="47">
        <v>0</v>
      </c>
      <c r="C23" s="47" t="s">
        <v>90</v>
      </c>
      <c r="D23" s="47">
        <v>100</v>
      </c>
      <c r="E23" s="47">
        <v>35</v>
      </c>
      <c r="F23" s="47" t="s">
        <v>91</v>
      </c>
      <c r="G23" s="47" t="s">
        <v>260</v>
      </c>
      <c r="H23" s="47" t="s">
        <v>91</v>
      </c>
      <c r="I23" s="47" t="s">
        <v>91</v>
      </c>
      <c r="J23" s="48">
        <f t="shared" si="1"/>
        <v>100</v>
      </c>
    </row>
    <row r="24" spans="1:10" ht="21" customHeight="1" x14ac:dyDescent="0.15">
      <c r="A24" s="47">
        <v>65525022</v>
      </c>
      <c r="B24" s="47">
        <v>0</v>
      </c>
      <c r="C24" s="47" t="s">
        <v>90</v>
      </c>
      <c r="D24" s="47">
        <v>100</v>
      </c>
      <c r="E24" s="47">
        <v>35</v>
      </c>
      <c r="F24" s="47" t="s">
        <v>91</v>
      </c>
      <c r="G24" s="47" t="s">
        <v>260</v>
      </c>
      <c r="H24" s="47" t="s">
        <v>91</v>
      </c>
      <c r="I24" s="47" t="s">
        <v>91</v>
      </c>
      <c r="J24" s="48">
        <f t="shared" si="1"/>
        <v>100</v>
      </c>
    </row>
    <row r="25" spans="1:10" ht="21" customHeight="1" x14ac:dyDescent="0.15">
      <c r="A25" s="47">
        <v>65525023</v>
      </c>
      <c r="B25" s="47">
        <v>0</v>
      </c>
      <c r="C25" s="47" t="s">
        <v>90</v>
      </c>
      <c r="D25" s="47">
        <v>100</v>
      </c>
      <c r="E25" s="47">
        <v>35</v>
      </c>
      <c r="F25" s="47" t="s">
        <v>91</v>
      </c>
      <c r="G25" s="47" t="s">
        <v>260</v>
      </c>
      <c r="H25" s="47" t="s">
        <v>91</v>
      </c>
      <c r="I25" s="47" t="s">
        <v>91</v>
      </c>
      <c r="J25" s="48">
        <f t="shared" si="1"/>
        <v>100</v>
      </c>
    </row>
    <row r="26" spans="1:10" ht="21" customHeight="1" x14ac:dyDescent="0.15">
      <c r="A26" s="47">
        <v>65525024</v>
      </c>
      <c r="B26" s="47">
        <v>0</v>
      </c>
      <c r="C26" s="47" t="s">
        <v>90</v>
      </c>
      <c r="D26" s="47">
        <v>100</v>
      </c>
      <c r="E26" s="47">
        <v>35</v>
      </c>
      <c r="F26" s="47" t="s">
        <v>91</v>
      </c>
      <c r="G26" s="47" t="s">
        <v>260</v>
      </c>
      <c r="H26" s="47" t="s">
        <v>91</v>
      </c>
      <c r="I26" s="47" t="s">
        <v>91</v>
      </c>
      <c r="J26" s="48">
        <f t="shared" si="1"/>
        <v>100</v>
      </c>
    </row>
    <row r="27" spans="1:10" ht="21" customHeight="1" x14ac:dyDescent="0.15">
      <c r="A27" s="47">
        <v>65525025</v>
      </c>
      <c r="B27" s="47">
        <v>0</v>
      </c>
      <c r="C27" s="47" t="s">
        <v>90</v>
      </c>
      <c r="D27" s="47">
        <v>100</v>
      </c>
      <c r="E27" s="47">
        <v>35</v>
      </c>
      <c r="F27" s="47" t="s">
        <v>91</v>
      </c>
      <c r="G27" s="47" t="s">
        <v>260</v>
      </c>
      <c r="H27" s="47" t="s">
        <v>91</v>
      </c>
      <c r="I27" s="47" t="s">
        <v>91</v>
      </c>
      <c r="J27" s="48">
        <f t="shared" si="1"/>
        <v>100</v>
      </c>
    </row>
    <row r="28" spans="1:10" ht="21" customHeight="1" x14ac:dyDescent="0.15">
      <c r="A28" s="47">
        <v>65525026</v>
      </c>
      <c r="B28" s="47">
        <v>0</v>
      </c>
      <c r="C28" s="47" t="s">
        <v>90</v>
      </c>
      <c r="D28" s="47">
        <v>100</v>
      </c>
      <c r="E28" s="47">
        <v>35</v>
      </c>
      <c r="F28" s="47" t="s">
        <v>91</v>
      </c>
      <c r="G28" s="47" t="s">
        <v>260</v>
      </c>
      <c r="H28" s="47" t="s">
        <v>91</v>
      </c>
      <c r="I28" s="47" t="s">
        <v>91</v>
      </c>
      <c r="J28" s="48">
        <f t="shared" si="1"/>
        <v>100</v>
      </c>
    </row>
    <row r="29" spans="1:10" ht="21" customHeight="1" x14ac:dyDescent="0.15">
      <c r="A29" s="47">
        <v>65525027</v>
      </c>
      <c r="B29" s="47">
        <v>0</v>
      </c>
      <c r="C29" s="47" t="s">
        <v>90</v>
      </c>
      <c r="D29" s="47">
        <v>100</v>
      </c>
      <c r="E29" s="47">
        <v>35</v>
      </c>
      <c r="F29" s="47" t="s">
        <v>91</v>
      </c>
      <c r="G29" s="47" t="s">
        <v>260</v>
      </c>
      <c r="H29" s="47" t="s">
        <v>91</v>
      </c>
      <c r="I29" s="47" t="s">
        <v>91</v>
      </c>
      <c r="J29" s="48">
        <f t="shared" si="1"/>
        <v>100</v>
      </c>
    </row>
    <row r="30" spans="1:10" ht="21" customHeight="1" x14ac:dyDescent="0.15">
      <c r="A30" s="47">
        <v>65525028</v>
      </c>
      <c r="B30" s="47">
        <v>0</v>
      </c>
      <c r="C30" s="47" t="s">
        <v>90</v>
      </c>
      <c r="D30" s="47">
        <v>100</v>
      </c>
      <c r="E30" s="47">
        <v>35</v>
      </c>
      <c r="F30" s="47" t="s">
        <v>91</v>
      </c>
      <c r="G30" s="47" t="s">
        <v>260</v>
      </c>
      <c r="H30" s="47" t="s">
        <v>91</v>
      </c>
      <c r="I30" s="47" t="s">
        <v>91</v>
      </c>
      <c r="J30" s="48">
        <f t="shared" si="1"/>
        <v>100</v>
      </c>
    </row>
    <row r="31" spans="1:10" ht="21" customHeight="1" x14ac:dyDescent="0.15">
      <c r="A31" s="47">
        <v>65525029</v>
      </c>
      <c r="B31" s="47">
        <v>0</v>
      </c>
      <c r="C31" s="47" t="s">
        <v>90</v>
      </c>
      <c r="D31" s="47">
        <v>100</v>
      </c>
      <c r="E31" s="47">
        <v>35</v>
      </c>
      <c r="F31" s="47" t="s">
        <v>91</v>
      </c>
      <c r="G31" s="47" t="s">
        <v>260</v>
      </c>
      <c r="H31" s="47" t="s">
        <v>91</v>
      </c>
      <c r="I31" s="47" t="s">
        <v>91</v>
      </c>
      <c r="J31" s="48">
        <f t="shared" si="1"/>
        <v>100</v>
      </c>
    </row>
    <row r="32" spans="1:10" ht="21" customHeight="1" x14ac:dyDescent="0.15">
      <c r="A32" s="47">
        <v>65525030</v>
      </c>
      <c r="B32" s="47">
        <v>0</v>
      </c>
      <c r="C32" s="47" t="s">
        <v>90</v>
      </c>
      <c r="D32" s="47">
        <v>100</v>
      </c>
      <c r="E32" s="47">
        <v>35</v>
      </c>
      <c r="F32" s="47" t="s">
        <v>91</v>
      </c>
      <c r="G32" s="47" t="s">
        <v>260</v>
      </c>
      <c r="H32" s="47" t="s">
        <v>91</v>
      </c>
      <c r="I32" s="47" t="s">
        <v>91</v>
      </c>
      <c r="J32" s="48">
        <f t="shared" si="1"/>
        <v>100</v>
      </c>
    </row>
    <row r="33" spans="1:10" ht="21" customHeight="1" x14ac:dyDescent="0.15">
      <c r="A33" s="47">
        <v>65525031</v>
      </c>
      <c r="B33" s="47">
        <v>0</v>
      </c>
      <c r="C33" s="47" t="s">
        <v>90</v>
      </c>
      <c r="D33" s="47">
        <v>100</v>
      </c>
      <c r="E33" s="47">
        <v>35</v>
      </c>
      <c r="F33" s="47" t="s">
        <v>91</v>
      </c>
      <c r="G33" s="47" t="s">
        <v>260</v>
      </c>
      <c r="H33" s="47" t="s">
        <v>91</v>
      </c>
      <c r="I33" s="47" t="s">
        <v>91</v>
      </c>
      <c r="J33" s="48">
        <f t="shared" si="1"/>
        <v>100</v>
      </c>
    </row>
    <row r="34" spans="1:10" ht="21" customHeight="1" x14ac:dyDescent="0.15">
      <c r="A34" s="47">
        <v>65525032</v>
      </c>
      <c r="B34" s="47">
        <v>0</v>
      </c>
      <c r="C34" s="47" t="s">
        <v>90</v>
      </c>
      <c r="D34" s="47">
        <v>100</v>
      </c>
      <c r="E34" s="47">
        <v>35</v>
      </c>
      <c r="F34" s="47" t="s">
        <v>91</v>
      </c>
      <c r="G34" s="47" t="s">
        <v>260</v>
      </c>
      <c r="H34" s="47" t="s">
        <v>91</v>
      </c>
      <c r="I34" s="47" t="s">
        <v>91</v>
      </c>
      <c r="J34" s="48">
        <f t="shared" si="1"/>
        <v>100</v>
      </c>
    </row>
    <row r="35" spans="1:10" ht="21" customHeight="1" x14ac:dyDescent="0.15">
      <c r="A35" s="47">
        <v>65525033</v>
      </c>
      <c r="B35" s="47">
        <v>0</v>
      </c>
      <c r="C35" s="47" t="s">
        <v>90</v>
      </c>
      <c r="D35" s="47">
        <v>100</v>
      </c>
      <c r="E35" s="47">
        <v>35</v>
      </c>
      <c r="F35" s="47" t="s">
        <v>91</v>
      </c>
      <c r="G35" s="47" t="s">
        <v>260</v>
      </c>
      <c r="H35" s="47" t="s">
        <v>91</v>
      </c>
      <c r="I35" s="47" t="s">
        <v>91</v>
      </c>
      <c r="J35" s="48">
        <f t="shared" si="1"/>
        <v>100</v>
      </c>
    </row>
    <row r="36" spans="1:10" ht="21" customHeight="1" x14ac:dyDescent="0.15">
      <c r="A36" s="47">
        <v>65525034</v>
      </c>
      <c r="B36" s="47">
        <v>0</v>
      </c>
      <c r="C36" s="47" t="s">
        <v>90</v>
      </c>
      <c r="D36" s="47">
        <v>100</v>
      </c>
      <c r="E36" s="47">
        <v>35</v>
      </c>
      <c r="F36" s="47" t="s">
        <v>91</v>
      </c>
      <c r="G36" s="47" t="s">
        <v>260</v>
      </c>
      <c r="H36" s="47" t="s">
        <v>91</v>
      </c>
      <c r="I36" s="47" t="s">
        <v>91</v>
      </c>
      <c r="J36" s="48">
        <f t="shared" si="1"/>
        <v>100</v>
      </c>
    </row>
    <row r="37" spans="1:10" ht="21" customHeight="1" x14ac:dyDescent="0.15">
      <c r="A37" s="47">
        <v>65525035</v>
      </c>
      <c r="B37" s="47">
        <v>0</v>
      </c>
      <c r="C37" s="47" t="s">
        <v>90</v>
      </c>
      <c r="D37" s="47">
        <v>100</v>
      </c>
      <c r="E37" s="47">
        <v>35</v>
      </c>
      <c r="F37" s="47" t="s">
        <v>91</v>
      </c>
      <c r="G37" s="47" t="s">
        <v>260</v>
      </c>
      <c r="H37" s="47" t="s">
        <v>91</v>
      </c>
      <c r="I37" s="47" t="s">
        <v>91</v>
      </c>
      <c r="J37" s="48">
        <f t="shared" si="1"/>
        <v>100</v>
      </c>
    </row>
    <row r="38" spans="1:10" ht="21" customHeight="1" x14ac:dyDescent="0.15">
      <c r="A38" s="47">
        <v>65525036</v>
      </c>
      <c r="B38" s="47">
        <v>0</v>
      </c>
      <c r="C38" s="47" t="s">
        <v>90</v>
      </c>
      <c r="D38" s="47">
        <v>100</v>
      </c>
      <c r="E38" s="47">
        <v>35</v>
      </c>
      <c r="F38" s="47" t="s">
        <v>91</v>
      </c>
      <c r="G38" s="47" t="s">
        <v>260</v>
      </c>
      <c r="H38" s="47" t="s">
        <v>91</v>
      </c>
      <c r="I38" s="47" t="s">
        <v>91</v>
      </c>
      <c r="J38" s="48">
        <f t="shared" si="1"/>
        <v>100</v>
      </c>
    </row>
    <row r="39" spans="1:10" ht="21" customHeight="1" x14ac:dyDescent="0.15">
      <c r="A39" s="47">
        <v>65525037</v>
      </c>
      <c r="B39" s="47">
        <v>0</v>
      </c>
      <c r="C39" s="47" t="s">
        <v>90</v>
      </c>
      <c r="D39" s="47">
        <v>100</v>
      </c>
      <c r="E39" s="47">
        <v>35</v>
      </c>
      <c r="F39" s="47" t="s">
        <v>91</v>
      </c>
      <c r="G39" s="47" t="s">
        <v>260</v>
      </c>
      <c r="H39" s="47" t="s">
        <v>91</v>
      </c>
      <c r="I39" s="47" t="s">
        <v>91</v>
      </c>
      <c r="J39" s="48">
        <f t="shared" si="1"/>
        <v>100</v>
      </c>
    </row>
    <row r="40" spans="1:10" ht="21" customHeight="1" x14ac:dyDescent="0.15">
      <c r="A40" s="47">
        <v>65525038</v>
      </c>
      <c r="B40" s="47">
        <v>0</v>
      </c>
      <c r="C40" s="47" t="s">
        <v>90</v>
      </c>
      <c r="D40" s="47">
        <v>100</v>
      </c>
      <c r="E40" s="47">
        <v>35</v>
      </c>
      <c r="F40" s="47" t="s">
        <v>91</v>
      </c>
      <c r="G40" s="47" t="s">
        <v>260</v>
      </c>
      <c r="H40" s="47" t="s">
        <v>91</v>
      </c>
      <c r="I40" s="47" t="s">
        <v>91</v>
      </c>
      <c r="J40" s="48">
        <f t="shared" si="1"/>
        <v>100</v>
      </c>
    </row>
    <row r="41" spans="1:10" ht="21" customHeight="1" x14ac:dyDescent="0.15">
      <c r="A41" s="47">
        <v>65525039</v>
      </c>
      <c r="B41" s="47">
        <v>0</v>
      </c>
      <c r="C41" s="47" t="s">
        <v>90</v>
      </c>
      <c r="D41" s="47">
        <v>100</v>
      </c>
      <c r="E41" s="47">
        <v>35</v>
      </c>
      <c r="F41" s="47" t="s">
        <v>91</v>
      </c>
      <c r="G41" s="47" t="s">
        <v>260</v>
      </c>
      <c r="H41" s="47" t="s">
        <v>91</v>
      </c>
      <c r="I41" s="47" t="s">
        <v>91</v>
      </c>
      <c r="J41" s="48">
        <f t="shared" si="1"/>
        <v>100</v>
      </c>
    </row>
    <row r="42" spans="1:10" ht="21" customHeight="1" x14ac:dyDescent="0.15">
      <c r="A42" s="47">
        <v>65525040</v>
      </c>
      <c r="B42" s="47">
        <v>0</v>
      </c>
      <c r="C42" s="47" t="s">
        <v>90</v>
      </c>
      <c r="D42" s="47">
        <v>100</v>
      </c>
      <c r="E42" s="47">
        <v>35</v>
      </c>
      <c r="F42" s="47" t="s">
        <v>91</v>
      </c>
      <c r="G42" s="47" t="s">
        <v>260</v>
      </c>
      <c r="H42" s="47" t="s">
        <v>91</v>
      </c>
      <c r="I42" s="47" t="s">
        <v>91</v>
      </c>
      <c r="J42" s="48">
        <f t="shared" si="1"/>
        <v>100</v>
      </c>
    </row>
    <row r="43" spans="1:10" ht="21" customHeight="1" x14ac:dyDescent="0.15">
      <c r="A43" s="47">
        <v>65525041</v>
      </c>
      <c r="B43" s="47">
        <v>0</v>
      </c>
      <c r="C43" s="47" t="s">
        <v>90</v>
      </c>
      <c r="D43" s="47">
        <v>100</v>
      </c>
      <c r="E43" s="47">
        <v>35</v>
      </c>
      <c r="F43" s="47" t="s">
        <v>91</v>
      </c>
      <c r="G43" s="47" t="s">
        <v>260</v>
      </c>
      <c r="H43" s="47" t="s">
        <v>91</v>
      </c>
      <c r="I43" s="47" t="s">
        <v>91</v>
      </c>
      <c r="J43" s="48">
        <f t="shared" si="1"/>
        <v>100</v>
      </c>
    </row>
    <row r="44" spans="1:10" ht="21" customHeight="1" x14ac:dyDescent="0.15">
      <c r="A44" s="47">
        <v>65525042</v>
      </c>
      <c r="B44" s="47">
        <v>0</v>
      </c>
      <c r="C44" s="47" t="s">
        <v>90</v>
      </c>
      <c r="D44" s="47">
        <v>100</v>
      </c>
      <c r="E44" s="47">
        <v>35</v>
      </c>
      <c r="F44" s="47" t="s">
        <v>91</v>
      </c>
      <c r="G44" s="47" t="s">
        <v>260</v>
      </c>
      <c r="H44" s="47" t="s">
        <v>91</v>
      </c>
      <c r="I44" s="47" t="s">
        <v>91</v>
      </c>
      <c r="J44" s="48">
        <f t="shared" si="1"/>
        <v>100</v>
      </c>
    </row>
    <row r="45" spans="1:10" ht="21" customHeight="1" x14ac:dyDescent="0.15">
      <c r="A45" s="47">
        <v>65525043</v>
      </c>
      <c r="B45" s="47">
        <v>0</v>
      </c>
      <c r="C45" s="47" t="s">
        <v>90</v>
      </c>
      <c r="D45" s="47">
        <v>100</v>
      </c>
      <c r="E45" s="47">
        <v>35</v>
      </c>
      <c r="F45" s="47" t="s">
        <v>91</v>
      </c>
      <c r="G45" s="47" t="s">
        <v>260</v>
      </c>
      <c r="H45" s="47" t="s">
        <v>91</v>
      </c>
      <c r="I45" s="47" t="s">
        <v>91</v>
      </c>
      <c r="J45" s="48">
        <f t="shared" si="1"/>
        <v>100</v>
      </c>
    </row>
    <row r="46" spans="1:10" ht="21" customHeight="1" x14ac:dyDescent="0.15">
      <c r="A46" s="47">
        <v>65525044</v>
      </c>
      <c r="B46" s="47">
        <v>0</v>
      </c>
      <c r="C46" s="47" t="s">
        <v>90</v>
      </c>
      <c r="D46" s="47">
        <v>100</v>
      </c>
      <c r="E46" s="47">
        <v>35</v>
      </c>
      <c r="F46" s="47" t="s">
        <v>91</v>
      </c>
      <c r="G46" s="47" t="s">
        <v>260</v>
      </c>
      <c r="H46" s="47" t="s">
        <v>91</v>
      </c>
      <c r="I46" s="47" t="s">
        <v>91</v>
      </c>
      <c r="J46" s="48">
        <f t="shared" si="1"/>
        <v>100</v>
      </c>
    </row>
    <row r="47" spans="1:10" ht="21" customHeight="1" x14ac:dyDescent="0.15">
      <c r="A47" s="47">
        <v>65525045</v>
      </c>
      <c r="B47" s="47">
        <v>0</v>
      </c>
      <c r="C47" s="47" t="s">
        <v>90</v>
      </c>
      <c r="D47" s="47">
        <v>100</v>
      </c>
      <c r="E47" s="47">
        <v>35</v>
      </c>
      <c r="F47" s="47" t="s">
        <v>91</v>
      </c>
      <c r="G47" s="47" t="s">
        <v>260</v>
      </c>
      <c r="H47" s="47" t="s">
        <v>91</v>
      </c>
      <c r="I47" s="47" t="s">
        <v>91</v>
      </c>
      <c r="J47" s="48">
        <f t="shared" si="1"/>
        <v>100</v>
      </c>
    </row>
    <row r="48" spans="1:10" ht="21" customHeight="1" x14ac:dyDescent="0.15">
      <c r="A48" s="47">
        <v>65525046</v>
      </c>
      <c r="B48" s="47">
        <v>0</v>
      </c>
      <c r="C48" s="47" t="s">
        <v>90</v>
      </c>
      <c r="D48" s="47">
        <v>100</v>
      </c>
      <c r="E48" s="47">
        <v>35</v>
      </c>
      <c r="F48" s="47" t="s">
        <v>91</v>
      </c>
      <c r="G48" s="47" t="s">
        <v>260</v>
      </c>
      <c r="H48" s="47" t="s">
        <v>91</v>
      </c>
      <c r="I48" s="47" t="s">
        <v>91</v>
      </c>
      <c r="J48" s="48">
        <f t="shared" si="1"/>
        <v>100</v>
      </c>
    </row>
    <row r="49" spans="1:10" ht="21" customHeight="1" x14ac:dyDescent="0.15">
      <c r="A49" s="47">
        <v>65525047</v>
      </c>
      <c r="B49" s="47">
        <v>0</v>
      </c>
      <c r="C49" s="47" t="s">
        <v>90</v>
      </c>
      <c r="D49" s="47">
        <v>100</v>
      </c>
      <c r="E49" s="47">
        <v>35</v>
      </c>
      <c r="F49" s="47" t="s">
        <v>91</v>
      </c>
      <c r="G49" s="47" t="s">
        <v>260</v>
      </c>
      <c r="H49" s="47" t="s">
        <v>91</v>
      </c>
      <c r="I49" s="47" t="s">
        <v>91</v>
      </c>
      <c r="J49" s="48">
        <f t="shared" si="1"/>
        <v>100</v>
      </c>
    </row>
    <row r="50" spans="1:10" ht="21" customHeight="1" x14ac:dyDescent="0.15">
      <c r="A50" s="47">
        <v>65525048</v>
      </c>
      <c r="B50" s="47">
        <v>0</v>
      </c>
      <c r="C50" s="47" t="s">
        <v>90</v>
      </c>
      <c r="D50" s="47">
        <v>100</v>
      </c>
      <c r="E50" s="47">
        <v>35</v>
      </c>
      <c r="F50" s="47" t="s">
        <v>91</v>
      </c>
      <c r="G50" s="47" t="s">
        <v>260</v>
      </c>
      <c r="H50" s="47" t="s">
        <v>91</v>
      </c>
      <c r="I50" s="47" t="s">
        <v>91</v>
      </c>
      <c r="J50" s="48">
        <f t="shared" si="1"/>
        <v>100</v>
      </c>
    </row>
    <row r="51" spans="1:10" ht="21" customHeight="1" x14ac:dyDescent="0.15">
      <c r="A51" s="47">
        <v>65525049</v>
      </c>
      <c r="B51" s="47">
        <v>0</v>
      </c>
      <c r="C51" s="47" t="s">
        <v>90</v>
      </c>
      <c r="D51" s="47">
        <v>100</v>
      </c>
      <c r="E51" s="47">
        <v>35</v>
      </c>
      <c r="F51" s="47" t="s">
        <v>91</v>
      </c>
      <c r="G51" s="47" t="s">
        <v>260</v>
      </c>
      <c r="H51" s="47" t="s">
        <v>91</v>
      </c>
      <c r="I51" s="47" t="s">
        <v>91</v>
      </c>
      <c r="J51" s="48">
        <f t="shared" si="1"/>
        <v>100</v>
      </c>
    </row>
    <row r="52" spans="1:10" ht="21" customHeight="1" x14ac:dyDescent="0.15">
      <c r="A52" s="47">
        <v>65525050</v>
      </c>
      <c r="B52" s="47">
        <v>0</v>
      </c>
      <c r="C52" s="47" t="s">
        <v>90</v>
      </c>
      <c r="D52" s="47">
        <v>100</v>
      </c>
      <c r="E52" s="47">
        <v>35</v>
      </c>
      <c r="F52" s="47" t="s">
        <v>91</v>
      </c>
      <c r="G52" s="47" t="s">
        <v>260</v>
      </c>
      <c r="H52" s="47" t="s">
        <v>91</v>
      </c>
      <c r="I52" s="47" t="s">
        <v>91</v>
      </c>
      <c r="J52" s="48">
        <f t="shared" si="1"/>
        <v>100</v>
      </c>
    </row>
    <row r="53" spans="1:10" ht="21" customHeight="1" x14ac:dyDescent="0.15">
      <c r="A53" s="47">
        <v>65525051</v>
      </c>
      <c r="B53" s="47">
        <v>0</v>
      </c>
      <c r="C53" s="47" t="s">
        <v>90</v>
      </c>
      <c r="D53" s="47">
        <v>100</v>
      </c>
      <c r="E53" s="47">
        <v>35</v>
      </c>
      <c r="F53" s="47" t="s">
        <v>91</v>
      </c>
      <c r="G53" s="47" t="s">
        <v>260</v>
      </c>
      <c r="H53" s="47" t="s">
        <v>91</v>
      </c>
      <c r="I53" s="47" t="s">
        <v>91</v>
      </c>
      <c r="J53" s="48">
        <f t="shared" si="1"/>
        <v>100</v>
      </c>
    </row>
    <row r="54" spans="1:10" ht="21" customHeight="1" x14ac:dyDescent="0.15">
      <c r="A54" s="47">
        <v>65525052</v>
      </c>
      <c r="B54" s="47">
        <v>0</v>
      </c>
      <c r="C54" s="47" t="s">
        <v>90</v>
      </c>
      <c r="D54" s="47">
        <v>100</v>
      </c>
      <c r="E54" s="47">
        <v>35</v>
      </c>
      <c r="F54" s="47" t="s">
        <v>91</v>
      </c>
      <c r="G54" s="47" t="s">
        <v>260</v>
      </c>
      <c r="H54" s="47" t="s">
        <v>91</v>
      </c>
      <c r="I54" s="47" t="s">
        <v>91</v>
      </c>
      <c r="J54" s="48">
        <f t="shared" si="1"/>
        <v>100</v>
      </c>
    </row>
    <row r="55" spans="1:10" ht="21" customHeight="1" x14ac:dyDescent="0.15">
      <c r="A55" s="47">
        <v>65525053</v>
      </c>
      <c r="B55" s="47">
        <v>0</v>
      </c>
      <c r="C55" s="47" t="s">
        <v>90</v>
      </c>
      <c r="D55" s="47">
        <v>100</v>
      </c>
      <c r="E55" s="47">
        <v>35</v>
      </c>
      <c r="F55" s="47" t="s">
        <v>91</v>
      </c>
      <c r="G55" s="47" t="s">
        <v>260</v>
      </c>
      <c r="H55" s="47" t="s">
        <v>91</v>
      </c>
      <c r="I55" s="47" t="s">
        <v>91</v>
      </c>
      <c r="J55" s="48">
        <f t="shared" si="1"/>
        <v>100</v>
      </c>
    </row>
    <row r="56" spans="1:10" ht="21" customHeight="1" x14ac:dyDescent="0.15">
      <c r="A56" s="47">
        <v>65525054</v>
      </c>
      <c r="B56" s="47">
        <v>0</v>
      </c>
      <c r="C56" s="47" t="s">
        <v>90</v>
      </c>
      <c r="D56" s="47">
        <v>100</v>
      </c>
      <c r="E56" s="47">
        <v>35</v>
      </c>
      <c r="F56" s="47" t="s">
        <v>91</v>
      </c>
      <c r="G56" s="47" t="s">
        <v>260</v>
      </c>
      <c r="H56" s="47" t="s">
        <v>91</v>
      </c>
      <c r="I56" s="47" t="s">
        <v>91</v>
      </c>
      <c r="J56" s="48">
        <f t="shared" si="1"/>
        <v>100</v>
      </c>
    </row>
    <row r="57" spans="1:10" ht="21" customHeight="1" x14ac:dyDescent="0.15">
      <c r="A57" s="47">
        <v>65525055</v>
      </c>
      <c r="B57" s="47">
        <v>0</v>
      </c>
      <c r="C57" s="47" t="s">
        <v>90</v>
      </c>
      <c r="D57" s="47">
        <v>100</v>
      </c>
      <c r="E57" s="47">
        <v>35</v>
      </c>
      <c r="F57" s="47" t="s">
        <v>91</v>
      </c>
      <c r="G57" s="47" t="s">
        <v>260</v>
      </c>
      <c r="H57" s="47" t="s">
        <v>91</v>
      </c>
      <c r="I57" s="47" t="s">
        <v>91</v>
      </c>
      <c r="J57" s="48">
        <f t="shared" si="1"/>
        <v>100</v>
      </c>
    </row>
    <row r="58" spans="1:10" ht="21" customHeight="1" x14ac:dyDescent="0.15">
      <c r="A58" s="47">
        <v>65525056</v>
      </c>
      <c r="B58" s="47">
        <v>0</v>
      </c>
      <c r="C58" s="47" t="s">
        <v>90</v>
      </c>
      <c r="D58" s="47">
        <v>100</v>
      </c>
      <c r="E58" s="47">
        <v>35</v>
      </c>
      <c r="F58" s="47" t="s">
        <v>91</v>
      </c>
      <c r="G58" s="47" t="s">
        <v>260</v>
      </c>
      <c r="H58" s="47" t="s">
        <v>91</v>
      </c>
      <c r="I58" s="47" t="s">
        <v>91</v>
      </c>
      <c r="J58" s="48">
        <f t="shared" si="1"/>
        <v>100</v>
      </c>
    </row>
    <row r="59" spans="1:10" ht="21" customHeight="1" x14ac:dyDescent="0.15">
      <c r="A59" s="47">
        <v>65525057</v>
      </c>
      <c r="B59" s="47">
        <v>0</v>
      </c>
      <c r="C59" s="47" t="s">
        <v>90</v>
      </c>
      <c r="D59" s="47">
        <v>100</v>
      </c>
      <c r="E59" s="47">
        <v>35</v>
      </c>
      <c r="F59" s="47" t="s">
        <v>91</v>
      </c>
      <c r="G59" s="47" t="s">
        <v>260</v>
      </c>
      <c r="H59" s="47" t="s">
        <v>91</v>
      </c>
      <c r="I59" s="47" t="s">
        <v>91</v>
      </c>
      <c r="J59" s="48">
        <f t="shared" si="1"/>
        <v>100</v>
      </c>
    </row>
    <row r="60" spans="1:10" ht="21" customHeight="1" x14ac:dyDescent="0.15">
      <c r="A60" s="47">
        <v>65525058</v>
      </c>
      <c r="B60" s="47">
        <v>0</v>
      </c>
      <c r="C60" s="47" t="s">
        <v>90</v>
      </c>
      <c r="D60" s="47">
        <v>100</v>
      </c>
      <c r="E60" s="47">
        <v>35</v>
      </c>
      <c r="F60" s="47" t="s">
        <v>91</v>
      </c>
      <c r="G60" s="47" t="s">
        <v>260</v>
      </c>
      <c r="H60" s="47" t="s">
        <v>91</v>
      </c>
      <c r="I60" s="47" t="s">
        <v>91</v>
      </c>
      <c r="J60" s="48">
        <f t="shared" si="1"/>
        <v>100</v>
      </c>
    </row>
    <row r="61" spans="1:10" ht="21" customHeight="1" x14ac:dyDescent="0.15">
      <c r="A61" s="47">
        <v>65525059</v>
      </c>
      <c r="B61" s="47">
        <v>0</v>
      </c>
      <c r="C61" s="47" t="s">
        <v>90</v>
      </c>
      <c r="D61" s="47">
        <v>100</v>
      </c>
      <c r="E61" s="47">
        <v>35</v>
      </c>
      <c r="F61" s="47" t="s">
        <v>91</v>
      </c>
      <c r="G61" s="47" t="s">
        <v>260</v>
      </c>
      <c r="H61" s="47" t="s">
        <v>91</v>
      </c>
      <c r="I61" s="47" t="s">
        <v>91</v>
      </c>
      <c r="J61" s="48">
        <f t="shared" si="1"/>
        <v>100</v>
      </c>
    </row>
    <row r="62" spans="1:10" ht="21" customHeight="1" x14ac:dyDescent="0.15">
      <c r="A62" s="47">
        <v>65525060</v>
      </c>
      <c r="B62" s="47">
        <v>0</v>
      </c>
      <c r="C62" s="47" t="s">
        <v>90</v>
      </c>
      <c r="D62" s="47">
        <v>100</v>
      </c>
      <c r="E62" s="47">
        <v>35</v>
      </c>
      <c r="F62" s="47" t="s">
        <v>91</v>
      </c>
      <c r="G62" s="47" t="s">
        <v>260</v>
      </c>
      <c r="H62" s="47" t="s">
        <v>91</v>
      </c>
      <c r="I62" s="47" t="s">
        <v>91</v>
      </c>
      <c r="J62" s="48">
        <f t="shared" si="1"/>
        <v>100</v>
      </c>
    </row>
  </sheetData>
  <autoFilter ref="A1:G1"/>
  <phoneticPr fontId="5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5"/>
  <sheetViews>
    <sheetView workbookViewId="0">
      <selection activeCell="A3" sqref="A3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152</v>
      </c>
      <c r="B1" s="64" t="s">
        <v>153</v>
      </c>
      <c r="C1" s="65" t="s">
        <v>154</v>
      </c>
      <c r="D1" s="72" t="s">
        <v>155</v>
      </c>
      <c r="E1" s="66" t="s">
        <v>156</v>
      </c>
      <c r="F1" s="64" t="s">
        <v>157</v>
      </c>
      <c r="G1" s="64" t="s">
        <v>158</v>
      </c>
      <c r="H1" s="64" t="s">
        <v>159</v>
      </c>
      <c r="I1" s="64" t="s">
        <v>160</v>
      </c>
      <c r="J1" s="64" t="s">
        <v>161</v>
      </c>
      <c r="K1" s="64" t="s">
        <v>162</v>
      </c>
      <c r="L1" s="64" t="s">
        <v>163</v>
      </c>
      <c r="M1" s="64" t="s">
        <v>164</v>
      </c>
      <c r="N1" s="64" t="s">
        <v>165</v>
      </c>
      <c r="O1" s="64" t="s">
        <v>166</v>
      </c>
      <c r="P1" s="64" t="s">
        <v>167</v>
      </c>
      <c r="Q1" s="64" t="s">
        <v>168</v>
      </c>
      <c r="R1" s="64" t="s">
        <v>169</v>
      </c>
    </row>
    <row r="2" spans="1:18" x14ac:dyDescent="0.15">
      <c r="A2" s="57">
        <f>floors!C2</f>
        <v>65525</v>
      </c>
      <c r="B2" s="57">
        <v>1</v>
      </c>
      <c r="C2" s="71" t="str">
        <f>A2&amp; "_"&amp;B2</f>
        <v>65525_1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7">
        <v>1</v>
      </c>
      <c r="F2" s="57" t="s">
        <v>170</v>
      </c>
      <c r="G2" s="57">
        <v>1000</v>
      </c>
      <c r="H2" s="57" t="s">
        <v>171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100</v>
      </c>
      <c r="Q2" s="57" t="s">
        <v>172</v>
      </c>
      <c r="R2" s="57" t="s">
        <v>173</v>
      </c>
    </row>
    <row r="3" spans="1:18" x14ac:dyDescent="0.15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</row>
    <row r="4" spans="1:18" x14ac:dyDescent="0.15">
      <c r="A4" s="57"/>
      <c r="B4" s="57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</row>
    <row r="5" spans="1:18" x14ac:dyDescent="0.15">
      <c r="A5" s="57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</row>
  </sheetData>
  <phoneticPr fontId="5"/>
  <dataValidations disablePrompts="1"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A2" sqref="A2:XFD135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191</v>
      </c>
      <c r="B1" s="73" t="s">
        <v>192</v>
      </c>
      <c r="C1" s="77" t="s">
        <v>193</v>
      </c>
      <c r="D1" s="77" t="s">
        <v>33</v>
      </c>
      <c r="E1" s="73" t="s">
        <v>194</v>
      </c>
      <c r="F1" s="77" t="s">
        <v>195</v>
      </c>
      <c r="G1" s="77" t="s">
        <v>33</v>
      </c>
      <c r="H1" s="73" t="s">
        <v>196</v>
      </c>
      <c r="I1" s="92" t="s">
        <v>198</v>
      </c>
      <c r="J1" s="79" t="s">
        <v>128</v>
      </c>
      <c r="K1" s="78" t="s">
        <v>189</v>
      </c>
      <c r="L1" s="93" t="s">
        <v>188</v>
      </c>
      <c r="M1" s="80" t="s">
        <v>199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06"/>
  <sheetViews>
    <sheetView showGridLines="0" workbookViewId="0">
      <pane ySplit="1" topLeftCell="A2" activePane="bottomLeft" state="frozen"/>
      <selection pane="bottomLeft" activeCell="M107" sqref="M107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6" t="s">
        <v>191</v>
      </c>
      <c r="B1" s="73" t="s">
        <v>152</v>
      </c>
      <c r="C1" s="77" t="s">
        <v>193</v>
      </c>
      <c r="D1" s="77" t="s">
        <v>33</v>
      </c>
      <c r="E1" s="73" t="s">
        <v>194</v>
      </c>
      <c r="F1" s="77" t="s">
        <v>18</v>
      </c>
      <c r="G1" s="77" t="s">
        <v>33</v>
      </c>
      <c r="H1" s="73" t="s">
        <v>196</v>
      </c>
      <c r="I1" s="90" t="s">
        <v>197</v>
      </c>
      <c r="J1" s="92" t="s">
        <v>198</v>
      </c>
      <c r="K1" s="79" t="s">
        <v>128</v>
      </c>
      <c r="L1" s="78" t="s">
        <v>189</v>
      </c>
      <c r="M1" s="93" t="s">
        <v>188</v>
      </c>
      <c r="N1" s="80" t="s">
        <v>199</v>
      </c>
    </row>
    <row r="2" spans="1:14" x14ac:dyDescent="0.15">
      <c r="A2" s="81" t="s">
        <v>200</v>
      </c>
      <c r="B2" s="82">
        <f>floors!$C$2</f>
        <v>65525</v>
      </c>
      <c r="C2" s="83" t="str">
        <f ca="1">VLOOKUP($B2,OFFSET([2]quests!$A$1,0,0,COUNTA([2]quests!$A:$A),MATCH(C$1,[2]quests!$1:$1,0)-MATCH($B$1,[2]quests!$1:$1,0)+1),MATCH(C$1,[2]quests!$1:$1,0)-MATCH($B$1,[2]quests!$1:$1,0)+1,FALSE)</f>
        <v>【LB田邉】検証クエスト</v>
      </c>
      <c r="D2" s="83" t="str">
        <f ca="1">VLOOKUP($B2,OFFSET([2]quests!$A$1,0,0,COUNTA([2]quests!$A:$A),MATCH(D$1,[2]quests!$1:$1,0)-MATCH($B$1,[2]quests!$1:$1,0)+1),MATCH(D$1,[2]quests!$1:$1,0)-MATCH($B$1,[2]quests!$1:$1,0)+1,FALSE)</f>
        <v>検証</v>
      </c>
      <c r="E2" s="84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検証</v>
      </c>
      <c r="H2" s="85">
        <v>1</v>
      </c>
      <c r="I2" s="91">
        <f>ROW()-1</f>
        <v>1</v>
      </c>
      <c r="J2" s="86" t="str">
        <f>B2&amp;TEXT(I2,"00")</f>
        <v>6552501</v>
      </c>
      <c r="K2" s="84" t="s">
        <v>201</v>
      </c>
      <c r="L2" s="87" t="s">
        <v>202</v>
      </c>
      <c r="M2" s="88" t="s">
        <v>204</v>
      </c>
      <c r="N2" s="57" t="s">
        <v>203</v>
      </c>
    </row>
    <row r="3" spans="1:14" x14ac:dyDescent="0.15">
      <c r="A3" s="81" t="s">
        <v>200</v>
      </c>
      <c r="B3" s="82">
        <f>floors!$C$2</f>
        <v>65525</v>
      </c>
      <c r="C3" s="83" t="str">
        <f ca="1">VLOOKUP($B3,OFFSET([2]quests!$A$1,0,0,COUNTA([2]quests!$A:$A),MATCH(C$1,[2]quests!$1:$1,0)-MATCH($B$1,[2]quests!$1:$1,0)+1),MATCH(C$1,[2]quests!$1:$1,0)-MATCH($B$1,[2]quests!$1:$1,0)+1,FALSE)</f>
        <v>【LB田邉】検証クエスト</v>
      </c>
      <c r="D3" s="83" t="str">
        <f ca="1">VLOOKUP($B3,OFFSET([2]quests!$A$1,0,0,COUNTA([2]quests!$A:$A),MATCH(D$1,[2]quests!$1:$1,0)-MATCH($B$1,[2]quests!$1:$1,0)+1),MATCH(D$1,[2]quests!$1:$1,0)-MATCH($B$1,[2]quests!$1:$1,0)+1,FALSE)</f>
        <v>検証</v>
      </c>
      <c r="E3" s="84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検証</v>
      </c>
      <c r="H3" s="85">
        <v>1</v>
      </c>
      <c r="I3" s="91">
        <f t="shared" ref="I3:I66" si="0">ROW()-1</f>
        <v>2</v>
      </c>
      <c r="J3" s="86" t="str">
        <f t="shared" ref="J3:J66" si="1">B3&amp;TEXT(I3,"00")</f>
        <v>6552502</v>
      </c>
      <c r="K3" s="84" t="s">
        <v>129</v>
      </c>
      <c r="L3" s="87" t="s">
        <v>202</v>
      </c>
      <c r="M3" s="88" t="s">
        <v>204</v>
      </c>
      <c r="N3" s="57" t="s">
        <v>203</v>
      </c>
    </row>
    <row r="4" spans="1:14" x14ac:dyDescent="0.15">
      <c r="A4" s="81" t="s">
        <v>200</v>
      </c>
      <c r="B4" s="82">
        <f>floors!$C$2</f>
        <v>65525</v>
      </c>
      <c r="C4" s="83" t="str">
        <f ca="1">VLOOKUP($B4,OFFSET([2]quests!$A$1,0,0,COUNTA([2]quests!$A:$A),MATCH(C$1,[2]quests!$1:$1,0)-MATCH($B$1,[2]quests!$1:$1,0)+1),MATCH(C$1,[2]quests!$1:$1,0)-MATCH($B$1,[2]quests!$1:$1,0)+1,FALSE)</f>
        <v>【LB田邉】検証クエスト</v>
      </c>
      <c r="D4" s="83" t="str">
        <f ca="1">VLOOKUP($B4,OFFSET([2]quests!$A$1,0,0,COUNTA([2]quests!$A:$A),MATCH(D$1,[2]quests!$1:$1,0)-MATCH($B$1,[2]quests!$1:$1,0)+1),MATCH(D$1,[2]quests!$1:$1,0)-MATCH($B$1,[2]quests!$1:$1,0)+1,FALSE)</f>
        <v>検証</v>
      </c>
      <c r="E4" s="84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検証</v>
      </c>
      <c r="H4" s="85">
        <v>1</v>
      </c>
      <c r="I4" s="91">
        <f t="shared" si="0"/>
        <v>3</v>
      </c>
      <c r="J4" s="86" t="str">
        <f t="shared" si="1"/>
        <v>6552503</v>
      </c>
      <c r="K4" s="84" t="s">
        <v>129</v>
      </c>
      <c r="L4" s="87" t="s">
        <v>202</v>
      </c>
      <c r="M4" s="88" t="s">
        <v>204</v>
      </c>
      <c r="N4" s="57" t="s">
        <v>203</v>
      </c>
    </row>
    <row r="5" spans="1:14" x14ac:dyDescent="0.15">
      <c r="A5" s="81" t="s">
        <v>200</v>
      </c>
      <c r="B5" s="82">
        <f>floors!$C$2</f>
        <v>65525</v>
      </c>
      <c r="C5" s="83" t="str">
        <f ca="1">VLOOKUP($B5,OFFSET([2]quests!$A$1,0,0,COUNTA([2]quests!$A:$A),MATCH(C$1,[2]quests!$1:$1,0)-MATCH($B$1,[2]quests!$1:$1,0)+1),MATCH(C$1,[2]quests!$1:$1,0)-MATCH($B$1,[2]quests!$1:$1,0)+1,FALSE)</f>
        <v>【LB田邉】検証クエスト</v>
      </c>
      <c r="D5" s="83" t="str">
        <f ca="1">VLOOKUP($B5,OFFSET([2]quests!$A$1,0,0,COUNTA([2]quests!$A:$A),MATCH(D$1,[2]quests!$1:$1,0)-MATCH($B$1,[2]quests!$1:$1,0)+1),MATCH(D$1,[2]quests!$1:$1,0)-MATCH($B$1,[2]quests!$1:$1,0)+1,FALSE)</f>
        <v>検証</v>
      </c>
      <c r="E5" s="84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検証</v>
      </c>
      <c r="H5" s="85">
        <v>1</v>
      </c>
      <c r="I5" s="91">
        <f t="shared" si="0"/>
        <v>4</v>
      </c>
      <c r="J5" s="86" t="str">
        <f t="shared" si="1"/>
        <v>6552504</v>
      </c>
      <c r="K5" s="84" t="s">
        <v>129</v>
      </c>
      <c r="L5" s="87" t="s">
        <v>202</v>
      </c>
      <c r="M5" s="88" t="s">
        <v>204</v>
      </c>
      <c r="N5" s="57" t="s">
        <v>203</v>
      </c>
    </row>
    <row r="6" spans="1:14" x14ac:dyDescent="0.15">
      <c r="A6" s="81" t="s">
        <v>200</v>
      </c>
      <c r="B6" s="82">
        <f>floors!$C$2</f>
        <v>65525</v>
      </c>
      <c r="C6" s="83" t="str">
        <f ca="1">VLOOKUP($B6,OFFSET([2]quests!$A$1,0,0,COUNTA([2]quests!$A:$A),MATCH(C$1,[2]quests!$1:$1,0)-MATCH($B$1,[2]quests!$1:$1,0)+1),MATCH(C$1,[2]quests!$1:$1,0)-MATCH($B$1,[2]quests!$1:$1,0)+1,FALSE)</f>
        <v>【LB田邉】検証クエスト</v>
      </c>
      <c r="D6" s="83" t="str">
        <f ca="1">VLOOKUP($B6,OFFSET([2]quests!$A$1,0,0,COUNTA([2]quests!$A:$A),MATCH(D$1,[2]quests!$1:$1,0)-MATCH($B$1,[2]quests!$1:$1,0)+1),MATCH(D$1,[2]quests!$1:$1,0)-MATCH($B$1,[2]quests!$1:$1,0)+1,FALSE)</f>
        <v>検証</v>
      </c>
      <c r="E6" s="84">
        <v>1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検証</v>
      </c>
      <c r="H6" s="85">
        <v>1</v>
      </c>
      <c r="I6" s="91">
        <f t="shared" si="0"/>
        <v>5</v>
      </c>
      <c r="J6" s="86" t="str">
        <f t="shared" si="1"/>
        <v>6552505</v>
      </c>
      <c r="K6" s="84" t="s">
        <v>129</v>
      </c>
      <c r="L6" s="87" t="s">
        <v>202</v>
      </c>
      <c r="M6" s="88" t="s">
        <v>204</v>
      </c>
      <c r="N6" s="57" t="s">
        <v>203</v>
      </c>
    </row>
    <row r="7" spans="1:14" x14ac:dyDescent="0.15">
      <c r="A7" s="81" t="s">
        <v>200</v>
      </c>
      <c r="B7" s="82">
        <f>floors!$C$2</f>
        <v>65525</v>
      </c>
      <c r="C7" s="83" t="str">
        <f ca="1">VLOOKUP($B7,OFFSET([2]quests!$A$1,0,0,COUNTA([2]quests!$A:$A),MATCH(C$1,[2]quests!$1:$1,0)-MATCH($B$1,[2]quests!$1:$1,0)+1),MATCH(C$1,[2]quests!$1:$1,0)-MATCH($B$1,[2]quests!$1:$1,0)+1,FALSE)</f>
        <v>【LB田邉】検証クエスト</v>
      </c>
      <c r="D7" s="83" t="str">
        <f ca="1">VLOOKUP($B7,OFFSET([2]quests!$A$1,0,0,COUNTA([2]quests!$A:$A),MATCH(D$1,[2]quests!$1:$1,0)-MATCH($B$1,[2]quests!$1:$1,0)+1),MATCH(D$1,[2]quests!$1:$1,0)-MATCH($B$1,[2]quests!$1:$1,0)+1,FALSE)</f>
        <v>検証</v>
      </c>
      <c r="E7" s="84">
        <v>1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検証</v>
      </c>
      <c r="H7" s="85">
        <v>1</v>
      </c>
      <c r="I7" s="91">
        <f t="shared" si="0"/>
        <v>6</v>
      </c>
      <c r="J7" s="86" t="str">
        <f t="shared" si="1"/>
        <v>6552506</v>
      </c>
      <c r="K7" s="84" t="s">
        <v>129</v>
      </c>
      <c r="L7" s="87" t="s">
        <v>202</v>
      </c>
      <c r="M7" s="88" t="s">
        <v>204</v>
      </c>
      <c r="N7" s="57" t="s">
        <v>203</v>
      </c>
    </row>
    <row r="8" spans="1:14" x14ac:dyDescent="0.15">
      <c r="A8" s="81" t="s">
        <v>200</v>
      </c>
      <c r="B8" s="82">
        <f>floors!$C$2</f>
        <v>65525</v>
      </c>
      <c r="C8" s="83" t="str">
        <f ca="1">VLOOKUP($B8,OFFSET([2]quests!$A$1,0,0,COUNTA([2]quests!$A:$A),MATCH(C$1,[2]quests!$1:$1,0)-MATCH($B$1,[2]quests!$1:$1,0)+1),MATCH(C$1,[2]quests!$1:$1,0)-MATCH($B$1,[2]quests!$1:$1,0)+1,FALSE)</f>
        <v>【LB田邉】検証クエスト</v>
      </c>
      <c r="D8" s="83" t="str">
        <f ca="1">VLOOKUP($B8,OFFSET([2]quests!$A$1,0,0,COUNTA([2]quests!$A:$A),MATCH(D$1,[2]quests!$1:$1,0)-MATCH($B$1,[2]quests!$1:$1,0)+1),MATCH(D$1,[2]quests!$1:$1,0)-MATCH($B$1,[2]quests!$1:$1,0)+1,FALSE)</f>
        <v>検証</v>
      </c>
      <c r="E8" s="84">
        <v>1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検証</v>
      </c>
      <c r="H8" s="85">
        <v>1</v>
      </c>
      <c r="I8" s="91">
        <f t="shared" si="0"/>
        <v>7</v>
      </c>
      <c r="J8" s="86" t="str">
        <f t="shared" si="1"/>
        <v>6552507</v>
      </c>
      <c r="K8" s="84" t="s">
        <v>129</v>
      </c>
      <c r="L8" s="87" t="s">
        <v>202</v>
      </c>
      <c r="M8" s="88" t="s">
        <v>204</v>
      </c>
      <c r="N8" s="57" t="s">
        <v>203</v>
      </c>
    </row>
    <row r="9" spans="1:14" x14ac:dyDescent="0.15">
      <c r="A9" s="81" t="s">
        <v>200</v>
      </c>
      <c r="B9" s="82">
        <f>floors!$C$2</f>
        <v>65525</v>
      </c>
      <c r="C9" s="83" t="str">
        <f ca="1">VLOOKUP($B9,OFFSET([2]quests!$A$1,0,0,COUNTA([2]quests!$A:$A),MATCH(C$1,[2]quests!$1:$1,0)-MATCH($B$1,[2]quests!$1:$1,0)+1),MATCH(C$1,[2]quests!$1:$1,0)-MATCH($B$1,[2]quests!$1:$1,0)+1,FALSE)</f>
        <v>【LB田邉】検証クエスト</v>
      </c>
      <c r="D9" s="83" t="str">
        <f ca="1">VLOOKUP($B9,OFFSET([2]quests!$A$1,0,0,COUNTA([2]quests!$A:$A),MATCH(D$1,[2]quests!$1:$1,0)-MATCH($B$1,[2]quests!$1:$1,0)+1),MATCH(D$1,[2]quests!$1:$1,0)-MATCH($B$1,[2]quests!$1:$1,0)+1,FALSE)</f>
        <v>検証</v>
      </c>
      <c r="E9" s="84">
        <v>1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検証</v>
      </c>
      <c r="H9" s="85">
        <v>1</v>
      </c>
      <c r="I9" s="91">
        <f t="shared" si="0"/>
        <v>8</v>
      </c>
      <c r="J9" s="86" t="str">
        <f t="shared" si="1"/>
        <v>6552508</v>
      </c>
      <c r="K9" s="84" t="s">
        <v>129</v>
      </c>
      <c r="L9" s="87" t="s">
        <v>202</v>
      </c>
      <c r="M9" s="88" t="s">
        <v>204</v>
      </c>
      <c r="N9" s="57" t="s">
        <v>203</v>
      </c>
    </row>
    <row r="10" spans="1:14" x14ac:dyDescent="0.15">
      <c r="A10" s="81" t="s">
        <v>200</v>
      </c>
      <c r="B10" s="82">
        <f>floors!$C$2</f>
        <v>65525</v>
      </c>
      <c r="C10" s="83" t="str">
        <f ca="1">VLOOKUP($B10,OFFSET([2]quests!$A$1,0,0,COUNTA([2]quests!$A:$A),MATCH(C$1,[2]quests!$1:$1,0)-MATCH($B$1,[2]quests!$1:$1,0)+1),MATCH(C$1,[2]quests!$1:$1,0)-MATCH($B$1,[2]quests!$1:$1,0)+1,FALSE)</f>
        <v>【LB田邉】検証クエスト</v>
      </c>
      <c r="D10" s="83" t="str">
        <f ca="1">VLOOKUP($B10,OFFSET([2]quests!$A$1,0,0,COUNTA([2]quests!$A:$A),MATCH(D$1,[2]quests!$1:$1,0)-MATCH($B$1,[2]quests!$1:$1,0)+1),MATCH(D$1,[2]quests!$1:$1,0)-MATCH($B$1,[2]quests!$1:$1,0)+1,FALSE)</f>
        <v>検証</v>
      </c>
      <c r="E10" s="84">
        <v>1</v>
      </c>
      <c r="F10" s="83" t="str">
        <f ca="1">VLOOKUP($B10&amp;"_"&amp;$E10,OFFSET([2]stages!$A$1,0,0,COUNTA([2]stages!$A:$A),MATCH(F$1,[2]stages!$2:$2,0)-MATCH("temp_stage",[2]stages!$2:$2,0)+1),MATCH(F$1,[2]stages!$2:$2,0)-MATCH("temp_stage",[2]stages!$2:$2,0)+1,FALSE)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10" s="83" t="str">
        <f ca="1">VLOOKUP($B10&amp;"_"&amp;$E10,OFFSET([2]stages!$A$1,0,0,COUNTA([2]stages!$A:$A),MATCH(G$1,[2]stages!$2:$2,0)-MATCH("temp_stage",[2]stages!$2:$2,0)+1),MATCH(G$1,[2]stages!$2:$2,0)-MATCH("temp_stage",[2]stages!$2:$2,0)+1,FALSE)</f>
        <v>検証</v>
      </c>
      <c r="H10" s="85">
        <v>1</v>
      </c>
      <c r="I10" s="91">
        <f t="shared" si="0"/>
        <v>9</v>
      </c>
      <c r="J10" s="86" t="str">
        <f t="shared" si="1"/>
        <v>6552509</v>
      </c>
      <c r="K10" s="84" t="s">
        <v>129</v>
      </c>
      <c r="L10" s="87" t="s">
        <v>202</v>
      </c>
      <c r="M10" s="88" t="s">
        <v>204</v>
      </c>
      <c r="N10" s="57" t="s">
        <v>203</v>
      </c>
    </row>
    <row r="11" spans="1:14" x14ac:dyDescent="0.15">
      <c r="A11" s="81" t="s">
        <v>200</v>
      </c>
      <c r="B11" s="82">
        <f>floors!$C$2</f>
        <v>65525</v>
      </c>
      <c r="C11" s="83" t="str">
        <f ca="1">VLOOKUP($B11,OFFSET([2]quests!$A$1,0,0,COUNTA([2]quests!$A:$A),MATCH(C$1,[2]quests!$1:$1,0)-MATCH($B$1,[2]quests!$1:$1,0)+1),MATCH(C$1,[2]quests!$1:$1,0)-MATCH($B$1,[2]quests!$1:$1,0)+1,FALSE)</f>
        <v>【LB田邉】検証クエスト</v>
      </c>
      <c r="D11" s="83" t="str">
        <f ca="1">VLOOKUP($B11,OFFSET([2]quests!$A$1,0,0,COUNTA([2]quests!$A:$A),MATCH(D$1,[2]quests!$1:$1,0)-MATCH($B$1,[2]quests!$1:$1,0)+1),MATCH(D$1,[2]quests!$1:$1,0)-MATCH($B$1,[2]quests!$1:$1,0)+1,FALSE)</f>
        <v>検証</v>
      </c>
      <c r="E11" s="84">
        <v>1</v>
      </c>
      <c r="F11" s="83" t="str">
        <f ca="1">VLOOKUP($B11&amp;"_"&amp;$E11,OFFSET([2]stages!$A$1,0,0,COUNTA([2]stages!$A:$A),MATCH(F$1,[2]stages!$2:$2,0)-MATCH("temp_stage",[2]stages!$2:$2,0)+1),MATCH(F$1,[2]stages!$2:$2,0)-MATCH("temp_stage",[2]stages!$2:$2,0)+1,FALSE)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11" s="83" t="str">
        <f ca="1">VLOOKUP($B11&amp;"_"&amp;$E11,OFFSET([2]stages!$A$1,0,0,COUNTA([2]stages!$A:$A),MATCH(G$1,[2]stages!$2:$2,0)-MATCH("temp_stage",[2]stages!$2:$2,0)+1),MATCH(G$1,[2]stages!$2:$2,0)-MATCH("temp_stage",[2]stages!$2:$2,0)+1,FALSE)</f>
        <v>検証</v>
      </c>
      <c r="H11" s="85">
        <v>1</v>
      </c>
      <c r="I11" s="91">
        <f t="shared" si="0"/>
        <v>10</v>
      </c>
      <c r="J11" s="86" t="str">
        <f t="shared" si="1"/>
        <v>6552510</v>
      </c>
      <c r="K11" s="84" t="s">
        <v>129</v>
      </c>
      <c r="L11" s="87" t="s">
        <v>202</v>
      </c>
      <c r="M11" s="88" t="s">
        <v>204</v>
      </c>
      <c r="N11" s="57" t="s">
        <v>203</v>
      </c>
    </row>
    <row r="12" spans="1:14" x14ac:dyDescent="0.15">
      <c r="A12" s="81" t="s">
        <v>200</v>
      </c>
      <c r="B12" s="82">
        <f>floors!$C$2</f>
        <v>65525</v>
      </c>
      <c r="C12" s="83" t="str">
        <f ca="1">VLOOKUP($B12,OFFSET([2]quests!$A$1,0,0,COUNTA([2]quests!$A:$A),MATCH(C$1,[2]quests!$1:$1,0)-MATCH($B$1,[2]quests!$1:$1,0)+1),MATCH(C$1,[2]quests!$1:$1,0)-MATCH($B$1,[2]quests!$1:$1,0)+1,FALSE)</f>
        <v>【LB田邉】検証クエスト</v>
      </c>
      <c r="D12" s="83" t="str">
        <f ca="1">VLOOKUP($B12,OFFSET([2]quests!$A$1,0,0,COUNTA([2]quests!$A:$A),MATCH(D$1,[2]quests!$1:$1,0)-MATCH($B$1,[2]quests!$1:$1,0)+1),MATCH(D$1,[2]quests!$1:$1,0)-MATCH($B$1,[2]quests!$1:$1,0)+1,FALSE)</f>
        <v>検証</v>
      </c>
      <c r="E12" s="84">
        <v>1</v>
      </c>
      <c r="F12" s="83" t="str">
        <f ca="1">VLOOKUP($B12&amp;"_"&amp;$E12,OFFSET([2]stages!$A$1,0,0,COUNTA([2]stages!$A:$A),MATCH(F$1,[2]stages!$2:$2,0)-MATCH("temp_stage",[2]stages!$2:$2,0)+1),MATCH(F$1,[2]stages!$2:$2,0)-MATCH("temp_stage",[2]stages!$2:$2,0)+1,FALSE)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12" s="83" t="str">
        <f ca="1">VLOOKUP($B12&amp;"_"&amp;$E12,OFFSET([2]stages!$A$1,0,0,COUNTA([2]stages!$A:$A),MATCH(G$1,[2]stages!$2:$2,0)-MATCH("temp_stage",[2]stages!$2:$2,0)+1),MATCH(G$1,[2]stages!$2:$2,0)-MATCH("temp_stage",[2]stages!$2:$2,0)+1,FALSE)</f>
        <v>検証</v>
      </c>
      <c r="H12" s="85">
        <v>1</v>
      </c>
      <c r="I12" s="91">
        <f t="shared" si="0"/>
        <v>11</v>
      </c>
      <c r="J12" s="86" t="str">
        <f t="shared" si="1"/>
        <v>6552511</v>
      </c>
      <c r="K12" s="84" t="s">
        <v>129</v>
      </c>
      <c r="L12" s="87" t="s">
        <v>202</v>
      </c>
      <c r="M12" s="88" t="s">
        <v>204</v>
      </c>
      <c r="N12" s="57" t="s">
        <v>203</v>
      </c>
    </row>
    <row r="13" spans="1:14" x14ac:dyDescent="0.15">
      <c r="A13" s="81" t="s">
        <v>200</v>
      </c>
      <c r="B13" s="82">
        <f>floors!$C$2</f>
        <v>65525</v>
      </c>
      <c r="C13" s="83" t="str">
        <f ca="1">VLOOKUP($B13,OFFSET([2]quests!$A$1,0,0,COUNTA([2]quests!$A:$A),MATCH(C$1,[2]quests!$1:$1,0)-MATCH($B$1,[2]quests!$1:$1,0)+1),MATCH(C$1,[2]quests!$1:$1,0)-MATCH($B$1,[2]quests!$1:$1,0)+1,FALSE)</f>
        <v>【LB田邉】検証クエスト</v>
      </c>
      <c r="D13" s="83" t="str">
        <f ca="1">VLOOKUP($B13,OFFSET([2]quests!$A$1,0,0,COUNTA([2]quests!$A:$A),MATCH(D$1,[2]quests!$1:$1,0)-MATCH($B$1,[2]quests!$1:$1,0)+1),MATCH(D$1,[2]quests!$1:$1,0)-MATCH($B$1,[2]quests!$1:$1,0)+1,FALSE)</f>
        <v>検証</v>
      </c>
      <c r="E13" s="84">
        <v>1</v>
      </c>
      <c r="F13" s="83" t="str">
        <f ca="1">VLOOKUP($B13&amp;"_"&amp;$E13,OFFSET([2]stages!$A$1,0,0,COUNTA([2]stages!$A:$A),MATCH(F$1,[2]stages!$2:$2,0)-MATCH("temp_stage",[2]stages!$2:$2,0)+1),MATCH(F$1,[2]stages!$2:$2,0)-MATCH("temp_stage",[2]stages!$2:$2,0)+1,FALSE)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13" s="83" t="str">
        <f ca="1">VLOOKUP($B13&amp;"_"&amp;$E13,OFFSET([2]stages!$A$1,0,0,COUNTA([2]stages!$A:$A),MATCH(G$1,[2]stages!$2:$2,0)-MATCH("temp_stage",[2]stages!$2:$2,0)+1),MATCH(G$1,[2]stages!$2:$2,0)-MATCH("temp_stage",[2]stages!$2:$2,0)+1,FALSE)</f>
        <v>検証</v>
      </c>
      <c r="H13" s="85">
        <v>1</v>
      </c>
      <c r="I13" s="91">
        <f t="shared" si="0"/>
        <v>12</v>
      </c>
      <c r="J13" s="86" t="str">
        <f t="shared" si="1"/>
        <v>6552512</v>
      </c>
      <c r="K13" s="84" t="s">
        <v>129</v>
      </c>
      <c r="L13" s="87" t="s">
        <v>202</v>
      </c>
      <c r="M13" s="88" t="s">
        <v>204</v>
      </c>
      <c r="N13" s="57" t="s">
        <v>203</v>
      </c>
    </row>
    <row r="14" spans="1:14" x14ac:dyDescent="0.15">
      <c r="A14" s="81" t="s">
        <v>200</v>
      </c>
      <c r="B14" s="82">
        <f>floors!$C$2</f>
        <v>65525</v>
      </c>
      <c r="C14" s="83" t="str">
        <f ca="1">VLOOKUP($B14,OFFSET([2]quests!$A$1,0,0,COUNTA([2]quests!$A:$A),MATCH(C$1,[2]quests!$1:$1,0)-MATCH($B$1,[2]quests!$1:$1,0)+1),MATCH(C$1,[2]quests!$1:$1,0)-MATCH($B$1,[2]quests!$1:$1,0)+1,FALSE)</f>
        <v>【LB田邉】検証クエスト</v>
      </c>
      <c r="D14" s="83" t="str">
        <f ca="1">VLOOKUP($B14,OFFSET([2]quests!$A$1,0,0,COUNTA([2]quests!$A:$A),MATCH(D$1,[2]quests!$1:$1,0)-MATCH($B$1,[2]quests!$1:$1,0)+1),MATCH(D$1,[2]quests!$1:$1,0)-MATCH($B$1,[2]quests!$1:$1,0)+1,FALSE)</f>
        <v>検証</v>
      </c>
      <c r="E14" s="84">
        <v>1</v>
      </c>
      <c r="F14" s="83" t="str">
        <f ca="1">VLOOKUP($B14&amp;"_"&amp;$E14,OFFSET([2]stages!$A$1,0,0,COUNTA([2]stages!$A:$A),MATCH(F$1,[2]stages!$2:$2,0)-MATCH("temp_stage",[2]stages!$2:$2,0)+1),MATCH(F$1,[2]stages!$2:$2,0)-MATCH("temp_stage",[2]stages!$2:$2,0)+1,FALSE)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14" s="83" t="str">
        <f ca="1">VLOOKUP($B14&amp;"_"&amp;$E14,OFFSET([2]stages!$A$1,0,0,COUNTA([2]stages!$A:$A),MATCH(G$1,[2]stages!$2:$2,0)-MATCH("temp_stage",[2]stages!$2:$2,0)+1),MATCH(G$1,[2]stages!$2:$2,0)-MATCH("temp_stage",[2]stages!$2:$2,0)+1,FALSE)</f>
        <v>検証</v>
      </c>
      <c r="H14" s="85">
        <v>1</v>
      </c>
      <c r="I14" s="91">
        <f t="shared" si="0"/>
        <v>13</v>
      </c>
      <c r="J14" s="86" t="str">
        <f t="shared" si="1"/>
        <v>6552513</v>
      </c>
      <c r="K14" s="84" t="s">
        <v>129</v>
      </c>
      <c r="L14" s="87" t="s">
        <v>202</v>
      </c>
      <c r="M14" s="88" t="s">
        <v>204</v>
      </c>
      <c r="N14" s="57" t="s">
        <v>203</v>
      </c>
    </row>
    <row r="15" spans="1:14" x14ac:dyDescent="0.15">
      <c r="A15" s="81" t="s">
        <v>200</v>
      </c>
      <c r="B15" s="82">
        <f>floors!$C$2</f>
        <v>65525</v>
      </c>
      <c r="C15" s="83" t="str">
        <f ca="1">VLOOKUP($B15,OFFSET([2]quests!$A$1,0,0,COUNTA([2]quests!$A:$A),MATCH(C$1,[2]quests!$1:$1,0)-MATCH($B$1,[2]quests!$1:$1,0)+1),MATCH(C$1,[2]quests!$1:$1,0)-MATCH($B$1,[2]quests!$1:$1,0)+1,FALSE)</f>
        <v>【LB田邉】検証クエスト</v>
      </c>
      <c r="D15" s="83" t="str">
        <f ca="1">VLOOKUP($B15,OFFSET([2]quests!$A$1,0,0,COUNTA([2]quests!$A:$A),MATCH(D$1,[2]quests!$1:$1,0)-MATCH($B$1,[2]quests!$1:$1,0)+1),MATCH(D$1,[2]quests!$1:$1,0)-MATCH($B$1,[2]quests!$1:$1,0)+1,FALSE)</f>
        <v>検証</v>
      </c>
      <c r="E15" s="84">
        <v>1</v>
      </c>
      <c r="F15" s="83" t="str">
        <f ca="1">VLOOKUP($B15&amp;"_"&amp;$E15,OFFSET([2]stages!$A$1,0,0,COUNTA([2]stages!$A:$A),MATCH(F$1,[2]stages!$2:$2,0)-MATCH("temp_stage",[2]stages!$2:$2,0)+1),MATCH(F$1,[2]stages!$2:$2,0)-MATCH("temp_stage",[2]stages!$2:$2,0)+1,FALSE)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15" s="83" t="str">
        <f ca="1">VLOOKUP($B15&amp;"_"&amp;$E15,OFFSET([2]stages!$A$1,0,0,COUNTA([2]stages!$A:$A),MATCH(G$1,[2]stages!$2:$2,0)-MATCH("temp_stage",[2]stages!$2:$2,0)+1),MATCH(G$1,[2]stages!$2:$2,0)-MATCH("temp_stage",[2]stages!$2:$2,0)+1,FALSE)</f>
        <v>検証</v>
      </c>
      <c r="H15" s="85">
        <v>1</v>
      </c>
      <c r="I15" s="91">
        <f t="shared" si="0"/>
        <v>14</v>
      </c>
      <c r="J15" s="86" t="str">
        <f t="shared" si="1"/>
        <v>6552514</v>
      </c>
      <c r="K15" s="84" t="s">
        <v>129</v>
      </c>
      <c r="L15" s="87" t="s">
        <v>202</v>
      </c>
      <c r="M15" s="88" t="s">
        <v>204</v>
      </c>
      <c r="N15" s="57" t="s">
        <v>203</v>
      </c>
    </row>
    <row r="16" spans="1:14" x14ac:dyDescent="0.15">
      <c r="A16" s="81" t="s">
        <v>200</v>
      </c>
      <c r="B16" s="82">
        <f>floors!$C$2</f>
        <v>65525</v>
      </c>
      <c r="C16" s="83" t="str">
        <f ca="1">VLOOKUP($B16,OFFSET([2]quests!$A$1,0,0,COUNTA([2]quests!$A:$A),MATCH(C$1,[2]quests!$1:$1,0)-MATCH($B$1,[2]quests!$1:$1,0)+1),MATCH(C$1,[2]quests!$1:$1,0)-MATCH($B$1,[2]quests!$1:$1,0)+1,FALSE)</f>
        <v>【LB田邉】検証クエスト</v>
      </c>
      <c r="D16" s="83" t="str">
        <f ca="1">VLOOKUP($B16,OFFSET([2]quests!$A$1,0,0,COUNTA([2]quests!$A:$A),MATCH(D$1,[2]quests!$1:$1,0)-MATCH($B$1,[2]quests!$1:$1,0)+1),MATCH(D$1,[2]quests!$1:$1,0)-MATCH($B$1,[2]quests!$1:$1,0)+1,FALSE)</f>
        <v>検証</v>
      </c>
      <c r="E16" s="84">
        <v>1</v>
      </c>
      <c r="F16" s="83" t="str">
        <f ca="1">VLOOKUP($B16&amp;"_"&amp;$E16,OFFSET([2]stages!$A$1,0,0,COUNTA([2]stages!$A:$A),MATCH(F$1,[2]stages!$2:$2,0)-MATCH("temp_stage",[2]stages!$2:$2,0)+1),MATCH(F$1,[2]stages!$2:$2,0)-MATCH("temp_stage",[2]stages!$2:$2,0)+1,FALSE)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16" s="83" t="str">
        <f ca="1">VLOOKUP($B16&amp;"_"&amp;$E16,OFFSET([2]stages!$A$1,0,0,COUNTA([2]stages!$A:$A),MATCH(G$1,[2]stages!$2:$2,0)-MATCH("temp_stage",[2]stages!$2:$2,0)+1),MATCH(G$1,[2]stages!$2:$2,0)-MATCH("temp_stage",[2]stages!$2:$2,0)+1,FALSE)</f>
        <v>検証</v>
      </c>
      <c r="H16" s="85">
        <v>1</v>
      </c>
      <c r="I16" s="91">
        <f t="shared" si="0"/>
        <v>15</v>
      </c>
      <c r="J16" s="86" t="str">
        <f t="shared" si="1"/>
        <v>6552515</v>
      </c>
      <c r="K16" s="84" t="s">
        <v>129</v>
      </c>
      <c r="L16" s="87" t="s">
        <v>202</v>
      </c>
      <c r="M16" s="88" t="s">
        <v>204</v>
      </c>
      <c r="N16" s="57" t="s">
        <v>203</v>
      </c>
    </row>
    <row r="17" spans="1:14" x14ac:dyDescent="0.15">
      <c r="A17" s="81" t="s">
        <v>200</v>
      </c>
      <c r="B17" s="82">
        <f>floors!$C$2</f>
        <v>65525</v>
      </c>
      <c r="C17" s="83" t="str">
        <f ca="1">VLOOKUP($B17,OFFSET([2]quests!$A$1,0,0,COUNTA([2]quests!$A:$A),MATCH(C$1,[2]quests!$1:$1,0)-MATCH($B$1,[2]quests!$1:$1,0)+1),MATCH(C$1,[2]quests!$1:$1,0)-MATCH($B$1,[2]quests!$1:$1,0)+1,FALSE)</f>
        <v>【LB田邉】検証クエスト</v>
      </c>
      <c r="D17" s="83" t="str">
        <f ca="1">VLOOKUP($B17,OFFSET([2]quests!$A$1,0,0,COUNTA([2]quests!$A:$A),MATCH(D$1,[2]quests!$1:$1,0)-MATCH($B$1,[2]quests!$1:$1,0)+1),MATCH(D$1,[2]quests!$1:$1,0)-MATCH($B$1,[2]quests!$1:$1,0)+1,FALSE)</f>
        <v>検証</v>
      </c>
      <c r="E17" s="84">
        <v>1</v>
      </c>
      <c r="F17" s="83" t="str">
        <f ca="1">VLOOKUP($B17&amp;"_"&amp;$E17,OFFSET([2]stages!$A$1,0,0,COUNTA([2]stages!$A:$A),MATCH(F$1,[2]stages!$2:$2,0)-MATCH("temp_stage",[2]stages!$2:$2,0)+1),MATCH(F$1,[2]stages!$2:$2,0)-MATCH("temp_stage",[2]stages!$2:$2,0)+1,FALSE)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17" s="83" t="str">
        <f ca="1">VLOOKUP($B17&amp;"_"&amp;$E17,OFFSET([2]stages!$A$1,0,0,COUNTA([2]stages!$A:$A),MATCH(G$1,[2]stages!$2:$2,0)-MATCH("temp_stage",[2]stages!$2:$2,0)+1),MATCH(G$1,[2]stages!$2:$2,0)-MATCH("temp_stage",[2]stages!$2:$2,0)+1,FALSE)</f>
        <v>検証</v>
      </c>
      <c r="H17" s="85">
        <v>1</v>
      </c>
      <c r="I17" s="91">
        <f t="shared" si="0"/>
        <v>16</v>
      </c>
      <c r="J17" s="86" t="str">
        <f t="shared" si="1"/>
        <v>6552516</v>
      </c>
      <c r="K17" s="84" t="s">
        <v>129</v>
      </c>
      <c r="L17" s="87" t="s">
        <v>202</v>
      </c>
      <c r="M17" s="88" t="s">
        <v>204</v>
      </c>
      <c r="N17" s="57" t="s">
        <v>203</v>
      </c>
    </row>
    <row r="18" spans="1:14" x14ac:dyDescent="0.15">
      <c r="A18" s="81" t="s">
        <v>200</v>
      </c>
      <c r="B18" s="82">
        <f>floors!$C$2</f>
        <v>65525</v>
      </c>
      <c r="C18" s="83" t="str">
        <f ca="1">VLOOKUP($B18,OFFSET([2]quests!$A$1,0,0,COUNTA([2]quests!$A:$A),MATCH(C$1,[2]quests!$1:$1,0)-MATCH($B$1,[2]quests!$1:$1,0)+1),MATCH(C$1,[2]quests!$1:$1,0)-MATCH($B$1,[2]quests!$1:$1,0)+1,FALSE)</f>
        <v>【LB田邉】検証クエスト</v>
      </c>
      <c r="D18" s="83" t="str">
        <f ca="1">VLOOKUP($B18,OFFSET([2]quests!$A$1,0,0,COUNTA([2]quests!$A:$A),MATCH(D$1,[2]quests!$1:$1,0)-MATCH($B$1,[2]quests!$1:$1,0)+1),MATCH(D$1,[2]quests!$1:$1,0)-MATCH($B$1,[2]quests!$1:$1,0)+1,FALSE)</f>
        <v>検証</v>
      </c>
      <c r="E18" s="84">
        <v>1</v>
      </c>
      <c r="F18" s="83" t="str">
        <f ca="1">VLOOKUP($B18&amp;"_"&amp;$E18,OFFSET([2]stages!$A$1,0,0,COUNTA([2]stages!$A:$A),MATCH(F$1,[2]stages!$2:$2,0)-MATCH("temp_stage",[2]stages!$2:$2,0)+1),MATCH(F$1,[2]stages!$2:$2,0)-MATCH("temp_stage",[2]stages!$2:$2,0)+1,FALSE)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18" s="83" t="str">
        <f ca="1">VLOOKUP($B18&amp;"_"&amp;$E18,OFFSET([2]stages!$A$1,0,0,COUNTA([2]stages!$A:$A),MATCH(G$1,[2]stages!$2:$2,0)-MATCH("temp_stage",[2]stages!$2:$2,0)+1),MATCH(G$1,[2]stages!$2:$2,0)-MATCH("temp_stage",[2]stages!$2:$2,0)+1,FALSE)</f>
        <v>検証</v>
      </c>
      <c r="H18" s="85">
        <v>1</v>
      </c>
      <c r="I18" s="91">
        <f t="shared" si="0"/>
        <v>17</v>
      </c>
      <c r="J18" s="86" t="str">
        <f t="shared" si="1"/>
        <v>6552517</v>
      </c>
      <c r="K18" s="84" t="s">
        <v>129</v>
      </c>
      <c r="L18" s="87" t="s">
        <v>202</v>
      </c>
      <c r="M18" s="88" t="s">
        <v>204</v>
      </c>
      <c r="N18" s="57" t="s">
        <v>203</v>
      </c>
    </row>
    <row r="19" spans="1:14" x14ac:dyDescent="0.15">
      <c r="A19" s="81" t="s">
        <v>200</v>
      </c>
      <c r="B19" s="82">
        <f>floors!$C$2</f>
        <v>65525</v>
      </c>
      <c r="C19" s="83" t="str">
        <f ca="1">VLOOKUP($B19,OFFSET([2]quests!$A$1,0,0,COUNTA([2]quests!$A:$A),MATCH(C$1,[2]quests!$1:$1,0)-MATCH($B$1,[2]quests!$1:$1,0)+1),MATCH(C$1,[2]quests!$1:$1,0)-MATCH($B$1,[2]quests!$1:$1,0)+1,FALSE)</f>
        <v>【LB田邉】検証クエスト</v>
      </c>
      <c r="D19" s="83" t="str">
        <f ca="1">VLOOKUP($B19,OFFSET([2]quests!$A$1,0,0,COUNTA([2]quests!$A:$A),MATCH(D$1,[2]quests!$1:$1,0)-MATCH($B$1,[2]quests!$1:$1,0)+1),MATCH(D$1,[2]quests!$1:$1,0)-MATCH($B$1,[2]quests!$1:$1,0)+1,FALSE)</f>
        <v>検証</v>
      </c>
      <c r="E19" s="84">
        <v>1</v>
      </c>
      <c r="F19" s="83" t="str">
        <f ca="1">VLOOKUP($B19&amp;"_"&amp;$E19,OFFSET([2]stages!$A$1,0,0,COUNTA([2]stages!$A:$A),MATCH(F$1,[2]stages!$2:$2,0)-MATCH("temp_stage",[2]stages!$2:$2,0)+1),MATCH(F$1,[2]stages!$2:$2,0)-MATCH("temp_stage",[2]stages!$2:$2,0)+1,FALSE)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19" s="83" t="str">
        <f ca="1">VLOOKUP($B19&amp;"_"&amp;$E19,OFFSET([2]stages!$A$1,0,0,COUNTA([2]stages!$A:$A),MATCH(G$1,[2]stages!$2:$2,0)-MATCH("temp_stage",[2]stages!$2:$2,0)+1),MATCH(G$1,[2]stages!$2:$2,0)-MATCH("temp_stage",[2]stages!$2:$2,0)+1,FALSE)</f>
        <v>検証</v>
      </c>
      <c r="H19" s="85">
        <v>1</v>
      </c>
      <c r="I19" s="91">
        <f t="shared" si="0"/>
        <v>18</v>
      </c>
      <c r="J19" s="86" t="str">
        <f t="shared" si="1"/>
        <v>6552518</v>
      </c>
      <c r="K19" s="84" t="s">
        <v>129</v>
      </c>
      <c r="L19" s="87" t="s">
        <v>202</v>
      </c>
      <c r="M19" s="88" t="s">
        <v>204</v>
      </c>
      <c r="N19" s="57" t="s">
        <v>203</v>
      </c>
    </row>
    <row r="20" spans="1:14" x14ac:dyDescent="0.15">
      <c r="A20" s="81" t="s">
        <v>200</v>
      </c>
      <c r="B20" s="82">
        <f>floors!$C$2</f>
        <v>65525</v>
      </c>
      <c r="C20" s="83" t="str">
        <f ca="1">VLOOKUP($B20,OFFSET([2]quests!$A$1,0,0,COUNTA([2]quests!$A:$A),MATCH(C$1,[2]quests!$1:$1,0)-MATCH($B$1,[2]quests!$1:$1,0)+1),MATCH(C$1,[2]quests!$1:$1,0)-MATCH($B$1,[2]quests!$1:$1,0)+1,FALSE)</f>
        <v>【LB田邉】検証クエスト</v>
      </c>
      <c r="D20" s="83" t="str">
        <f ca="1">VLOOKUP($B20,OFFSET([2]quests!$A$1,0,0,COUNTA([2]quests!$A:$A),MATCH(D$1,[2]quests!$1:$1,0)-MATCH($B$1,[2]quests!$1:$1,0)+1),MATCH(D$1,[2]quests!$1:$1,0)-MATCH($B$1,[2]quests!$1:$1,0)+1,FALSE)</f>
        <v>検証</v>
      </c>
      <c r="E20" s="84">
        <v>1</v>
      </c>
      <c r="F20" s="83" t="str">
        <f ca="1">VLOOKUP($B20&amp;"_"&amp;$E20,OFFSET([2]stages!$A$1,0,0,COUNTA([2]stages!$A:$A),MATCH(F$1,[2]stages!$2:$2,0)-MATCH("temp_stage",[2]stages!$2:$2,0)+1),MATCH(F$1,[2]stages!$2:$2,0)-MATCH("temp_stage",[2]stages!$2:$2,0)+1,FALSE)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20" s="83" t="str">
        <f ca="1">VLOOKUP($B20&amp;"_"&amp;$E20,OFFSET([2]stages!$A$1,0,0,COUNTA([2]stages!$A:$A),MATCH(G$1,[2]stages!$2:$2,0)-MATCH("temp_stage",[2]stages!$2:$2,0)+1),MATCH(G$1,[2]stages!$2:$2,0)-MATCH("temp_stage",[2]stages!$2:$2,0)+1,FALSE)</f>
        <v>検証</v>
      </c>
      <c r="H20" s="85">
        <v>1</v>
      </c>
      <c r="I20" s="91">
        <f t="shared" si="0"/>
        <v>19</v>
      </c>
      <c r="J20" s="86" t="str">
        <f t="shared" si="1"/>
        <v>6552519</v>
      </c>
      <c r="K20" s="84" t="s">
        <v>129</v>
      </c>
      <c r="L20" s="87" t="s">
        <v>202</v>
      </c>
      <c r="M20" s="88" t="s">
        <v>204</v>
      </c>
      <c r="N20" s="57" t="s">
        <v>203</v>
      </c>
    </row>
    <row r="21" spans="1:14" x14ac:dyDescent="0.15">
      <c r="A21" s="81" t="s">
        <v>200</v>
      </c>
      <c r="B21" s="82">
        <f>floors!$C$2</f>
        <v>65525</v>
      </c>
      <c r="C21" s="83" t="str">
        <f ca="1">VLOOKUP($B21,OFFSET([2]quests!$A$1,0,0,COUNTA([2]quests!$A:$A),MATCH(C$1,[2]quests!$1:$1,0)-MATCH($B$1,[2]quests!$1:$1,0)+1),MATCH(C$1,[2]quests!$1:$1,0)-MATCH($B$1,[2]quests!$1:$1,0)+1,FALSE)</f>
        <v>【LB田邉】検証クエスト</v>
      </c>
      <c r="D21" s="83" t="str">
        <f ca="1">VLOOKUP($B21,OFFSET([2]quests!$A$1,0,0,COUNTA([2]quests!$A:$A),MATCH(D$1,[2]quests!$1:$1,0)-MATCH($B$1,[2]quests!$1:$1,0)+1),MATCH(D$1,[2]quests!$1:$1,0)-MATCH($B$1,[2]quests!$1:$1,0)+1,FALSE)</f>
        <v>検証</v>
      </c>
      <c r="E21" s="84">
        <v>1</v>
      </c>
      <c r="F21" s="83" t="str">
        <f ca="1">VLOOKUP($B21&amp;"_"&amp;$E21,OFFSET([2]stages!$A$1,0,0,COUNTA([2]stages!$A:$A),MATCH(F$1,[2]stages!$2:$2,0)-MATCH("temp_stage",[2]stages!$2:$2,0)+1),MATCH(F$1,[2]stages!$2:$2,0)-MATCH("temp_stage",[2]stages!$2:$2,0)+1,FALSE)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21" s="83" t="str">
        <f ca="1">VLOOKUP($B21&amp;"_"&amp;$E21,OFFSET([2]stages!$A$1,0,0,COUNTA([2]stages!$A:$A),MATCH(G$1,[2]stages!$2:$2,0)-MATCH("temp_stage",[2]stages!$2:$2,0)+1),MATCH(G$1,[2]stages!$2:$2,0)-MATCH("temp_stage",[2]stages!$2:$2,0)+1,FALSE)</f>
        <v>検証</v>
      </c>
      <c r="H21" s="85">
        <v>1</v>
      </c>
      <c r="I21" s="91">
        <f t="shared" si="0"/>
        <v>20</v>
      </c>
      <c r="J21" s="86" t="str">
        <f t="shared" si="1"/>
        <v>6552520</v>
      </c>
      <c r="K21" s="84" t="s">
        <v>129</v>
      </c>
      <c r="L21" s="87" t="s">
        <v>202</v>
      </c>
      <c r="M21" s="88" t="s">
        <v>204</v>
      </c>
      <c r="N21" s="57" t="s">
        <v>203</v>
      </c>
    </row>
    <row r="22" spans="1:14" x14ac:dyDescent="0.15">
      <c r="A22" s="81" t="s">
        <v>200</v>
      </c>
      <c r="B22" s="82">
        <f>floors!$C$2</f>
        <v>65525</v>
      </c>
      <c r="C22" s="83" t="str">
        <f ca="1">VLOOKUP($B22,OFFSET([2]quests!$A$1,0,0,COUNTA([2]quests!$A:$A),MATCH(C$1,[2]quests!$1:$1,0)-MATCH($B$1,[2]quests!$1:$1,0)+1),MATCH(C$1,[2]quests!$1:$1,0)-MATCH($B$1,[2]quests!$1:$1,0)+1,FALSE)</f>
        <v>【LB田邉】検証クエスト</v>
      </c>
      <c r="D22" s="83" t="str">
        <f ca="1">VLOOKUP($B22,OFFSET([2]quests!$A$1,0,0,COUNTA([2]quests!$A:$A),MATCH(D$1,[2]quests!$1:$1,0)-MATCH($B$1,[2]quests!$1:$1,0)+1),MATCH(D$1,[2]quests!$1:$1,0)-MATCH($B$1,[2]quests!$1:$1,0)+1,FALSE)</f>
        <v>検証</v>
      </c>
      <c r="E22" s="84">
        <v>1</v>
      </c>
      <c r="F22" s="83" t="str">
        <f ca="1">VLOOKUP($B22&amp;"_"&amp;$E22,OFFSET([2]stages!$A$1,0,0,COUNTA([2]stages!$A:$A),MATCH(F$1,[2]stages!$2:$2,0)-MATCH("temp_stage",[2]stages!$2:$2,0)+1),MATCH(F$1,[2]stages!$2:$2,0)-MATCH("temp_stage",[2]stages!$2:$2,0)+1,FALSE)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22" s="83" t="str">
        <f ca="1">VLOOKUP($B22&amp;"_"&amp;$E22,OFFSET([2]stages!$A$1,0,0,COUNTA([2]stages!$A:$A),MATCH(G$1,[2]stages!$2:$2,0)-MATCH("temp_stage",[2]stages!$2:$2,0)+1),MATCH(G$1,[2]stages!$2:$2,0)-MATCH("temp_stage",[2]stages!$2:$2,0)+1,FALSE)</f>
        <v>検証</v>
      </c>
      <c r="H22" s="85">
        <v>1</v>
      </c>
      <c r="I22" s="91">
        <f t="shared" si="0"/>
        <v>21</v>
      </c>
      <c r="J22" s="86" t="str">
        <f t="shared" si="1"/>
        <v>6552521</v>
      </c>
      <c r="K22" s="84" t="s">
        <v>129</v>
      </c>
      <c r="L22" s="87" t="s">
        <v>202</v>
      </c>
      <c r="M22" s="88" t="s">
        <v>204</v>
      </c>
      <c r="N22" s="57" t="s">
        <v>203</v>
      </c>
    </row>
    <row r="23" spans="1:14" x14ac:dyDescent="0.15">
      <c r="A23" s="81" t="s">
        <v>200</v>
      </c>
      <c r="B23" s="82">
        <f>floors!$C$2</f>
        <v>65525</v>
      </c>
      <c r="C23" s="83" t="str">
        <f ca="1">VLOOKUP($B23,OFFSET([2]quests!$A$1,0,0,COUNTA([2]quests!$A:$A),MATCH(C$1,[2]quests!$1:$1,0)-MATCH($B$1,[2]quests!$1:$1,0)+1),MATCH(C$1,[2]quests!$1:$1,0)-MATCH($B$1,[2]quests!$1:$1,0)+1,FALSE)</f>
        <v>【LB田邉】検証クエスト</v>
      </c>
      <c r="D23" s="83" t="str">
        <f ca="1">VLOOKUP($B23,OFFSET([2]quests!$A$1,0,0,COUNTA([2]quests!$A:$A),MATCH(D$1,[2]quests!$1:$1,0)-MATCH($B$1,[2]quests!$1:$1,0)+1),MATCH(D$1,[2]quests!$1:$1,0)-MATCH($B$1,[2]quests!$1:$1,0)+1,FALSE)</f>
        <v>検証</v>
      </c>
      <c r="E23" s="84">
        <v>1</v>
      </c>
      <c r="F23" s="83" t="str">
        <f ca="1">VLOOKUP($B23&amp;"_"&amp;$E23,OFFSET([2]stages!$A$1,0,0,COUNTA([2]stages!$A:$A),MATCH(F$1,[2]stages!$2:$2,0)-MATCH("temp_stage",[2]stages!$2:$2,0)+1),MATCH(F$1,[2]stages!$2:$2,0)-MATCH("temp_stage",[2]stages!$2:$2,0)+1,FALSE)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23" s="83" t="str">
        <f ca="1">VLOOKUP($B23&amp;"_"&amp;$E23,OFFSET([2]stages!$A$1,0,0,COUNTA([2]stages!$A:$A),MATCH(G$1,[2]stages!$2:$2,0)-MATCH("temp_stage",[2]stages!$2:$2,0)+1),MATCH(G$1,[2]stages!$2:$2,0)-MATCH("temp_stage",[2]stages!$2:$2,0)+1,FALSE)</f>
        <v>検証</v>
      </c>
      <c r="H23" s="85">
        <v>1</v>
      </c>
      <c r="I23" s="91">
        <f t="shared" si="0"/>
        <v>22</v>
      </c>
      <c r="J23" s="86" t="str">
        <f t="shared" si="1"/>
        <v>6552522</v>
      </c>
      <c r="K23" s="84" t="s">
        <v>129</v>
      </c>
      <c r="L23" s="87" t="s">
        <v>202</v>
      </c>
      <c r="M23" s="88" t="s">
        <v>204</v>
      </c>
      <c r="N23" s="57" t="s">
        <v>203</v>
      </c>
    </row>
    <row r="24" spans="1:14" x14ac:dyDescent="0.15">
      <c r="A24" s="81" t="s">
        <v>200</v>
      </c>
      <c r="B24" s="82">
        <f>floors!$C$2</f>
        <v>65525</v>
      </c>
      <c r="C24" s="83" t="str">
        <f ca="1">VLOOKUP($B24,OFFSET([2]quests!$A$1,0,0,COUNTA([2]quests!$A:$A),MATCH(C$1,[2]quests!$1:$1,0)-MATCH($B$1,[2]quests!$1:$1,0)+1),MATCH(C$1,[2]quests!$1:$1,0)-MATCH($B$1,[2]quests!$1:$1,0)+1,FALSE)</f>
        <v>【LB田邉】検証クエスト</v>
      </c>
      <c r="D24" s="83" t="str">
        <f ca="1">VLOOKUP($B24,OFFSET([2]quests!$A$1,0,0,COUNTA([2]quests!$A:$A),MATCH(D$1,[2]quests!$1:$1,0)-MATCH($B$1,[2]quests!$1:$1,0)+1),MATCH(D$1,[2]quests!$1:$1,0)-MATCH($B$1,[2]quests!$1:$1,0)+1,FALSE)</f>
        <v>検証</v>
      </c>
      <c r="E24" s="84">
        <v>1</v>
      </c>
      <c r="F24" s="83" t="str">
        <f ca="1">VLOOKUP($B24&amp;"_"&amp;$E24,OFFSET([2]stages!$A$1,0,0,COUNTA([2]stages!$A:$A),MATCH(F$1,[2]stages!$2:$2,0)-MATCH("temp_stage",[2]stages!$2:$2,0)+1),MATCH(F$1,[2]stages!$2:$2,0)-MATCH("temp_stage",[2]stages!$2:$2,0)+1,FALSE)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24" s="83" t="str">
        <f ca="1">VLOOKUP($B24&amp;"_"&amp;$E24,OFFSET([2]stages!$A$1,0,0,COUNTA([2]stages!$A:$A),MATCH(G$1,[2]stages!$2:$2,0)-MATCH("temp_stage",[2]stages!$2:$2,0)+1),MATCH(G$1,[2]stages!$2:$2,0)-MATCH("temp_stage",[2]stages!$2:$2,0)+1,FALSE)</f>
        <v>検証</v>
      </c>
      <c r="H24" s="85">
        <v>1</v>
      </c>
      <c r="I24" s="91">
        <f t="shared" si="0"/>
        <v>23</v>
      </c>
      <c r="J24" s="86" t="str">
        <f t="shared" si="1"/>
        <v>6552523</v>
      </c>
      <c r="K24" s="84" t="s">
        <v>129</v>
      </c>
      <c r="L24" s="87" t="s">
        <v>202</v>
      </c>
      <c r="M24" s="88" t="s">
        <v>204</v>
      </c>
      <c r="N24" s="57" t="s">
        <v>203</v>
      </c>
    </row>
    <row r="25" spans="1:14" x14ac:dyDescent="0.15">
      <c r="A25" s="81" t="s">
        <v>200</v>
      </c>
      <c r="B25" s="82">
        <f>floors!$C$2</f>
        <v>65525</v>
      </c>
      <c r="C25" s="83" t="str">
        <f ca="1">VLOOKUP($B25,OFFSET([2]quests!$A$1,0,0,COUNTA([2]quests!$A:$A),MATCH(C$1,[2]quests!$1:$1,0)-MATCH($B$1,[2]quests!$1:$1,0)+1),MATCH(C$1,[2]quests!$1:$1,0)-MATCH($B$1,[2]quests!$1:$1,0)+1,FALSE)</f>
        <v>【LB田邉】検証クエスト</v>
      </c>
      <c r="D25" s="83" t="str">
        <f ca="1">VLOOKUP($B25,OFFSET([2]quests!$A$1,0,0,COUNTA([2]quests!$A:$A),MATCH(D$1,[2]quests!$1:$1,0)-MATCH($B$1,[2]quests!$1:$1,0)+1),MATCH(D$1,[2]quests!$1:$1,0)-MATCH($B$1,[2]quests!$1:$1,0)+1,FALSE)</f>
        <v>検証</v>
      </c>
      <c r="E25" s="84">
        <v>1</v>
      </c>
      <c r="F25" s="83" t="str">
        <f ca="1">VLOOKUP($B25&amp;"_"&amp;$E25,OFFSET([2]stages!$A$1,0,0,COUNTA([2]stages!$A:$A),MATCH(F$1,[2]stages!$2:$2,0)-MATCH("temp_stage",[2]stages!$2:$2,0)+1),MATCH(F$1,[2]stages!$2:$2,0)-MATCH("temp_stage",[2]stages!$2:$2,0)+1,FALSE)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25" s="83" t="str">
        <f ca="1">VLOOKUP($B25&amp;"_"&amp;$E25,OFFSET([2]stages!$A$1,0,0,COUNTA([2]stages!$A:$A),MATCH(G$1,[2]stages!$2:$2,0)-MATCH("temp_stage",[2]stages!$2:$2,0)+1),MATCH(G$1,[2]stages!$2:$2,0)-MATCH("temp_stage",[2]stages!$2:$2,0)+1,FALSE)</f>
        <v>検証</v>
      </c>
      <c r="H25" s="85">
        <v>1</v>
      </c>
      <c r="I25" s="91">
        <f t="shared" si="0"/>
        <v>24</v>
      </c>
      <c r="J25" s="86" t="str">
        <f t="shared" si="1"/>
        <v>6552524</v>
      </c>
      <c r="K25" s="84" t="s">
        <v>129</v>
      </c>
      <c r="L25" s="87" t="s">
        <v>202</v>
      </c>
      <c r="M25" s="88" t="s">
        <v>204</v>
      </c>
      <c r="N25" s="57" t="s">
        <v>203</v>
      </c>
    </row>
    <row r="26" spans="1:14" x14ac:dyDescent="0.15">
      <c r="A26" s="81" t="s">
        <v>200</v>
      </c>
      <c r="B26" s="82">
        <f>floors!$C$2</f>
        <v>65525</v>
      </c>
      <c r="C26" s="83" t="str">
        <f ca="1">VLOOKUP($B26,OFFSET([2]quests!$A$1,0,0,COUNTA([2]quests!$A:$A),MATCH(C$1,[2]quests!$1:$1,0)-MATCH($B$1,[2]quests!$1:$1,0)+1),MATCH(C$1,[2]quests!$1:$1,0)-MATCH($B$1,[2]quests!$1:$1,0)+1,FALSE)</f>
        <v>【LB田邉】検証クエスト</v>
      </c>
      <c r="D26" s="83" t="str">
        <f ca="1">VLOOKUP($B26,OFFSET([2]quests!$A$1,0,0,COUNTA([2]quests!$A:$A),MATCH(D$1,[2]quests!$1:$1,0)-MATCH($B$1,[2]quests!$1:$1,0)+1),MATCH(D$1,[2]quests!$1:$1,0)-MATCH($B$1,[2]quests!$1:$1,0)+1,FALSE)</f>
        <v>検証</v>
      </c>
      <c r="E26" s="84">
        <v>1</v>
      </c>
      <c r="F26" s="83" t="str">
        <f ca="1">VLOOKUP($B26&amp;"_"&amp;$E26,OFFSET([2]stages!$A$1,0,0,COUNTA([2]stages!$A:$A),MATCH(F$1,[2]stages!$2:$2,0)-MATCH("temp_stage",[2]stages!$2:$2,0)+1),MATCH(F$1,[2]stages!$2:$2,0)-MATCH("temp_stage",[2]stages!$2:$2,0)+1,FALSE)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26" s="83" t="str">
        <f ca="1">VLOOKUP($B26&amp;"_"&amp;$E26,OFFSET([2]stages!$A$1,0,0,COUNTA([2]stages!$A:$A),MATCH(G$1,[2]stages!$2:$2,0)-MATCH("temp_stage",[2]stages!$2:$2,0)+1),MATCH(G$1,[2]stages!$2:$2,0)-MATCH("temp_stage",[2]stages!$2:$2,0)+1,FALSE)</f>
        <v>検証</v>
      </c>
      <c r="H26" s="85">
        <v>1</v>
      </c>
      <c r="I26" s="91">
        <f t="shared" si="0"/>
        <v>25</v>
      </c>
      <c r="J26" s="86" t="str">
        <f t="shared" si="1"/>
        <v>6552525</v>
      </c>
      <c r="K26" s="84" t="s">
        <v>129</v>
      </c>
      <c r="L26" s="87" t="s">
        <v>202</v>
      </c>
      <c r="M26" s="88" t="s">
        <v>204</v>
      </c>
      <c r="N26" s="57" t="s">
        <v>203</v>
      </c>
    </row>
    <row r="27" spans="1:14" x14ac:dyDescent="0.15">
      <c r="A27" s="81" t="s">
        <v>200</v>
      </c>
      <c r="B27" s="82">
        <f>floors!$C$2</f>
        <v>65525</v>
      </c>
      <c r="C27" s="83" t="str">
        <f ca="1">VLOOKUP($B27,OFFSET([2]quests!$A$1,0,0,COUNTA([2]quests!$A:$A),MATCH(C$1,[2]quests!$1:$1,0)-MATCH($B$1,[2]quests!$1:$1,0)+1),MATCH(C$1,[2]quests!$1:$1,0)-MATCH($B$1,[2]quests!$1:$1,0)+1,FALSE)</f>
        <v>【LB田邉】検証クエスト</v>
      </c>
      <c r="D27" s="83" t="str">
        <f ca="1">VLOOKUP($B27,OFFSET([2]quests!$A$1,0,0,COUNTA([2]quests!$A:$A),MATCH(D$1,[2]quests!$1:$1,0)-MATCH($B$1,[2]quests!$1:$1,0)+1),MATCH(D$1,[2]quests!$1:$1,0)-MATCH($B$1,[2]quests!$1:$1,0)+1,FALSE)</f>
        <v>検証</v>
      </c>
      <c r="E27" s="84">
        <v>1</v>
      </c>
      <c r="F27" s="83" t="str">
        <f ca="1">VLOOKUP($B27&amp;"_"&amp;$E27,OFFSET([2]stages!$A$1,0,0,COUNTA([2]stages!$A:$A),MATCH(F$1,[2]stages!$2:$2,0)-MATCH("temp_stage",[2]stages!$2:$2,0)+1),MATCH(F$1,[2]stages!$2:$2,0)-MATCH("temp_stage",[2]stages!$2:$2,0)+1,FALSE)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27" s="83" t="str">
        <f ca="1">VLOOKUP($B27&amp;"_"&amp;$E27,OFFSET([2]stages!$A$1,0,0,COUNTA([2]stages!$A:$A),MATCH(G$1,[2]stages!$2:$2,0)-MATCH("temp_stage",[2]stages!$2:$2,0)+1),MATCH(G$1,[2]stages!$2:$2,0)-MATCH("temp_stage",[2]stages!$2:$2,0)+1,FALSE)</f>
        <v>検証</v>
      </c>
      <c r="H27" s="85">
        <v>1</v>
      </c>
      <c r="I27" s="91">
        <f t="shared" si="0"/>
        <v>26</v>
      </c>
      <c r="J27" s="86" t="str">
        <f t="shared" si="1"/>
        <v>6552526</v>
      </c>
      <c r="K27" s="84" t="s">
        <v>129</v>
      </c>
      <c r="L27" s="87" t="s">
        <v>202</v>
      </c>
      <c r="M27" s="88" t="s">
        <v>204</v>
      </c>
      <c r="N27" s="57" t="s">
        <v>203</v>
      </c>
    </row>
    <row r="28" spans="1:14" x14ac:dyDescent="0.15">
      <c r="A28" s="81" t="s">
        <v>200</v>
      </c>
      <c r="B28" s="82">
        <f>floors!$C$2</f>
        <v>65525</v>
      </c>
      <c r="C28" s="83" t="str">
        <f ca="1">VLOOKUP($B28,OFFSET([2]quests!$A$1,0,0,COUNTA([2]quests!$A:$A),MATCH(C$1,[2]quests!$1:$1,0)-MATCH($B$1,[2]quests!$1:$1,0)+1),MATCH(C$1,[2]quests!$1:$1,0)-MATCH($B$1,[2]quests!$1:$1,0)+1,FALSE)</f>
        <v>【LB田邉】検証クエスト</v>
      </c>
      <c r="D28" s="83" t="str">
        <f ca="1">VLOOKUP($B28,OFFSET([2]quests!$A$1,0,0,COUNTA([2]quests!$A:$A),MATCH(D$1,[2]quests!$1:$1,0)-MATCH($B$1,[2]quests!$1:$1,0)+1),MATCH(D$1,[2]quests!$1:$1,0)-MATCH($B$1,[2]quests!$1:$1,0)+1,FALSE)</f>
        <v>検証</v>
      </c>
      <c r="E28" s="84">
        <v>1</v>
      </c>
      <c r="F28" s="83" t="str">
        <f ca="1">VLOOKUP($B28&amp;"_"&amp;$E28,OFFSET([2]stages!$A$1,0,0,COUNTA([2]stages!$A:$A),MATCH(F$1,[2]stages!$2:$2,0)-MATCH("temp_stage",[2]stages!$2:$2,0)+1),MATCH(F$1,[2]stages!$2:$2,0)-MATCH("temp_stage",[2]stages!$2:$2,0)+1,FALSE)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28" s="83" t="str">
        <f ca="1">VLOOKUP($B28&amp;"_"&amp;$E28,OFFSET([2]stages!$A$1,0,0,COUNTA([2]stages!$A:$A),MATCH(G$1,[2]stages!$2:$2,0)-MATCH("temp_stage",[2]stages!$2:$2,0)+1),MATCH(G$1,[2]stages!$2:$2,0)-MATCH("temp_stage",[2]stages!$2:$2,0)+1,FALSE)</f>
        <v>検証</v>
      </c>
      <c r="H28" s="85">
        <v>1</v>
      </c>
      <c r="I28" s="91">
        <f t="shared" si="0"/>
        <v>27</v>
      </c>
      <c r="J28" s="86" t="str">
        <f t="shared" si="1"/>
        <v>6552527</v>
      </c>
      <c r="K28" s="84" t="s">
        <v>129</v>
      </c>
      <c r="L28" s="87" t="s">
        <v>202</v>
      </c>
      <c r="M28" s="88" t="s">
        <v>204</v>
      </c>
      <c r="N28" s="57" t="s">
        <v>203</v>
      </c>
    </row>
    <row r="29" spans="1:14" x14ac:dyDescent="0.15">
      <c r="A29" s="81" t="s">
        <v>200</v>
      </c>
      <c r="B29" s="82">
        <f>floors!$C$2</f>
        <v>65525</v>
      </c>
      <c r="C29" s="83" t="str">
        <f ca="1">VLOOKUP($B29,OFFSET([2]quests!$A$1,0,0,COUNTA([2]quests!$A:$A),MATCH(C$1,[2]quests!$1:$1,0)-MATCH($B$1,[2]quests!$1:$1,0)+1),MATCH(C$1,[2]quests!$1:$1,0)-MATCH($B$1,[2]quests!$1:$1,0)+1,FALSE)</f>
        <v>【LB田邉】検証クエスト</v>
      </c>
      <c r="D29" s="83" t="str">
        <f ca="1">VLOOKUP($B29,OFFSET([2]quests!$A$1,0,0,COUNTA([2]quests!$A:$A),MATCH(D$1,[2]quests!$1:$1,0)-MATCH($B$1,[2]quests!$1:$1,0)+1),MATCH(D$1,[2]quests!$1:$1,0)-MATCH($B$1,[2]quests!$1:$1,0)+1,FALSE)</f>
        <v>検証</v>
      </c>
      <c r="E29" s="84">
        <v>1</v>
      </c>
      <c r="F29" s="83" t="str">
        <f ca="1">VLOOKUP($B29&amp;"_"&amp;$E29,OFFSET([2]stages!$A$1,0,0,COUNTA([2]stages!$A:$A),MATCH(F$1,[2]stages!$2:$2,0)-MATCH("temp_stage",[2]stages!$2:$2,0)+1),MATCH(F$1,[2]stages!$2:$2,0)-MATCH("temp_stage",[2]stages!$2:$2,0)+1,FALSE)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29" s="83" t="str">
        <f ca="1">VLOOKUP($B29&amp;"_"&amp;$E29,OFFSET([2]stages!$A$1,0,0,COUNTA([2]stages!$A:$A),MATCH(G$1,[2]stages!$2:$2,0)-MATCH("temp_stage",[2]stages!$2:$2,0)+1),MATCH(G$1,[2]stages!$2:$2,0)-MATCH("temp_stage",[2]stages!$2:$2,0)+1,FALSE)</f>
        <v>検証</v>
      </c>
      <c r="H29" s="85">
        <v>1</v>
      </c>
      <c r="I29" s="91">
        <f t="shared" si="0"/>
        <v>28</v>
      </c>
      <c r="J29" s="86" t="str">
        <f t="shared" si="1"/>
        <v>6552528</v>
      </c>
      <c r="K29" s="84" t="s">
        <v>129</v>
      </c>
      <c r="L29" s="87" t="s">
        <v>202</v>
      </c>
      <c r="M29" s="88" t="s">
        <v>204</v>
      </c>
      <c r="N29" s="57" t="s">
        <v>203</v>
      </c>
    </row>
    <row r="30" spans="1:14" x14ac:dyDescent="0.15">
      <c r="A30" s="81" t="s">
        <v>200</v>
      </c>
      <c r="B30" s="82">
        <f>floors!$C$2</f>
        <v>65525</v>
      </c>
      <c r="C30" s="83" t="str">
        <f ca="1">VLOOKUP($B30,OFFSET([2]quests!$A$1,0,0,COUNTA([2]quests!$A:$A),MATCH(C$1,[2]quests!$1:$1,0)-MATCH($B$1,[2]quests!$1:$1,0)+1),MATCH(C$1,[2]quests!$1:$1,0)-MATCH($B$1,[2]quests!$1:$1,0)+1,FALSE)</f>
        <v>【LB田邉】検証クエスト</v>
      </c>
      <c r="D30" s="83" t="str">
        <f ca="1">VLOOKUP($B30,OFFSET([2]quests!$A$1,0,0,COUNTA([2]quests!$A:$A),MATCH(D$1,[2]quests!$1:$1,0)-MATCH($B$1,[2]quests!$1:$1,0)+1),MATCH(D$1,[2]quests!$1:$1,0)-MATCH($B$1,[2]quests!$1:$1,0)+1,FALSE)</f>
        <v>検証</v>
      </c>
      <c r="E30" s="84">
        <v>1</v>
      </c>
      <c r="F30" s="83" t="str">
        <f ca="1">VLOOKUP($B30&amp;"_"&amp;$E30,OFFSET([2]stages!$A$1,0,0,COUNTA([2]stages!$A:$A),MATCH(F$1,[2]stages!$2:$2,0)-MATCH("temp_stage",[2]stages!$2:$2,0)+1),MATCH(F$1,[2]stages!$2:$2,0)-MATCH("temp_stage",[2]stages!$2:$2,0)+1,FALSE)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30" s="83" t="str">
        <f ca="1">VLOOKUP($B30&amp;"_"&amp;$E30,OFFSET([2]stages!$A$1,0,0,COUNTA([2]stages!$A:$A),MATCH(G$1,[2]stages!$2:$2,0)-MATCH("temp_stage",[2]stages!$2:$2,0)+1),MATCH(G$1,[2]stages!$2:$2,0)-MATCH("temp_stage",[2]stages!$2:$2,0)+1,FALSE)</f>
        <v>検証</v>
      </c>
      <c r="H30" s="85">
        <v>1</v>
      </c>
      <c r="I30" s="91">
        <f t="shared" si="0"/>
        <v>29</v>
      </c>
      <c r="J30" s="86" t="str">
        <f t="shared" si="1"/>
        <v>6552529</v>
      </c>
      <c r="K30" s="84" t="s">
        <v>129</v>
      </c>
      <c r="L30" s="87" t="s">
        <v>202</v>
      </c>
      <c r="M30" s="88" t="s">
        <v>204</v>
      </c>
      <c r="N30" s="57" t="s">
        <v>203</v>
      </c>
    </row>
    <row r="31" spans="1:14" x14ac:dyDescent="0.15">
      <c r="A31" s="81" t="s">
        <v>200</v>
      </c>
      <c r="B31" s="82">
        <f>floors!$C$2</f>
        <v>65525</v>
      </c>
      <c r="C31" s="83" t="str">
        <f ca="1">VLOOKUP($B31,OFFSET([2]quests!$A$1,0,0,COUNTA([2]quests!$A:$A),MATCH(C$1,[2]quests!$1:$1,0)-MATCH($B$1,[2]quests!$1:$1,0)+1),MATCH(C$1,[2]quests!$1:$1,0)-MATCH($B$1,[2]quests!$1:$1,0)+1,FALSE)</f>
        <v>【LB田邉】検証クエスト</v>
      </c>
      <c r="D31" s="83" t="str">
        <f ca="1">VLOOKUP($B31,OFFSET([2]quests!$A$1,0,0,COUNTA([2]quests!$A:$A),MATCH(D$1,[2]quests!$1:$1,0)-MATCH($B$1,[2]quests!$1:$1,0)+1),MATCH(D$1,[2]quests!$1:$1,0)-MATCH($B$1,[2]quests!$1:$1,0)+1,FALSE)</f>
        <v>検証</v>
      </c>
      <c r="E31" s="84">
        <v>1</v>
      </c>
      <c r="F31" s="83" t="str">
        <f ca="1">VLOOKUP($B31&amp;"_"&amp;$E31,OFFSET([2]stages!$A$1,0,0,COUNTA([2]stages!$A:$A),MATCH(F$1,[2]stages!$2:$2,0)-MATCH("temp_stage",[2]stages!$2:$2,0)+1),MATCH(F$1,[2]stages!$2:$2,0)-MATCH("temp_stage",[2]stages!$2:$2,0)+1,FALSE)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31" s="83" t="str">
        <f ca="1">VLOOKUP($B31&amp;"_"&amp;$E31,OFFSET([2]stages!$A$1,0,0,COUNTA([2]stages!$A:$A),MATCH(G$1,[2]stages!$2:$2,0)-MATCH("temp_stage",[2]stages!$2:$2,0)+1),MATCH(G$1,[2]stages!$2:$2,0)-MATCH("temp_stage",[2]stages!$2:$2,0)+1,FALSE)</f>
        <v>検証</v>
      </c>
      <c r="H31" s="85">
        <v>1</v>
      </c>
      <c r="I31" s="91">
        <f t="shared" si="0"/>
        <v>30</v>
      </c>
      <c r="J31" s="86" t="str">
        <f t="shared" si="1"/>
        <v>6552530</v>
      </c>
      <c r="K31" s="84" t="s">
        <v>129</v>
      </c>
      <c r="L31" s="87" t="s">
        <v>202</v>
      </c>
      <c r="M31" s="88" t="s">
        <v>204</v>
      </c>
      <c r="N31" s="57" t="s">
        <v>203</v>
      </c>
    </row>
    <row r="32" spans="1:14" x14ac:dyDescent="0.15">
      <c r="A32" s="81" t="s">
        <v>200</v>
      </c>
      <c r="B32" s="82">
        <f>floors!$C$2</f>
        <v>65525</v>
      </c>
      <c r="C32" s="83" t="str">
        <f ca="1">VLOOKUP($B32,OFFSET([2]quests!$A$1,0,0,COUNTA([2]quests!$A:$A),MATCH(C$1,[2]quests!$1:$1,0)-MATCH($B$1,[2]quests!$1:$1,0)+1),MATCH(C$1,[2]quests!$1:$1,0)-MATCH($B$1,[2]quests!$1:$1,0)+1,FALSE)</f>
        <v>【LB田邉】検証クエスト</v>
      </c>
      <c r="D32" s="83" t="str">
        <f ca="1">VLOOKUP($B32,OFFSET([2]quests!$A$1,0,0,COUNTA([2]quests!$A:$A),MATCH(D$1,[2]quests!$1:$1,0)-MATCH($B$1,[2]quests!$1:$1,0)+1),MATCH(D$1,[2]quests!$1:$1,0)-MATCH($B$1,[2]quests!$1:$1,0)+1,FALSE)</f>
        <v>検証</v>
      </c>
      <c r="E32" s="84">
        <v>1</v>
      </c>
      <c r="F32" s="83" t="str">
        <f ca="1">VLOOKUP($B32&amp;"_"&amp;$E32,OFFSET([2]stages!$A$1,0,0,COUNTA([2]stages!$A:$A),MATCH(F$1,[2]stages!$2:$2,0)-MATCH("temp_stage",[2]stages!$2:$2,0)+1),MATCH(F$1,[2]stages!$2:$2,0)-MATCH("temp_stage",[2]stages!$2:$2,0)+1,FALSE)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32" s="83" t="str">
        <f ca="1">VLOOKUP($B32&amp;"_"&amp;$E32,OFFSET([2]stages!$A$1,0,0,COUNTA([2]stages!$A:$A),MATCH(G$1,[2]stages!$2:$2,0)-MATCH("temp_stage",[2]stages!$2:$2,0)+1),MATCH(G$1,[2]stages!$2:$2,0)-MATCH("temp_stage",[2]stages!$2:$2,0)+1,FALSE)</f>
        <v>検証</v>
      </c>
      <c r="H32" s="85">
        <v>1</v>
      </c>
      <c r="I32" s="91">
        <f t="shared" si="0"/>
        <v>31</v>
      </c>
      <c r="J32" s="86" t="str">
        <f t="shared" si="1"/>
        <v>6552531</v>
      </c>
      <c r="K32" s="84" t="s">
        <v>129</v>
      </c>
      <c r="L32" s="87" t="s">
        <v>202</v>
      </c>
      <c r="M32" s="88" t="s">
        <v>204</v>
      </c>
      <c r="N32" s="57" t="s">
        <v>203</v>
      </c>
    </row>
    <row r="33" spans="1:14" x14ac:dyDescent="0.15">
      <c r="A33" s="81" t="s">
        <v>200</v>
      </c>
      <c r="B33" s="82">
        <f>floors!$C$2</f>
        <v>65525</v>
      </c>
      <c r="C33" s="83" t="str">
        <f ca="1">VLOOKUP($B33,OFFSET([2]quests!$A$1,0,0,COUNTA([2]quests!$A:$A),MATCH(C$1,[2]quests!$1:$1,0)-MATCH($B$1,[2]quests!$1:$1,0)+1),MATCH(C$1,[2]quests!$1:$1,0)-MATCH($B$1,[2]quests!$1:$1,0)+1,FALSE)</f>
        <v>【LB田邉】検証クエスト</v>
      </c>
      <c r="D33" s="83" t="str">
        <f ca="1">VLOOKUP($B33,OFFSET([2]quests!$A$1,0,0,COUNTA([2]quests!$A:$A),MATCH(D$1,[2]quests!$1:$1,0)-MATCH($B$1,[2]quests!$1:$1,0)+1),MATCH(D$1,[2]quests!$1:$1,0)-MATCH($B$1,[2]quests!$1:$1,0)+1,FALSE)</f>
        <v>検証</v>
      </c>
      <c r="E33" s="84">
        <v>1</v>
      </c>
      <c r="F33" s="83" t="str">
        <f ca="1">VLOOKUP($B33&amp;"_"&amp;$E33,OFFSET([2]stages!$A$1,0,0,COUNTA([2]stages!$A:$A),MATCH(F$1,[2]stages!$2:$2,0)-MATCH("temp_stage",[2]stages!$2:$2,0)+1),MATCH(F$1,[2]stages!$2:$2,0)-MATCH("temp_stage",[2]stages!$2:$2,0)+1,FALSE)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33" s="83" t="str">
        <f ca="1">VLOOKUP($B33&amp;"_"&amp;$E33,OFFSET([2]stages!$A$1,0,0,COUNTA([2]stages!$A:$A),MATCH(G$1,[2]stages!$2:$2,0)-MATCH("temp_stage",[2]stages!$2:$2,0)+1),MATCH(G$1,[2]stages!$2:$2,0)-MATCH("temp_stage",[2]stages!$2:$2,0)+1,FALSE)</f>
        <v>検証</v>
      </c>
      <c r="H33" s="85">
        <v>1</v>
      </c>
      <c r="I33" s="91">
        <f t="shared" si="0"/>
        <v>32</v>
      </c>
      <c r="J33" s="86" t="str">
        <f t="shared" si="1"/>
        <v>6552532</v>
      </c>
      <c r="K33" s="84" t="s">
        <v>129</v>
      </c>
      <c r="L33" s="87" t="s">
        <v>202</v>
      </c>
      <c r="M33" s="88" t="s">
        <v>204</v>
      </c>
      <c r="N33" s="57" t="s">
        <v>203</v>
      </c>
    </row>
    <row r="34" spans="1:14" x14ac:dyDescent="0.15">
      <c r="A34" s="81" t="s">
        <v>200</v>
      </c>
      <c r="B34" s="82">
        <f>floors!$C$2</f>
        <v>65525</v>
      </c>
      <c r="C34" s="83" t="str">
        <f ca="1">VLOOKUP($B34,OFFSET([2]quests!$A$1,0,0,COUNTA([2]quests!$A:$A),MATCH(C$1,[2]quests!$1:$1,0)-MATCH($B$1,[2]quests!$1:$1,0)+1),MATCH(C$1,[2]quests!$1:$1,0)-MATCH($B$1,[2]quests!$1:$1,0)+1,FALSE)</f>
        <v>【LB田邉】検証クエスト</v>
      </c>
      <c r="D34" s="83" t="str">
        <f ca="1">VLOOKUP($B34,OFFSET([2]quests!$A$1,0,0,COUNTA([2]quests!$A:$A),MATCH(D$1,[2]quests!$1:$1,0)-MATCH($B$1,[2]quests!$1:$1,0)+1),MATCH(D$1,[2]quests!$1:$1,0)-MATCH($B$1,[2]quests!$1:$1,0)+1,FALSE)</f>
        <v>検証</v>
      </c>
      <c r="E34" s="84">
        <v>1</v>
      </c>
      <c r="F34" s="83" t="str">
        <f ca="1">VLOOKUP($B34&amp;"_"&amp;$E34,OFFSET([2]stages!$A$1,0,0,COUNTA([2]stages!$A:$A),MATCH(F$1,[2]stages!$2:$2,0)-MATCH("temp_stage",[2]stages!$2:$2,0)+1),MATCH(F$1,[2]stages!$2:$2,0)-MATCH("temp_stage",[2]stages!$2:$2,0)+1,FALSE)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34" s="83" t="str">
        <f ca="1">VLOOKUP($B34&amp;"_"&amp;$E34,OFFSET([2]stages!$A$1,0,0,COUNTA([2]stages!$A:$A),MATCH(G$1,[2]stages!$2:$2,0)-MATCH("temp_stage",[2]stages!$2:$2,0)+1),MATCH(G$1,[2]stages!$2:$2,0)-MATCH("temp_stage",[2]stages!$2:$2,0)+1,FALSE)</f>
        <v>検証</v>
      </c>
      <c r="H34" s="85">
        <v>1</v>
      </c>
      <c r="I34" s="91">
        <f t="shared" si="0"/>
        <v>33</v>
      </c>
      <c r="J34" s="86" t="str">
        <f t="shared" si="1"/>
        <v>6552533</v>
      </c>
      <c r="K34" s="84" t="s">
        <v>129</v>
      </c>
      <c r="L34" s="87" t="s">
        <v>202</v>
      </c>
      <c r="M34" s="88" t="s">
        <v>204</v>
      </c>
      <c r="N34" s="57" t="s">
        <v>203</v>
      </c>
    </row>
    <row r="35" spans="1:14" x14ac:dyDescent="0.15">
      <c r="A35" s="81" t="s">
        <v>200</v>
      </c>
      <c r="B35" s="82">
        <f>floors!$C$2</f>
        <v>65525</v>
      </c>
      <c r="C35" s="83" t="str">
        <f ca="1">VLOOKUP($B35,OFFSET([2]quests!$A$1,0,0,COUNTA([2]quests!$A:$A),MATCH(C$1,[2]quests!$1:$1,0)-MATCH($B$1,[2]quests!$1:$1,0)+1),MATCH(C$1,[2]quests!$1:$1,0)-MATCH($B$1,[2]quests!$1:$1,0)+1,FALSE)</f>
        <v>【LB田邉】検証クエスト</v>
      </c>
      <c r="D35" s="83" t="str">
        <f ca="1">VLOOKUP($B35,OFFSET([2]quests!$A$1,0,0,COUNTA([2]quests!$A:$A),MATCH(D$1,[2]quests!$1:$1,0)-MATCH($B$1,[2]quests!$1:$1,0)+1),MATCH(D$1,[2]quests!$1:$1,0)-MATCH($B$1,[2]quests!$1:$1,0)+1,FALSE)</f>
        <v>検証</v>
      </c>
      <c r="E35" s="84">
        <v>1</v>
      </c>
      <c r="F35" s="83" t="str">
        <f ca="1">VLOOKUP($B35&amp;"_"&amp;$E35,OFFSET([2]stages!$A$1,0,0,COUNTA([2]stages!$A:$A),MATCH(F$1,[2]stages!$2:$2,0)-MATCH("temp_stage",[2]stages!$2:$2,0)+1),MATCH(F$1,[2]stages!$2:$2,0)-MATCH("temp_stage",[2]stages!$2:$2,0)+1,FALSE)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35" s="83" t="str">
        <f ca="1">VLOOKUP($B35&amp;"_"&amp;$E35,OFFSET([2]stages!$A$1,0,0,COUNTA([2]stages!$A:$A),MATCH(G$1,[2]stages!$2:$2,0)-MATCH("temp_stage",[2]stages!$2:$2,0)+1),MATCH(G$1,[2]stages!$2:$2,0)-MATCH("temp_stage",[2]stages!$2:$2,0)+1,FALSE)</f>
        <v>検証</v>
      </c>
      <c r="H35" s="85">
        <v>1</v>
      </c>
      <c r="I35" s="91">
        <f t="shared" si="0"/>
        <v>34</v>
      </c>
      <c r="J35" s="86" t="str">
        <f t="shared" si="1"/>
        <v>6552534</v>
      </c>
      <c r="K35" s="84" t="s">
        <v>129</v>
      </c>
      <c r="L35" s="87" t="s">
        <v>202</v>
      </c>
      <c r="M35" s="88" t="s">
        <v>204</v>
      </c>
      <c r="N35" s="57" t="s">
        <v>203</v>
      </c>
    </row>
    <row r="36" spans="1:14" x14ac:dyDescent="0.15">
      <c r="A36" s="81" t="s">
        <v>200</v>
      </c>
      <c r="B36" s="82">
        <f>floors!$C$2</f>
        <v>65525</v>
      </c>
      <c r="C36" s="83" t="str">
        <f ca="1">VLOOKUP($B36,OFFSET([2]quests!$A$1,0,0,COUNTA([2]quests!$A:$A),MATCH(C$1,[2]quests!$1:$1,0)-MATCH($B$1,[2]quests!$1:$1,0)+1),MATCH(C$1,[2]quests!$1:$1,0)-MATCH($B$1,[2]quests!$1:$1,0)+1,FALSE)</f>
        <v>【LB田邉】検証クエスト</v>
      </c>
      <c r="D36" s="83" t="str">
        <f ca="1">VLOOKUP($B36,OFFSET([2]quests!$A$1,0,0,COUNTA([2]quests!$A:$A),MATCH(D$1,[2]quests!$1:$1,0)-MATCH($B$1,[2]quests!$1:$1,0)+1),MATCH(D$1,[2]quests!$1:$1,0)-MATCH($B$1,[2]quests!$1:$1,0)+1,FALSE)</f>
        <v>検証</v>
      </c>
      <c r="E36" s="84">
        <v>1</v>
      </c>
      <c r="F36" s="83" t="str">
        <f ca="1">VLOOKUP($B36&amp;"_"&amp;$E36,OFFSET([2]stages!$A$1,0,0,COUNTA([2]stages!$A:$A),MATCH(F$1,[2]stages!$2:$2,0)-MATCH("temp_stage",[2]stages!$2:$2,0)+1),MATCH(F$1,[2]stages!$2:$2,0)-MATCH("temp_stage",[2]stages!$2:$2,0)+1,FALSE)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36" s="83" t="str">
        <f ca="1">VLOOKUP($B36&amp;"_"&amp;$E36,OFFSET([2]stages!$A$1,0,0,COUNTA([2]stages!$A:$A),MATCH(G$1,[2]stages!$2:$2,0)-MATCH("temp_stage",[2]stages!$2:$2,0)+1),MATCH(G$1,[2]stages!$2:$2,0)-MATCH("temp_stage",[2]stages!$2:$2,0)+1,FALSE)</f>
        <v>検証</v>
      </c>
      <c r="H36" s="85">
        <v>1</v>
      </c>
      <c r="I36" s="91">
        <f t="shared" si="0"/>
        <v>35</v>
      </c>
      <c r="J36" s="86" t="str">
        <f t="shared" si="1"/>
        <v>6552535</v>
      </c>
      <c r="K36" s="84" t="s">
        <v>129</v>
      </c>
      <c r="L36" s="87" t="s">
        <v>202</v>
      </c>
      <c r="M36" s="88" t="s">
        <v>204</v>
      </c>
      <c r="N36" s="57" t="s">
        <v>203</v>
      </c>
    </row>
    <row r="37" spans="1:14" x14ac:dyDescent="0.15">
      <c r="A37" s="81" t="s">
        <v>200</v>
      </c>
      <c r="B37" s="82">
        <f>floors!$C$2</f>
        <v>65525</v>
      </c>
      <c r="C37" s="83" t="str">
        <f ca="1">VLOOKUP($B37,OFFSET([2]quests!$A$1,0,0,COUNTA([2]quests!$A:$A),MATCH(C$1,[2]quests!$1:$1,0)-MATCH($B$1,[2]quests!$1:$1,0)+1),MATCH(C$1,[2]quests!$1:$1,0)-MATCH($B$1,[2]quests!$1:$1,0)+1,FALSE)</f>
        <v>【LB田邉】検証クエスト</v>
      </c>
      <c r="D37" s="83" t="str">
        <f ca="1">VLOOKUP($B37,OFFSET([2]quests!$A$1,0,0,COUNTA([2]quests!$A:$A),MATCH(D$1,[2]quests!$1:$1,0)-MATCH($B$1,[2]quests!$1:$1,0)+1),MATCH(D$1,[2]quests!$1:$1,0)-MATCH($B$1,[2]quests!$1:$1,0)+1,FALSE)</f>
        <v>検証</v>
      </c>
      <c r="E37" s="84">
        <v>1</v>
      </c>
      <c r="F37" s="83" t="str">
        <f ca="1">VLOOKUP($B37&amp;"_"&amp;$E37,OFFSET([2]stages!$A$1,0,0,COUNTA([2]stages!$A:$A),MATCH(F$1,[2]stages!$2:$2,0)-MATCH("temp_stage",[2]stages!$2:$2,0)+1),MATCH(F$1,[2]stages!$2:$2,0)-MATCH("temp_stage",[2]stages!$2:$2,0)+1,FALSE)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37" s="83" t="str">
        <f ca="1">VLOOKUP($B37&amp;"_"&amp;$E37,OFFSET([2]stages!$A$1,0,0,COUNTA([2]stages!$A:$A),MATCH(G$1,[2]stages!$2:$2,0)-MATCH("temp_stage",[2]stages!$2:$2,0)+1),MATCH(G$1,[2]stages!$2:$2,0)-MATCH("temp_stage",[2]stages!$2:$2,0)+1,FALSE)</f>
        <v>検証</v>
      </c>
      <c r="H37" s="85">
        <v>1</v>
      </c>
      <c r="I37" s="91">
        <f t="shared" si="0"/>
        <v>36</v>
      </c>
      <c r="J37" s="86" t="str">
        <f t="shared" si="1"/>
        <v>6552536</v>
      </c>
      <c r="K37" s="84" t="s">
        <v>129</v>
      </c>
      <c r="L37" s="87" t="s">
        <v>202</v>
      </c>
      <c r="M37" s="88" t="s">
        <v>204</v>
      </c>
      <c r="N37" s="57" t="s">
        <v>203</v>
      </c>
    </row>
    <row r="38" spans="1:14" x14ac:dyDescent="0.15">
      <c r="A38" s="81" t="s">
        <v>200</v>
      </c>
      <c r="B38" s="82">
        <f>floors!$C$2</f>
        <v>65525</v>
      </c>
      <c r="C38" s="83" t="str">
        <f ca="1">VLOOKUP($B38,OFFSET([2]quests!$A$1,0,0,COUNTA([2]quests!$A:$A),MATCH(C$1,[2]quests!$1:$1,0)-MATCH($B$1,[2]quests!$1:$1,0)+1),MATCH(C$1,[2]quests!$1:$1,0)-MATCH($B$1,[2]quests!$1:$1,0)+1,FALSE)</f>
        <v>【LB田邉】検証クエスト</v>
      </c>
      <c r="D38" s="83" t="str">
        <f ca="1">VLOOKUP($B38,OFFSET([2]quests!$A$1,0,0,COUNTA([2]quests!$A:$A),MATCH(D$1,[2]quests!$1:$1,0)-MATCH($B$1,[2]quests!$1:$1,0)+1),MATCH(D$1,[2]quests!$1:$1,0)-MATCH($B$1,[2]quests!$1:$1,0)+1,FALSE)</f>
        <v>検証</v>
      </c>
      <c r="E38" s="84">
        <v>1</v>
      </c>
      <c r="F38" s="83" t="str">
        <f ca="1">VLOOKUP($B38&amp;"_"&amp;$E38,OFFSET([2]stages!$A$1,0,0,COUNTA([2]stages!$A:$A),MATCH(F$1,[2]stages!$2:$2,0)-MATCH("temp_stage",[2]stages!$2:$2,0)+1),MATCH(F$1,[2]stages!$2:$2,0)-MATCH("temp_stage",[2]stages!$2:$2,0)+1,FALSE)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38" s="83" t="str">
        <f ca="1">VLOOKUP($B38&amp;"_"&amp;$E38,OFFSET([2]stages!$A$1,0,0,COUNTA([2]stages!$A:$A),MATCH(G$1,[2]stages!$2:$2,0)-MATCH("temp_stage",[2]stages!$2:$2,0)+1),MATCH(G$1,[2]stages!$2:$2,0)-MATCH("temp_stage",[2]stages!$2:$2,0)+1,FALSE)</f>
        <v>検証</v>
      </c>
      <c r="H38" s="85">
        <v>1</v>
      </c>
      <c r="I38" s="91">
        <f t="shared" si="0"/>
        <v>37</v>
      </c>
      <c r="J38" s="86" t="str">
        <f t="shared" si="1"/>
        <v>6552537</v>
      </c>
      <c r="K38" s="84" t="s">
        <v>129</v>
      </c>
      <c r="L38" s="87" t="s">
        <v>202</v>
      </c>
      <c r="M38" s="88" t="s">
        <v>204</v>
      </c>
      <c r="N38" s="57" t="s">
        <v>203</v>
      </c>
    </row>
    <row r="39" spans="1:14" x14ac:dyDescent="0.15">
      <c r="A39" s="81" t="s">
        <v>200</v>
      </c>
      <c r="B39" s="82">
        <f>floors!$C$2</f>
        <v>65525</v>
      </c>
      <c r="C39" s="83" t="str">
        <f ca="1">VLOOKUP($B39,OFFSET([2]quests!$A$1,0,0,COUNTA([2]quests!$A:$A),MATCH(C$1,[2]quests!$1:$1,0)-MATCH($B$1,[2]quests!$1:$1,0)+1),MATCH(C$1,[2]quests!$1:$1,0)-MATCH($B$1,[2]quests!$1:$1,0)+1,FALSE)</f>
        <v>【LB田邉】検証クエスト</v>
      </c>
      <c r="D39" s="83" t="str">
        <f ca="1">VLOOKUP($B39,OFFSET([2]quests!$A$1,0,0,COUNTA([2]quests!$A:$A),MATCH(D$1,[2]quests!$1:$1,0)-MATCH($B$1,[2]quests!$1:$1,0)+1),MATCH(D$1,[2]quests!$1:$1,0)-MATCH($B$1,[2]quests!$1:$1,0)+1,FALSE)</f>
        <v>検証</v>
      </c>
      <c r="E39" s="84">
        <v>1</v>
      </c>
      <c r="F39" s="83" t="str">
        <f ca="1">VLOOKUP($B39&amp;"_"&amp;$E39,OFFSET([2]stages!$A$1,0,0,COUNTA([2]stages!$A:$A),MATCH(F$1,[2]stages!$2:$2,0)-MATCH("temp_stage",[2]stages!$2:$2,0)+1),MATCH(F$1,[2]stages!$2:$2,0)-MATCH("temp_stage",[2]stages!$2:$2,0)+1,FALSE)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39" s="83" t="str">
        <f ca="1">VLOOKUP($B39&amp;"_"&amp;$E39,OFFSET([2]stages!$A$1,0,0,COUNTA([2]stages!$A:$A),MATCH(G$1,[2]stages!$2:$2,0)-MATCH("temp_stage",[2]stages!$2:$2,0)+1),MATCH(G$1,[2]stages!$2:$2,0)-MATCH("temp_stage",[2]stages!$2:$2,0)+1,FALSE)</f>
        <v>検証</v>
      </c>
      <c r="H39" s="85">
        <v>1</v>
      </c>
      <c r="I39" s="91">
        <f t="shared" si="0"/>
        <v>38</v>
      </c>
      <c r="J39" s="86" t="str">
        <f t="shared" si="1"/>
        <v>6552538</v>
      </c>
      <c r="K39" s="84" t="s">
        <v>129</v>
      </c>
      <c r="L39" s="87" t="s">
        <v>202</v>
      </c>
      <c r="M39" s="88" t="s">
        <v>204</v>
      </c>
      <c r="N39" s="57" t="s">
        <v>203</v>
      </c>
    </row>
    <row r="40" spans="1:14" x14ac:dyDescent="0.15">
      <c r="A40" s="81" t="s">
        <v>200</v>
      </c>
      <c r="B40" s="82">
        <f>floors!$C$2</f>
        <v>65525</v>
      </c>
      <c r="C40" s="83" t="str">
        <f ca="1">VLOOKUP($B40,OFFSET([2]quests!$A$1,0,0,COUNTA([2]quests!$A:$A),MATCH(C$1,[2]quests!$1:$1,0)-MATCH($B$1,[2]quests!$1:$1,0)+1),MATCH(C$1,[2]quests!$1:$1,0)-MATCH($B$1,[2]quests!$1:$1,0)+1,FALSE)</f>
        <v>【LB田邉】検証クエスト</v>
      </c>
      <c r="D40" s="83" t="str">
        <f ca="1">VLOOKUP($B40,OFFSET([2]quests!$A$1,0,0,COUNTA([2]quests!$A:$A),MATCH(D$1,[2]quests!$1:$1,0)-MATCH($B$1,[2]quests!$1:$1,0)+1),MATCH(D$1,[2]quests!$1:$1,0)-MATCH($B$1,[2]quests!$1:$1,0)+1,FALSE)</f>
        <v>検証</v>
      </c>
      <c r="E40" s="84">
        <v>1</v>
      </c>
      <c r="F40" s="83" t="str">
        <f ca="1">VLOOKUP($B40&amp;"_"&amp;$E40,OFFSET([2]stages!$A$1,0,0,COUNTA([2]stages!$A:$A),MATCH(F$1,[2]stages!$2:$2,0)-MATCH("temp_stage",[2]stages!$2:$2,0)+1),MATCH(F$1,[2]stages!$2:$2,0)-MATCH("temp_stage",[2]stages!$2:$2,0)+1,FALSE)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40" s="83" t="str">
        <f ca="1">VLOOKUP($B40&amp;"_"&amp;$E40,OFFSET([2]stages!$A$1,0,0,COUNTA([2]stages!$A:$A),MATCH(G$1,[2]stages!$2:$2,0)-MATCH("temp_stage",[2]stages!$2:$2,0)+1),MATCH(G$1,[2]stages!$2:$2,0)-MATCH("temp_stage",[2]stages!$2:$2,0)+1,FALSE)</f>
        <v>検証</v>
      </c>
      <c r="H40" s="85">
        <v>1</v>
      </c>
      <c r="I40" s="91">
        <f t="shared" si="0"/>
        <v>39</v>
      </c>
      <c r="J40" s="86" t="str">
        <f t="shared" si="1"/>
        <v>6552539</v>
      </c>
      <c r="K40" s="84" t="s">
        <v>129</v>
      </c>
      <c r="L40" s="87" t="s">
        <v>202</v>
      </c>
      <c r="M40" s="88" t="s">
        <v>204</v>
      </c>
      <c r="N40" s="57" t="s">
        <v>203</v>
      </c>
    </row>
    <row r="41" spans="1:14" x14ac:dyDescent="0.15">
      <c r="A41" s="81" t="s">
        <v>200</v>
      </c>
      <c r="B41" s="82">
        <f>floors!$C$2</f>
        <v>65525</v>
      </c>
      <c r="C41" s="83" t="str">
        <f ca="1">VLOOKUP($B41,OFFSET([2]quests!$A$1,0,0,COUNTA([2]quests!$A:$A),MATCH(C$1,[2]quests!$1:$1,0)-MATCH($B$1,[2]quests!$1:$1,0)+1),MATCH(C$1,[2]quests!$1:$1,0)-MATCH($B$1,[2]quests!$1:$1,0)+1,FALSE)</f>
        <v>【LB田邉】検証クエスト</v>
      </c>
      <c r="D41" s="83" t="str">
        <f ca="1">VLOOKUP($B41,OFFSET([2]quests!$A$1,0,0,COUNTA([2]quests!$A:$A),MATCH(D$1,[2]quests!$1:$1,0)-MATCH($B$1,[2]quests!$1:$1,0)+1),MATCH(D$1,[2]quests!$1:$1,0)-MATCH($B$1,[2]quests!$1:$1,0)+1,FALSE)</f>
        <v>検証</v>
      </c>
      <c r="E41" s="84">
        <v>1</v>
      </c>
      <c r="F41" s="83" t="str">
        <f ca="1">VLOOKUP($B41&amp;"_"&amp;$E41,OFFSET([2]stages!$A$1,0,0,COUNTA([2]stages!$A:$A),MATCH(F$1,[2]stages!$2:$2,0)-MATCH("temp_stage",[2]stages!$2:$2,0)+1),MATCH(F$1,[2]stages!$2:$2,0)-MATCH("temp_stage",[2]stages!$2:$2,0)+1,FALSE)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41" s="83" t="str">
        <f ca="1">VLOOKUP($B41&amp;"_"&amp;$E41,OFFSET([2]stages!$A$1,0,0,COUNTA([2]stages!$A:$A),MATCH(G$1,[2]stages!$2:$2,0)-MATCH("temp_stage",[2]stages!$2:$2,0)+1),MATCH(G$1,[2]stages!$2:$2,0)-MATCH("temp_stage",[2]stages!$2:$2,0)+1,FALSE)</f>
        <v>検証</v>
      </c>
      <c r="H41" s="85">
        <v>1</v>
      </c>
      <c r="I41" s="91">
        <f t="shared" si="0"/>
        <v>40</v>
      </c>
      <c r="J41" s="86" t="str">
        <f t="shared" si="1"/>
        <v>6552540</v>
      </c>
      <c r="K41" s="84" t="s">
        <v>129</v>
      </c>
      <c r="L41" s="87" t="s">
        <v>202</v>
      </c>
      <c r="M41" s="88" t="s">
        <v>204</v>
      </c>
      <c r="N41" s="57" t="s">
        <v>203</v>
      </c>
    </row>
    <row r="42" spans="1:14" x14ac:dyDescent="0.15">
      <c r="A42" s="81" t="s">
        <v>200</v>
      </c>
      <c r="B42" s="82">
        <f>floors!$C$2</f>
        <v>65525</v>
      </c>
      <c r="C42" s="83" t="str">
        <f ca="1">VLOOKUP($B42,OFFSET([2]quests!$A$1,0,0,COUNTA([2]quests!$A:$A),MATCH(C$1,[2]quests!$1:$1,0)-MATCH($B$1,[2]quests!$1:$1,0)+1),MATCH(C$1,[2]quests!$1:$1,0)-MATCH($B$1,[2]quests!$1:$1,0)+1,FALSE)</f>
        <v>【LB田邉】検証クエスト</v>
      </c>
      <c r="D42" s="83" t="str">
        <f ca="1">VLOOKUP($B42,OFFSET([2]quests!$A$1,0,0,COUNTA([2]quests!$A:$A),MATCH(D$1,[2]quests!$1:$1,0)-MATCH($B$1,[2]quests!$1:$1,0)+1),MATCH(D$1,[2]quests!$1:$1,0)-MATCH($B$1,[2]quests!$1:$1,0)+1,FALSE)</f>
        <v>検証</v>
      </c>
      <c r="E42" s="84">
        <v>1</v>
      </c>
      <c r="F42" s="83" t="str">
        <f ca="1">VLOOKUP($B42&amp;"_"&amp;$E42,OFFSET([2]stages!$A$1,0,0,COUNTA([2]stages!$A:$A),MATCH(F$1,[2]stages!$2:$2,0)-MATCH("temp_stage",[2]stages!$2:$2,0)+1),MATCH(F$1,[2]stages!$2:$2,0)-MATCH("temp_stage",[2]stages!$2:$2,0)+1,FALSE)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42" s="83" t="str">
        <f ca="1">VLOOKUP($B42&amp;"_"&amp;$E42,OFFSET([2]stages!$A$1,0,0,COUNTA([2]stages!$A:$A),MATCH(G$1,[2]stages!$2:$2,0)-MATCH("temp_stage",[2]stages!$2:$2,0)+1),MATCH(G$1,[2]stages!$2:$2,0)-MATCH("temp_stage",[2]stages!$2:$2,0)+1,FALSE)</f>
        <v>検証</v>
      </c>
      <c r="H42" s="85">
        <v>1</v>
      </c>
      <c r="I42" s="91">
        <f t="shared" si="0"/>
        <v>41</v>
      </c>
      <c r="J42" s="86" t="str">
        <f t="shared" si="1"/>
        <v>6552541</v>
      </c>
      <c r="K42" s="84" t="s">
        <v>129</v>
      </c>
      <c r="L42" s="87" t="s">
        <v>202</v>
      </c>
      <c r="M42" s="88" t="s">
        <v>204</v>
      </c>
      <c r="N42" s="57" t="s">
        <v>203</v>
      </c>
    </row>
    <row r="43" spans="1:14" x14ac:dyDescent="0.15">
      <c r="A43" s="81" t="s">
        <v>200</v>
      </c>
      <c r="B43" s="82">
        <f>floors!$C$2</f>
        <v>65525</v>
      </c>
      <c r="C43" s="83" t="str">
        <f ca="1">VLOOKUP($B43,OFFSET([2]quests!$A$1,0,0,COUNTA([2]quests!$A:$A),MATCH(C$1,[2]quests!$1:$1,0)-MATCH($B$1,[2]quests!$1:$1,0)+1),MATCH(C$1,[2]quests!$1:$1,0)-MATCH($B$1,[2]quests!$1:$1,0)+1,FALSE)</f>
        <v>【LB田邉】検証クエスト</v>
      </c>
      <c r="D43" s="83" t="str">
        <f ca="1">VLOOKUP($B43,OFFSET([2]quests!$A$1,0,0,COUNTA([2]quests!$A:$A),MATCH(D$1,[2]quests!$1:$1,0)-MATCH($B$1,[2]quests!$1:$1,0)+1),MATCH(D$1,[2]quests!$1:$1,0)-MATCH($B$1,[2]quests!$1:$1,0)+1,FALSE)</f>
        <v>検証</v>
      </c>
      <c r="E43" s="84">
        <v>1</v>
      </c>
      <c r="F43" s="83" t="str">
        <f ca="1">VLOOKUP($B43&amp;"_"&amp;$E43,OFFSET([2]stages!$A$1,0,0,COUNTA([2]stages!$A:$A),MATCH(F$1,[2]stages!$2:$2,0)-MATCH("temp_stage",[2]stages!$2:$2,0)+1),MATCH(F$1,[2]stages!$2:$2,0)-MATCH("temp_stage",[2]stages!$2:$2,0)+1,FALSE)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43" s="83" t="str">
        <f ca="1">VLOOKUP($B43&amp;"_"&amp;$E43,OFFSET([2]stages!$A$1,0,0,COUNTA([2]stages!$A:$A),MATCH(G$1,[2]stages!$2:$2,0)-MATCH("temp_stage",[2]stages!$2:$2,0)+1),MATCH(G$1,[2]stages!$2:$2,0)-MATCH("temp_stage",[2]stages!$2:$2,0)+1,FALSE)</f>
        <v>検証</v>
      </c>
      <c r="H43" s="85">
        <v>1</v>
      </c>
      <c r="I43" s="91">
        <f t="shared" si="0"/>
        <v>42</v>
      </c>
      <c r="J43" s="86" t="str">
        <f t="shared" si="1"/>
        <v>6552542</v>
      </c>
      <c r="K43" s="84" t="s">
        <v>129</v>
      </c>
      <c r="L43" s="87" t="s">
        <v>202</v>
      </c>
      <c r="M43" s="88" t="s">
        <v>204</v>
      </c>
      <c r="N43" s="57" t="s">
        <v>203</v>
      </c>
    </row>
    <row r="44" spans="1:14" x14ac:dyDescent="0.15">
      <c r="A44" s="81" t="s">
        <v>200</v>
      </c>
      <c r="B44" s="82">
        <f>floors!$C$2</f>
        <v>65525</v>
      </c>
      <c r="C44" s="83" t="str">
        <f ca="1">VLOOKUP($B44,OFFSET([2]quests!$A$1,0,0,COUNTA([2]quests!$A:$A),MATCH(C$1,[2]quests!$1:$1,0)-MATCH($B$1,[2]quests!$1:$1,0)+1),MATCH(C$1,[2]quests!$1:$1,0)-MATCH($B$1,[2]quests!$1:$1,0)+1,FALSE)</f>
        <v>【LB田邉】検証クエスト</v>
      </c>
      <c r="D44" s="83" t="str">
        <f ca="1">VLOOKUP($B44,OFFSET([2]quests!$A$1,0,0,COUNTA([2]quests!$A:$A),MATCH(D$1,[2]quests!$1:$1,0)-MATCH($B$1,[2]quests!$1:$1,0)+1),MATCH(D$1,[2]quests!$1:$1,0)-MATCH($B$1,[2]quests!$1:$1,0)+1,FALSE)</f>
        <v>検証</v>
      </c>
      <c r="E44" s="84">
        <v>1</v>
      </c>
      <c r="F44" s="83" t="str">
        <f ca="1">VLOOKUP($B44&amp;"_"&amp;$E44,OFFSET([2]stages!$A$1,0,0,COUNTA([2]stages!$A:$A),MATCH(F$1,[2]stages!$2:$2,0)-MATCH("temp_stage",[2]stages!$2:$2,0)+1),MATCH(F$1,[2]stages!$2:$2,0)-MATCH("temp_stage",[2]stages!$2:$2,0)+1,FALSE)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44" s="83" t="str">
        <f ca="1">VLOOKUP($B44&amp;"_"&amp;$E44,OFFSET([2]stages!$A$1,0,0,COUNTA([2]stages!$A:$A),MATCH(G$1,[2]stages!$2:$2,0)-MATCH("temp_stage",[2]stages!$2:$2,0)+1),MATCH(G$1,[2]stages!$2:$2,0)-MATCH("temp_stage",[2]stages!$2:$2,0)+1,FALSE)</f>
        <v>検証</v>
      </c>
      <c r="H44" s="85">
        <v>1</v>
      </c>
      <c r="I44" s="91">
        <f t="shared" si="0"/>
        <v>43</v>
      </c>
      <c r="J44" s="86" t="str">
        <f t="shared" si="1"/>
        <v>6552543</v>
      </c>
      <c r="K44" s="84" t="s">
        <v>129</v>
      </c>
      <c r="L44" s="87" t="s">
        <v>202</v>
      </c>
      <c r="M44" s="88" t="s">
        <v>204</v>
      </c>
      <c r="N44" s="57" t="s">
        <v>203</v>
      </c>
    </row>
    <row r="45" spans="1:14" x14ac:dyDescent="0.15">
      <c r="A45" s="81" t="s">
        <v>200</v>
      </c>
      <c r="B45" s="82">
        <f>floors!$C$2</f>
        <v>65525</v>
      </c>
      <c r="C45" s="83" t="str">
        <f ca="1">VLOOKUP($B45,OFFSET([2]quests!$A$1,0,0,COUNTA([2]quests!$A:$A),MATCH(C$1,[2]quests!$1:$1,0)-MATCH($B$1,[2]quests!$1:$1,0)+1),MATCH(C$1,[2]quests!$1:$1,0)-MATCH($B$1,[2]quests!$1:$1,0)+1,FALSE)</f>
        <v>【LB田邉】検証クエスト</v>
      </c>
      <c r="D45" s="83" t="str">
        <f ca="1">VLOOKUP($B45,OFFSET([2]quests!$A$1,0,0,COUNTA([2]quests!$A:$A),MATCH(D$1,[2]quests!$1:$1,0)-MATCH($B$1,[2]quests!$1:$1,0)+1),MATCH(D$1,[2]quests!$1:$1,0)-MATCH($B$1,[2]quests!$1:$1,0)+1,FALSE)</f>
        <v>検証</v>
      </c>
      <c r="E45" s="84">
        <v>1</v>
      </c>
      <c r="F45" s="83" t="str">
        <f ca="1">VLOOKUP($B45&amp;"_"&amp;$E45,OFFSET([2]stages!$A$1,0,0,COUNTA([2]stages!$A:$A),MATCH(F$1,[2]stages!$2:$2,0)-MATCH("temp_stage",[2]stages!$2:$2,0)+1),MATCH(F$1,[2]stages!$2:$2,0)-MATCH("temp_stage",[2]stages!$2:$2,0)+1,FALSE)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45" s="83" t="str">
        <f ca="1">VLOOKUP($B45&amp;"_"&amp;$E45,OFFSET([2]stages!$A$1,0,0,COUNTA([2]stages!$A:$A),MATCH(G$1,[2]stages!$2:$2,0)-MATCH("temp_stage",[2]stages!$2:$2,0)+1),MATCH(G$1,[2]stages!$2:$2,0)-MATCH("temp_stage",[2]stages!$2:$2,0)+1,FALSE)</f>
        <v>検証</v>
      </c>
      <c r="H45" s="85">
        <v>1</v>
      </c>
      <c r="I45" s="91">
        <f t="shared" si="0"/>
        <v>44</v>
      </c>
      <c r="J45" s="86" t="str">
        <f t="shared" si="1"/>
        <v>6552544</v>
      </c>
      <c r="K45" s="84" t="s">
        <v>129</v>
      </c>
      <c r="L45" s="87" t="s">
        <v>202</v>
      </c>
      <c r="M45" s="88" t="s">
        <v>204</v>
      </c>
      <c r="N45" s="57" t="s">
        <v>203</v>
      </c>
    </row>
    <row r="46" spans="1:14" x14ac:dyDescent="0.15">
      <c r="A46" s="81" t="s">
        <v>200</v>
      </c>
      <c r="B46" s="82">
        <f>floors!$C$2</f>
        <v>65525</v>
      </c>
      <c r="C46" s="83" t="str">
        <f ca="1">VLOOKUP($B46,OFFSET([2]quests!$A$1,0,0,COUNTA([2]quests!$A:$A),MATCH(C$1,[2]quests!$1:$1,0)-MATCH($B$1,[2]quests!$1:$1,0)+1),MATCH(C$1,[2]quests!$1:$1,0)-MATCH($B$1,[2]quests!$1:$1,0)+1,FALSE)</f>
        <v>【LB田邉】検証クエスト</v>
      </c>
      <c r="D46" s="83" t="str">
        <f ca="1">VLOOKUP($B46,OFFSET([2]quests!$A$1,0,0,COUNTA([2]quests!$A:$A),MATCH(D$1,[2]quests!$1:$1,0)-MATCH($B$1,[2]quests!$1:$1,0)+1),MATCH(D$1,[2]quests!$1:$1,0)-MATCH($B$1,[2]quests!$1:$1,0)+1,FALSE)</f>
        <v>検証</v>
      </c>
      <c r="E46" s="84">
        <v>1</v>
      </c>
      <c r="F46" s="83" t="str">
        <f ca="1">VLOOKUP($B46&amp;"_"&amp;$E46,OFFSET([2]stages!$A$1,0,0,COUNTA([2]stages!$A:$A),MATCH(F$1,[2]stages!$2:$2,0)-MATCH("temp_stage",[2]stages!$2:$2,0)+1),MATCH(F$1,[2]stages!$2:$2,0)-MATCH("temp_stage",[2]stages!$2:$2,0)+1,FALSE)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46" s="83" t="str">
        <f ca="1">VLOOKUP($B46&amp;"_"&amp;$E46,OFFSET([2]stages!$A$1,0,0,COUNTA([2]stages!$A:$A),MATCH(G$1,[2]stages!$2:$2,0)-MATCH("temp_stage",[2]stages!$2:$2,0)+1),MATCH(G$1,[2]stages!$2:$2,0)-MATCH("temp_stage",[2]stages!$2:$2,0)+1,FALSE)</f>
        <v>検証</v>
      </c>
      <c r="H46" s="85">
        <v>1</v>
      </c>
      <c r="I46" s="91">
        <f t="shared" si="0"/>
        <v>45</v>
      </c>
      <c r="J46" s="86" t="str">
        <f t="shared" si="1"/>
        <v>6552545</v>
      </c>
      <c r="K46" s="84" t="s">
        <v>129</v>
      </c>
      <c r="L46" s="87" t="s">
        <v>202</v>
      </c>
      <c r="M46" s="88" t="s">
        <v>204</v>
      </c>
      <c r="N46" s="57" t="s">
        <v>203</v>
      </c>
    </row>
    <row r="47" spans="1:14" x14ac:dyDescent="0.15">
      <c r="A47" s="81" t="s">
        <v>200</v>
      </c>
      <c r="B47" s="82">
        <f>floors!$C$2</f>
        <v>65525</v>
      </c>
      <c r="C47" s="83" t="str">
        <f ca="1">VLOOKUP($B47,OFFSET([2]quests!$A$1,0,0,COUNTA([2]quests!$A:$A),MATCH(C$1,[2]quests!$1:$1,0)-MATCH($B$1,[2]quests!$1:$1,0)+1),MATCH(C$1,[2]quests!$1:$1,0)-MATCH($B$1,[2]quests!$1:$1,0)+1,FALSE)</f>
        <v>【LB田邉】検証クエスト</v>
      </c>
      <c r="D47" s="83" t="str">
        <f ca="1">VLOOKUP($B47,OFFSET([2]quests!$A$1,0,0,COUNTA([2]quests!$A:$A),MATCH(D$1,[2]quests!$1:$1,0)-MATCH($B$1,[2]quests!$1:$1,0)+1),MATCH(D$1,[2]quests!$1:$1,0)-MATCH($B$1,[2]quests!$1:$1,0)+1,FALSE)</f>
        <v>検証</v>
      </c>
      <c r="E47" s="84">
        <v>1</v>
      </c>
      <c r="F47" s="83" t="str">
        <f ca="1">VLOOKUP($B47&amp;"_"&amp;$E47,OFFSET([2]stages!$A$1,0,0,COUNTA([2]stages!$A:$A),MATCH(F$1,[2]stages!$2:$2,0)-MATCH("temp_stage",[2]stages!$2:$2,0)+1),MATCH(F$1,[2]stages!$2:$2,0)-MATCH("temp_stage",[2]stages!$2:$2,0)+1,FALSE)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47" s="83" t="str">
        <f ca="1">VLOOKUP($B47&amp;"_"&amp;$E47,OFFSET([2]stages!$A$1,0,0,COUNTA([2]stages!$A:$A),MATCH(G$1,[2]stages!$2:$2,0)-MATCH("temp_stage",[2]stages!$2:$2,0)+1),MATCH(G$1,[2]stages!$2:$2,0)-MATCH("temp_stage",[2]stages!$2:$2,0)+1,FALSE)</f>
        <v>検証</v>
      </c>
      <c r="H47" s="85">
        <v>1</v>
      </c>
      <c r="I47" s="91">
        <f t="shared" si="0"/>
        <v>46</v>
      </c>
      <c r="J47" s="86" t="str">
        <f t="shared" si="1"/>
        <v>6552546</v>
      </c>
      <c r="K47" s="84" t="s">
        <v>129</v>
      </c>
      <c r="L47" s="87" t="s">
        <v>202</v>
      </c>
      <c r="M47" s="88" t="s">
        <v>204</v>
      </c>
      <c r="N47" s="57" t="s">
        <v>203</v>
      </c>
    </row>
    <row r="48" spans="1:14" x14ac:dyDescent="0.15">
      <c r="A48" s="81" t="s">
        <v>200</v>
      </c>
      <c r="B48" s="82">
        <f>floors!$C$2</f>
        <v>65525</v>
      </c>
      <c r="C48" s="83" t="str">
        <f ca="1">VLOOKUP($B48,OFFSET([2]quests!$A$1,0,0,COUNTA([2]quests!$A:$A),MATCH(C$1,[2]quests!$1:$1,0)-MATCH($B$1,[2]quests!$1:$1,0)+1),MATCH(C$1,[2]quests!$1:$1,0)-MATCH($B$1,[2]quests!$1:$1,0)+1,FALSE)</f>
        <v>【LB田邉】検証クエスト</v>
      </c>
      <c r="D48" s="83" t="str">
        <f ca="1">VLOOKUP($B48,OFFSET([2]quests!$A$1,0,0,COUNTA([2]quests!$A:$A),MATCH(D$1,[2]quests!$1:$1,0)-MATCH($B$1,[2]quests!$1:$1,0)+1),MATCH(D$1,[2]quests!$1:$1,0)-MATCH($B$1,[2]quests!$1:$1,0)+1,FALSE)</f>
        <v>検証</v>
      </c>
      <c r="E48" s="84">
        <v>1</v>
      </c>
      <c r="F48" s="83" t="str">
        <f ca="1">VLOOKUP($B48&amp;"_"&amp;$E48,OFFSET([2]stages!$A$1,0,0,COUNTA([2]stages!$A:$A),MATCH(F$1,[2]stages!$2:$2,0)-MATCH("temp_stage",[2]stages!$2:$2,0)+1),MATCH(F$1,[2]stages!$2:$2,0)-MATCH("temp_stage",[2]stages!$2:$2,0)+1,FALSE)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48" s="83" t="str">
        <f ca="1">VLOOKUP($B48&amp;"_"&amp;$E48,OFFSET([2]stages!$A$1,0,0,COUNTA([2]stages!$A:$A),MATCH(G$1,[2]stages!$2:$2,0)-MATCH("temp_stage",[2]stages!$2:$2,0)+1),MATCH(G$1,[2]stages!$2:$2,0)-MATCH("temp_stage",[2]stages!$2:$2,0)+1,FALSE)</f>
        <v>検証</v>
      </c>
      <c r="H48" s="85">
        <v>1</v>
      </c>
      <c r="I48" s="91">
        <f t="shared" si="0"/>
        <v>47</v>
      </c>
      <c r="J48" s="86" t="str">
        <f t="shared" si="1"/>
        <v>6552547</v>
      </c>
      <c r="K48" s="84" t="s">
        <v>129</v>
      </c>
      <c r="L48" s="87" t="s">
        <v>202</v>
      </c>
      <c r="M48" s="88" t="s">
        <v>204</v>
      </c>
      <c r="N48" s="57" t="s">
        <v>203</v>
      </c>
    </row>
    <row r="49" spans="1:14" x14ac:dyDescent="0.15">
      <c r="A49" s="81" t="s">
        <v>200</v>
      </c>
      <c r="B49" s="82">
        <f>floors!$C$2</f>
        <v>65525</v>
      </c>
      <c r="C49" s="83" t="str">
        <f ca="1">VLOOKUP($B49,OFFSET([2]quests!$A$1,0,0,COUNTA([2]quests!$A:$A),MATCH(C$1,[2]quests!$1:$1,0)-MATCH($B$1,[2]quests!$1:$1,0)+1),MATCH(C$1,[2]quests!$1:$1,0)-MATCH($B$1,[2]quests!$1:$1,0)+1,FALSE)</f>
        <v>【LB田邉】検証クエスト</v>
      </c>
      <c r="D49" s="83" t="str">
        <f ca="1">VLOOKUP($B49,OFFSET([2]quests!$A$1,0,0,COUNTA([2]quests!$A:$A),MATCH(D$1,[2]quests!$1:$1,0)-MATCH($B$1,[2]quests!$1:$1,0)+1),MATCH(D$1,[2]quests!$1:$1,0)-MATCH($B$1,[2]quests!$1:$1,0)+1,FALSE)</f>
        <v>検証</v>
      </c>
      <c r="E49" s="84">
        <v>1</v>
      </c>
      <c r="F49" s="83" t="str">
        <f ca="1">VLOOKUP($B49&amp;"_"&amp;$E49,OFFSET([2]stages!$A$1,0,0,COUNTA([2]stages!$A:$A),MATCH(F$1,[2]stages!$2:$2,0)-MATCH("temp_stage",[2]stages!$2:$2,0)+1),MATCH(F$1,[2]stages!$2:$2,0)-MATCH("temp_stage",[2]stages!$2:$2,0)+1,FALSE)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49" s="83" t="str">
        <f ca="1">VLOOKUP($B49&amp;"_"&amp;$E49,OFFSET([2]stages!$A$1,0,0,COUNTA([2]stages!$A:$A),MATCH(G$1,[2]stages!$2:$2,0)-MATCH("temp_stage",[2]stages!$2:$2,0)+1),MATCH(G$1,[2]stages!$2:$2,0)-MATCH("temp_stage",[2]stages!$2:$2,0)+1,FALSE)</f>
        <v>検証</v>
      </c>
      <c r="H49" s="85">
        <v>1</v>
      </c>
      <c r="I49" s="91">
        <f t="shared" si="0"/>
        <v>48</v>
      </c>
      <c r="J49" s="86" t="str">
        <f t="shared" si="1"/>
        <v>6552548</v>
      </c>
      <c r="K49" s="84" t="s">
        <v>129</v>
      </c>
      <c r="L49" s="87" t="s">
        <v>202</v>
      </c>
      <c r="M49" s="88" t="s">
        <v>204</v>
      </c>
      <c r="N49" s="57" t="s">
        <v>203</v>
      </c>
    </row>
    <row r="50" spans="1:14" x14ac:dyDescent="0.15">
      <c r="A50" s="81" t="s">
        <v>200</v>
      </c>
      <c r="B50" s="82">
        <f>floors!$C$2</f>
        <v>65525</v>
      </c>
      <c r="C50" s="83" t="str">
        <f ca="1">VLOOKUP($B50,OFFSET([2]quests!$A$1,0,0,COUNTA([2]quests!$A:$A),MATCH(C$1,[2]quests!$1:$1,0)-MATCH($B$1,[2]quests!$1:$1,0)+1),MATCH(C$1,[2]quests!$1:$1,0)-MATCH($B$1,[2]quests!$1:$1,0)+1,FALSE)</f>
        <v>【LB田邉】検証クエスト</v>
      </c>
      <c r="D50" s="83" t="str">
        <f ca="1">VLOOKUP($B50,OFFSET([2]quests!$A$1,0,0,COUNTA([2]quests!$A:$A),MATCH(D$1,[2]quests!$1:$1,0)-MATCH($B$1,[2]quests!$1:$1,0)+1),MATCH(D$1,[2]quests!$1:$1,0)-MATCH($B$1,[2]quests!$1:$1,0)+1,FALSE)</f>
        <v>検証</v>
      </c>
      <c r="E50" s="84">
        <v>1</v>
      </c>
      <c r="F50" s="83" t="str">
        <f ca="1">VLOOKUP($B50&amp;"_"&amp;$E50,OFFSET([2]stages!$A$1,0,0,COUNTA([2]stages!$A:$A),MATCH(F$1,[2]stages!$2:$2,0)-MATCH("temp_stage",[2]stages!$2:$2,0)+1),MATCH(F$1,[2]stages!$2:$2,0)-MATCH("temp_stage",[2]stages!$2:$2,0)+1,FALSE)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50" s="83" t="str">
        <f ca="1">VLOOKUP($B50&amp;"_"&amp;$E50,OFFSET([2]stages!$A$1,0,0,COUNTA([2]stages!$A:$A),MATCH(G$1,[2]stages!$2:$2,0)-MATCH("temp_stage",[2]stages!$2:$2,0)+1),MATCH(G$1,[2]stages!$2:$2,0)-MATCH("temp_stage",[2]stages!$2:$2,0)+1,FALSE)</f>
        <v>検証</v>
      </c>
      <c r="H50" s="85">
        <v>1</v>
      </c>
      <c r="I50" s="91">
        <f t="shared" si="0"/>
        <v>49</v>
      </c>
      <c r="J50" s="86" t="str">
        <f t="shared" si="1"/>
        <v>6552549</v>
      </c>
      <c r="K50" s="84" t="s">
        <v>129</v>
      </c>
      <c r="L50" s="87" t="s">
        <v>202</v>
      </c>
      <c r="M50" s="88" t="s">
        <v>204</v>
      </c>
      <c r="N50" s="57" t="s">
        <v>203</v>
      </c>
    </row>
    <row r="51" spans="1:14" x14ac:dyDescent="0.15">
      <c r="A51" s="81" t="s">
        <v>200</v>
      </c>
      <c r="B51" s="82">
        <f>floors!$C$2</f>
        <v>65525</v>
      </c>
      <c r="C51" s="83" t="str">
        <f ca="1">VLOOKUP($B51,OFFSET([2]quests!$A$1,0,0,COUNTA([2]quests!$A:$A),MATCH(C$1,[2]quests!$1:$1,0)-MATCH($B$1,[2]quests!$1:$1,0)+1),MATCH(C$1,[2]quests!$1:$1,0)-MATCH($B$1,[2]quests!$1:$1,0)+1,FALSE)</f>
        <v>【LB田邉】検証クエスト</v>
      </c>
      <c r="D51" s="83" t="str">
        <f ca="1">VLOOKUP($B51,OFFSET([2]quests!$A$1,0,0,COUNTA([2]quests!$A:$A),MATCH(D$1,[2]quests!$1:$1,0)-MATCH($B$1,[2]quests!$1:$1,0)+1),MATCH(D$1,[2]quests!$1:$1,0)-MATCH($B$1,[2]quests!$1:$1,0)+1,FALSE)</f>
        <v>検証</v>
      </c>
      <c r="E51" s="84">
        <v>1</v>
      </c>
      <c r="F51" s="83" t="str">
        <f ca="1">VLOOKUP($B51&amp;"_"&amp;$E51,OFFSET([2]stages!$A$1,0,0,COUNTA([2]stages!$A:$A),MATCH(F$1,[2]stages!$2:$2,0)-MATCH("temp_stage",[2]stages!$2:$2,0)+1),MATCH(F$1,[2]stages!$2:$2,0)-MATCH("temp_stage",[2]stages!$2:$2,0)+1,FALSE)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51" s="83" t="str">
        <f ca="1">VLOOKUP($B51&amp;"_"&amp;$E51,OFFSET([2]stages!$A$1,0,0,COUNTA([2]stages!$A:$A),MATCH(G$1,[2]stages!$2:$2,0)-MATCH("temp_stage",[2]stages!$2:$2,0)+1),MATCH(G$1,[2]stages!$2:$2,0)-MATCH("temp_stage",[2]stages!$2:$2,0)+1,FALSE)</f>
        <v>検証</v>
      </c>
      <c r="H51" s="85">
        <v>1</v>
      </c>
      <c r="I51" s="91">
        <f t="shared" si="0"/>
        <v>50</v>
      </c>
      <c r="J51" s="86" t="str">
        <f t="shared" si="1"/>
        <v>6552550</v>
      </c>
      <c r="K51" s="84" t="s">
        <v>129</v>
      </c>
      <c r="L51" s="87" t="s">
        <v>202</v>
      </c>
      <c r="M51" s="88" t="s">
        <v>204</v>
      </c>
      <c r="N51" s="57" t="s">
        <v>203</v>
      </c>
    </row>
    <row r="52" spans="1:14" x14ac:dyDescent="0.15">
      <c r="A52" s="81" t="s">
        <v>200</v>
      </c>
      <c r="B52" s="82">
        <f>floors!$C$2</f>
        <v>65525</v>
      </c>
      <c r="C52" s="83" t="str">
        <f ca="1">VLOOKUP($B52,OFFSET([2]quests!$A$1,0,0,COUNTA([2]quests!$A:$A),MATCH(C$1,[2]quests!$1:$1,0)-MATCH($B$1,[2]quests!$1:$1,0)+1),MATCH(C$1,[2]quests!$1:$1,0)-MATCH($B$1,[2]quests!$1:$1,0)+1,FALSE)</f>
        <v>【LB田邉】検証クエスト</v>
      </c>
      <c r="D52" s="83" t="str">
        <f ca="1">VLOOKUP($B52,OFFSET([2]quests!$A$1,0,0,COUNTA([2]quests!$A:$A),MATCH(D$1,[2]quests!$1:$1,0)-MATCH($B$1,[2]quests!$1:$1,0)+1),MATCH(D$1,[2]quests!$1:$1,0)-MATCH($B$1,[2]quests!$1:$1,0)+1,FALSE)</f>
        <v>検証</v>
      </c>
      <c r="E52" s="84">
        <v>1</v>
      </c>
      <c r="F52" s="83" t="str">
        <f ca="1">VLOOKUP($B52&amp;"_"&amp;$E52,OFFSET([2]stages!$A$1,0,0,COUNTA([2]stages!$A:$A),MATCH(F$1,[2]stages!$2:$2,0)-MATCH("temp_stage",[2]stages!$2:$2,0)+1),MATCH(F$1,[2]stages!$2:$2,0)-MATCH("temp_stage",[2]stages!$2:$2,0)+1,FALSE)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52" s="83" t="str">
        <f ca="1">VLOOKUP($B52&amp;"_"&amp;$E52,OFFSET([2]stages!$A$1,0,0,COUNTA([2]stages!$A:$A),MATCH(G$1,[2]stages!$2:$2,0)-MATCH("temp_stage",[2]stages!$2:$2,0)+1),MATCH(G$1,[2]stages!$2:$2,0)-MATCH("temp_stage",[2]stages!$2:$2,0)+1,FALSE)</f>
        <v>検証</v>
      </c>
      <c r="H52" s="85">
        <v>1</v>
      </c>
      <c r="I52" s="91">
        <f t="shared" si="0"/>
        <v>51</v>
      </c>
      <c r="J52" s="86" t="str">
        <f t="shared" si="1"/>
        <v>6552551</v>
      </c>
      <c r="K52" s="84" t="s">
        <v>129</v>
      </c>
      <c r="L52" s="87" t="s">
        <v>202</v>
      </c>
      <c r="M52" s="88" t="s">
        <v>204</v>
      </c>
      <c r="N52" s="57" t="s">
        <v>203</v>
      </c>
    </row>
    <row r="53" spans="1:14" x14ac:dyDescent="0.15">
      <c r="A53" s="81" t="s">
        <v>200</v>
      </c>
      <c r="B53" s="82">
        <f>floors!$C$2</f>
        <v>65525</v>
      </c>
      <c r="C53" s="83" t="str">
        <f ca="1">VLOOKUP($B53,OFFSET([2]quests!$A$1,0,0,COUNTA([2]quests!$A:$A),MATCH(C$1,[2]quests!$1:$1,0)-MATCH($B$1,[2]quests!$1:$1,0)+1),MATCH(C$1,[2]quests!$1:$1,0)-MATCH($B$1,[2]quests!$1:$1,0)+1,FALSE)</f>
        <v>【LB田邉】検証クエスト</v>
      </c>
      <c r="D53" s="83" t="str">
        <f ca="1">VLOOKUP($B53,OFFSET([2]quests!$A$1,0,0,COUNTA([2]quests!$A:$A),MATCH(D$1,[2]quests!$1:$1,0)-MATCH($B$1,[2]quests!$1:$1,0)+1),MATCH(D$1,[2]quests!$1:$1,0)-MATCH($B$1,[2]quests!$1:$1,0)+1,FALSE)</f>
        <v>検証</v>
      </c>
      <c r="E53" s="84">
        <v>1</v>
      </c>
      <c r="F53" s="83" t="str">
        <f ca="1">VLOOKUP($B53&amp;"_"&amp;$E53,OFFSET([2]stages!$A$1,0,0,COUNTA([2]stages!$A:$A),MATCH(F$1,[2]stages!$2:$2,0)-MATCH("temp_stage",[2]stages!$2:$2,0)+1),MATCH(F$1,[2]stages!$2:$2,0)-MATCH("temp_stage",[2]stages!$2:$2,0)+1,FALSE)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53" s="83" t="str">
        <f ca="1">VLOOKUP($B53&amp;"_"&amp;$E53,OFFSET([2]stages!$A$1,0,0,COUNTA([2]stages!$A:$A),MATCH(G$1,[2]stages!$2:$2,0)-MATCH("temp_stage",[2]stages!$2:$2,0)+1),MATCH(G$1,[2]stages!$2:$2,0)-MATCH("temp_stage",[2]stages!$2:$2,0)+1,FALSE)</f>
        <v>検証</v>
      </c>
      <c r="H53" s="85">
        <v>1</v>
      </c>
      <c r="I53" s="91">
        <f t="shared" si="0"/>
        <v>52</v>
      </c>
      <c r="J53" s="86" t="str">
        <f t="shared" si="1"/>
        <v>6552552</v>
      </c>
      <c r="K53" s="84" t="s">
        <v>129</v>
      </c>
      <c r="L53" s="87" t="s">
        <v>202</v>
      </c>
      <c r="M53" s="88" t="s">
        <v>204</v>
      </c>
      <c r="N53" s="57" t="s">
        <v>203</v>
      </c>
    </row>
    <row r="54" spans="1:14" x14ac:dyDescent="0.15">
      <c r="A54" s="81" t="s">
        <v>200</v>
      </c>
      <c r="B54" s="82">
        <f>floors!$C$2</f>
        <v>65525</v>
      </c>
      <c r="C54" s="83" t="str">
        <f ca="1">VLOOKUP($B54,OFFSET([2]quests!$A$1,0,0,COUNTA([2]quests!$A:$A),MATCH(C$1,[2]quests!$1:$1,0)-MATCH($B$1,[2]quests!$1:$1,0)+1),MATCH(C$1,[2]quests!$1:$1,0)-MATCH($B$1,[2]quests!$1:$1,0)+1,FALSE)</f>
        <v>【LB田邉】検証クエスト</v>
      </c>
      <c r="D54" s="83" t="str">
        <f ca="1">VLOOKUP($B54,OFFSET([2]quests!$A$1,0,0,COUNTA([2]quests!$A:$A),MATCH(D$1,[2]quests!$1:$1,0)-MATCH($B$1,[2]quests!$1:$1,0)+1),MATCH(D$1,[2]quests!$1:$1,0)-MATCH($B$1,[2]quests!$1:$1,0)+1,FALSE)</f>
        <v>検証</v>
      </c>
      <c r="E54" s="84">
        <v>1</v>
      </c>
      <c r="F54" s="83" t="str">
        <f ca="1">VLOOKUP($B54&amp;"_"&amp;$E54,OFFSET([2]stages!$A$1,0,0,COUNTA([2]stages!$A:$A),MATCH(F$1,[2]stages!$2:$2,0)-MATCH("temp_stage",[2]stages!$2:$2,0)+1),MATCH(F$1,[2]stages!$2:$2,0)-MATCH("temp_stage",[2]stages!$2:$2,0)+1,FALSE)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54" s="83" t="str">
        <f ca="1">VLOOKUP($B54&amp;"_"&amp;$E54,OFFSET([2]stages!$A$1,0,0,COUNTA([2]stages!$A:$A),MATCH(G$1,[2]stages!$2:$2,0)-MATCH("temp_stage",[2]stages!$2:$2,0)+1),MATCH(G$1,[2]stages!$2:$2,0)-MATCH("temp_stage",[2]stages!$2:$2,0)+1,FALSE)</f>
        <v>検証</v>
      </c>
      <c r="H54" s="85">
        <v>1</v>
      </c>
      <c r="I54" s="91">
        <f t="shared" si="0"/>
        <v>53</v>
      </c>
      <c r="J54" s="86" t="str">
        <f t="shared" si="1"/>
        <v>6552553</v>
      </c>
      <c r="K54" s="84" t="s">
        <v>129</v>
      </c>
      <c r="L54" s="87" t="s">
        <v>202</v>
      </c>
      <c r="M54" s="88" t="s">
        <v>204</v>
      </c>
      <c r="N54" s="57" t="s">
        <v>203</v>
      </c>
    </row>
    <row r="55" spans="1:14" x14ac:dyDescent="0.15">
      <c r="A55" s="81" t="s">
        <v>200</v>
      </c>
      <c r="B55" s="82">
        <f>floors!$C$2</f>
        <v>65525</v>
      </c>
      <c r="C55" s="83" t="str">
        <f ca="1">VLOOKUP($B55,OFFSET([2]quests!$A$1,0,0,COUNTA([2]quests!$A:$A),MATCH(C$1,[2]quests!$1:$1,0)-MATCH($B$1,[2]quests!$1:$1,0)+1),MATCH(C$1,[2]quests!$1:$1,0)-MATCH($B$1,[2]quests!$1:$1,0)+1,FALSE)</f>
        <v>【LB田邉】検証クエスト</v>
      </c>
      <c r="D55" s="83" t="str">
        <f ca="1">VLOOKUP($B55,OFFSET([2]quests!$A$1,0,0,COUNTA([2]quests!$A:$A),MATCH(D$1,[2]quests!$1:$1,0)-MATCH($B$1,[2]quests!$1:$1,0)+1),MATCH(D$1,[2]quests!$1:$1,0)-MATCH($B$1,[2]quests!$1:$1,0)+1,FALSE)</f>
        <v>検証</v>
      </c>
      <c r="E55" s="84">
        <v>1</v>
      </c>
      <c r="F55" s="83" t="str">
        <f ca="1">VLOOKUP($B55&amp;"_"&amp;$E55,OFFSET([2]stages!$A$1,0,0,COUNTA([2]stages!$A:$A),MATCH(F$1,[2]stages!$2:$2,0)-MATCH("temp_stage",[2]stages!$2:$2,0)+1),MATCH(F$1,[2]stages!$2:$2,0)-MATCH("temp_stage",[2]stages!$2:$2,0)+1,FALSE)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55" s="83" t="str">
        <f ca="1">VLOOKUP($B55&amp;"_"&amp;$E55,OFFSET([2]stages!$A$1,0,0,COUNTA([2]stages!$A:$A),MATCH(G$1,[2]stages!$2:$2,0)-MATCH("temp_stage",[2]stages!$2:$2,0)+1),MATCH(G$1,[2]stages!$2:$2,0)-MATCH("temp_stage",[2]stages!$2:$2,0)+1,FALSE)</f>
        <v>検証</v>
      </c>
      <c r="H55" s="85">
        <v>1</v>
      </c>
      <c r="I55" s="91">
        <f t="shared" si="0"/>
        <v>54</v>
      </c>
      <c r="J55" s="86" t="str">
        <f t="shared" si="1"/>
        <v>6552554</v>
      </c>
      <c r="K55" s="84" t="s">
        <v>129</v>
      </c>
      <c r="L55" s="87" t="s">
        <v>202</v>
      </c>
      <c r="M55" s="88" t="s">
        <v>204</v>
      </c>
      <c r="N55" s="57" t="s">
        <v>203</v>
      </c>
    </row>
    <row r="56" spans="1:14" x14ac:dyDescent="0.15">
      <c r="A56" s="81" t="s">
        <v>200</v>
      </c>
      <c r="B56" s="82">
        <f>floors!$C$2</f>
        <v>65525</v>
      </c>
      <c r="C56" s="83" t="str">
        <f ca="1">VLOOKUP($B56,OFFSET([2]quests!$A$1,0,0,COUNTA([2]quests!$A:$A),MATCH(C$1,[2]quests!$1:$1,0)-MATCH($B$1,[2]quests!$1:$1,0)+1),MATCH(C$1,[2]quests!$1:$1,0)-MATCH($B$1,[2]quests!$1:$1,0)+1,FALSE)</f>
        <v>【LB田邉】検証クエスト</v>
      </c>
      <c r="D56" s="83" t="str">
        <f ca="1">VLOOKUP($B56,OFFSET([2]quests!$A$1,0,0,COUNTA([2]quests!$A:$A),MATCH(D$1,[2]quests!$1:$1,0)-MATCH($B$1,[2]quests!$1:$1,0)+1),MATCH(D$1,[2]quests!$1:$1,0)-MATCH($B$1,[2]quests!$1:$1,0)+1,FALSE)</f>
        <v>検証</v>
      </c>
      <c r="E56" s="84">
        <v>1</v>
      </c>
      <c r="F56" s="83" t="str">
        <f ca="1">VLOOKUP($B56&amp;"_"&amp;$E56,OFFSET([2]stages!$A$1,0,0,COUNTA([2]stages!$A:$A),MATCH(F$1,[2]stages!$2:$2,0)-MATCH("temp_stage",[2]stages!$2:$2,0)+1),MATCH(F$1,[2]stages!$2:$2,0)-MATCH("temp_stage",[2]stages!$2:$2,0)+1,FALSE)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56" s="83" t="str">
        <f ca="1">VLOOKUP($B56&amp;"_"&amp;$E56,OFFSET([2]stages!$A$1,0,0,COUNTA([2]stages!$A:$A),MATCH(G$1,[2]stages!$2:$2,0)-MATCH("temp_stage",[2]stages!$2:$2,0)+1),MATCH(G$1,[2]stages!$2:$2,0)-MATCH("temp_stage",[2]stages!$2:$2,0)+1,FALSE)</f>
        <v>検証</v>
      </c>
      <c r="H56" s="85">
        <v>1</v>
      </c>
      <c r="I56" s="91">
        <f t="shared" si="0"/>
        <v>55</v>
      </c>
      <c r="J56" s="86" t="str">
        <f t="shared" si="1"/>
        <v>6552555</v>
      </c>
      <c r="K56" s="84" t="s">
        <v>129</v>
      </c>
      <c r="L56" s="87" t="s">
        <v>202</v>
      </c>
      <c r="M56" s="88" t="s">
        <v>204</v>
      </c>
      <c r="N56" s="57" t="s">
        <v>203</v>
      </c>
    </row>
    <row r="57" spans="1:14" x14ac:dyDescent="0.15">
      <c r="A57" s="81" t="s">
        <v>200</v>
      </c>
      <c r="B57" s="82">
        <f>floors!$C$2</f>
        <v>65525</v>
      </c>
      <c r="C57" s="83" t="str">
        <f ca="1">VLOOKUP($B57,OFFSET([2]quests!$A$1,0,0,COUNTA([2]quests!$A:$A),MATCH(C$1,[2]quests!$1:$1,0)-MATCH($B$1,[2]quests!$1:$1,0)+1),MATCH(C$1,[2]quests!$1:$1,0)-MATCH($B$1,[2]quests!$1:$1,0)+1,FALSE)</f>
        <v>【LB田邉】検証クエスト</v>
      </c>
      <c r="D57" s="83" t="str">
        <f ca="1">VLOOKUP($B57,OFFSET([2]quests!$A$1,0,0,COUNTA([2]quests!$A:$A),MATCH(D$1,[2]quests!$1:$1,0)-MATCH($B$1,[2]quests!$1:$1,0)+1),MATCH(D$1,[2]quests!$1:$1,0)-MATCH($B$1,[2]quests!$1:$1,0)+1,FALSE)</f>
        <v>検証</v>
      </c>
      <c r="E57" s="84">
        <v>1</v>
      </c>
      <c r="F57" s="83" t="str">
        <f ca="1">VLOOKUP($B57&amp;"_"&amp;$E57,OFFSET([2]stages!$A$1,0,0,COUNTA([2]stages!$A:$A),MATCH(F$1,[2]stages!$2:$2,0)-MATCH("temp_stage",[2]stages!$2:$2,0)+1),MATCH(F$1,[2]stages!$2:$2,0)-MATCH("temp_stage",[2]stages!$2:$2,0)+1,FALSE)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57" s="83" t="str">
        <f ca="1">VLOOKUP($B57&amp;"_"&amp;$E57,OFFSET([2]stages!$A$1,0,0,COUNTA([2]stages!$A:$A),MATCH(G$1,[2]stages!$2:$2,0)-MATCH("temp_stage",[2]stages!$2:$2,0)+1),MATCH(G$1,[2]stages!$2:$2,0)-MATCH("temp_stage",[2]stages!$2:$2,0)+1,FALSE)</f>
        <v>検証</v>
      </c>
      <c r="H57" s="85">
        <v>1</v>
      </c>
      <c r="I57" s="91">
        <f t="shared" si="0"/>
        <v>56</v>
      </c>
      <c r="J57" s="86" t="str">
        <f t="shared" si="1"/>
        <v>6552556</v>
      </c>
      <c r="K57" s="84" t="s">
        <v>129</v>
      </c>
      <c r="L57" s="87" t="s">
        <v>202</v>
      </c>
      <c r="M57" s="88" t="s">
        <v>204</v>
      </c>
      <c r="N57" s="57" t="s">
        <v>203</v>
      </c>
    </row>
    <row r="58" spans="1:14" x14ac:dyDescent="0.15">
      <c r="A58" s="81" t="s">
        <v>200</v>
      </c>
      <c r="B58" s="82">
        <f>floors!$C$2</f>
        <v>65525</v>
      </c>
      <c r="C58" s="83" t="str">
        <f ca="1">VLOOKUP($B58,OFFSET([2]quests!$A$1,0,0,COUNTA([2]quests!$A:$A),MATCH(C$1,[2]quests!$1:$1,0)-MATCH($B$1,[2]quests!$1:$1,0)+1),MATCH(C$1,[2]quests!$1:$1,0)-MATCH($B$1,[2]quests!$1:$1,0)+1,FALSE)</f>
        <v>【LB田邉】検証クエスト</v>
      </c>
      <c r="D58" s="83" t="str">
        <f ca="1">VLOOKUP($B58,OFFSET([2]quests!$A$1,0,0,COUNTA([2]quests!$A:$A),MATCH(D$1,[2]quests!$1:$1,0)-MATCH($B$1,[2]quests!$1:$1,0)+1),MATCH(D$1,[2]quests!$1:$1,0)-MATCH($B$1,[2]quests!$1:$1,0)+1,FALSE)</f>
        <v>検証</v>
      </c>
      <c r="E58" s="84">
        <v>1</v>
      </c>
      <c r="F58" s="83" t="str">
        <f ca="1">VLOOKUP($B58&amp;"_"&amp;$E58,OFFSET([2]stages!$A$1,0,0,COUNTA([2]stages!$A:$A),MATCH(F$1,[2]stages!$2:$2,0)-MATCH("temp_stage",[2]stages!$2:$2,0)+1),MATCH(F$1,[2]stages!$2:$2,0)-MATCH("temp_stage",[2]stages!$2:$2,0)+1,FALSE)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58" s="83" t="str">
        <f ca="1">VLOOKUP($B58&amp;"_"&amp;$E58,OFFSET([2]stages!$A$1,0,0,COUNTA([2]stages!$A:$A),MATCH(G$1,[2]stages!$2:$2,0)-MATCH("temp_stage",[2]stages!$2:$2,0)+1),MATCH(G$1,[2]stages!$2:$2,0)-MATCH("temp_stage",[2]stages!$2:$2,0)+1,FALSE)</f>
        <v>検証</v>
      </c>
      <c r="H58" s="85">
        <v>1</v>
      </c>
      <c r="I58" s="91">
        <f t="shared" si="0"/>
        <v>57</v>
      </c>
      <c r="J58" s="86" t="str">
        <f t="shared" si="1"/>
        <v>6552557</v>
      </c>
      <c r="K58" s="84" t="s">
        <v>129</v>
      </c>
      <c r="L58" s="87" t="s">
        <v>202</v>
      </c>
      <c r="M58" s="88" t="s">
        <v>204</v>
      </c>
      <c r="N58" s="57" t="s">
        <v>203</v>
      </c>
    </row>
    <row r="59" spans="1:14" x14ac:dyDescent="0.15">
      <c r="A59" s="81" t="s">
        <v>200</v>
      </c>
      <c r="B59" s="82">
        <f>floors!$C$2</f>
        <v>65525</v>
      </c>
      <c r="C59" s="83" t="str">
        <f ca="1">VLOOKUP($B59,OFFSET([2]quests!$A$1,0,0,COUNTA([2]quests!$A:$A),MATCH(C$1,[2]quests!$1:$1,0)-MATCH($B$1,[2]quests!$1:$1,0)+1),MATCH(C$1,[2]quests!$1:$1,0)-MATCH($B$1,[2]quests!$1:$1,0)+1,FALSE)</f>
        <v>【LB田邉】検証クエスト</v>
      </c>
      <c r="D59" s="83" t="str">
        <f ca="1">VLOOKUP($B59,OFFSET([2]quests!$A$1,0,0,COUNTA([2]quests!$A:$A),MATCH(D$1,[2]quests!$1:$1,0)-MATCH($B$1,[2]quests!$1:$1,0)+1),MATCH(D$1,[2]quests!$1:$1,0)-MATCH($B$1,[2]quests!$1:$1,0)+1,FALSE)</f>
        <v>検証</v>
      </c>
      <c r="E59" s="84">
        <v>1</v>
      </c>
      <c r="F59" s="83" t="str">
        <f ca="1">VLOOKUP($B59&amp;"_"&amp;$E59,OFFSET([2]stages!$A$1,0,0,COUNTA([2]stages!$A:$A),MATCH(F$1,[2]stages!$2:$2,0)-MATCH("temp_stage",[2]stages!$2:$2,0)+1),MATCH(F$1,[2]stages!$2:$2,0)-MATCH("temp_stage",[2]stages!$2:$2,0)+1,FALSE)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59" s="83" t="str">
        <f ca="1">VLOOKUP($B59&amp;"_"&amp;$E59,OFFSET([2]stages!$A$1,0,0,COUNTA([2]stages!$A:$A),MATCH(G$1,[2]stages!$2:$2,0)-MATCH("temp_stage",[2]stages!$2:$2,0)+1),MATCH(G$1,[2]stages!$2:$2,0)-MATCH("temp_stage",[2]stages!$2:$2,0)+1,FALSE)</f>
        <v>検証</v>
      </c>
      <c r="H59" s="85">
        <v>1</v>
      </c>
      <c r="I59" s="91">
        <f t="shared" si="0"/>
        <v>58</v>
      </c>
      <c r="J59" s="86" t="str">
        <f t="shared" si="1"/>
        <v>6552558</v>
      </c>
      <c r="K59" s="84" t="s">
        <v>129</v>
      </c>
      <c r="L59" s="87" t="s">
        <v>202</v>
      </c>
      <c r="M59" s="88" t="s">
        <v>204</v>
      </c>
      <c r="N59" s="57" t="s">
        <v>203</v>
      </c>
    </row>
    <row r="60" spans="1:14" x14ac:dyDescent="0.15">
      <c r="A60" s="81" t="s">
        <v>200</v>
      </c>
      <c r="B60" s="82">
        <f>floors!$C$2</f>
        <v>65525</v>
      </c>
      <c r="C60" s="83" t="str">
        <f ca="1">VLOOKUP($B60,OFFSET([2]quests!$A$1,0,0,COUNTA([2]quests!$A:$A),MATCH(C$1,[2]quests!$1:$1,0)-MATCH($B$1,[2]quests!$1:$1,0)+1),MATCH(C$1,[2]quests!$1:$1,0)-MATCH($B$1,[2]quests!$1:$1,0)+1,FALSE)</f>
        <v>【LB田邉】検証クエスト</v>
      </c>
      <c r="D60" s="83" t="str">
        <f ca="1">VLOOKUP($B60,OFFSET([2]quests!$A$1,0,0,COUNTA([2]quests!$A:$A),MATCH(D$1,[2]quests!$1:$1,0)-MATCH($B$1,[2]quests!$1:$1,0)+1),MATCH(D$1,[2]quests!$1:$1,0)-MATCH($B$1,[2]quests!$1:$1,0)+1,FALSE)</f>
        <v>検証</v>
      </c>
      <c r="E60" s="84">
        <v>1</v>
      </c>
      <c r="F60" s="83" t="str">
        <f ca="1">VLOOKUP($B60&amp;"_"&amp;$E60,OFFSET([2]stages!$A$1,0,0,COUNTA([2]stages!$A:$A),MATCH(F$1,[2]stages!$2:$2,0)-MATCH("temp_stage",[2]stages!$2:$2,0)+1),MATCH(F$1,[2]stages!$2:$2,0)-MATCH("temp_stage",[2]stages!$2:$2,0)+1,FALSE)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60" s="83" t="str">
        <f ca="1">VLOOKUP($B60&amp;"_"&amp;$E60,OFFSET([2]stages!$A$1,0,0,COUNTA([2]stages!$A:$A),MATCH(G$1,[2]stages!$2:$2,0)-MATCH("temp_stage",[2]stages!$2:$2,0)+1),MATCH(G$1,[2]stages!$2:$2,0)-MATCH("temp_stage",[2]stages!$2:$2,0)+1,FALSE)</f>
        <v>検証</v>
      </c>
      <c r="H60" s="85">
        <v>1</v>
      </c>
      <c r="I60" s="91">
        <f t="shared" si="0"/>
        <v>59</v>
      </c>
      <c r="J60" s="86" t="str">
        <f t="shared" si="1"/>
        <v>6552559</v>
      </c>
      <c r="K60" s="84" t="s">
        <v>129</v>
      </c>
      <c r="L60" s="87" t="s">
        <v>202</v>
      </c>
      <c r="M60" s="88" t="s">
        <v>204</v>
      </c>
      <c r="N60" s="57" t="s">
        <v>203</v>
      </c>
    </row>
    <row r="61" spans="1:14" x14ac:dyDescent="0.15">
      <c r="A61" s="81" t="s">
        <v>200</v>
      </c>
      <c r="B61" s="82">
        <f>floors!$C$2</f>
        <v>65525</v>
      </c>
      <c r="C61" s="83" t="str">
        <f ca="1">VLOOKUP($B61,OFFSET([2]quests!$A$1,0,0,COUNTA([2]quests!$A:$A),MATCH(C$1,[2]quests!$1:$1,0)-MATCH($B$1,[2]quests!$1:$1,0)+1),MATCH(C$1,[2]quests!$1:$1,0)-MATCH($B$1,[2]quests!$1:$1,0)+1,FALSE)</f>
        <v>【LB田邉】検証クエスト</v>
      </c>
      <c r="D61" s="83" t="str">
        <f ca="1">VLOOKUP($B61,OFFSET([2]quests!$A$1,0,0,COUNTA([2]quests!$A:$A),MATCH(D$1,[2]quests!$1:$1,0)-MATCH($B$1,[2]quests!$1:$1,0)+1),MATCH(D$1,[2]quests!$1:$1,0)-MATCH($B$1,[2]quests!$1:$1,0)+1,FALSE)</f>
        <v>検証</v>
      </c>
      <c r="E61" s="84">
        <v>1</v>
      </c>
      <c r="F61" s="83" t="str">
        <f ca="1">VLOOKUP($B61&amp;"_"&amp;$E61,OFFSET([2]stages!$A$1,0,0,COUNTA([2]stages!$A:$A),MATCH(F$1,[2]stages!$2:$2,0)-MATCH("temp_stage",[2]stages!$2:$2,0)+1),MATCH(F$1,[2]stages!$2:$2,0)-MATCH("temp_stage",[2]stages!$2:$2,0)+1,FALSE)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61" s="83" t="str">
        <f ca="1">VLOOKUP($B61&amp;"_"&amp;$E61,OFFSET([2]stages!$A$1,0,0,COUNTA([2]stages!$A:$A),MATCH(G$1,[2]stages!$2:$2,0)-MATCH("temp_stage",[2]stages!$2:$2,0)+1),MATCH(G$1,[2]stages!$2:$2,0)-MATCH("temp_stage",[2]stages!$2:$2,0)+1,FALSE)</f>
        <v>検証</v>
      </c>
      <c r="H61" s="85">
        <v>1</v>
      </c>
      <c r="I61" s="91">
        <f t="shared" si="0"/>
        <v>60</v>
      </c>
      <c r="J61" s="86" t="str">
        <f t="shared" si="1"/>
        <v>6552560</v>
      </c>
      <c r="K61" s="84" t="s">
        <v>129</v>
      </c>
      <c r="L61" s="87" t="s">
        <v>202</v>
      </c>
      <c r="M61" s="88" t="s">
        <v>204</v>
      </c>
      <c r="N61" s="57" t="s">
        <v>203</v>
      </c>
    </row>
    <row r="62" spans="1:14" x14ac:dyDescent="0.15">
      <c r="A62" s="81" t="s">
        <v>200</v>
      </c>
      <c r="B62" s="82">
        <f>floors!$C$2</f>
        <v>65525</v>
      </c>
      <c r="C62" s="83" t="str">
        <f ca="1">VLOOKUP($B62,OFFSET([2]quests!$A$1,0,0,COUNTA([2]quests!$A:$A),MATCH(C$1,[2]quests!$1:$1,0)-MATCH($B$1,[2]quests!$1:$1,0)+1),MATCH(C$1,[2]quests!$1:$1,0)-MATCH($B$1,[2]quests!$1:$1,0)+1,FALSE)</f>
        <v>【LB田邉】検証クエスト</v>
      </c>
      <c r="D62" s="83" t="str">
        <f ca="1">VLOOKUP($B62,OFFSET([2]quests!$A$1,0,0,COUNTA([2]quests!$A:$A),MATCH(D$1,[2]quests!$1:$1,0)-MATCH($B$1,[2]quests!$1:$1,0)+1),MATCH(D$1,[2]quests!$1:$1,0)-MATCH($B$1,[2]quests!$1:$1,0)+1,FALSE)</f>
        <v>検証</v>
      </c>
      <c r="E62" s="84">
        <v>1</v>
      </c>
      <c r="F62" s="83" t="str">
        <f ca="1">VLOOKUP($B62&amp;"_"&amp;$E62,OFFSET([2]stages!$A$1,0,0,COUNTA([2]stages!$A:$A),MATCH(F$1,[2]stages!$2:$2,0)-MATCH("temp_stage",[2]stages!$2:$2,0)+1),MATCH(F$1,[2]stages!$2:$2,0)-MATCH("temp_stage",[2]stages!$2:$2,0)+1,FALSE)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62" s="83" t="str">
        <f ca="1">VLOOKUP($B62&amp;"_"&amp;$E62,OFFSET([2]stages!$A$1,0,0,COUNTA([2]stages!$A:$A),MATCH(G$1,[2]stages!$2:$2,0)-MATCH("temp_stage",[2]stages!$2:$2,0)+1),MATCH(G$1,[2]stages!$2:$2,0)-MATCH("temp_stage",[2]stages!$2:$2,0)+1,FALSE)</f>
        <v>検証</v>
      </c>
      <c r="H62" s="85">
        <v>1</v>
      </c>
      <c r="I62" s="91">
        <f t="shared" si="0"/>
        <v>61</v>
      </c>
      <c r="J62" s="86" t="str">
        <f t="shared" si="1"/>
        <v>6552561</v>
      </c>
      <c r="K62" s="84" t="s">
        <v>129</v>
      </c>
      <c r="L62" s="87" t="s">
        <v>202</v>
      </c>
      <c r="M62" s="88" t="s">
        <v>204</v>
      </c>
      <c r="N62" s="57" t="s">
        <v>203</v>
      </c>
    </row>
    <row r="63" spans="1:14" x14ac:dyDescent="0.15">
      <c r="A63" s="81" t="s">
        <v>200</v>
      </c>
      <c r="B63" s="82">
        <f>floors!$C$2</f>
        <v>65525</v>
      </c>
      <c r="C63" s="83" t="str">
        <f ca="1">VLOOKUP($B63,OFFSET([2]quests!$A$1,0,0,COUNTA([2]quests!$A:$A),MATCH(C$1,[2]quests!$1:$1,0)-MATCH($B$1,[2]quests!$1:$1,0)+1),MATCH(C$1,[2]quests!$1:$1,0)-MATCH($B$1,[2]quests!$1:$1,0)+1,FALSE)</f>
        <v>【LB田邉】検証クエスト</v>
      </c>
      <c r="D63" s="83" t="str">
        <f ca="1">VLOOKUP($B63,OFFSET([2]quests!$A$1,0,0,COUNTA([2]quests!$A:$A),MATCH(D$1,[2]quests!$1:$1,0)-MATCH($B$1,[2]quests!$1:$1,0)+1),MATCH(D$1,[2]quests!$1:$1,0)-MATCH($B$1,[2]quests!$1:$1,0)+1,FALSE)</f>
        <v>検証</v>
      </c>
      <c r="E63" s="84">
        <v>1</v>
      </c>
      <c r="F63" s="83" t="str">
        <f ca="1">VLOOKUP($B63&amp;"_"&amp;$E63,OFFSET([2]stages!$A$1,0,0,COUNTA([2]stages!$A:$A),MATCH(F$1,[2]stages!$2:$2,0)-MATCH("temp_stage",[2]stages!$2:$2,0)+1),MATCH(F$1,[2]stages!$2:$2,0)-MATCH("temp_stage",[2]stages!$2:$2,0)+1,FALSE)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63" s="83" t="str">
        <f ca="1">VLOOKUP($B63&amp;"_"&amp;$E63,OFFSET([2]stages!$A$1,0,0,COUNTA([2]stages!$A:$A),MATCH(G$1,[2]stages!$2:$2,0)-MATCH("temp_stage",[2]stages!$2:$2,0)+1),MATCH(G$1,[2]stages!$2:$2,0)-MATCH("temp_stage",[2]stages!$2:$2,0)+1,FALSE)</f>
        <v>検証</v>
      </c>
      <c r="H63" s="85">
        <v>1</v>
      </c>
      <c r="I63" s="91">
        <f t="shared" si="0"/>
        <v>62</v>
      </c>
      <c r="J63" s="86" t="str">
        <f t="shared" si="1"/>
        <v>6552562</v>
      </c>
      <c r="K63" s="84" t="s">
        <v>129</v>
      </c>
      <c r="L63" s="87" t="s">
        <v>202</v>
      </c>
      <c r="M63" s="88" t="s">
        <v>204</v>
      </c>
      <c r="N63" s="57" t="s">
        <v>203</v>
      </c>
    </row>
    <row r="64" spans="1:14" x14ac:dyDescent="0.15">
      <c r="A64" s="81" t="s">
        <v>200</v>
      </c>
      <c r="B64" s="82">
        <f>floors!$C$2</f>
        <v>65525</v>
      </c>
      <c r="C64" s="83" t="str">
        <f ca="1">VLOOKUP($B64,OFFSET([2]quests!$A$1,0,0,COUNTA([2]quests!$A:$A),MATCH(C$1,[2]quests!$1:$1,0)-MATCH($B$1,[2]quests!$1:$1,0)+1),MATCH(C$1,[2]quests!$1:$1,0)-MATCH($B$1,[2]quests!$1:$1,0)+1,FALSE)</f>
        <v>【LB田邉】検証クエスト</v>
      </c>
      <c r="D64" s="83" t="str">
        <f ca="1">VLOOKUP($B64,OFFSET([2]quests!$A$1,0,0,COUNTA([2]quests!$A:$A),MATCH(D$1,[2]quests!$1:$1,0)-MATCH($B$1,[2]quests!$1:$1,0)+1),MATCH(D$1,[2]quests!$1:$1,0)-MATCH($B$1,[2]quests!$1:$1,0)+1,FALSE)</f>
        <v>検証</v>
      </c>
      <c r="E64" s="84">
        <v>1</v>
      </c>
      <c r="F64" s="83" t="str">
        <f ca="1">VLOOKUP($B64&amp;"_"&amp;$E64,OFFSET([2]stages!$A$1,0,0,COUNTA([2]stages!$A:$A),MATCH(F$1,[2]stages!$2:$2,0)-MATCH("temp_stage",[2]stages!$2:$2,0)+1),MATCH(F$1,[2]stages!$2:$2,0)-MATCH("temp_stage",[2]stages!$2:$2,0)+1,FALSE)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64" s="83" t="str">
        <f ca="1">VLOOKUP($B64&amp;"_"&amp;$E64,OFFSET([2]stages!$A$1,0,0,COUNTA([2]stages!$A:$A),MATCH(G$1,[2]stages!$2:$2,0)-MATCH("temp_stage",[2]stages!$2:$2,0)+1),MATCH(G$1,[2]stages!$2:$2,0)-MATCH("temp_stage",[2]stages!$2:$2,0)+1,FALSE)</f>
        <v>検証</v>
      </c>
      <c r="H64" s="85">
        <v>1</v>
      </c>
      <c r="I64" s="91">
        <f t="shared" si="0"/>
        <v>63</v>
      </c>
      <c r="J64" s="86" t="str">
        <f t="shared" si="1"/>
        <v>6552563</v>
      </c>
      <c r="K64" s="84" t="s">
        <v>129</v>
      </c>
      <c r="L64" s="87" t="s">
        <v>202</v>
      </c>
      <c r="M64" s="88" t="s">
        <v>204</v>
      </c>
      <c r="N64" s="57" t="s">
        <v>203</v>
      </c>
    </row>
    <row r="65" spans="1:14" x14ac:dyDescent="0.15">
      <c r="A65" s="81" t="s">
        <v>200</v>
      </c>
      <c r="B65" s="82">
        <f>floors!$C$2</f>
        <v>65525</v>
      </c>
      <c r="C65" s="83" t="str">
        <f ca="1">VLOOKUP($B65,OFFSET([2]quests!$A$1,0,0,COUNTA([2]quests!$A:$A),MATCH(C$1,[2]quests!$1:$1,0)-MATCH($B$1,[2]quests!$1:$1,0)+1),MATCH(C$1,[2]quests!$1:$1,0)-MATCH($B$1,[2]quests!$1:$1,0)+1,FALSE)</f>
        <v>【LB田邉】検証クエスト</v>
      </c>
      <c r="D65" s="83" t="str">
        <f ca="1">VLOOKUP($B65,OFFSET([2]quests!$A$1,0,0,COUNTA([2]quests!$A:$A),MATCH(D$1,[2]quests!$1:$1,0)-MATCH($B$1,[2]quests!$1:$1,0)+1),MATCH(D$1,[2]quests!$1:$1,0)-MATCH($B$1,[2]quests!$1:$1,0)+1,FALSE)</f>
        <v>検証</v>
      </c>
      <c r="E65" s="84">
        <v>1</v>
      </c>
      <c r="F65" s="83" t="str">
        <f ca="1">VLOOKUP($B65&amp;"_"&amp;$E65,OFFSET([2]stages!$A$1,0,0,COUNTA([2]stages!$A:$A),MATCH(F$1,[2]stages!$2:$2,0)-MATCH("temp_stage",[2]stages!$2:$2,0)+1),MATCH(F$1,[2]stages!$2:$2,0)-MATCH("temp_stage",[2]stages!$2:$2,0)+1,FALSE)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65" s="83" t="str">
        <f ca="1">VLOOKUP($B65&amp;"_"&amp;$E65,OFFSET([2]stages!$A$1,0,0,COUNTA([2]stages!$A:$A),MATCH(G$1,[2]stages!$2:$2,0)-MATCH("temp_stage",[2]stages!$2:$2,0)+1),MATCH(G$1,[2]stages!$2:$2,0)-MATCH("temp_stage",[2]stages!$2:$2,0)+1,FALSE)</f>
        <v>検証</v>
      </c>
      <c r="H65" s="85">
        <v>1</v>
      </c>
      <c r="I65" s="91">
        <f t="shared" si="0"/>
        <v>64</v>
      </c>
      <c r="J65" s="86" t="str">
        <f t="shared" si="1"/>
        <v>6552564</v>
      </c>
      <c r="K65" s="84" t="s">
        <v>129</v>
      </c>
      <c r="L65" s="87" t="s">
        <v>202</v>
      </c>
      <c r="M65" s="88" t="s">
        <v>204</v>
      </c>
      <c r="N65" s="57" t="s">
        <v>203</v>
      </c>
    </row>
    <row r="66" spans="1:14" x14ac:dyDescent="0.15">
      <c r="A66" s="81" t="s">
        <v>200</v>
      </c>
      <c r="B66" s="82">
        <f>floors!$C$2</f>
        <v>65525</v>
      </c>
      <c r="C66" s="83" t="str">
        <f ca="1">VLOOKUP($B66,OFFSET([2]quests!$A$1,0,0,COUNTA([2]quests!$A:$A),MATCH(C$1,[2]quests!$1:$1,0)-MATCH($B$1,[2]quests!$1:$1,0)+1),MATCH(C$1,[2]quests!$1:$1,0)-MATCH($B$1,[2]quests!$1:$1,0)+1,FALSE)</f>
        <v>【LB田邉】検証クエスト</v>
      </c>
      <c r="D66" s="83" t="str">
        <f ca="1">VLOOKUP($B66,OFFSET([2]quests!$A$1,0,0,COUNTA([2]quests!$A:$A),MATCH(D$1,[2]quests!$1:$1,0)-MATCH($B$1,[2]quests!$1:$1,0)+1),MATCH(D$1,[2]quests!$1:$1,0)-MATCH($B$1,[2]quests!$1:$1,0)+1,FALSE)</f>
        <v>検証</v>
      </c>
      <c r="E66" s="84">
        <v>1</v>
      </c>
      <c r="F66" s="83" t="str">
        <f ca="1">VLOOKUP($B66&amp;"_"&amp;$E66,OFFSET([2]stages!$A$1,0,0,COUNTA([2]stages!$A:$A),MATCH(F$1,[2]stages!$2:$2,0)-MATCH("temp_stage",[2]stages!$2:$2,0)+1),MATCH(F$1,[2]stages!$2:$2,0)-MATCH("temp_stage",[2]stages!$2:$2,0)+1,FALSE)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66" s="83" t="str">
        <f ca="1">VLOOKUP($B66&amp;"_"&amp;$E66,OFFSET([2]stages!$A$1,0,0,COUNTA([2]stages!$A:$A),MATCH(G$1,[2]stages!$2:$2,0)-MATCH("temp_stage",[2]stages!$2:$2,0)+1),MATCH(G$1,[2]stages!$2:$2,0)-MATCH("temp_stage",[2]stages!$2:$2,0)+1,FALSE)</f>
        <v>検証</v>
      </c>
      <c r="H66" s="85">
        <v>1</v>
      </c>
      <c r="I66" s="91">
        <f t="shared" si="0"/>
        <v>65</v>
      </c>
      <c r="J66" s="86" t="str">
        <f t="shared" si="1"/>
        <v>6552565</v>
      </c>
      <c r="K66" s="84" t="s">
        <v>129</v>
      </c>
      <c r="L66" s="87" t="s">
        <v>202</v>
      </c>
      <c r="M66" s="88" t="s">
        <v>204</v>
      </c>
      <c r="N66" s="57" t="s">
        <v>203</v>
      </c>
    </row>
    <row r="67" spans="1:14" x14ac:dyDescent="0.15">
      <c r="A67" s="81" t="s">
        <v>200</v>
      </c>
      <c r="B67" s="82">
        <f>floors!$C$2</f>
        <v>65525</v>
      </c>
      <c r="C67" s="83" t="str">
        <f ca="1">VLOOKUP($B67,OFFSET([2]quests!$A$1,0,0,COUNTA([2]quests!$A:$A),MATCH(C$1,[2]quests!$1:$1,0)-MATCH($B$1,[2]quests!$1:$1,0)+1),MATCH(C$1,[2]quests!$1:$1,0)-MATCH($B$1,[2]quests!$1:$1,0)+1,FALSE)</f>
        <v>【LB田邉】検証クエスト</v>
      </c>
      <c r="D67" s="83" t="str">
        <f ca="1">VLOOKUP($B67,OFFSET([2]quests!$A$1,0,0,COUNTA([2]quests!$A:$A),MATCH(D$1,[2]quests!$1:$1,0)-MATCH($B$1,[2]quests!$1:$1,0)+1),MATCH(D$1,[2]quests!$1:$1,0)-MATCH($B$1,[2]quests!$1:$1,0)+1,FALSE)</f>
        <v>検証</v>
      </c>
      <c r="E67" s="84">
        <v>1</v>
      </c>
      <c r="F67" s="83" t="str">
        <f ca="1">VLOOKUP($B67&amp;"_"&amp;$E67,OFFSET([2]stages!$A$1,0,0,COUNTA([2]stages!$A:$A),MATCH(F$1,[2]stages!$2:$2,0)-MATCH("temp_stage",[2]stages!$2:$2,0)+1),MATCH(F$1,[2]stages!$2:$2,0)-MATCH("temp_stage",[2]stages!$2:$2,0)+1,FALSE)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67" s="83" t="str">
        <f ca="1">VLOOKUP($B67&amp;"_"&amp;$E67,OFFSET([2]stages!$A$1,0,0,COUNTA([2]stages!$A:$A),MATCH(G$1,[2]stages!$2:$2,0)-MATCH("temp_stage",[2]stages!$2:$2,0)+1),MATCH(G$1,[2]stages!$2:$2,0)-MATCH("temp_stage",[2]stages!$2:$2,0)+1,FALSE)</f>
        <v>検証</v>
      </c>
      <c r="H67" s="85">
        <v>1</v>
      </c>
      <c r="I67" s="91">
        <f t="shared" ref="I67:I106" si="2">ROW()-1</f>
        <v>66</v>
      </c>
      <c r="J67" s="86" t="str">
        <f t="shared" ref="J67:J106" si="3">B67&amp;TEXT(I67,"00")</f>
        <v>6552566</v>
      </c>
      <c r="K67" s="84" t="s">
        <v>129</v>
      </c>
      <c r="L67" s="87" t="s">
        <v>202</v>
      </c>
      <c r="M67" s="88" t="s">
        <v>204</v>
      </c>
      <c r="N67" s="57" t="s">
        <v>203</v>
      </c>
    </row>
    <row r="68" spans="1:14" x14ac:dyDescent="0.15">
      <c r="A68" s="81" t="s">
        <v>200</v>
      </c>
      <c r="B68" s="82">
        <f>floors!$C$2</f>
        <v>65525</v>
      </c>
      <c r="C68" s="83" t="str">
        <f ca="1">VLOOKUP($B68,OFFSET([2]quests!$A$1,0,0,COUNTA([2]quests!$A:$A),MATCH(C$1,[2]quests!$1:$1,0)-MATCH($B$1,[2]quests!$1:$1,0)+1),MATCH(C$1,[2]quests!$1:$1,0)-MATCH($B$1,[2]quests!$1:$1,0)+1,FALSE)</f>
        <v>【LB田邉】検証クエスト</v>
      </c>
      <c r="D68" s="83" t="str">
        <f ca="1">VLOOKUP($B68,OFFSET([2]quests!$A$1,0,0,COUNTA([2]quests!$A:$A),MATCH(D$1,[2]quests!$1:$1,0)-MATCH($B$1,[2]quests!$1:$1,0)+1),MATCH(D$1,[2]quests!$1:$1,0)-MATCH($B$1,[2]quests!$1:$1,0)+1,FALSE)</f>
        <v>検証</v>
      </c>
      <c r="E68" s="84">
        <v>1</v>
      </c>
      <c r="F68" s="83" t="str">
        <f ca="1">VLOOKUP($B68&amp;"_"&amp;$E68,OFFSET([2]stages!$A$1,0,0,COUNTA([2]stages!$A:$A),MATCH(F$1,[2]stages!$2:$2,0)-MATCH("temp_stage",[2]stages!$2:$2,0)+1),MATCH(F$1,[2]stages!$2:$2,0)-MATCH("temp_stage",[2]stages!$2:$2,0)+1,FALSE)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68" s="83" t="str">
        <f ca="1">VLOOKUP($B68&amp;"_"&amp;$E68,OFFSET([2]stages!$A$1,0,0,COUNTA([2]stages!$A:$A),MATCH(G$1,[2]stages!$2:$2,0)-MATCH("temp_stage",[2]stages!$2:$2,0)+1),MATCH(G$1,[2]stages!$2:$2,0)-MATCH("temp_stage",[2]stages!$2:$2,0)+1,FALSE)</f>
        <v>検証</v>
      </c>
      <c r="H68" s="85">
        <v>1</v>
      </c>
      <c r="I68" s="91">
        <f t="shared" si="2"/>
        <v>67</v>
      </c>
      <c r="J68" s="86" t="str">
        <f t="shared" si="3"/>
        <v>6552567</v>
      </c>
      <c r="K68" s="84" t="s">
        <v>129</v>
      </c>
      <c r="L68" s="87" t="s">
        <v>202</v>
      </c>
      <c r="M68" s="88" t="s">
        <v>204</v>
      </c>
      <c r="N68" s="57" t="s">
        <v>203</v>
      </c>
    </row>
    <row r="69" spans="1:14" x14ac:dyDescent="0.15">
      <c r="A69" s="81" t="s">
        <v>200</v>
      </c>
      <c r="B69" s="82">
        <f>floors!$C$2</f>
        <v>65525</v>
      </c>
      <c r="C69" s="83" t="str">
        <f ca="1">VLOOKUP($B69,OFFSET([2]quests!$A$1,0,0,COUNTA([2]quests!$A:$A),MATCH(C$1,[2]quests!$1:$1,0)-MATCH($B$1,[2]quests!$1:$1,0)+1),MATCH(C$1,[2]quests!$1:$1,0)-MATCH($B$1,[2]quests!$1:$1,0)+1,FALSE)</f>
        <v>【LB田邉】検証クエスト</v>
      </c>
      <c r="D69" s="83" t="str">
        <f ca="1">VLOOKUP($B69,OFFSET([2]quests!$A$1,0,0,COUNTA([2]quests!$A:$A),MATCH(D$1,[2]quests!$1:$1,0)-MATCH($B$1,[2]quests!$1:$1,0)+1),MATCH(D$1,[2]quests!$1:$1,0)-MATCH($B$1,[2]quests!$1:$1,0)+1,FALSE)</f>
        <v>検証</v>
      </c>
      <c r="E69" s="84">
        <v>1</v>
      </c>
      <c r="F69" s="83" t="str">
        <f ca="1">VLOOKUP($B69&amp;"_"&amp;$E69,OFFSET([2]stages!$A$1,0,0,COUNTA([2]stages!$A:$A),MATCH(F$1,[2]stages!$2:$2,0)-MATCH("temp_stage",[2]stages!$2:$2,0)+1),MATCH(F$1,[2]stages!$2:$2,0)-MATCH("temp_stage",[2]stages!$2:$2,0)+1,FALSE)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69" s="83" t="str">
        <f ca="1">VLOOKUP($B69&amp;"_"&amp;$E69,OFFSET([2]stages!$A$1,0,0,COUNTA([2]stages!$A:$A),MATCH(G$1,[2]stages!$2:$2,0)-MATCH("temp_stage",[2]stages!$2:$2,0)+1),MATCH(G$1,[2]stages!$2:$2,0)-MATCH("temp_stage",[2]stages!$2:$2,0)+1,FALSE)</f>
        <v>検証</v>
      </c>
      <c r="H69" s="85">
        <v>1</v>
      </c>
      <c r="I69" s="91">
        <f t="shared" si="2"/>
        <v>68</v>
      </c>
      <c r="J69" s="86" t="str">
        <f t="shared" si="3"/>
        <v>6552568</v>
      </c>
      <c r="K69" s="84" t="s">
        <v>129</v>
      </c>
      <c r="L69" s="87" t="s">
        <v>202</v>
      </c>
      <c r="M69" s="88" t="s">
        <v>204</v>
      </c>
      <c r="N69" s="57" t="s">
        <v>203</v>
      </c>
    </row>
    <row r="70" spans="1:14" x14ac:dyDescent="0.15">
      <c r="A70" s="81" t="s">
        <v>200</v>
      </c>
      <c r="B70" s="82">
        <f>floors!$C$2</f>
        <v>65525</v>
      </c>
      <c r="C70" s="83" t="str">
        <f ca="1">VLOOKUP($B70,OFFSET([2]quests!$A$1,0,0,COUNTA([2]quests!$A:$A),MATCH(C$1,[2]quests!$1:$1,0)-MATCH($B$1,[2]quests!$1:$1,0)+1),MATCH(C$1,[2]quests!$1:$1,0)-MATCH($B$1,[2]quests!$1:$1,0)+1,FALSE)</f>
        <v>【LB田邉】検証クエスト</v>
      </c>
      <c r="D70" s="83" t="str">
        <f ca="1">VLOOKUP($B70,OFFSET([2]quests!$A$1,0,0,COUNTA([2]quests!$A:$A),MATCH(D$1,[2]quests!$1:$1,0)-MATCH($B$1,[2]quests!$1:$1,0)+1),MATCH(D$1,[2]quests!$1:$1,0)-MATCH($B$1,[2]quests!$1:$1,0)+1,FALSE)</f>
        <v>検証</v>
      </c>
      <c r="E70" s="84">
        <v>1</v>
      </c>
      <c r="F70" s="83" t="str">
        <f ca="1">VLOOKUP($B70&amp;"_"&amp;$E70,OFFSET([2]stages!$A$1,0,0,COUNTA([2]stages!$A:$A),MATCH(F$1,[2]stages!$2:$2,0)-MATCH("temp_stage",[2]stages!$2:$2,0)+1),MATCH(F$1,[2]stages!$2:$2,0)-MATCH("temp_stage",[2]stages!$2:$2,0)+1,FALSE)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70" s="83" t="str">
        <f ca="1">VLOOKUP($B70&amp;"_"&amp;$E70,OFFSET([2]stages!$A$1,0,0,COUNTA([2]stages!$A:$A),MATCH(G$1,[2]stages!$2:$2,0)-MATCH("temp_stage",[2]stages!$2:$2,0)+1),MATCH(G$1,[2]stages!$2:$2,0)-MATCH("temp_stage",[2]stages!$2:$2,0)+1,FALSE)</f>
        <v>検証</v>
      </c>
      <c r="H70" s="85">
        <v>1</v>
      </c>
      <c r="I70" s="91">
        <f t="shared" si="2"/>
        <v>69</v>
      </c>
      <c r="J70" s="86" t="str">
        <f t="shared" si="3"/>
        <v>6552569</v>
      </c>
      <c r="K70" s="84" t="s">
        <v>129</v>
      </c>
      <c r="L70" s="87" t="s">
        <v>202</v>
      </c>
      <c r="M70" s="88" t="s">
        <v>204</v>
      </c>
      <c r="N70" s="57" t="s">
        <v>203</v>
      </c>
    </row>
    <row r="71" spans="1:14" x14ac:dyDescent="0.15">
      <c r="A71" s="81" t="s">
        <v>200</v>
      </c>
      <c r="B71" s="82">
        <f>floors!$C$2</f>
        <v>65525</v>
      </c>
      <c r="C71" s="83" t="str">
        <f ca="1">VLOOKUP($B71,OFFSET([2]quests!$A$1,0,0,COUNTA([2]quests!$A:$A),MATCH(C$1,[2]quests!$1:$1,0)-MATCH($B$1,[2]quests!$1:$1,0)+1),MATCH(C$1,[2]quests!$1:$1,0)-MATCH($B$1,[2]quests!$1:$1,0)+1,FALSE)</f>
        <v>【LB田邉】検証クエスト</v>
      </c>
      <c r="D71" s="83" t="str">
        <f ca="1">VLOOKUP($B71,OFFSET([2]quests!$A$1,0,0,COUNTA([2]quests!$A:$A),MATCH(D$1,[2]quests!$1:$1,0)-MATCH($B$1,[2]quests!$1:$1,0)+1),MATCH(D$1,[2]quests!$1:$1,0)-MATCH($B$1,[2]quests!$1:$1,0)+1,FALSE)</f>
        <v>検証</v>
      </c>
      <c r="E71" s="84">
        <v>1</v>
      </c>
      <c r="F71" s="83" t="str">
        <f ca="1">VLOOKUP($B71&amp;"_"&amp;$E71,OFFSET([2]stages!$A$1,0,0,COUNTA([2]stages!$A:$A),MATCH(F$1,[2]stages!$2:$2,0)-MATCH("temp_stage",[2]stages!$2:$2,0)+1),MATCH(F$1,[2]stages!$2:$2,0)-MATCH("temp_stage",[2]stages!$2:$2,0)+1,FALSE)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71" s="83" t="str">
        <f ca="1">VLOOKUP($B71&amp;"_"&amp;$E71,OFFSET([2]stages!$A$1,0,0,COUNTA([2]stages!$A:$A),MATCH(G$1,[2]stages!$2:$2,0)-MATCH("temp_stage",[2]stages!$2:$2,0)+1),MATCH(G$1,[2]stages!$2:$2,0)-MATCH("temp_stage",[2]stages!$2:$2,0)+1,FALSE)</f>
        <v>検証</v>
      </c>
      <c r="H71" s="85">
        <v>1</v>
      </c>
      <c r="I71" s="91">
        <f t="shared" si="2"/>
        <v>70</v>
      </c>
      <c r="J71" s="86" t="str">
        <f t="shared" si="3"/>
        <v>6552570</v>
      </c>
      <c r="K71" s="84" t="s">
        <v>129</v>
      </c>
      <c r="L71" s="87" t="s">
        <v>202</v>
      </c>
      <c r="M71" s="88" t="s">
        <v>204</v>
      </c>
      <c r="N71" s="57" t="s">
        <v>203</v>
      </c>
    </row>
    <row r="72" spans="1:14" x14ac:dyDescent="0.15">
      <c r="A72" s="81" t="s">
        <v>200</v>
      </c>
      <c r="B72" s="82">
        <f>floors!$C$2</f>
        <v>65525</v>
      </c>
      <c r="C72" s="83" t="str">
        <f ca="1">VLOOKUP($B72,OFFSET([2]quests!$A$1,0,0,COUNTA([2]quests!$A:$A),MATCH(C$1,[2]quests!$1:$1,0)-MATCH($B$1,[2]quests!$1:$1,0)+1),MATCH(C$1,[2]quests!$1:$1,0)-MATCH($B$1,[2]quests!$1:$1,0)+1,FALSE)</f>
        <v>【LB田邉】検証クエスト</v>
      </c>
      <c r="D72" s="83" t="str">
        <f ca="1">VLOOKUP($B72,OFFSET([2]quests!$A$1,0,0,COUNTA([2]quests!$A:$A),MATCH(D$1,[2]quests!$1:$1,0)-MATCH($B$1,[2]quests!$1:$1,0)+1),MATCH(D$1,[2]quests!$1:$1,0)-MATCH($B$1,[2]quests!$1:$1,0)+1,FALSE)</f>
        <v>検証</v>
      </c>
      <c r="E72" s="84">
        <v>1</v>
      </c>
      <c r="F72" s="83" t="str">
        <f ca="1">VLOOKUP($B72&amp;"_"&amp;$E72,OFFSET([2]stages!$A$1,0,0,COUNTA([2]stages!$A:$A),MATCH(F$1,[2]stages!$2:$2,0)-MATCH("temp_stage",[2]stages!$2:$2,0)+1),MATCH(F$1,[2]stages!$2:$2,0)-MATCH("temp_stage",[2]stages!$2:$2,0)+1,FALSE)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72" s="83" t="str">
        <f ca="1">VLOOKUP($B72&amp;"_"&amp;$E72,OFFSET([2]stages!$A$1,0,0,COUNTA([2]stages!$A:$A),MATCH(G$1,[2]stages!$2:$2,0)-MATCH("temp_stage",[2]stages!$2:$2,0)+1),MATCH(G$1,[2]stages!$2:$2,0)-MATCH("temp_stage",[2]stages!$2:$2,0)+1,FALSE)</f>
        <v>検証</v>
      </c>
      <c r="H72" s="85">
        <v>1</v>
      </c>
      <c r="I72" s="91">
        <f t="shared" si="2"/>
        <v>71</v>
      </c>
      <c r="J72" s="86" t="str">
        <f t="shared" si="3"/>
        <v>6552571</v>
      </c>
      <c r="K72" s="84" t="s">
        <v>129</v>
      </c>
      <c r="L72" s="87" t="s">
        <v>202</v>
      </c>
      <c r="M72" s="88" t="s">
        <v>204</v>
      </c>
      <c r="N72" s="57" t="s">
        <v>203</v>
      </c>
    </row>
    <row r="73" spans="1:14" x14ac:dyDescent="0.15">
      <c r="A73" s="81" t="s">
        <v>200</v>
      </c>
      <c r="B73" s="82">
        <f>floors!$C$2</f>
        <v>65525</v>
      </c>
      <c r="C73" s="83" t="str">
        <f ca="1">VLOOKUP($B73,OFFSET([2]quests!$A$1,0,0,COUNTA([2]quests!$A:$A),MATCH(C$1,[2]quests!$1:$1,0)-MATCH($B$1,[2]quests!$1:$1,0)+1),MATCH(C$1,[2]quests!$1:$1,0)-MATCH($B$1,[2]quests!$1:$1,0)+1,FALSE)</f>
        <v>【LB田邉】検証クエスト</v>
      </c>
      <c r="D73" s="83" t="str">
        <f ca="1">VLOOKUP($B73,OFFSET([2]quests!$A$1,0,0,COUNTA([2]quests!$A:$A),MATCH(D$1,[2]quests!$1:$1,0)-MATCH($B$1,[2]quests!$1:$1,0)+1),MATCH(D$1,[2]quests!$1:$1,0)-MATCH($B$1,[2]quests!$1:$1,0)+1,FALSE)</f>
        <v>検証</v>
      </c>
      <c r="E73" s="84">
        <v>1</v>
      </c>
      <c r="F73" s="83" t="str">
        <f ca="1">VLOOKUP($B73&amp;"_"&amp;$E73,OFFSET([2]stages!$A$1,0,0,COUNTA([2]stages!$A:$A),MATCH(F$1,[2]stages!$2:$2,0)-MATCH("temp_stage",[2]stages!$2:$2,0)+1),MATCH(F$1,[2]stages!$2:$2,0)-MATCH("temp_stage",[2]stages!$2:$2,0)+1,FALSE)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73" s="83" t="str">
        <f ca="1">VLOOKUP($B73&amp;"_"&amp;$E73,OFFSET([2]stages!$A$1,0,0,COUNTA([2]stages!$A:$A),MATCH(G$1,[2]stages!$2:$2,0)-MATCH("temp_stage",[2]stages!$2:$2,0)+1),MATCH(G$1,[2]stages!$2:$2,0)-MATCH("temp_stage",[2]stages!$2:$2,0)+1,FALSE)</f>
        <v>検証</v>
      </c>
      <c r="H73" s="85">
        <v>1</v>
      </c>
      <c r="I73" s="91">
        <f t="shared" si="2"/>
        <v>72</v>
      </c>
      <c r="J73" s="86" t="str">
        <f t="shared" si="3"/>
        <v>6552572</v>
      </c>
      <c r="K73" s="84" t="s">
        <v>129</v>
      </c>
      <c r="L73" s="87" t="s">
        <v>202</v>
      </c>
      <c r="M73" s="88" t="s">
        <v>204</v>
      </c>
      <c r="N73" s="57" t="s">
        <v>203</v>
      </c>
    </row>
    <row r="74" spans="1:14" x14ac:dyDescent="0.15">
      <c r="A74" s="81" t="s">
        <v>200</v>
      </c>
      <c r="B74" s="82">
        <f>floors!$C$2</f>
        <v>65525</v>
      </c>
      <c r="C74" s="83" t="str">
        <f ca="1">VLOOKUP($B74,OFFSET([2]quests!$A$1,0,0,COUNTA([2]quests!$A:$A),MATCH(C$1,[2]quests!$1:$1,0)-MATCH($B$1,[2]quests!$1:$1,0)+1),MATCH(C$1,[2]quests!$1:$1,0)-MATCH($B$1,[2]quests!$1:$1,0)+1,FALSE)</f>
        <v>【LB田邉】検証クエスト</v>
      </c>
      <c r="D74" s="83" t="str">
        <f ca="1">VLOOKUP($B74,OFFSET([2]quests!$A$1,0,0,COUNTA([2]quests!$A:$A),MATCH(D$1,[2]quests!$1:$1,0)-MATCH($B$1,[2]quests!$1:$1,0)+1),MATCH(D$1,[2]quests!$1:$1,0)-MATCH($B$1,[2]quests!$1:$1,0)+1,FALSE)</f>
        <v>検証</v>
      </c>
      <c r="E74" s="84">
        <v>1</v>
      </c>
      <c r="F74" s="83" t="str">
        <f ca="1">VLOOKUP($B74&amp;"_"&amp;$E74,OFFSET([2]stages!$A$1,0,0,COUNTA([2]stages!$A:$A),MATCH(F$1,[2]stages!$2:$2,0)-MATCH("temp_stage",[2]stages!$2:$2,0)+1),MATCH(F$1,[2]stages!$2:$2,0)-MATCH("temp_stage",[2]stages!$2:$2,0)+1,FALSE)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74" s="83" t="str">
        <f ca="1">VLOOKUP($B74&amp;"_"&amp;$E74,OFFSET([2]stages!$A$1,0,0,COUNTA([2]stages!$A:$A),MATCH(G$1,[2]stages!$2:$2,0)-MATCH("temp_stage",[2]stages!$2:$2,0)+1),MATCH(G$1,[2]stages!$2:$2,0)-MATCH("temp_stage",[2]stages!$2:$2,0)+1,FALSE)</f>
        <v>検証</v>
      </c>
      <c r="H74" s="85">
        <v>1</v>
      </c>
      <c r="I74" s="91">
        <f t="shared" si="2"/>
        <v>73</v>
      </c>
      <c r="J74" s="86" t="str">
        <f t="shared" si="3"/>
        <v>6552573</v>
      </c>
      <c r="K74" s="84" t="s">
        <v>129</v>
      </c>
      <c r="L74" s="87" t="s">
        <v>202</v>
      </c>
      <c r="M74" s="88" t="s">
        <v>204</v>
      </c>
      <c r="N74" s="57" t="s">
        <v>203</v>
      </c>
    </row>
    <row r="75" spans="1:14" x14ac:dyDescent="0.15">
      <c r="A75" s="81" t="s">
        <v>200</v>
      </c>
      <c r="B75" s="82">
        <f>floors!$C$2</f>
        <v>65525</v>
      </c>
      <c r="C75" s="83" t="str">
        <f ca="1">VLOOKUP($B75,OFFSET([2]quests!$A$1,0,0,COUNTA([2]quests!$A:$A),MATCH(C$1,[2]quests!$1:$1,0)-MATCH($B$1,[2]quests!$1:$1,0)+1),MATCH(C$1,[2]quests!$1:$1,0)-MATCH($B$1,[2]quests!$1:$1,0)+1,FALSE)</f>
        <v>【LB田邉】検証クエスト</v>
      </c>
      <c r="D75" s="83" t="str">
        <f ca="1">VLOOKUP($B75,OFFSET([2]quests!$A$1,0,0,COUNTA([2]quests!$A:$A),MATCH(D$1,[2]quests!$1:$1,0)-MATCH($B$1,[2]quests!$1:$1,0)+1),MATCH(D$1,[2]quests!$1:$1,0)-MATCH($B$1,[2]quests!$1:$1,0)+1,FALSE)</f>
        <v>検証</v>
      </c>
      <c r="E75" s="84">
        <v>1</v>
      </c>
      <c r="F75" s="83" t="str">
        <f ca="1">VLOOKUP($B75&amp;"_"&amp;$E75,OFFSET([2]stages!$A$1,0,0,COUNTA([2]stages!$A:$A),MATCH(F$1,[2]stages!$2:$2,0)-MATCH("temp_stage",[2]stages!$2:$2,0)+1),MATCH(F$1,[2]stages!$2:$2,0)-MATCH("temp_stage",[2]stages!$2:$2,0)+1,FALSE)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75" s="83" t="str">
        <f ca="1">VLOOKUP($B75&amp;"_"&amp;$E75,OFFSET([2]stages!$A$1,0,0,COUNTA([2]stages!$A:$A),MATCH(G$1,[2]stages!$2:$2,0)-MATCH("temp_stage",[2]stages!$2:$2,0)+1),MATCH(G$1,[2]stages!$2:$2,0)-MATCH("temp_stage",[2]stages!$2:$2,0)+1,FALSE)</f>
        <v>検証</v>
      </c>
      <c r="H75" s="85">
        <v>1</v>
      </c>
      <c r="I75" s="91">
        <f t="shared" si="2"/>
        <v>74</v>
      </c>
      <c r="J75" s="86" t="str">
        <f t="shared" si="3"/>
        <v>6552574</v>
      </c>
      <c r="K75" s="84" t="s">
        <v>129</v>
      </c>
      <c r="L75" s="87" t="s">
        <v>202</v>
      </c>
      <c r="M75" s="88" t="s">
        <v>204</v>
      </c>
      <c r="N75" s="57" t="s">
        <v>203</v>
      </c>
    </row>
    <row r="76" spans="1:14" x14ac:dyDescent="0.15">
      <c r="A76" s="81" t="s">
        <v>200</v>
      </c>
      <c r="B76" s="82">
        <f>floors!$C$2</f>
        <v>65525</v>
      </c>
      <c r="C76" s="83" t="str">
        <f ca="1">VLOOKUP($B76,OFFSET([2]quests!$A$1,0,0,COUNTA([2]quests!$A:$A),MATCH(C$1,[2]quests!$1:$1,0)-MATCH($B$1,[2]quests!$1:$1,0)+1),MATCH(C$1,[2]quests!$1:$1,0)-MATCH($B$1,[2]quests!$1:$1,0)+1,FALSE)</f>
        <v>【LB田邉】検証クエスト</v>
      </c>
      <c r="D76" s="83" t="str">
        <f ca="1">VLOOKUP($B76,OFFSET([2]quests!$A$1,0,0,COUNTA([2]quests!$A:$A),MATCH(D$1,[2]quests!$1:$1,0)-MATCH($B$1,[2]quests!$1:$1,0)+1),MATCH(D$1,[2]quests!$1:$1,0)-MATCH($B$1,[2]quests!$1:$1,0)+1,FALSE)</f>
        <v>検証</v>
      </c>
      <c r="E76" s="84">
        <v>1</v>
      </c>
      <c r="F76" s="83" t="str">
        <f ca="1">VLOOKUP($B76&amp;"_"&amp;$E76,OFFSET([2]stages!$A$1,0,0,COUNTA([2]stages!$A:$A),MATCH(F$1,[2]stages!$2:$2,0)-MATCH("temp_stage",[2]stages!$2:$2,0)+1),MATCH(F$1,[2]stages!$2:$2,0)-MATCH("temp_stage",[2]stages!$2:$2,0)+1,FALSE)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76" s="83" t="str">
        <f ca="1">VLOOKUP($B76&amp;"_"&amp;$E76,OFFSET([2]stages!$A$1,0,0,COUNTA([2]stages!$A:$A),MATCH(G$1,[2]stages!$2:$2,0)-MATCH("temp_stage",[2]stages!$2:$2,0)+1),MATCH(G$1,[2]stages!$2:$2,0)-MATCH("temp_stage",[2]stages!$2:$2,0)+1,FALSE)</f>
        <v>検証</v>
      </c>
      <c r="H76" s="85">
        <v>1</v>
      </c>
      <c r="I76" s="91">
        <f t="shared" si="2"/>
        <v>75</v>
      </c>
      <c r="J76" s="86" t="str">
        <f t="shared" si="3"/>
        <v>6552575</v>
      </c>
      <c r="K76" s="84" t="s">
        <v>129</v>
      </c>
      <c r="L76" s="87" t="s">
        <v>202</v>
      </c>
      <c r="M76" s="88" t="s">
        <v>204</v>
      </c>
      <c r="N76" s="57" t="s">
        <v>203</v>
      </c>
    </row>
    <row r="77" spans="1:14" x14ac:dyDescent="0.15">
      <c r="A77" s="81" t="s">
        <v>200</v>
      </c>
      <c r="B77" s="82">
        <f>floors!$C$2</f>
        <v>65525</v>
      </c>
      <c r="C77" s="83" t="str">
        <f ca="1">VLOOKUP($B77,OFFSET([2]quests!$A$1,0,0,COUNTA([2]quests!$A:$A),MATCH(C$1,[2]quests!$1:$1,0)-MATCH($B$1,[2]quests!$1:$1,0)+1),MATCH(C$1,[2]quests!$1:$1,0)-MATCH($B$1,[2]quests!$1:$1,0)+1,FALSE)</f>
        <v>【LB田邉】検証クエスト</v>
      </c>
      <c r="D77" s="83" t="str">
        <f ca="1">VLOOKUP($B77,OFFSET([2]quests!$A$1,0,0,COUNTA([2]quests!$A:$A),MATCH(D$1,[2]quests!$1:$1,0)-MATCH($B$1,[2]quests!$1:$1,0)+1),MATCH(D$1,[2]quests!$1:$1,0)-MATCH($B$1,[2]quests!$1:$1,0)+1,FALSE)</f>
        <v>検証</v>
      </c>
      <c r="E77" s="84">
        <v>1</v>
      </c>
      <c r="F77" s="83" t="str">
        <f ca="1">VLOOKUP($B77&amp;"_"&amp;$E77,OFFSET([2]stages!$A$1,0,0,COUNTA([2]stages!$A:$A),MATCH(F$1,[2]stages!$2:$2,0)-MATCH("temp_stage",[2]stages!$2:$2,0)+1),MATCH(F$1,[2]stages!$2:$2,0)-MATCH("temp_stage",[2]stages!$2:$2,0)+1,FALSE)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77" s="83" t="str">
        <f ca="1">VLOOKUP($B77&amp;"_"&amp;$E77,OFFSET([2]stages!$A$1,0,0,COUNTA([2]stages!$A:$A),MATCH(G$1,[2]stages!$2:$2,0)-MATCH("temp_stage",[2]stages!$2:$2,0)+1),MATCH(G$1,[2]stages!$2:$2,0)-MATCH("temp_stage",[2]stages!$2:$2,0)+1,FALSE)</f>
        <v>検証</v>
      </c>
      <c r="H77" s="85">
        <v>1</v>
      </c>
      <c r="I77" s="91">
        <f t="shared" si="2"/>
        <v>76</v>
      </c>
      <c r="J77" s="86" t="str">
        <f t="shared" si="3"/>
        <v>6552576</v>
      </c>
      <c r="K77" s="84" t="s">
        <v>129</v>
      </c>
      <c r="L77" s="87" t="s">
        <v>202</v>
      </c>
      <c r="M77" s="88" t="s">
        <v>204</v>
      </c>
      <c r="N77" s="57" t="s">
        <v>203</v>
      </c>
    </row>
    <row r="78" spans="1:14" x14ac:dyDescent="0.15">
      <c r="A78" s="81" t="s">
        <v>200</v>
      </c>
      <c r="B78" s="82">
        <f>floors!$C$2</f>
        <v>65525</v>
      </c>
      <c r="C78" s="83" t="str">
        <f ca="1">VLOOKUP($B78,OFFSET([2]quests!$A$1,0,0,COUNTA([2]quests!$A:$A),MATCH(C$1,[2]quests!$1:$1,0)-MATCH($B$1,[2]quests!$1:$1,0)+1),MATCH(C$1,[2]quests!$1:$1,0)-MATCH($B$1,[2]quests!$1:$1,0)+1,FALSE)</f>
        <v>【LB田邉】検証クエスト</v>
      </c>
      <c r="D78" s="83" t="str">
        <f ca="1">VLOOKUP($B78,OFFSET([2]quests!$A$1,0,0,COUNTA([2]quests!$A:$A),MATCH(D$1,[2]quests!$1:$1,0)-MATCH($B$1,[2]quests!$1:$1,0)+1),MATCH(D$1,[2]quests!$1:$1,0)-MATCH($B$1,[2]quests!$1:$1,0)+1,FALSE)</f>
        <v>検証</v>
      </c>
      <c r="E78" s="84">
        <v>1</v>
      </c>
      <c r="F78" s="83" t="str">
        <f ca="1">VLOOKUP($B78&amp;"_"&amp;$E78,OFFSET([2]stages!$A$1,0,0,COUNTA([2]stages!$A:$A),MATCH(F$1,[2]stages!$2:$2,0)-MATCH("temp_stage",[2]stages!$2:$2,0)+1),MATCH(F$1,[2]stages!$2:$2,0)-MATCH("temp_stage",[2]stages!$2:$2,0)+1,FALSE)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78" s="83" t="str">
        <f ca="1">VLOOKUP($B78&amp;"_"&amp;$E78,OFFSET([2]stages!$A$1,0,0,COUNTA([2]stages!$A:$A),MATCH(G$1,[2]stages!$2:$2,0)-MATCH("temp_stage",[2]stages!$2:$2,0)+1),MATCH(G$1,[2]stages!$2:$2,0)-MATCH("temp_stage",[2]stages!$2:$2,0)+1,FALSE)</f>
        <v>検証</v>
      </c>
      <c r="H78" s="85">
        <v>1</v>
      </c>
      <c r="I78" s="91">
        <f t="shared" si="2"/>
        <v>77</v>
      </c>
      <c r="J78" s="86" t="str">
        <f t="shared" si="3"/>
        <v>6552577</v>
      </c>
      <c r="K78" s="84" t="s">
        <v>129</v>
      </c>
      <c r="L78" s="87" t="s">
        <v>202</v>
      </c>
      <c r="M78" s="88" t="s">
        <v>204</v>
      </c>
      <c r="N78" s="57" t="s">
        <v>203</v>
      </c>
    </row>
    <row r="79" spans="1:14" x14ac:dyDescent="0.15">
      <c r="A79" s="81" t="s">
        <v>200</v>
      </c>
      <c r="B79" s="82">
        <f>floors!$C$2</f>
        <v>65525</v>
      </c>
      <c r="C79" s="83" t="str">
        <f ca="1">VLOOKUP($B79,OFFSET([2]quests!$A$1,0,0,COUNTA([2]quests!$A:$A),MATCH(C$1,[2]quests!$1:$1,0)-MATCH($B$1,[2]quests!$1:$1,0)+1),MATCH(C$1,[2]quests!$1:$1,0)-MATCH($B$1,[2]quests!$1:$1,0)+1,FALSE)</f>
        <v>【LB田邉】検証クエスト</v>
      </c>
      <c r="D79" s="83" t="str">
        <f ca="1">VLOOKUP($B79,OFFSET([2]quests!$A$1,0,0,COUNTA([2]quests!$A:$A),MATCH(D$1,[2]quests!$1:$1,0)-MATCH($B$1,[2]quests!$1:$1,0)+1),MATCH(D$1,[2]quests!$1:$1,0)-MATCH($B$1,[2]quests!$1:$1,0)+1,FALSE)</f>
        <v>検証</v>
      </c>
      <c r="E79" s="84">
        <v>1</v>
      </c>
      <c r="F79" s="83" t="str">
        <f ca="1">VLOOKUP($B79&amp;"_"&amp;$E79,OFFSET([2]stages!$A$1,0,0,COUNTA([2]stages!$A:$A),MATCH(F$1,[2]stages!$2:$2,0)-MATCH("temp_stage",[2]stages!$2:$2,0)+1),MATCH(F$1,[2]stages!$2:$2,0)-MATCH("temp_stage",[2]stages!$2:$2,0)+1,FALSE)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79" s="83" t="str">
        <f ca="1">VLOOKUP($B79&amp;"_"&amp;$E79,OFFSET([2]stages!$A$1,0,0,COUNTA([2]stages!$A:$A),MATCH(G$1,[2]stages!$2:$2,0)-MATCH("temp_stage",[2]stages!$2:$2,0)+1),MATCH(G$1,[2]stages!$2:$2,0)-MATCH("temp_stage",[2]stages!$2:$2,0)+1,FALSE)</f>
        <v>検証</v>
      </c>
      <c r="H79" s="85">
        <v>1</v>
      </c>
      <c r="I79" s="91">
        <f t="shared" si="2"/>
        <v>78</v>
      </c>
      <c r="J79" s="86" t="str">
        <f t="shared" si="3"/>
        <v>6552578</v>
      </c>
      <c r="K79" s="84" t="s">
        <v>129</v>
      </c>
      <c r="L79" s="87" t="s">
        <v>202</v>
      </c>
      <c r="M79" s="88" t="s">
        <v>204</v>
      </c>
      <c r="N79" s="57" t="s">
        <v>203</v>
      </c>
    </row>
    <row r="80" spans="1:14" x14ac:dyDescent="0.15">
      <c r="A80" s="81" t="s">
        <v>200</v>
      </c>
      <c r="B80" s="82">
        <f>floors!$C$2</f>
        <v>65525</v>
      </c>
      <c r="C80" s="83" t="str">
        <f ca="1">VLOOKUP($B80,OFFSET([2]quests!$A$1,0,0,COUNTA([2]quests!$A:$A),MATCH(C$1,[2]quests!$1:$1,0)-MATCH($B$1,[2]quests!$1:$1,0)+1),MATCH(C$1,[2]quests!$1:$1,0)-MATCH($B$1,[2]quests!$1:$1,0)+1,FALSE)</f>
        <v>【LB田邉】検証クエスト</v>
      </c>
      <c r="D80" s="83" t="str">
        <f ca="1">VLOOKUP($B80,OFFSET([2]quests!$A$1,0,0,COUNTA([2]quests!$A:$A),MATCH(D$1,[2]quests!$1:$1,0)-MATCH($B$1,[2]quests!$1:$1,0)+1),MATCH(D$1,[2]quests!$1:$1,0)-MATCH($B$1,[2]quests!$1:$1,0)+1,FALSE)</f>
        <v>検証</v>
      </c>
      <c r="E80" s="84">
        <v>1</v>
      </c>
      <c r="F80" s="83" t="str">
        <f ca="1">VLOOKUP($B80&amp;"_"&amp;$E80,OFFSET([2]stages!$A$1,0,0,COUNTA([2]stages!$A:$A),MATCH(F$1,[2]stages!$2:$2,0)-MATCH("temp_stage",[2]stages!$2:$2,0)+1),MATCH(F$1,[2]stages!$2:$2,0)-MATCH("temp_stage",[2]stages!$2:$2,0)+1,FALSE)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80" s="83" t="str">
        <f ca="1">VLOOKUP($B80&amp;"_"&amp;$E80,OFFSET([2]stages!$A$1,0,0,COUNTA([2]stages!$A:$A),MATCH(G$1,[2]stages!$2:$2,0)-MATCH("temp_stage",[2]stages!$2:$2,0)+1),MATCH(G$1,[2]stages!$2:$2,0)-MATCH("temp_stage",[2]stages!$2:$2,0)+1,FALSE)</f>
        <v>検証</v>
      </c>
      <c r="H80" s="85">
        <v>1</v>
      </c>
      <c r="I80" s="91">
        <f t="shared" si="2"/>
        <v>79</v>
      </c>
      <c r="J80" s="86" t="str">
        <f t="shared" si="3"/>
        <v>6552579</v>
      </c>
      <c r="K80" s="84" t="s">
        <v>129</v>
      </c>
      <c r="L80" s="87" t="s">
        <v>202</v>
      </c>
      <c r="M80" s="88" t="s">
        <v>204</v>
      </c>
      <c r="N80" s="57" t="s">
        <v>203</v>
      </c>
    </row>
    <row r="81" spans="1:14" x14ac:dyDescent="0.15">
      <c r="A81" s="81" t="s">
        <v>200</v>
      </c>
      <c r="B81" s="82">
        <f>floors!$C$2</f>
        <v>65525</v>
      </c>
      <c r="C81" s="83" t="str">
        <f ca="1">VLOOKUP($B81,OFFSET([2]quests!$A$1,0,0,COUNTA([2]quests!$A:$A),MATCH(C$1,[2]quests!$1:$1,0)-MATCH($B$1,[2]quests!$1:$1,0)+1),MATCH(C$1,[2]quests!$1:$1,0)-MATCH($B$1,[2]quests!$1:$1,0)+1,FALSE)</f>
        <v>【LB田邉】検証クエスト</v>
      </c>
      <c r="D81" s="83" t="str">
        <f ca="1">VLOOKUP($B81,OFFSET([2]quests!$A$1,0,0,COUNTA([2]quests!$A:$A),MATCH(D$1,[2]quests!$1:$1,0)-MATCH($B$1,[2]quests!$1:$1,0)+1),MATCH(D$1,[2]quests!$1:$1,0)-MATCH($B$1,[2]quests!$1:$1,0)+1,FALSE)</f>
        <v>検証</v>
      </c>
      <c r="E81" s="84">
        <v>1</v>
      </c>
      <c r="F81" s="83" t="str">
        <f ca="1">VLOOKUP($B81&amp;"_"&amp;$E81,OFFSET([2]stages!$A$1,0,0,COUNTA([2]stages!$A:$A),MATCH(F$1,[2]stages!$2:$2,0)-MATCH("temp_stage",[2]stages!$2:$2,0)+1),MATCH(F$1,[2]stages!$2:$2,0)-MATCH("temp_stage",[2]stages!$2:$2,0)+1,FALSE)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81" s="83" t="str">
        <f ca="1">VLOOKUP($B81&amp;"_"&amp;$E81,OFFSET([2]stages!$A$1,0,0,COUNTA([2]stages!$A:$A),MATCH(G$1,[2]stages!$2:$2,0)-MATCH("temp_stage",[2]stages!$2:$2,0)+1),MATCH(G$1,[2]stages!$2:$2,0)-MATCH("temp_stage",[2]stages!$2:$2,0)+1,FALSE)</f>
        <v>検証</v>
      </c>
      <c r="H81" s="85">
        <v>1</v>
      </c>
      <c r="I81" s="91">
        <f t="shared" si="2"/>
        <v>80</v>
      </c>
      <c r="J81" s="86" t="str">
        <f t="shared" si="3"/>
        <v>6552580</v>
      </c>
      <c r="K81" s="84" t="s">
        <v>129</v>
      </c>
      <c r="L81" s="87" t="s">
        <v>202</v>
      </c>
      <c r="M81" s="88" t="s">
        <v>204</v>
      </c>
      <c r="N81" s="57" t="s">
        <v>203</v>
      </c>
    </row>
    <row r="82" spans="1:14" x14ac:dyDescent="0.15">
      <c r="A82" s="81" t="s">
        <v>200</v>
      </c>
      <c r="B82" s="82">
        <f>floors!$C$2</f>
        <v>65525</v>
      </c>
      <c r="C82" s="83" t="str">
        <f ca="1">VLOOKUP($B82,OFFSET([2]quests!$A$1,0,0,COUNTA([2]quests!$A:$A),MATCH(C$1,[2]quests!$1:$1,0)-MATCH($B$1,[2]quests!$1:$1,0)+1),MATCH(C$1,[2]quests!$1:$1,0)-MATCH($B$1,[2]quests!$1:$1,0)+1,FALSE)</f>
        <v>【LB田邉】検証クエスト</v>
      </c>
      <c r="D82" s="83" t="str">
        <f ca="1">VLOOKUP($B82,OFFSET([2]quests!$A$1,0,0,COUNTA([2]quests!$A:$A),MATCH(D$1,[2]quests!$1:$1,0)-MATCH($B$1,[2]quests!$1:$1,0)+1),MATCH(D$1,[2]quests!$1:$1,0)-MATCH($B$1,[2]quests!$1:$1,0)+1,FALSE)</f>
        <v>検証</v>
      </c>
      <c r="E82" s="84">
        <v>1</v>
      </c>
      <c r="F82" s="83" t="str">
        <f ca="1">VLOOKUP($B82&amp;"_"&amp;$E82,OFFSET([2]stages!$A$1,0,0,COUNTA([2]stages!$A:$A),MATCH(F$1,[2]stages!$2:$2,0)-MATCH("temp_stage",[2]stages!$2:$2,0)+1),MATCH(F$1,[2]stages!$2:$2,0)-MATCH("temp_stage",[2]stages!$2:$2,0)+1,FALSE)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82" s="83" t="str">
        <f ca="1">VLOOKUP($B82&amp;"_"&amp;$E82,OFFSET([2]stages!$A$1,0,0,COUNTA([2]stages!$A:$A),MATCH(G$1,[2]stages!$2:$2,0)-MATCH("temp_stage",[2]stages!$2:$2,0)+1),MATCH(G$1,[2]stages!$2:$2,0)-MATCH("temp_stage",[2]stages!$2:$2,0)+1,FALSE)</f>
        <v>検証</v>
      </c>
      <c r="H82" s="85">
        <v>1</v>
      </c>
      <c r="I82" s="91">
        <f t="shared" si="2"/>
        <v>81</v>
      </c>
      <c r="J82" s="86" t="str">
        <f t="shared" si="3"/>
        <v>6552581</v>
      </c>
      <c r="K82" s="84" t="s">
        <v>129</v>
      </c>
      <c r="L82" s="87" t="s">
        <v>202</v>
      </c>
      <c r="M82" s="88" t="s">
        <v>204</v>
      </c>
      <c r="N82" s="57" t="s">
        <v>203</v>
      </c>
    </row>
    <row r="83" spans="1:14" x14ac:dyDescent="0.15">
      <c r="A83" s="81" t="s">
        <v>200</v>
      </c>
      <c r="B83" s="82">
        <f>floors!$C$2</f>
        <v>65525</v>
      </c>
      <c r="C83" s="83" t="str">
        <f ca="1">VLOOKUP($B83,OFFSET([2]quests!$A$1,0,0,COUNTA([2]quests!$A:$A),MATCH(C$1,[2]quests!$1:$1,0)-MATCH($B$1,[2]quests!$1:$1,0)+1),MATCH(C$1,[2]quests!$1:$1,0)-MATCH($B$1,[2]quests!$1:$1,0)+1,FALSE)</f>
        <v>【LB田邉】検証クエスト</v>
      </c>
      <c r="D83" s="83" t="str">
        <f ca="1">VLOOKUP($B83,OFFSET([2]quests!$A$1,0,0,COUNTA([2]quests!$A:$A),MATCH(D$1,[2]quests!$1:$1,0)-MATCH($B$1,[2]quests!$1:$1,0)+1),MATCH(D$1,[2]quests!$1:$1,0)-MATCH($B$1,[2]quests!$1:$1,0)+1,FALSE)</f>
        <v>検証</v>
      </c>
      <c r="E83" s="84">
        <v>1</v>
      </c>
      <c r="F83" s="83" t="str">
        <f ca="1">VLOOKUP($B83&amp;"_"&amp;$E83,OFFSET([2]stages!$A$1,0,0,COUNTA([2]stages!$A:$A),MATCH(F$1,[2]stages!$2:$2,0)-MATCH("temp_stage",[2]stages!$2:$2,0)+1),MATCH(F$1,[2]stages!$2:$2,0)-MATCH("temp_stage",[2]stages!$2:$2,0)+1,FALSE)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83" s="83" t="str">
        <f ca="1">VLOOKUP($B83&amp;"_"&amp;$E83,OFFSET([2]stages!$A$1,0,0,COUNTA([2]stages!$A:$A),MATCH(G$1,[2]stages!$2:$2,0)-MATCH("temp_stage",[2]stages!$2:$2,0)+1),MATCH(G$1,[2]stages!$2:$2,0)-MATCH("temp_stage",[2]stages!$2:$2,0)+1,FALSE)</f>
        <v>検証</v>
      </c>
      <c r="H83" s="85">
        <v>1</v>
      </c>
      <c r="I83" s="91">
        <f t="shared" si="2"/>
        <v>82</v>
      </c>
      <c r="J83" s="86" t="str">
        <f t="shared" si="3"/>
        <v>6552582</v>
      </c>
      <c r="K83" s="84" t="s">
        <v>129</v>
      </c>
      <c r="L83" s="87" t="s">
        <v>202</v>
      </c>
      <c r="M83" s="88" t="s">
        <v>204</v>
      </c>
      <c r="N83" s="57" t="s">
        <v>203</v>
      </c>
    </row>
    <row r="84" spans="1:14" x14ac:dyDescent="0.15">
      <c r="A84" s="81" t="s">
        <v>200</v>
      </c>
      <c r="B84" s="82">
        <f>floors!$C$2</f>
        <v>65525</v>
      </c>
      <c r="C84" s="83" t="str">
        <f ca="1">VLOOKUP($B84,OFFSET([2]quests!$A$1,0,0,COUNTA([2]quests!$A:$A),MATCH(C$1,[2]quests!$1:$1,0)-MATCH($B$1,[2]quests!$1:$1,0)+1),MATCH(C$1,[2]quests!$1:$1,0)-MATCH($B$1,[2]quests!$1:$1,0)+1,FALSE)</f>
        <v>【LB田邉】検証クエスト</v>
      </c>
      <c r="D84" s="83" t="str">
        <f ca="1">VLOOKUP($B84,OFFSET([2]quests!$A$1,0,0,COUNTA([2]quests!$A:$A),MATCH(D$1,[2]quests!$1:$1,0)-MATCH($B$1,[2]quests!$1:$1,0)+1),MATCH(D$1,[2]quests!$1:$1,0)-MATCH($B$1,[2]quests!$1:$1,0)+1,FALSE)</f>
        <v>検証</v>
      </c>
      <c r="E84" s="84">
        <v>1</v>
      </c>
      <c r="F84" s="83" t="str">
        <f ca="1">VLOOKUP($B84&amp;"_"&amp;$E84,OFFSET([2]stages!$A$1,0,0,COUNTA([2]stages!$A:$A),MATCH(F$1,[2]stages!$2:$2,0)-MATCH("temp_stage",[2]stages!$2:$2,0)+1),MATCH(F$1,[2]stages!$2:$2,0)-MATCH("temp_stage",[2]stages!$2:$2,0)+1,FALSE)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84" s="83" t="str">
        <f ca="1">VLOOKUP($B84&amp;"_"&amp;$E84,OFFSET([2]stages!$A$1,0,0,COUNTA([2]stages!$A:$A),MATCH(G$1,[2]stages!$2:$2,0)-MATCH("temp_stage",[2]stages!$2:$2,0)+1),MATCH(G$1,[2]stages!$2:$2,0)-MATCH("temp_stage",[2]stages!$2:$2,0)+1,FALSE)</f>
        <v>検証</v>
      </c>
      <c r="H84" s="85">
        <v>1</v>
      </c>
      <c r="I84" s="91">
        <f t="shared" si="2"/>
        <v>83</v>
      </c>
      <c r="J84" s="86" t="str">
        <f t="shared" si="3"/>
        <v>6552583</v>
      </c>
      <c r="K84" s="84" t="s">
        <v>129</v>
      </c>
      <c r="L84" s="87" t="s">
        <v>202</v>
      </c>
      <c r="M84" s="88" t="s">
        <v>204</v>
      </c>
      <c r="N84" s="57" t="s">
        <v>203</v>
      </c>
    </row>
    <row r="85" spans="1:14" x14ac:dyDescent="0.15">
      <c r="A85" s="81" t="s">
        <v>200</v>
      </c>
      <c r="B85" s="82">
        <f>floors!$C$2</f>
        <v>65525</v>
      </c>
      <c r="C85" s="83" t="str">
        <f ca="1">VLOOKUP($B85,OFFSET([2]quests!$A$1,0,0,COUNTA([2]quests!$A:$A),MATCH(C$1,[2]quests!$1:$1,0)-MATCH($B$1,[2]quests!$1:$1,0)+1),MATCH(C$1,[2]quests!$1:$1,0)-MATCH($B$1,[2]quests!$1:$1,0)+1,FALSE)</f>
        <v>【LB田邉】検証クエスト</v>
      </c>
      <c r="D85" s="83" t="str">
        <f ca="1">VLOOKUP($B85,OFFSET([2]quests!$A$1,0,0,COUNTA([2]quests!$A:$A),MATCH(D$1,[2]quests!$1:$1,0)-MATCH($B$1,[2]quests!$1:$1,0)+1),MATCH(D$1,[2]quests!$1:$1,0)-MATCH($B$1,[2]quests!$1:$1,0)+1,FALSE)</f>
        <v>検証</v>
      </c>
      <c r="E85" s="84">
        <v>1</v>
      </c>
      <c r="F85" s="83" t="str">
        <f ca="1">VLOOKUP($B85&amp;"_"&amp;$E85,OFFSET([2]stages!$A$1,0,0,COUNTA([2]stages!$A:$A),MATCH(F$1,[2]stages!$2:$2,0)-MATCH("temp_stage",[2]stages!$2:$2,0)+1),MATCH(F$1,[2]stages!$2:$2,0)-MATCH("temp_stage",[2]stages!$2:$2,0)+1,FALSE)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85" s="83" t="str">
        <f ca="1">VLOOKUP($B85&amp;"_"&amp;$E85,OFFSET([2]stages!$A$1,0,0,COUNTA([2]stages!$A:$A),MATCH(G$1,[2]stages!$2:$2,0)-MATCH("temp_stage",[2]stages!$2:$2,0)+1),MATCH(G$1,[2]stages!$2:$2,0)-MATCH("temp_stage",[2]stages!$2:$2,0)+1,FALSE)</f>
        <v>検証</v>
      </c>
      <c r="H85" s="85">
        <v>1</v>
      </c>
      <c r="I85" s="91">
        <f t="shared" si="2"/>
        <v>84</v>
      </c>
      <c r="J85" s="86" t="str">
        <f t="shared" si="3"/>
        <v>6552584</v>
      </c>
      <c r="K85" s="84" t="s">
        <v>129</v>
      </c>
      <c r="L85" s="87" t="s">
        <v>202</v>
      </c>
      <c r="M85" s="88" t="s">
        <v>204</v>
      </c>
      <c r="N85" s="57" t="s">
        <v>203</v>
      </c>
    </row>
    <row r="86" spans="1:14" x14ac:dyDescent="0.15">
      <c r="A86" s="81" t="s">
        <v>200</v>
      </c>
      <c r="B86" s="82">
        <f>floors!$C$2</f>
        <v>65525</v>
      </c>
      <c r="C86" s="83" t="str">
        <f ca="1">VLOOKUP($B86,OFFSET([2]quests!$A$1,0,0,COUNTA([2]quests!$A:$A),MATCH(C$1,[2]quests!$1:$1,0)-MATCH($B$1,[2]quests!$1:$1,0)+1),MATCH(C$1,[2]quests!$1:$1,0)-MATCH($B$1,[2]quests!$1:$1,0)+1,FALSE)</f>
        <v>【LB田邉】検証クエスト</v>
      </c>
      <c r="D86" s="83" t="str">
        <f ca="1">VLOOKUP($B86,OFFSET([2]quests!$A$1,0,0,COUNTA([2]quests!$A:$A),MATCH(D$1,[2]quests!$1:$1,0)-MATCH($B$1,[2]quests!$1:$1,0)+1),MATCH(D$1,[2]quests!$1:$1,0)-MATCH($B$1,[2]quests!$1:$1,0)+1,FALSE)</f>
        <v>検証</v>
      </c>
      <c r="E86" s="84">
        <v>1</v>
      </c>
      <c r="F86" s="83" t="str">
        <f ca="1">VLOOKUP($B86&amp;"_"&amp;$E86,OFFSET([2]stages!$A$1,0,0,COUNTA([2]stages!$A:$A),MATCH(F$1,[2]stages!$2:$2,0)-MATCH("temp_stage",[2]stages!$2:$2,0)+1),MATCH(F$1,[2]stages!$2:$2,0)-MATCH("temp_stage",[2]stages!$2:$2,0)+1,FALSE)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86" s="83" t="str">
        <f ca="1">VLOOKUP($B86&amp;"_"&amp;$E86,OFFSET([2]stages!$A$1,0,0,COUNTA([2]stages!$A:$A),MATCH(G$1,[2]stages!$2:$2,0)-MATCH("temp_stage",[2]stages!$2:$2,0)+1),MATCH(G$1,[2]stages!$2:$2,0)-MATCH("temp_stage",[2]stages!$2:$2,0)+1,FALSE)</f>
        <v>検証</v>
      </c>
      <c r="H86" s="85">
        <v>1</v>
      </c>
      <c r="I86" s="91">
        <f t="shared" si="2"/>
        <v>85</v>
      </c>
      <c r="J86" s="86" t="str">
        <f t="shared" si="3"/>
        <v>6552585</v>
      </c>
      <c r="K86" s="84" t="s">
        <v>129</v>
      </c>
      <c r="L86" s="87" t="s">
        <v>202</v>
      </c>
      <c r="M86" s="88" t="s">
        <v>204</v>
      </c>
      <c r="N86" s="57" t="s">
        <v>203</v>
      </c>
    </row>
    <row r="87" spans="1:14" x14ac:dyDescent="0.15">
      <c r="A87" s="81" t="s">
        <v>200</v>
      </c>
      <c r="B87" s="82">
        <f>floors!$C$2</f>
        <v>65525</v>
      </c>
      <c r="C87" s="83" t="str">
        <f ca="1">VLOOKUP($B87,OFFSET([2]quests!$A$1,0,0,COUNTA([2]quests!$A:$A),MATCH(C$1,[2]quests!$1:$1,0)-MATCH($B$1,[2]quests!$1:$1,0)+1),MATCH(C$1,[2]quests!$1:$1,0)-MATCH($B$1,[2]quests!$1:$1,0)+1,FALSE)</f>
        <v>【LB田邉】検証クエスト</v>
      </c>
      <c r="D87" s="83" t="str">
        <f ca="1">VLOOKUP($B87,OFFSET([2]quests!$A$1,0,0,COUNTA([2]quests!$A:$A),MATCH(D$1,[2]quests!$1:$1,0)-MATCH($B$1,[2]quests!$1:$1,0)+1),MATCH(D$1,[2]quests!$1:$1,0)-MATCH($B$1,[2]quests!$1:$1,0)+1,FALSE)</f>
        <v>検証</v>
      </c>
      <c r="E87" s="84">
        <v>1</v>
      </c>
      <c r="F87" s="83" t="str">
        <f ca="1">VLOOKUP($B87&amp;"_"&amp;$E87,OFFSET([2]stages!$A$1,0,0,COUNTA([2]stages!$A:$A),MATCH(F$1,[2]stages!$2:$2,0)-MATCH("temp_stage",[2]stages!$2:$2,0)+1),MATCH(F$1,[2]stages!$2:$2,0)-MATCH("temp_stage",[2]stages!$2:$2,0)+1,FALSE)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87" s="83" t="str">
        <f ca="1">VLOOKUP($B87&amp;"_"&amp;$E87,OFFSET([2]stages!$A$1,0,0,COUNTA([2]stages!$A:$A),MATCH(G$1,[2]stages!$2:$2,0)-MATCH("temp_stage",[2]stages!$2:$2,0)+1),MATCH(G$1,[2]stages!$2:$2,0)-MATCH("temp_stage",[2]stages!$2:$2,0)+1,FALSE)</f>
        <v>検証</v>
      </c>
      <c r="H87" s="85">
        <v>1</v>
      </c>
      <c r="I87" s="91">
        <f t="shared" si="2"/>
        <v>86</v>
      </c>
      <c r="J87" s="86" t="str">
        <f t="shared" si="3"/>
        <v>6552586</v>
      </c>
      <c r="K87" s="84" t="s">
        <v>129</v>
      </c>
      <c r="L87" s="87" t="s">
        <v>202</v>
      </c>
      <c r="M87" s="88" t="s">
        <v>204</v>
      </c>
      <c r="N87" s="57" t="s">
        <v>203</v>
      </c>
    </row>
    <row r="88" spans="1:14" x14ac:dyDescent="0.15">
      <c r="A88" s="81" t="s">
        <v>200</v>
      </c>
      <c r="B88" s="82">
        <f>floors!$C$2</f>
        <v>65525</v>
      </c>
      <c r="C88" s="83" t="str">
        <f ca="1">VLOOKUP($B88,OFFSET([2]quests!$A$1,0,0,COUNTA([2]quests!$A:$A),MATCH(C$1,[2]quests!$1:$1,0)-MATCH($B$1,[2]quests!$1:$1,0)+1),MATCH(C$1,[2]quests!$1:$1,0)-MATCH($B$1,[2]quests!$1:$1,0)+1,FALSE)</f>
        <v>【LB田邉】検証クエスト</v>
      </c>
      <c r="D88" s="83" t="str">
        <f ca="1">VLOOKUP($B88,OFFSET([2]quests!$A$1,0,0,COUNTA([2]quests!$A:$A),MATCH(D$1,[2]quests!$1:$1,0)-MATCH($B$1,[2]quests!$1:$1,0)+1),MATCH(D$1,[2]quests!$1:$1,0)-MATCH($B$1,[2]quests!$1:$1,0)+1,FALSE)</f>
        <v>検証</v>
      </c>
      <c r="E88" s="84">
        <v>1</v>
      </c>
      <c r="F88" s="83" t="str">
        <f ca="1">VLOOKUP($B88&amp;"_"&amp;$E88,OFFSET([2]stages!$A$1,0,0,COUNTA([2]stages!$A:$A),MATCH(F$1,[2]stages!$2:$2,0)-MATCH("temp_stage",[2]stages!$2:$2,0)+1),MATCH(F$1,[2]stages!$2:$2,0)-MATCH("temp_stage",[2]stages!$2:$2,0)+1,FALSE)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88" s="83" t="str">
        <f ca="1">VLOOKUP($B88&amp;"_"&amp;$E88,OFFSET([2]stages!$A$1,0,0,COUNTA([2]stages!$A:$A),MATCH(G$1,[2]stages!$2:$2,0)-MATCH("temp_stage",[2]stages!$2:$2,0)+1),MATCH(G$1,[2]stages!$2:$2,0)-MATCH("temp_stage",[2]stages!$2:$2,0)+1,FALSE)</f>
        <v>検証</v>
      </c>
      <c r="H88" s="85">
        <v>1</v>
      </c>
      <c r="I88" s="91">
        <f t="shared" si="2"/>
        <v>87</v>
      </c>
      <c r="J88" s="86" t="str">
        <f t="shared" si="3"/>
        <v>6552587</v>
      </c>
      <c r="K88" s="84" t="s">
        <v>129</v>
      </c>
      <c r="L88" s="87" t="s">
        <v>202</v>
      </c>
      <c r="M88" s="88" t="s">
        <v>204</v>
      </c>
      <c r="N88" s="57" t="s">
        <v>203</v>
      </c>
    </row>
    <row r="89" spans="1:14" x14ac:dyDescent="0.15">
      <c r="A89" s="81" t="s">
        <v>200</v>
      </c>
      <c r="B89" s="82">
        <f>floors!$C$2</f>
        <v>65525</v>
      </c>
      <c r="C89" s="83" t="str">
        <f ca="1">VLOOKUP($B89,OFFSET([2]quests!$A$1,0,0,COUNTA([2]quests!$A:$A),MATCH(C$1,[2]quests!$1:$1,0)-MATCH($B$1,[2]quests!$1:$1,0)+1),MATCH(C$1,[2]quests!$1:$1,0)-MATCH($B$1,[2]quests!$1:$1,0)+1,FALSE)</f>
        <v>【LB田邉】検証クエスト</v>
      </c>
      <c r="D89" s="83" t="str">
        <f ca="1">VLOOKUP($B89,OFFSET([2]quests!$A$1,0,0,COUNTA([2]quests!$A:$A),MATCH(D$1,[2]quests!$1:$1,0)-MATCH($B$1,[2]quests!$1:$1,0)+1),MATCH(D$1,[2]quests!$1:$1,0)-MATCH($B$1,[2]quests!$1:$1,0)+1,FALSE)</f>
        <v>検証</v>
      </c>
      <c r="E89" s="84">
        <v>1</v>
      </c>
      <c r="F89" s="83" t="str">
        <f ca="1">VLOOKUP($B89&amp;"_"&amp;$E89,OFFSET([2]stages!$A$1,0,0,COUNTA([2]stages!$A:$A),MATCH(F$1,[2]stages!$2:$2,0)-MATCH("temp_stage",[2]stages!$2:$2,0)+1),MATCH(F$1,[2]stages!$2:$2,0)-MATCH("temp_stage",[2]stages!$2:$2,0)+1,FALSE)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89" s="83" t="str">
        <f ca="1">VLOOKUP($B89&amp;"_"&amp;$E89,OFFSET([2]stages!$A$1,0,0,COUNTA([2]stages!$A:$A),MATCH(G$1,[2]stages!$2:$2,0)-MATCH("temp_stage",[2]stages!$2:$2,0)+1),MATCH(G$1,[2]stages!$2:$2,0)-MATCH("temp_stage",[2]stages!$2:$2,0)+1,FALSE)</f>
        <v>検証</v>
      </c>
      <c r="H89" s="85">
        <v>1</v>
      </c>
      <c r="I89" s="91">
        <f t="shared" si="2"/>
        <v>88</v>
      </c>
      <c r="J89" s="86" t="str">
        <f t="shared" si="3"/>
        <v>6552588</v>
      </c>
      <c r="K89" s="84" t="s">
        <v>129</v>
      </c>
      <c r="L89" s="87" t="s">
        <v>202</v>
      </c>
      <c r="M89" s="88" t="s">
        <v>204</v>
      </c>
      <c r="N89" s="57" t="s">
        <v>203</v>
      </c>
    </row>
    <row r="90" spans="1:14" x14ac:dyDescent="0.15">
      <c r="A90" s="81" t="s">
        <v>200</v>
      </c>
      <c r="B90" s="82">
        <f>floors!$C$2</f>
        <v>65525</v>
      </c>
      <c r="C90" s="83" t="str">
        <f ca="1">VLOOKUP($B90,OFFSET([2]quests!$A$1,0,0,COUNTA([2]quests!$A:$A),MATCH(C$1,[2]quests!$1:$1,0)-MATCH($B$1,[2]quests!$1:$1,0)+1),MATCH(C$1,[2]quests!$1:$1,0)-MATCH($B$1,[2]quests!$1:$1,0)+1,FALSE)</f>
        <v>【LB田邉】検証クエスト</v>
      </c>
      <c r="D90" s="83" t="str">
        <f ca="1">VLOOKUP($B90,OFFSET([2]quests!$A$1,0,0,COUNTA([2]quests!$A:$A),MATCH(D$1,[2]quests!$1:$1,0)-MATCH($B$1,[2]quests!$1:$1,0)+1),MATCH(D$1,[2]quests!$1:$1,0)-MATCH($B$1,[2]quests!$1:$1,0)+1,FALSE)</f>
        <v>検証</v>
      </c>
      <c r="E90" s="84">
        <v>1</v>
      </c>
      <c r="F90" s="83" t="str">
        <f ca="1">VLOOKUP($B90&amp;"_"&amp;$E90,OFFSET([2]stages!$A$1,0,0,COUNTA([2]stages!$A:$A),MATCH(F$1,[2]stages!$2:$2,0)-MATCH("temp_stage",[2]stages!$2:$2,0)+1),MATCH(F$1,[2]stages!$2:$2,0)-MATCH("temp_stage",[2]stages!$2:$2,0)+1,FALSE)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90" s="83" t="str">
        <f ca="1">VLOOKUP($B90&amp;"_"&amp;$E90,OFFSET([2]stages!$A$1,0,0,COUNTA([2]stages!$A:$A),MATCH(G$1,[2]stages!$2:$2,0)-MATCH("temp_stage",[2]stages!$2:$2,0)+1),MATCH(G$1,[2]stages!$2:$2,0)-MATCH("temp_stage",[2]stages!$2:$2,0)+1,FALSE)</f>
        <v>検証</v>
      </c>
      <c r="H90" s="85">
        <v>1</v>
      </c>
      <c r="I90" s="91">
        <f t="shared" si="2"/>
        <v>89</v>
      </c>
      <c r="J90" s="86" t="str">
        <f t="shared" si="3"/>
        <v>6552589</v>
      </c>
      <c r="K90" s="84" t="s">
        <v>129</v>
      </c>
      <c r="L90" s="87" t="s">
        <v>202</v>
      </c>
      <c r="M90" s="88" t="s">
        <v>204</v>
      </c>
      <c r="N90" s="57" t="s">
        <v>203</v>
      </c>
    </row>
    <row r="91" spans="1:14" x14ac:dyDescent="0.15">
      <c r="A91" s="81" t="s">
        <v>200</v>
      </c>
      <c r="B91" s="82">
        <f>floors!$C$2</f>
        <v>65525</v>
      </c>
      <c r="C91" s="83" t="str">
        <f ca="1">VLOOKUP($B91,OFFSET([2]quests!$A$1,0,0,COUNTA([2]quests!$A:$A),MATCH(C$1,[2]quests!$1:$1,0)-MATCH($B$1,[2]quests!$1:$1,0)+1),MATCH(C$1,[2]quests!$1:$1,0)-MATCH($B$1,[2]quests!$1:$1,0)+1,FALSE)</f>
        <v>【LB田邉】検証クエスト</v>
      </c>
      <c r="D91" s="83" t="str">
        <f ca="1">VLOOKUP($B91,OFFSET([2]quests!$A$1,0,0,COUNTA([2]quests!$A:$A),MATCH(D$1,[2]quests!$1:$1,0)-MATCH($B$1,[2]quests!$1:$1,0)+1),MATCH(D$1,[2]quests!$1:$1,0)-MATCH($B$1,[2]quests!$1:$1,0)+1,FALSE)</f>
        <v>検証</v>
      </c>
      <c r="E91" s="84">
        <v>1</v>
      </c>
      <c r="F91" s="83" t="str">
        <f ca="1">VLOOKUP($B91&amp;"_"&amp;$E91,OFFSET([2]stages!$A$1,0,0,COUNTA([2]stages!$A:$A),MATCH(F$1,[2]stages!$2:$2,0)-MATCH("temp_stage",[2]stages!$2:$2,0)+1),MATCH(F$1,[2]stages!$2:$2,0)-MATCH("temp_stage",[2]stages!$2:$2,0)+1,FALSE)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91" s="83" t="str">
        <f ca="1">VLOOKUP($B91&amp;"_"&amp;$E91,OFFSET([2]stages!$A$1,0,0,COUNTA([2]stages!$A:$A),MATCH(G$1,[2]stages!$2:$2,0)-MATCH("temp_stage",[2]stages!$2:$2,0)+1),MATCH(G$1,[2]stages!$2:$2,0)-MATCH("temp_stage",[2]stages!$2:$2,0)+1,FALSE)</f>
        <v>検証</v>
      </c>
      <c r="H91" s="85">
        <v>1</v>
      </c>
      <c r="I91" s="91">
        <f t="shared" si="2"/>
        <v>90</v>
      </c>
      <c r="J91" s="86" t="str">
        <f t="shared" si="3"/>
        <v>6552590</v>
      </c>
      <c r="K91" s="84" t="s">
        <v>129</v>
      </c>
      <c r="L91" s="87" t="s">
        <v>202</v>
      </c>
      <c r="M91" s="88" t="s">
        <v>204</v>
      </c>
      <c r="N91" s="57" t="s">
        <v>203</v>
      </c>
    </row>
    <row r="92" spans="1:14" x14ac:dyDescent="0.15">
      <c r="A92" s="81" t="s">
        <v>200</v>
      </c>
      <c r="B92" s="82">
        <f>floors!$C$2</f>
        <v>65525</v>
      </c>
      <c r="C92" s="83" t="str">
        <f ca="1">VLOOKUP($B92,OFFSET([2]quests!$A$1,0,0,COUNTA([2]quests!$A:$A),MATCH(C$1,[2]quests!$1:$1,0)-MATCH($B$1,[2]quests!$1:$1,0)+1),MATCH(C$1,[2]quests!$1:$1,0)-MATCH($B$1,[2]quests!$1:$1,0)+1,FALSE)</f>
        <v>【LB田邉】検証クエスト</v>
      </c>
      <c r="D92" s="83" t="str">
        <f ca="1">VLOOKUP($B92,OFFSET([2]quests!$A$1,0,0,COUNTA([2]quests!$A:$A),MATCH(D$1,[2]quests!$1:$1,0)-MATCH($B$1,[2]quests!$1:$1,0)+1),MATCH(D$1,[2]quests!$1:$1,0)-MATCH($B$1,[2]quests!$1:$1,0)+1,FALSE)</f>
        <v>検証</v>
      </c>
      <c r="E92" s="84">
        <v>1</v>
      </c>
      <c r="F92" s="83" t="str">
        <f ca="1">VLOOKUP($B92&amp;"_"&amp;$E92,OFFSET([2]stages!$A$1,0,0,COUNTA([2]stages!$A:$A),MATCH(F$1,[2]stages!$2:$2,0)-MATCH("temp_stage",[2]stages!$2:$2,0)+1),MATCH(F$1,[2]stages!$2:$2,0)-MATCH("temp_stage",[2]stages!$2:$2,0)+1,FALSE)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92" s="83" t="str">
        <f ca="1">VLOOKUP($B92&amp;"_"&amp;$E92,OFFSET([2]stages!$A$1,0,0,COUNTA([2]stages!$A:$A),MATCH(G$1,[2]stages!$2:$2,0)-MATCH("temp_stage",[2]stages!$2:$2,0)+1),MATCH(G$1,[2]stages!$2:$2,0)-MATCH("temp_stage",[2]stages!$2:$2,0)+1,FALSE)</f>
        <v>検証</v>
      </c>
      <c r="H92" s="85">
        <v>1</v>
      </c>
      <c r="I92" s="91">
        <f t="shared" si="2"/>
        <v>91</v>
      </c>
      <c r="J92" s="86" t="str">
        <f t="shared" si="3"/>
        <v>6552591</v>
      </c>
      <c r="K92" s="84" t="s">
        <v>129</v>
      </c>
      <c r="L92" s="87" t="s">
        <v>202</v>
      </c>
      <c r="M92" s="88" t="s">
        <v>204</v>
      </c>
      <c r="N92" s="57" t="s">
        <v>203</v>
      </c>
    </row>
    <row r="93" spans="1:14" x14ac:dyDescent="0.15">
      <c r="A93" s="81" t="s">
        <v>200</v>
      </c>
      <c r="B93" s="82">
        <f>floors!$C$2</f>
        <v>65525</v>
      </c>
      <c r="C93" s="83" t="str">
        <f ca="1">VLOOKUP($B93,OFFSET([2]quests!$A$1,0,0,COUNTA([2]quests!$A:$A),MATCH(C$1,[2]quests!$1:$1,0)-MATCH($B$1,[2]quests!$1:$1,0)+1),MATCH(C$1,[2]quests!$1:$1,0)-MATCH($B$1,[2]quests!$1:$1,0)+1,FALSE)</f>
        <v>【LB田邉】検証クエスト</v>
      </c>
      <c r="D93" s="83" t="str">
        <f ca="1">VLOOKUP($B93,OFFSET([2]quests!$A$1,0,0,COUNTA([2]quests!$A:$A),MATCH(D$1,[2]quests!$1:$1,0)-MATCH($B$1,[2]quests!$1:$1,0)+1),MATCH(D$1,[2]quests!$1:$1,0)-MATCH($B$1,[2]quests!$1:$1,0)+1,FALSE)</f>
        <v>検証</v>
      </c>
      <c r="E93" s="84">
        <v>1</v>
      </c>
      <c r="F93" s="83" t="str">
        <f ca="1">VLOOKUP($B93&amp;"_"&amp;$E93,OFFSET([2]stages!$A$1,0,0,COUNTA([2]stages!$A:$A),MATCH(F$1,[2]stages!$2:$2,0)-MATCH("temp_stage",[2]stages!$2:$2,0)+1),MATCH(F$1,[2]stages!$2:$2,0)-MATCH("temp_stage",[2]stages!$2:$2,0)+1,FALSE)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93" s="83" t="str">
        <f ca="1">VLOOKUP($B93&amp;"_"&amp;$E93,OFFSET([2]stages!$A$1,0,0,COUNTA([2]stages!$A:$A),MATCH(G$1,[2]stages!$2:$2,0)-MATCH("temp_stage",[2]stages!$2:$2,0)+1),MATCH(G$1,[2]stages!$2:$2,0)-MATCH("temp_stage",[2]stages!$2:$2,0)+1,FALSE)</f>
        <v>検証</v>
      </c>
      <c r="H93" s="85">
        <v>1</v>
      </c>
      <c r="I93" s="91">
        <f t="shared" si="2"/>
        <v>92</v>
      </c>
      <c r="J93" s="86" t="str">
        <f t="shared" si="3"/>
        <v>6552592</v>
      </c>
      <c r="K93" s="84" t="s">
        <v>129</v>
      </c>
      <c r="L93" s="87" t="s">
        <v>202</v>
      </c>
      <c r="M93" s="88" t="s">
        <v>204</v>
      </c>
      <c r="N93" s="57" t="s">
        <v>203</v>
      </c>
    </row>
    <row r="94" spans="1:14" x14ac:dyDescent="0.15">
      <c r="A94" s="81" t="s">
        <v>200</v>
      </c>
      <c r="B94" s="82">
        <f>floors!$C$2</f>
        <v>65525</v>
      </c>
      <c r="C94" s="83" t="str">
        <f ca="1">VLOOKUP($B94,OFFSET([2]quests!$A$1,0,0,COUNTA([2]quests!$A:$A),MATCH(C$1,[2]quests!$1:$1,0)-MATCH($B$1,[2]quests!$1:$1,0)+1),MATCH(C$1,[2]quests!$1:$1,0)-MATCH($B$1,[2]quests!$1:$1,0)+1,FALSE)</f>
        <v>【LB田邉】検証クエスト</v>
      </c>
      <c r="D94" s="83" t="str">
        <f ca="1">VLOOKUP($B94,OFFSET([2]quests!$A$1,0,0,COUNTA([2]quests!$A:$A),MATCH(D$1,[2]quests!$1:$1,0)-MATCH($B$1,[2]quests!$1:$1,0)+1),MATCH(D$1,[2]quests!$1:$1,0)-MATCH($B$1,[2]quests!$1:$1,0)+1,FALSE)</f>
        <v>検証</v>
      </c>
      <c r="E94" s="84">
        <v>1</v>
      </c>
      <c r="F94" s="83" t="str">
        <f ca="1">VLOOKUP($B94&amp;"_"&amp;$E94,OFFSET([2]stages!$A$1,0,0,COUNTA([2]stages!$A:$A),MATCH(F$1,[2]stages!$2:$2,0)-MATCH("temp_stage",[2]stages!$2:$2,0)+1),MATCH(F$1,[2]stages!$2:$2,0)-MATCH("temp_stage",[2]stages!$2:$2,0)+1,FALSE)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94" s="83" t="str">
        <f ca="1">VLOOKUP($B94&amp;"_"&amp;$E94,OFFSET([2]stages!$A$1,0,0,COUNTA([2]stages!$A:$A),MATCH(G$1,[2]stages!$2:$2,0)-MATCH("temp_stage",[2]stages!$2:$2,0)+1),MATCH(G$1,[2]stages!$2:$2,0)-MATCH("temp_stage",[2]stages!$2:$2,0)+1,FALSE)</f>
        <v>検証</v>
      </c>
      <c r="H94" s="85">
        <v>1</v>
      </c>
      <c r="I94" s="91">
        <f t="shared" si="2"/>
        <v>93</v>
      </c>
      <c r="J94" s="86" t="str">
        <f t="shared" si="3"/>
        <v>6552593</v>
      </c>
      <c r="K94" s="84" t="s">
        <v>129</v>
      </c>
      <c r="L94" s="87" t="s">
        <v>202</v>
      </c>
      <c r="M94" s="88" t="s">
        <v>204</v>
      </c>
      <c r="N94" s="57" t="s">
        <v>203</v>
      </c>
    </row>
    <row r="95" spans="1:14" x14ac:dyDescent="0.15">
      <c r="A95" s="81" t="s">
        <v>200</v>
      </c>
      <c r="B95" s="82">
        <f>floors!$C$2</f>
        <v>65525</v>
      </c>
      <c r="C95" s="83" t="str">
        <f ca="1">VLOOKUP($B95,OFFSET([2]quests!$A$1,0,0,COUNTA([2]quests!$A:$A),MATCH(C$1,[2]quests!$1:$1,0)-MATCH($B$1,[2]quests!$1:$1,0)+1),MATCH(C$1,[2]quests!$1:$1,0)-MATCH($B$1,[2]quests!$1:$1,0)+1,FALSE)</f>
        <v>【LB田邉】検証クエスト</v>
      </c>
      <c r="D95" s="83" t="str">
        <f ca="1">VLOOKUP($B95,OFFSET([2]quests!$A$1,0,0,COUNTA([2]quests!$A:$A),MATCH(D$1,[2]quests!$1:$1,0)-MATCH($B$1,[2]quests!$1:$1,0)+1),MATCH(D$1,[2]quests!$1:$1,0)-MATCH($B$1,[2]quests!$1:$1,0)+1,FALSE)</f>
        <v>検証</v>
      </c>
      <c r="E95" s="84">
        <v>1</v>
      </c>
      <c r="F95" s="83" t="str">
        <f ca="1">VLOOKUP($B95&amp;"_"&amp;$E95,OFFSET([2]stages!$A$1,0,0,COUNTA([2]stages!$A:$A),MATCH(F$1,[2]stages!$2:$2,0)-MATCH("temp_stage",[2]stages!$2:$2,0)+1),MATCH(F$1,[2]stages!$2:$2,0)-MATCH("temp_stage",[2]stages!$2:$2,0)+1,FALSE)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95" s="83" t="str">
        <f ca="1">VLOOKUP($B95&amp;"_"&amp;$E95,OFFSET([2]stages!$A$1,0,0,COUNTA([2]stages!$A:$A),MATCH(G$1,[2]stages!$2:$2,0)-MATCH("temp_stage",[2]stages!$2:$2,0)+1),MATCH(G$1,[2]stages!$2:$2,0)-MATCH("temp_stage",[2]stages!$2:$2,0)+1,FALSE)</f>
        <v>検証</v>
      </c>
      <c r="H95" s="85">
        <v>1</v>
      </c>
      <c r="I95" s="91">
        <f t="shared" si="2"/>
        <v>94</v>
      </c>
      <c r="J95" s="86" t="str">
        <f t="shared" si="3"/>
        <v>6552594</v>
      </c>
      <c r="K95" s="84" t="s">
        <v>129</v>
      </c>
      <c r="L95" s="87" t="s">
        <v>202</v>
      </c>
      <c r="M95" s="88" t="s">
        <v>204</v>
      </c>
      <c r="N95" s="57" t="s">
        <v>203</v>
      </c>
    </row>
    <row r="96" spans="1:14" x14ac:dyDescent="0.15">
      <c r="A96" s="81" t="s">
        <v>200</v>
      </c>
      <c r="B96" s="82">
        <f>floors!$C$2</f>
        <v>65525</v>
      </c>
      <c r="C96" s="83" t="str">
        <f ca="1">VLOOKUP($B96,OFFSET([2]quests!$A$1,0,0,COUNTA([2]quests!$A:$A),MATCH(C$1,[2]quests!$1:$1,0)-MATCH($B$1,[2]quests!$1:$1,0)+1),MATCH(C$1,[2]quests!$1:$1,0)-MATCH($B$1,[2]quests!$1:$1,0)+1,FALSE)</f>
        <v>【LB田邉】検証クエスト</v>
      </c>
      <c r="D96" s="83" t="str">
        <f ca="1">VLOOKUP($B96,OFFSET([2]quests!$A$1,0,0,COUNTA([2]quests!$A:$A),MATCH(D$1,[2]quests!$1:$1,0)-MATCH($B$1,[2]quests!$1:$1,0)+1),MATCH(D$1,[2]quests!$1:$1,0)-MATCH($B$1,[2]quests!$1:$1,0)+1,FALSE)</f>
        <v>検証</v>
      </c>
      <c r="E96" s="84">
        <v>1</v>
      </c>
      <c r="F96" s="83" t="str">
        <f ca="1">VLOOKUP($B96&amp;"_"&amp;$E96,OFFSET([2]stages!$A$1,0,0,COUNTA([2]stages!$A:$A),MATCH(F$1,[2]stages!$2:$2,0)-MATCH("temp_stage",[2]stages!$2:$2,0)+1),MATCH(F$1,[2]stages!$2:$2,0)-MATCH("temp_stage",[2]stages!$2:$2,0)+1,FALSE)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96" s="83" t="str">
        <f ca="1">VLOOKUP($B96&amp;"_"&amp;$E96,OFFSET([2]stages!$A$1,0,0,COUNTA([2]stages!$A:$A),MATCH(G$1,[2]stages!$2:$2,0)-MATCH("temp_stage",[2]stages!$2:$2,0)+1),MATCH(G$1,[2]stages!$2:$2,0)-MATCH("temp_stage",[2]stages!$2:$2,0)+1,FALSE)</f>
        <v>検証</v>
      </c>
      <c r="H96" s="85">
        <v>1</v>
      </c>
      <c r="I96" s="91">
        <f t="shared" si="2"/>
        <v>95</v>
      </c>
      <c r="J96" s="86" t="str">
        <f t="shared" si="3"/>
        <v>6552595</v>
      </c>
      <c r="K96" s="84" t="s">
        <v>129</v>
      </c>
      <c r="L96" s="87" t="s">
        <v>202</v>
      </c>
      <c r="M96" s="88" t="s">
        <v>204</v>
      </c>
      <c r="N96" s="57" t="s">
        <v>203</v>
      </c>
    </row>
    <row r="97" spans="1:14" x14ac:dyDescent="0.15">
      <c r="A97" s="81" t="s">
        <v>200</v>
      </c>
      <c r="B97" s="82">
        <f>floors!$C$2</f>
        <v>65525</v>
      </c>
      <c r="C97" s="83" t="str">
        <f ca="1">VLOOKUP($B97,OFFSET([2]quests!$A$1,0,0,COUNTA([2]quests!$A:$A),MATCH(C$1,[2]quests!$1:$1,0)-MATCH($B$1,[2]quests!$1:$1,0)+1),MATCH(C$1,[2]quests!$1:$1,0)-MATCH($B$1,[2]quests!$1:$1,0)+1,FALSE)</f>
        <v>【LB田邉】検証クエスト</v>
      </c>
      <c r="D97" s="83" t="str">
        <f ca="1">VLOOKUP($B97,OFFSET([2]quests!$A$1,0,0,COUNTA([2]quests!$A:$A),MATCH(D$1,[2]quests!$1:$1,0)-MATCH($B$1,[2]quests!$1:$1,0)+1),MATCH(D$1,[2]quests!$1:$1,0)-MATCH($B$1,[2]quests!$1:$1,0)+1,FALSE)</f>
        <v>検証</v>
      </c>
      <c r="E97" s="84">
        <v>1</v>
      </c>
      <c r="F97" s="83" t="str">
        <f ca="1">VLOOKUP($B97&amp;"_"&amp;$E97,OFFSET([2]stages!$A$1,0,0,COUNTA([2]stages!$A:$A),MATCH(F$1,[2]stages!$2:$2,0)-MATCH("temp_stage",[2]stages!$2:$2,0)+1),MATCH(F$1,[2]stages!$2:$2,0)-MATCH("temp_stage",[2]stages!$2:$2,0)+1,FALSE)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97" s="83" t="str">
        <f ca="1">VLOOKUP($B97&amp;"_"&amp;$E97,OFFSET([2]stages!$A$1,0,0,COUNTA([2]stages!$A:$A),MATCH(G$1,[2]stages!$2:$2,0)-MATCH("temp_stage",[2]stages!$2:$2,0)+1),MATCH(G$1,[2]stages!$2:$2,0)-MATCH("temp_stage",[2]stages!$2:$2,0)+1,FALSE)</f>
        <v>検証</v>
      </c>
      <c r="H97" s="85">
        <v>1</v>
      </c>
      <c r="I97" s="91">
        <f t="shared" si="2"/>
        <v>96</v>
      </c>
      <c r="J97" s="86" t="str">
        <f t="shared" si="3"/>
        <v>6552596</v>
      </c>
      <c r="K97" s="84" t="s">
        <v>129</v>
      </c>
      <c r="L97" s="87" t="s">
        <v>202</v>
      </c>
      <c r="M97" s="88" t="s">
        <v>204</v>
      </c>
      <c r="N97" s="57" t="s">
        <v>203</v>
      </c>
    </row>
    <row r="98" spans="1:14" x14ac:dyDescent="0.15">
      <c r="A98" s="81" t="s">
        <v>200</v>
      </c>
      <c r="B98" s="82">
        <f>floors!$C$2</f>
        <v>65525</v>
      </c>
      <c r="C98" s="83" t="str">
        <f ca="1">VLOOKUP($B98,OFFSET([2]quests!$A$1,0,0,COUNTA([2]quests!$A:$A),MATCH(C$1,[2]quests!$1:$1,0)-MATCH($B$1,[2]quests!$1:$1,0)+1),MATCH(C$1,[2]quests!$1:$1,0)-MATCH($B$1,[2]quests!$1:$1,0)+1,FALSE)</f>
        <v>【LB田邉】検証クエスト</v>
      </c>
      <c r="D98" s="83" t="str">
        <f ca="1">VLOOKUP($B98,OFFSET([2]quests!$A$1,0,0,COUNTA([2]quests!$A:$A),MATCH(D$1,[2]quests!$1:$1,0)-MATCH($B$1,[2]quests!$1:$1,0)+1),MATCH(D$1,[2]quests!$1:$1,0)-MATCH($B$1,[2]quests!$1:$1,0)+1,FALSE)</f>
        <v>検証</v>
      </c>
      <c r="E98" s="84">
        <v>1</v>
      </c>
      <c r="F98" s="83" t="str">
        <f ca="1">VLOOKUP($B98&amp;"_"&amp;$E98,OFFSET([2]stages!$A$1,0,0,COUNTA([2]stages!$A:$A),MATCH(F$1,[2]stages!$2:$2,0)-MATCH("temp_stage",[2]stages!$2:$2,0)+1),MATCH(F$1,[2]stages!$2:$2,0)-MATCH("temp_stage",[2]stages!$2:$2,0)+1,FALSE)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98" s="83" t="str">
        <f ca="1">VLOOKUP($B98&amp;"_"&amp;$E98,OFFSET([2]stages!$A$1,0,0,COUNTA([2]stages!$A:$A),MATCH(G$1,[2]stages!$2:$2,0)-MATCH("temp_stage",[2]stages!$2:$2,0)+1),MATCH(G$1,[2]stages!$2:$2,0)-MATCH("temp_stage",[2]stages!$2:$2,0)+1,FALSE)</f>
        <v>検証</v>
      </c>
      <c r="H98" s="85">
        <v>1</v>
      </c>
      <c r="I98" s="91">
        <f t="shared" si="2"/>
        <v>97</v>
      </c>
      <c r="J98" s="86" t="str">
        <f t="shared" si="3"/>
        <v>6552597</v>
      </c>
      <c r="K98" s="84" t="s">
        <v>129</v>
      </c>
      <c r="L98" s="87" t="s">
        <v>202</v>
      </c>
      <c r="M98" s="88" t="s">
        <v>204</v>
      </c>
      <c r="N98" s="57" t="s">
        <v>203</v>
      </c>
    </row>
    <row r="99" spans="1:14" x14ac:dyDescent="0.15">
      <c r="A99" s="81" t="s">
        <v>200</v>
      </c>
      <c r="B99" s="82">
        <f>floors!$C$2</f>
        <v>65525</v>
      </c>
      <c r="C99" s="83" t="str">
        <f ca="1">VLOOKUP($B99,OFFSET([2]quests!$A$1,0,0,COUNTA([2]quests!$A:$A),MATCH(C$1,[2]quests!$1:$1,0)-MATCH($B$1,[2]quests!$1:$1,0)+1),MATCH(C$1,[2]quests!$1:$1,0)-MATCH($B$1,[2]quests!$1:$1,0)+1,FALSE)</f>
        <v>【LB田邉】検証クエスト</v>
      </c>
      <c r="D99" s="83" t="str">
        <f ca="1">VLOOKUP($B99,OFFSET([2]quests!$A$1,0,0,COUNTA([2]quests!$A:$A),MATCH(D$1,[2]quests!$1:$1,0)-MATCH($B$1,[2]quests!$1:$1,0)+1),MATCH(D$1,[2]quests!$1:$1,0)-MATCH($B$1,[2]quests!$1:$1,0)+1,FALSE)</f>
        <v>検証</v>
      </c>
      <c r="E99" s="84">
        <v>1</v>
      </c>
      <c r="F99" s="83" t="str">
        <f ca="1">VLOOKUP($B99&amp;"_"&amp;$E99,OFFSET([2]stages!$A$1,0,0,COUNTA([2]stages!$A:$A),MATCH(F$1,[2]stages!$2:$2,0)-MATCH("temp_stage",[2]stages!$2:$2,0)+1),MATCH(F$1,[2]stages!$2:$2,0)-MATCH("temp_stage",[2]stages!$2:$2,0)+1,FALSE)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99" s="83" t="str">
        <f ca="1">VLOOKUP($B99&amp;"_"&amp;$E99,OFFSET([2]stages!$A$1,0,0,COUNTA([2]stages!$A:$A),MATCH(G$1,[2]stages!$2:$2,0)-MATCH("temp_stage",[2]stages!$2:$2,0)+1),MATCH(G$1,[2]stages!$2:$2,0)-MATCH("temp_stage",[2]stages!$2:$2,0)+1,FALSE)</f>
        <v>検証</v>
      </c>
      <c r="H99" s="85">
        <v>1</v>
      </c>
      <c r="I99" s="91">
        <f t="shared" si="2"/>
        <v>98</v>
      </c>
      <c r="J99" s="86" t="str">
        <f t="shared" si="3"/>
        <v>6552598</v>
      </c>
      <c r="K99" s="84" t="s">
        <v>129</v>
      </c>
      <c r="L99" s="87" t="s">
        <v>202</v>
      </c>
      <c r="M99" s="88" t="s">
        <v>204</v>
      </c>
      <c r="N99" s="57" t="s">
        <v>203</v>
      </c>
    </row>
    <row r="100" spans="1:14" x14ac:dyDescent="0.15">
      <c r="A100" s="81" t="s">
        <v>200</v>
      </c>
      <c r="B100" s="82">
        <f>floors!$C$2</f>
        <v>65525</v>
      </c>
      <c r="C100" s="83" t="str">
        <f ca="1">VLOOKUP($B100,OFFSET([2]quests!$A$1,0,0,COUNTA([2]quests!$A:$A),MATCH(C$1,[2]quests!$1:$1,0)-MATCH($B$1,[2]quests!$1:$1,0)+1),MATCH(C$1,[2]quests!$1:$1,0)-MATCH($B$1,[2]quests!$1:$1,0)+1,FALSE)</f>
        <v>【LB田邉】検証クエスト</v>
      </c>
      <c r="D100" s="83" t="str">
        <f ca="1">VLOOKUP($B100,OFFSET([2]quests!$A$1,0,0,COUNTA([2]quests!$A:$A),MATCH(D$1,[2]quests!$1:$1,0)-MATCH($B$1,[2]quests!$1:$1,0)+1),MATCH(D$1,[2]quests!$1:$1,0)-MATCH($B$1,[2]quests!$1:$1,0)+1,FALSE)</f>
        <v>検証</v>
      </c>
      <c r="E100" s="84">
        <v>1</v>
      </c>
      <c r="F100" s="83" t="str">
        <f ca="1">VLOOKUP($B100&amp;"_"&amp;$E100,OFFSET([2]stages!$A$1,0,0,COUNTA([2]stages!$A:$A),MATCH(F$1,[2]stages!$2:$2,0)-MATCH("temp_stage",[2]stages!$2:$2,0)+1),MATCH(F$1,[2]stages!$2:$2,0)-MATCH("temp_stage",[2]stages!$2:$2,0)+1,FALSE)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100" s="83" t="str">
        <f ca="1">VLOOKUP($B100&amp;"_"&amp;$E100,OFFSET([2]stages!$A$1,0,0,COUNTA([2]stages!$A:$A),MATCH(G$1,[2]stages!$2:$2,0)-MATCH("temp_stage",[2]stages!$2:$2,0)+1),MATCH(G$1,[2]stages!$2:$2,0)-MATCH("temp_stage",[2]stages!$2:$2,0)+1,FALSE)</f>
        <v>検証</v>
      </c>
      <c r="H100" s="85">
        <v>1</v>
      </c>
      <c r="I100" s="91">
        <f t="shared" si="2"/>
        <v>99</v>
      </c>
      <c r="J100" s="86" t="str">
        <f t="shared" si="3"/>
        <v>6552599</v>
      </c>
      <c r="K100" s="84" t="s">
        <v>129</v>
      </c>
      <c r="L100" s="87" t="s">
        <v>202</v>
      </c>
      <c r="M100" s="88" t="s">
        <v>204</v>
      </c>
      <c r="N100" s="57" t="s">
        <v>203</v>
      </c>
    </row>
    <row r="101" spans="1:14" x14ac:dyDescent="0.15">
      <c r="A101" s="81" t="s">
        <v>200</v>
      </c>
      <c r="B101" s="82">
        <f>floors!$C$2</f>
        <v>65525</v>
      </c>
      <c r="C101" s="83" t="str">
        <f ca="1">VLOOKUP($B101,OFFSET([2]quests!$A$1,0,0,COUNTA([2]quests!$A:$A),MATCH(C$1,[2]quests!$1:$1,0)-MATCH($B$1,[2]quests!$1:$1,0)+1),MATCH(C$1,[2]quests!$1:$1,0)-MATCH($B$1,[2]quests!$1:$1,0)+1,FALSE)</f>
        <v>【LB田邉】検証クエスト</v>
      </c>
      <c r="D101" s="83" t="str">
        <f ca="1">VLOOKUP($B101,OFFSET([2]quests!$A$1,0,0,COUNTA([2]quests!$A:$A),MATCH(D$1,[2]quests!$1:$1,0)-MATCH($B$1,[2]quests!$1:$1,0)+1),MATCH(D$1,[2]quests!$1:$1,0)-MATCH($B$1,[2]quests!$1:$1,0)+1,FALSE)</f>
        <v>検証</v>
      </c>
      <c r="E101" s="84">
        <v>1</v>
      </c>
      <c r="F101" s="83" t="str">
        <f ca="1">VLOOKUP($B101&amp;"_"&amp;$E101,OFFSET([2]stages!$A$1,0,0,COUNTA([2]stages!$A:$A),MATCH(F$1,[2]stages!$2:$2,0)-MATCH("temp_stage",[2]stages!$2:$2,0)+1),MATCH(F$1,[2]stages!$2:$2,0)-MATCH("temp_stage",[2]stages!$2:$2,0)+1,FALSE)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101" s="83" t="str">
        <f ca="1">VLOOKUP($B101&amp;"_"&amp;$E101,OFFSET([2]stages!$A$1,0,0,COUNTA([2]stages!$A:$A),MATCH(G$1,[2]stages!$2:$2,0)-MATCH("temp_stage",[2]stages!$2:$2,0)+1),MATCH(G$1,[2]stages!$2:$2,0)-MATCH("temp_stage",[2]stages!$2:$2,0)+1,FALSE)</f>
        <v>検証</v>
      </c>
      <c r="H101" s="85">
        <v>1</v>
      </c>
      <c r="I101" s="91">
        <f t="shared" si="2"/>
        <v>100</v>
      </c>
      <c r="J101" s="86" t="str">
        <f t="shared" si="3"/>
        <v>65525100</v>
      </c>
      <c r="K101" s="84" t="s">
        <v>129</v>
      </c>
      <c r="L101" s="87" t="s">
        <v>202</v>
      </c>
      <c r="M101" s="88" t="s">
        <v>204</v>
      </c>
      <c r="N101" s="57" t="s">
        <v>203</v>
      </c>
    </row>
    <row r="102" spans="1:14" x14ac:dyDescent="0.15">
      <c r="A102" s="81" t="s">
        <v>200</v>
      </c>
      <c r="B102" s="82">
        <f>floors!$C$2</f>
        <v>65525</v>
      </c>
      <c r="C102" s="83" t="str">
        <f ca="1">VLOOKUP($B102,OFFSET([2]quests!$A$1,0,0,COUNTA([2]quests!$A:$A),MATCH(C$1,[2]quests!$1:$1,0)-MATCH($B$1,[2]quests!$1:$1,0)+1),MATCH(C$1,[2]quests!$1:$1,0)-MATCH($B$1,[2]quests!$1:$1,0)+1,FALSE)</f>
        <v>【LB田邉】検証クエスト</v>
      </c>
      <c r="D102" s="83" t="str">
        <f ca="1">VLOOKUP($B102,OFFSET([2]quests!$A$1,0,0,COUNTA([2]quests!$A:$A),MATCH(D$1,[2]quests!$1:$1,0)-MATCH($B$1,[2]quests!$1:$1,0)+1),MATCH(D$1,[2]quests!$1:$1,0)-MATCH($B$1,[2]quests!$1:$1,0)+1,FALSE)</f>
        <v>検証</v>
      </c>
      <c r="E102" s="84">
        <v>1</v>
      </c>
      <c r="F102" s="83" t="str">
        <f ca="1">VLOOKUP($B102&amp;"_"&amp;$E102,OFFSET([2]stages!$A$1,0,0,COUNTA([2]stages!$A:$A),MATCH(F$1,[2]stages!$2:$2,0)-MATCH("temp_stage",[2]stages!$2:$2,0)+1),MATCH(F$1,[2]stages!$2:$2,0)-MATCH("temp_stage",[2]stages!$2:$2,0)+1,FALSE)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102" s="83" t="str">
        <f ca="1">VLOOKUP($B102&amp;"_"&amp;$E102,OFFSET([2]stages!$A$1,0,0,COUNTA([2]stages!$A:$A),MATCH(G$1,[2]stages!$2:$2,0)-MATCH("temp_stage",[2]stages!$2:$2,0)+1),MATCH(G$1,[2]stages!$2:$2,0)-MATCH("temp_stage",[2]stages!$2:$2,0)+1,FALSE)</f>
        <v>検証</v>
      </c>
      <c r="H102" s="85">
        <v>1</v>
      </c>
      <c r="I102" s="91">
        <f t="shared" si="2"/>
        <v>101</v>
      </c>
      <c r="J102" s="86" t="str">
        <f t="shared" si="3"/>
        <v>65525101</v>
      </c>
      <c r="K102" s="84" t="s">
        <v>129</v>
      </c>
      <c r="L102" s="87" t="s">
        <v>202</v>
      </c>
      <c r="M102" s="88" t="s">
        <v>204</v>
      </c>
      <c r="N102" s="57" t="s">
        <v>203</v>
      </c>
    </row>
    <row r="103" spans="1:14" x14ac:dyDescent="0.15">
      <c r="A103" s="81" t="s">
        <v>200</v>
      </c>
      <c r="B103" s="82">
        <f>floors!$C$2</f>
        <v>65525</v>
      </c>
      <c r="C103" s="83" t="str">
        <f ca="1">VLOOKUP($B103,OFFSET([2]quests!$A$1,0,0,COUNTA([2]quests!$A:$A),MATCH(C$1,[2]quests!$1:$1,0)-MATCH($B$1,[2]quests!$1:$1,0)+1),MATCH(C$1,[2]quests!$1:$1,0)-MATCH($B$1,[2]quests!$1:$1,0)+1,FALSE)</f>
        <v>【LB田邉】検証クエスト</v>
      </c>
      <c r="D103" s="83" t="str">
        <f ca="1">VLOOKUP($B103,OFFSET([2]quests!$A$1,0,0,COUNTA([2]quests!$A:$A),MATCH(D$1,[2]quests!$1:$1,0)-MATCH($B$1,[2]quests!$1:$1,0)+1),MATCH(D$1,[2]quests!$1:$1,0)-MATCH($B$1,[2]quests!$1:$1,0)+1,FALSE)</f>
        <v>検証</v>
      </c>
      <c r="E103" s="84">
        <v>1</v>
      </c>
      <c r="F103" s="83" t="str">
        <f ca="1">VLOOKUP($B103&amp;"_"&amp;$E103,OFFSET([2]stages!$A$1,0,0,COUNTA([2]stages!$A:$A),MATCH(F$1,[2]stages!$2:$2,0)-MATCH("temp_stage",[2]stages!$2:$2,0)+1),MATCH(F$1,[2]stages!$2:$2,0)-MATCH("temp_stage",[2]stages!$2:$2,0)+1,FALSE)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103" s="83" t="str">
        <f ca="1">VLOOKUP($B103&amp;"_"&amp;$E103,OFFSET([2]stages!$A$1,0,0,COUNTA([2]stages!$A:$A),MATCH(G$1,[2]stages!$2:$2,0)-MATCH("temp_stage",[2]stages!$2:$2,0)+1),MATCH(G$1,[2]stages!$2:$2,0)-MATCH("temp_stage",[2]stages!$2:$2,0)+1,FALSE)</f>
        <v>検証</v>
      </c>
      <c r="H103" s="85">
        <v>1</v>
      </c>
      <c r="I103" s="91">
        <f t="shared" si="2"/>
        <v>102</v>
      </c>
      <c r="J103" s="86" t="str">
        <f t="shared" si="3"/>
        <v>65525102</v>
      </c>
      <c r="K103" s="84" t="s">
        <v>129</v>
      </c>
      <c r="L103" s="87" t="s">
        <v>202</v>
      </c>
      <c r="M103" s="88" t="s">
        <v>204</v>
      </c>
      <c r="N103" s="57" t="s">
        <v>203</v>
      </c>
    </row>
    <row r="104" spans="1:14" x14ac:dyDescent="0.15">
      <c r="A104" s="81" t="s">
        <v>200</v>
      </c>
      <c r="B104" s="82">
        <f>floors!$C$2</f>
        <v>65525</v>
      </c>
      <c r="C104" s="83" t="str">
        <f ca="1">VLOOKUP($B104,OFFSET([2]quests!$A$1,0,0,COUNTA([2]quests!$A:$A),MATCH(C$1,[2]quests!$1:$1,0)-MATCH($B$1,[2]quests!$1:$1,0)+1),MATCH(C$1,[2]quests!$1:$1,0)-MATCH($B$1,[2]quests!$1:$1,0)+1,FALSE)</f>
        <v>【LB田邉】検証クエスト</v>
      </c>
      <c r="D104" s="83" t="str">
        <f ca="1">VLOOKUP($B104,OFFSET([2]quests!$A$1,0,0,COUNTA([2]quests!$A:$A),MATCH(D$1,[2]quests!$1:$1,0)-MATCH($B$1,[2]quests!$1:$1,0)+1),MATCH(D$1,[2]quests!$1:$1,0)-MATCH($B$1,[2]quests!$1:$1,0)+1,FALSE)</f>
        <v>検証</v>
      </c>
      <c r="E104" s="84">
        <v>1</v>
      </c>
      <c r="F104" s="83" t="str">
        <f ca="1">VLOOKUP($B104&amp;"_"&amp;$E104,OFFSET([2]stages!$A$1,0,0,COUNTA([2]stages!$A:$A),MATCH(F$1,[2]stages!$2:$2,0)-MATCH("temp_stage",[2]stages!$2:$2,0)+1),MATCH(F$1,[2]stages!$2:$2,0)-MATCH("temp_stage",[2]stages!$2:$2,0)+1,FALSE)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104" s="83" t="str">
        <f ca="1">VLOOKUP($B104&amp;"_"&amp;$E104,OFFSET([2]stages!$A$1,0,0,COUNTA([2]stages!$A:$A),MATCH(G$1,[2]stages!$2:$2,0)-MATCH("temp_stage",[2]stages!$2:$2,0)+1),MATCH(G$1,[2]stages!$2:$2,0)-MATCH("temp_stage",[2]stages!$2:$2,0)+1,FALSE)</f>
        <v>検証</v>
      </c>
      <c r="H104" s="85">
        <v>1</v>
      </c>
      <c r="I104" s="91">
        <f t="shared" si="2"/>
        <v>103</v>
      </c>
      <c r="J104" s="86" t="str">
        <f t="shared" si="3"/>
        <v>65525103</v>
      </c>
      <c r="K104" s="84" t="s">
        <v>129</v>
      </c>
      <c r="L104" s="87" t="s">
        <v>202</v>
      </c>
      <c r="M104" s="88" t="s">
        <v>204</v>
      </c>
      <c r="N104" s="57" t="s">
        <v>203</v>
      </c>
    </row>
    <row r="105" spans="1:14" x14ac:dyDescent="0.15">
      <c r="A105" s="81" t="s">
        <v>200</v>
      </c>
      <c r="B105" s="82">
        <f>floors!$C$2</f>
        <v>65525</v>
      </c>
      <c r="C105" s="83" t="str">
        <f ca="1">VLOOKUP($B105,OFFSET([2]quests!$A$1,0,0,COUNTA([2]quests!$A:$A),MATCH(C$1,[2]quests!$1:$1,0)-MATCH($B$1,[2]quests!$1:$1,0)+1),MATCH(C$1,[2]quests!$1:$1,0)-MATCH($B$1,[2]quests!$1:$1,0)+1,FALSE)</f>
        <v>【LB田邉】検証クエスト</v>
      </c>
      <c r="D105" s="83" t="str">
        <f ca="1">VLOOKUP($B105,OFFSET([2]quests!$A$1,0,0,COUNTA([2]quests!$A:$A),MATCH(D$1,[2]quests!$1:$1,0)-MATCH($B$1,[2]quests!$1:$1,0)+1),MATCH(D$1,[2]quests!$1:$1,0)-MATCH($B$1,[2]quests!$1:$1,0)+1,FALSE)</f>
        <v>検証</v>
      </c>
      <c r="E105" s="84">
        <v>1</v>
      </c>
      <c r="F105" s="83" t="str">
        <f ca="1">VLOOKUP($B105&amp;"_"&amp;$E105,OFFSET([2]stages!$A$1,0,0,COUNTA([2]stages!$A:$A),MATCH(F$1,[2]stages!$2:$2,0)-MATCH("temp_stage",[2]stages!$2:$2,0)+1),MATCH(F$1,[2]stages!$2:$2,0)-MATCH("temp_stage",[2]stages!$2:$2,0)+1,FALSE)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105" s="83" t="str">
        <f ca="1">VLOOKUP($B105&amp;"_"&amp;$E105,OFFSET([2]stages!$A$1,0,0,COUNTA([2]stages!$A:$A),MATCH(G$1,[2]stages!$2:$2,0)-MATCH("temp_stage",[2]stages!$2:$2,0)+1),MATCH(G$1,[2]stages!$2:$2,0)-MATCH("temp_stage",[2]stages!$2:$2,0)+1,FALSE)</f>
        <v>検証</v>
      </c>
      <c r="H105" s="85">
        <v>1</v>
      </c>
      <c r="I105" s="91">
        <f t="shared" si="2"/>
        <v>104</v>
      </c>
      <c r="J105" s="86" t="str">
        <f t="shared" si="3"/>
        <v>65525104</v>
      </c>
      <c r="K105" s="84" t="s">
        <v>129</v>
      </c>
      <c r="L105" s="87" t="s">
        <v>202</v>
      </c>
      <c r="M105" s="88" t="s">
        <v>204</v>
      </c>
      <c r="N105" s="57" t="s">
        <v>203</v>
      </c>
    </row>
    <row r="106" spans="1:14" x14ac:dyDescent="0.15">
      <c r="A106" s="81" t="s">
        <v>200</v>
      </c>
      <c r="B106" s="82">
        <f>floors!$C$2</f>
        <v>65525</v>
      </c>
      <c r="C106" s="83" t="str">
        <f ca="1">VLOOKUP($B106,OFFSET([2]quests!$A$1,0,0,COUNTA([2]quests!$A:$A),MATCH(C$1,[2]quests!$1:$1,0)-MATCH($B$1,[2]quests!$1:$1,0)+1),MATCH(C$1,[2]quests!$1:$1,0)-MATCH($B$1,[2]quests!$1:$1,0)+1,FALSE)</f>
        <v>【LB田邉】検証クエスト</v>
      </c>
      <c r="D106" s="83" t="str">
        <f ca="1">VLOOKUP($B106,OFFSET([2]quests!$A$1,0,0,COUNTA([2]quests!$A:$A),MATCH(D$1,[2]quests!$1:$1,0)-MATCH($B$1,[2]quests!$1:$1,0)+1),MATCH(D$1,[2]quests!$1:$1,0)-MATCH($B$1,[2]quests!$1:$1,0)+1,FALSE)</f>
        <v>検証</v>
      </c>
      <c r="E106" s="84">
        <v>1</v>
      </c>
      <c r="F106" s="83" t="str">
        <f ca="1">VLOOKUP($B106&amp;"_"&amp;$E106,OFFSET([2]stages!$A$1,0,0,COUNTA([2]stages!$A:$A),MATCH(F$1,[2]stages!$2:$2,0)-MATCH("temp_stage",[2]stages!$2:$2,0)+1),MATCH(F$1,[2]stages!$2:$2,0)-MATCH("temp_stage",[2]stages!$2:$2,0)+1,FALSE)</f>
        <v>【LB田邉】アニメーション検証</v>
      </c>
      <c r="G106" s="83" t="str">
        <f ca="1">VLOOKUP($B106&amp;"_"&amp;$E106,OFFSET([2]stages!$A$1,0,0,COUNTA([2]stages!$A:$A),MATCH(G$1,[2]stages!$2:$2,0)-MATCH("temp_stage",[2]stages!$2:$2,0)+1),MATCH(G$1,[2]stages!$2:$2,0)-MATCH("temp_stage",[2]stages!$2:$2,0)+1,FALSE)</f>
        <v>検証</v>
      </c>
      <c r="H106" s="85">
        <v>1</v>
      </c>
      <c r="I106" s="91">
        <f t="shared" si="2"/>
        <v>105</v>
      </c>
      <c r="J106" s="86" t="str">
        <f t="shared" si="3"/>
        <v>65525105</v>
      </c>
      <c r="K106" s="84" t="s">
        <v>129</v>
      </c>
      <c r="L106" s="87" t="s">
        <v>202</v>
      </c>
      <c r="M106" s="88" t="s">
        <v>264</v>
      </c>
      <c r="N106" s="57" t="s">
        <v>203</v>
      </c>
    </row>
  </sheetData>
  <phoneticPr fontId="5"/>
  <dataValidations count="1">
    <dataValidation type="list" allowBlank="1" showInputMessage="1" showErrorMessage="1" sqref="A2:A106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L7" sqref="L7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5" t="s">
        <v>216</v>
      </c>
      <c r="B1" s="96" t="s">
        <v>217</v>
      </c>
      <c r="C1" s="77" t="s">
        <v>218</v>
      </c>
      <c r="D1" s="77" t="s">
        <v>33</v>
      </c>
      <c r="E1" s="96" t="s">
        <v>219</v>
      </c>
      <c r="F1" s="77" t="s">
        <v>220</v>
      </c>
      <c r="G1" s="77" t="s">
        <v>33</v>
      </c>
      <c r="H1" s="96" t="s">
        <v>221</v>
      </c>
      <c r="I1" s="96" t="s">
        <v>222</v>
      </c>
      <c r="J1" s="96" t="s">
        <v>223</v>
      </c>
      <c r="K1" s="73" t="s">
        <v>224</v>
      </c>
      <c r="L1" s="73" t="s">
        <v>225</v>
      </c>
      <c r="M1" s="73" t="s">
        <v>158</v>
      </c>
      <c r="N1" s="77" t="s">
        <v>16</v>
      </c>
      <c r="O1" s="73" t="s">
        <v>226</v>
      </c>
      <c r="P1" s="73" t="s">
        <v>57</v>
      </c>
      <c r="Q1" s="73" t="s">
        <v>227</v>
      </c>
      <c r="R1" s="73" t="s">
        <v>38</v>
      </c>
      <c r="S1" s="73" t="s">
        <v>40</v>
      </c>
      <c r="T1" s="73" t="s">
        <v>42</v>
      </c>
      <c r="U1" s="73" t="s">
        <v>44</v>
      </c>
      <c r="V1" s="73" t="s">
        <v>46</v>
      </c>
      <c r="W1" s="73" t="s">
        <v>228</v>
      </c>
      <c r="X1" s="73" t="s">
        <v>229</v>
      </c>
    </row>
    <row r="2" spans="1:24" x14ac:dyDescent="0.15">
      <c r="A2" s="97" t="str">
        <f>B2&amp;"_"&amp;E2&amp;"_"&amp;H2&amp;"_"&amp;I2&amp;"_"&amp;J2</f>
        <v>65535_7_everyone_clear_1</v>
      </c>
      <c r="B2" s="82">
        <v>65535</v>
      </c>
      <c r="C2" s="83" t="str">
        <f ca="1">VLOOKUP($B2,OFFSET([2]quests!$A$1,0,0,COUNTA([2]quests!$A:$A),MATCH(C$1,[2]quests!$1:$1,0)-MATCH($B$1,[2]quests!$1:$1,0)+1),MATCH(C$1,[2]quests!$1:$1,0)-MATCH($B$1,[2]quests!$1:$1,0)+1,FALSE)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2" s="83" t="str">
        <f ca="1">VLOOKUP($B2,OFFSET([2]quests!$A$1,0,0,COUNTA([2]quests!$A:$A),MATCH(D$1,[2]quests!$1:$1,0)-MATCH($B$1,[2]quests!$1:$1,0)+1),MATCH(D$1,[2]quests!$1:$1,0)-MATCH($B$1,[2]quests!$1:$1,0)+1,FALSE)</f>
        <v>検証</v>
      </c>
      <c r="E2" s="84">
        <v>7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爆風ジャンヌ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検証</v>
      </c>
      <c r="H2" s="85" t="s">
        <v>230</v>
      </c>
      <c r="I2" s="84" t="s">
        <v>231</v>
      </c>
      <c r="J2" s="84">
        <v>1</v>
      </c>
      <c r="K2" s="84">
        <v>610</v>
      </c>
      <c r="L2" s="84" t="s">
        <v>232</v>
      </c>
      <c r="M2" s="84">
        <v>334</v>
      </c>
      <c r="N2" s="98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炎のメタルダック</v>
      </c>
      <c r="O2" s="84">
        <v>1</v>
      </c>
      <c r="P2" s="84">
        <v>1</v>
      </c>
      <c r="Q2" s="84">
        <v>1</v>
      </c>
      <c r="R2" s="84">
        <v>0</v>
      </c>
      <c r="S2" s="84">
        <v>0</v>
      </c>
      <c r="T2" s="84">
        <v>0</v>
      </c>
      <c r="U2" s="84">
        <v>0</v>
      </c>
      <c r="V2" s="84">
        <v>1</v>
      </c>
      <c r="W2" s="99" t="s">
        <v>233</v>
      </c>
      <c r="X2" s="100" t="s">
        <v>234</v>
      </c>
    </row>
    <row r="3" spans="1:24" x14ac:dyDescent="0.15">
      <c r="A3" s="97" t="str">
        <f>B3&amp;"_"&amp;E3&amp;"_"&amp;H3&amp;"_"&amp;I3&amp;"_"&amp;J3</f>
        <v>65535_7_everyone_no_continue_1</v>
      </c>
      <c r="B3" s="82">
        <v>65535</v>
      </c>
      <c r="C3" s="83" t="str">
        <f ca="1">VLOOKUP($B3,OFFSET([2]quests!$A$1,0,0,COUNTA([2]quests!$A:$A),MATCH(C$1,[2]quests!$1:$1,0)-MATCH($B$1,[2]quests!$1:$1,0)+1),MATCH(C$1,[2]quests!$1:$1,0)-MATCH($B$1,[2]quests!$1:$1,0)+1,FALSE)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3" s="83" t="str">
        <f ca="1">VLOOKUP($B3,OFFSET([2]quests!$A$1,0,0,COUNTA([2]quests!$A:$A),MATCH(D$1,[2]quests!$1:$1,0)-MATCH($B$1,[2]quests!$1:$1,0)+1),MATCH(D$1,[2]quests!$1:$1,0)-MATCH($B$1,[2]quests!$1:$1,0)+1,FALSE)</f>
        <v>検証</v>
      </c>
      <c r="E3" s="84">
        <v>7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爆風ジャンヌ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検証</v>
      </c>
      <c r="H3" s="85" t="s">
        <v>230</v>
      </c>
      <c r="I3" s="84" t="s">
        <v>235</v>
      </c>
      <c r="J3" s="84">
        <v>1</v>
      </c>
      <c r="K3" s="84">
        <v>610</v>
      </c>
      <c r="L3" s="84" t="s">
        <v>232</v>
      </c>
      <c r="M3" s="84">
        <v>334</v>
      </c>
      <c r="N3" s="98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炎のメタルダック</v>
      </c>
      <c r="O3" s="84">
        <v>1</v>
      </c>
      <c r="P3" s="84">
        <v>1</v>
      </c>
      <c r="Q3" s="84">
        <v>1</v>
      </c>
      <c r="R3" s="84">
        <v>0</v>
      </c>
      <c r="S3" s="84">
        <v>0</v>
      </c>
      <c r="T3" s="84">
        <v>0</v>
      </c>
      <c r="U3" s="84">
        <v>0</v>
      </c>
      <c r="V3" s="84">
        <v>1</v>
      </c>
      <c r="W3" s="99" t="s">
        <v>233</v>
      </c>
      <c r="X3" s="100" t="s">
        <v>234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2017-03-06T01:51:09Z</dcterms:modified>
</cp:coreProperties>
</file>